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m" sheetId="1" r:id="rId4"/>
    <sheet state="visible" name="SPRINT1" sheetId="2" r:id="rId5"/>
    <sheet state="visible" name="Deflatores" sheetId="3" r:id="rId6"/>
    <sheet state="visible" name="Sumário 1" sheetId="4" r:id="rId7"/>
    <sheet state="visible" name="Sumário 2" sheetId="5" r:id="rId8"/>
  </sheets>
  <definedNames>
    <definedName name="TiposDeManutencao">Deflatores!$G$4:$G$38</definedName>
    <definedName localSheetId="1" name="TiposDeFuncao">Deflatores!$L$37:$L$64</definedName>
    <definedName name="TiposDeFuncao">Deflatores!$L$37:$L$64</definedName>
    <definedName localSheetId="1" name="TiposDeManutencao">Deflatores!$G$4:$G$38</definedName>
  </definedNames>
  <calcPr/>
  <extLst>
    <ext uri="GoogleSheetsCustomDataVersion2">
      <go:sheetsCustomData xmlns:go="http://customooxmlschemas.google.com/" r:id="rId9" roundtripDataChecksum="KXdvhB58Z+IyYQwZcHrlAxVvY/gizHC8N/ih2INZNs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">
      <text>
        <t xml:space="preserve">======
ID#AAABw-LsEPs
    (2025-12-04 13:04:06)
Ponto de Função IFPUG: medição baseada nas regras do IFPUG. Não considerada os deflatores nem os itens não mensuráveis. Caso a funcionalidade não tenha sido detalhada, será considerada a estimativa da NESMA.</t>
      </text>
    </comment>
    <comment authorId="0" ref="Q6">
      <text>
        <t xml:space="preserve">======
ID#AAABw-LsEPc
    (2025-12-04 13:04:06)
Ponto de Função Local da FS: medição para remuneração da Fábrica de Software. Equivalente à medição IFPUG. Porém, considera os deflatores e os itens não mensuráveis previstos em contrato.</t>
      </text>
    </comment>
    <comment authorId="0" ref="Q5">
      <text>
        <t xml:space="preserve">======
ID#AAABw-LsEOw
    (2025-12-04 13:04:05)
Ponto de Função Local do EM: medição para remuneração do Escritório de Métricas.Equivalente à medição IFPUG. Porém, considera os itens não mensuráveis previstos em contrato.</t>
      </text>
    </comment>
  </commentList>
  <extLst>
    <ext uri="GoogleSheetsCustomDataVersion2">
      <go:sheetsCustomData xmlns:go="http://customooxmlschemas.google.com/" r:id="rId1" roundtripDataSignature="AMtx7mhMzUfjOiRJv2GyRy0xYPAveowVv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======
ID#AAABw-LsEPw
Ponto de Função Local da FS    (2025-12-04 13:04:06)
Medição para remuneração da Fábrica de Software. Equivalente à medição IFPUG. Porém, considera os deflatores e os itens não mensuráveis previstos em contrato.</t>
      </text>
    </comment>
    <comment authorId="0" ref="E7">
      <text>
        <t xml:space="preserve">======
ID#AAABw-LsEPo
    (2025-12-04 13:04:06)
Arquivos Referenciados / Tipos de Registro</t>
      </text>
    </comment>
    <comment authorId="0" ref="K5">
      <text>
        <t xml:space="preserve">======
ID#AAABw-LsEPk
Ponto de Função Local do EM    (2025-12-04 13:04:06)
Medição para remuneração do Escritório de Métricas. Equivalente à medição IFPUG. Porém, considera os itens não mensuráveis previstos em contrato.</t>
      </text>
    </comment>
    <comment authorId="0" ref="M7">
      <text>
        <t xml:space="preserve">======
ID#AAABw-LsEPg
    (2025-12-04 13:04:06)
Normalmente utilizado para contagem de baseline, onde o desenvolvimento foi realizado de forma incremental. Isto indica em qual(is) pacote(s) cada funcionalidade foi impactada. Em algumas situações pode ser informado o número do projeto, demanda ou incremento.</t>
      </text>
    </comment>
    <comment authorId="0" ref="C7">
      <text>
        <t xml:space="preserve">======
ID#AAABw-LsEPU
Tipo de Manutenção na função    (2025-12-04 13:04:06)
I, A, E 
ou
Itens não mensuráveis</t>
      </text>
    </comment>
    <comment authorId="0" ref="N7">
      <text>
        <t xml:space="preserve">======
ID#AAABw-LsEPE
    (2025-12-04 13:04:06)
Referência ao documento que justifica a contagem da funcionalidade</t>
      </text>
    </comment>
    <comment authorId="0" ref="D7">
      <text>
        <t xml:space="preserve">======
ID#AAABw-LsEPI
    (2025-12-04 13:04:06)
Tipos de Dados (DETs)</t>
      </text>
    </comment>
    <comment authorId="0" ref="B7">
      <text>
        <t xml:space="preserve">======
ID#AAABw-LsEPA
Tipo de Função    (2025-12-04 13:04:05)
ALI, AIE, EE, SE, CE
ou
Itens não mensuráveis</t>
      </text>
    </comment>
    <comment authorId="0" ref="K4">
      <text>
        <t xml:space="preserve">======
ID#AAABw-LsEO8
Ponto de Função IFPUG    (2025-12-04 13:04:05)
Medição baseada nas regras do IFPUG. Não considerada os deflatores nem os itens não mensuráveis. Caso a funcionalidade não tenha sido detalhada, será considerada a estimativa da NESMA.</t>
      </text>
    </comment>
    <comment authorId="0" ref="F7">
      <text>
        <t xml:space="preserve">======
ID#AAABw-LsEO4
    (2025-12-04 13:04:05)
Grau de complexidade específico atribuído a uma função.</t>
      </text>
    </comment>
    <comment authorId="0" ref="A7">
      <text>
        <t xml:space="preserve">======
ID#AAABw-LsEO0
Nome da Função    (2025-12-04 13:04:05)
O processo é a menor unidade de atividade significativa para o usuário?
É auto-contido e deixa o negócio da aplicação em um estado consistente?</t>
      </text>
    </comment>
  </commentList>
  <extLst>
    <ext uri="GoogleSheetsCustomDataVersion2">
      <go:sheetsCustomData xmlns:go="http://customooxmlschemas.google.com/" r:id="rId1" roundtripDataSignature="AMtx7mjbnLKeLJejDevA17LIcvZcszoZD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7">
      <text>
        <t xml:space="preserve">======
ID#AAABw-LsEPY
    (2025-12-04 13:04:06)
Técnica de estimativa do tamanho desenvolvida pela NESMA. É baseada apenas nos arquivos lógicos. Assume que cada ALI tem um peso de 35 PF e cada AIE um peso de 15 PF</t>
      </text>
    </comment>
    <comment authorId="0" ref="B46">
      <text>
        <t xml:space="preserve">======
ID#AAABw-LsEPQ
    (2025-12-04 13:04:06)
Técnica de estimativa do tamanho desenvolvida pela NESMA. Assume que os arquivos lógicos são de complexidade baixa e as transações são de complexidade média.</t>
      </text>
    </comment>
  </commentList>
  <extLst>
    <ext uri="GoogleSheetsCustomDataVersion2">
      <go:sheetsCustomData xmlns:go="http://customooxmlschemas.google.com/" r:id="rId1" roundtripDataSignature="AMtx7miuRAW2MurSKenRJoe3jU4OYbFpk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======
ID#AAABw-LsEPM
    (2025-12-04 13:04:06)
Contribuição fixa em PF independentemente do tipo da funcionalidade</t>
      </text>
    </comment>
    <comment authorId="0" ref="H46">
      <text>
        <t xml:space="preserve">======
ID#AAABw-LsEOs
    (2025-12-04 13:04:05)
Contribuição fixa em PF para o item não funcional</t>
      </text>
    </comment>
  </commentList>
  <extLst>
    <ext uri="GoogleSheetsCustomDataVersion2">
      <go:sheetsCustomData xmlns:go="http://customooxmlschemas.google.com/" r:id="rId1" roundtripDataSignature="AMtx7mh1IQo6aHkQM+3ju+uwdoo82fSTcg=="/>
    </ext>
  </extLst>
</comments>
</file>

<file path=xl/sharedStrings.xml><?xml version="1.0" encoding="utf-8"?>
<sst xmlns="http://schemas.openxmlformats.org/spreadsheetml/2006/main" count="513" uniqueCount="259">
  <si>
    <t>Identificação da Contagem</t>
  </si>
  <si>
    <t>Empresa</t>
  </si>
  <si>
    <t>Secretaria de Estado de Planejamento e Gestão de Mato Grosso</t>
  </si>
  <si>
    <t>PF IFPUG</t>
  </si>
  <si>
    <t>Aplicação</t>
  </si>
  <si>
    <t>MANOPLA</t>
  </si>
  <si>
    <t>PF Local do EM</t>
  </si>
  <si>
    <t>Tipo de Contagem</t>
  </si>
  <si>
    <t>PF Local da FS</t>
  </si>
  <si>
    <t>Nível de Detalhe</t>
  </si>
  <si>
    <t>Detalhada (IFPUG)</t>
  </si>
  <si>
    <t>Tecnologia</t>
  </si>
  <si>
    <t>JAVA</t>
  </si>
  <si>
    <t>Projeto</t>
  </si>
  <si>
    <t>Versão do Guia</t>
  </si>
  <si>
    <t>4.3.1</t>
  </si>
  <si>
    <t>Responsável</t>
  </si>
  <si>
    <t>João Cleber</t>
  </si>
  <si>
    <t>Criação</t>
  </si>
  <si>
    <t>Revisor</t>
  </si>
  <si>
    <t>Revisão</t>
  </si>
  <si>
    <t>Propósito da Contagem</t>
  </si>
  <si>
    <r>
      <rPr>
        <rFont val="Libre Franklin"/>
        <color theme="1"/>
        <sz val="10.0"/>
      </rPr>
      <t xml:space="preserve">Criar a linha de base (baseline) para o produto de software/módulo </t>
    </r>
    <r>
      <rPr>
        <rFont val="Arial"/>
        <b/>
        <color rgb="FF0070C0"/>
        <sz val="10.0"/>
      </rPr>
      <t xml:space="preserve">MANOPLA </t>
    </r>
    <r>
      <rPr>
        <rFont val="Arial"/>
        <color theme="1"/>
        <sz val="10.0"/>
      </rPr>
      <t>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</si>
  <si>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</si>
  <si>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>Pesquisa/Diagnóstico</t>
  </si>
  <si>
    <t>Documentação Utilizada na Análise</t>
  </si>
  <si>
    <t>Versão 1.8.0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</si>
  <si>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</si>
  <si>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</si>
  <si>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</si>
  <si>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</si>
  <si>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</si>
  <si>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</si>
  <si>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</si>
  <si>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</si>
  <si>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</si>
  <si>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</si>
  <si>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</si>
  <si>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</si>
  <si>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</si>
  <si>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US 001 - Manter Termo</t>
  </si>
  <si>
    <t>ALI</t>
  </si>
  <si>
    <t>I</t>
  </si>
  <si>
    <t>US 001 - Manter Termo - Consulta</t>
  </si>
  <si>
    <t>CE</t>
  </si>
  <si>
    <t>US 001 - Manter Termo - Adicionar</t>
  </si>
  <si>
    <t>EE</t>
  </si>
  <si>
    <t>US 001 - Manter Termo - Alterar</t>
  </si>
  <si>
    <t>US 001 - Manter Termo - Excluir</t>
  </si>
  <si>
    <t>US 001 - Manter Termo - Visualizar</t>
  </si>
  <si>
    <t>SE</t>
  </si>
  <si>
    <t>US 002 - Manter Relatorio</t>
  </si>
  <si>
    <t>US 002 - Manter Relatorio - Consulta</t>
  </si>
  <si>
    <t>US 002 - Manter Relatorio - Adicionar</t>
  </si>
  <si>
    <t>US 002 - Manter Relatorio - Alterar</t>
  </si>
  <si>
    <t>US 002 - Manter Relatorio - Excluir</t>
  </si>
  <si>
    <t>US 002 - Manter Relatorio - Visualizar</t>
  </si>
  <si>
    <t>US 003 - Parâmetro</t>
  </si>
  <si>
    <t>US 003 - Parâmetro - Consulta</t>
  </si>
  <si>
    <t>US 003 - Parâmetro - Adicionar</t>
  </si>
  <si>
    <t>US 003 - Parâmetro - Alterar</t>
  </si>
  <si>
    <t>US 003 - Parâmetro - Excluir</t>
  </si>
  <si>
    <t>US 003 - Parâmetro - Visualizar</t>
  </si>
  <si>
    <t>US 004 - Feriado</t>
  </si>
  <si>
    <t>US 004 - Feriado - Adicionar</t>
  </si>
  <si>
    <t>US 004 - Feriado - Alterar</t>
  </si>
  <si>
    <t>US 004 - Feriado - Excluir</t>
  </si>
  <si>
    <t>US 005 - Calendario</t>
  </si>
  <si>
    <t>US 005 - Calendario - Consulta</t>
  </si>
  <si>
    <t>US 005 - Calendario - Adicionar</t>
  </si>
  <si>
    <t>US 005 - Calendario - Visualizar</t>
  </si>
  <si>
    <t>US 006 - Órgão Vinculado</t>
  </si>
  <si>
    <t>US 006 - Órgão Vinculado - Consulta</t>
  </si>
  <si>
    <t>US 006 - Órgão Vinculado - Adicionar/Salvar</t>
  </si>
  <si>
    <t>US 007 - Notificação</t>
  </si>
  <si>
    <t>US 007 - Notificação - Consulta</t>
  </si>
  <si>
    <t>US 007 - Notificação - Adicionar</t>
  </si>
  <si>
    <t>US 007 - Notificação - Alterar</t>
  </si>
  <si>
    <t>US 008 - Autorização</t>
  </si>
  <si>
    <t>US 008 - Autorização - Consulta</t>
  </si>
  <si>
    <t>US 008 - Autorização - Adicionar</t>
  </si>
  <si>
    <t>US 008 - Autorização - Alterar</t>
  </si>
  <si>
    <t>US 008 - Autorização - Excluir</t>
  </si>
  <si>
    <t>US 008 - Autorização - Visualizar</t>
  </si>
  <si>
    <t>US 009 - Perfil Acesso</t>
  </si>
  <si>
    <t>US 009 - Perfil Acesso - Consulta</t>
  </si>
  <si>
    <t>US 009 - Perfil Acesso - Adicionar</t>
  </si>
  <si>
    <t>US 009 - Perfil Acesso - Alterar</t>
  </si>
  <si>
    <t>US 009 - Perfil Acesso - Excluir</t>
  </si>
  <si>
    <t>US 009 - Perfil Acesso - Clonar</t>
  </si>
  <si>
    <t>US 009 - Perfil Acesso - Importar</t>
  </si>
  <si>
    <t>AIE</t>
  </si>
  <si>
    <t>US 009 - Perfil Acesso - Exportar</t>
  </si>
  <si>
    <t>US 010 - Usuario</t>
  </si>
  <si>
    <t>US 010 - Usuario - Consulta</t>
  </si>
  <si>
    <t xml:space="preserve">US 010 - Usuario - Adicionar </t>
  </si>
  <si>
    <t>US 010 - Usuario - Alterar</t>
  </si>
  <si>
    <t>US 010 - Usuario - Visualizar</t>
  </si>
  <si>
    <t>US 010 - Usuario - Vinculo</t>
  </si>
  <si>
    <t>US 010 - Usuario - Adicionar Vinculo</t>
  </si>
  <si>
    <t>US 010 - Usuario - Alterar Vinculo</t>
  </si>
  <si>
    <t>US 010 - Usuario - Consulta Vinculo</t>
  </si>
  <si>
    <t>US 010 - Usuario - Perfil de Acesso</t>
  </si>
  <si>
    <t>US 010 - Usuario - Consulta Perfil de Acesso</t>
  </si>
  <si>
    <t>US 010 - Usuario - Salvar Perfil de Acesso</t>
  </si>
  <si>
    <t>US 010 - Usuario - Excluir Perfil de Acesso</t>
  </si>
  <si>
    <t>US 010 - Usuario - Unidade de Lotação</t>
  </si>
  <si>
    <t>US 010 - Usuario - Unidade de Lotação - Consulta</t>
  </si>
  <si>
    <t>US 010 - Usuario - Unidade de Lotação  - Adicionar</t>
  </si>
  <si>
    <t>US 010 - Usuario - Unidade de Lotação - Alterar</t>
  </si>
  <si>
    <t>US 010 - Usuario - Unidade de Lotação - Copiar</t>
  </si>
  <si>
    <t>US 010 - Usuario - Unidade de Lotação - Excluir</t>
  </si>
  <si>
    <t>US 011 - Manter Log</t>
  </si>
  <si>
    <t>US 011 - Manter Log - Consulta</t>
  </si>
  <si>
    <t xml:space="preserve">US 011 - Manter Log - Visualizar </t>
  </si>
  <si>
    <t>US 012 - Manter Log de Processo</t>
  </si>
  <si>
    <t>US 012 - Manter Log de Processo - Consulta</t>
  </si>
  <si>
    <t>US 012 - Manter Log de Processo - Visualizar</t>
  </si>
  <si>
    <t>US 013 -Relatorio Situacao Cadastral</t>
  </si>
  <si>
    <t>US 013 -Relatorio Situacao Cadastral - Consulta</t>
  </si>
  <si>
    <t>US 013 -Relatorio Situacao Cadastral - Imprimir</t>
  </si>
  <si>
    <t>US 014 - Relatorio Tipo de Usuario</t>
  </si>
  <si>
    <t>US 014 - Relatorio Tipo de Usuario - Consultar</t>
  </si>
  <si>
    <t>US 014 - Relatorio Tipo de Usuario - Imprimir</t>
  </si>
  <si>
    <t>Fronteira externa com o SISPAT.</t>
  </si>
  <si>
    <t>Trata-se de outra Aplicação/Sistema.
Conforme alinhamento pessoal realizado com o gestor Luciano, os módulos de pregão eletrônico podem ser outras soluções de mercado e/ou desenvolver em outro momento. Por estas razões, não entram no escopo da análise.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</si>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</sst>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17">
    <font>
      <sz val="10.0"/>
      <color rgb="FF000000"/>
      <name val="Arial"/>
      <scheme val="minor"/>
    </font>
    <font>
      <b/>
      <sz val="12.0"/>
      <color theme="1"/>
      <name val="Libre Franklin"/>
    </font>
    <font/>
    <font>
      <sz val="9.0"/>
      <color rgb="FF0000FF"/>
      <name val="Libre Franklin"/>
    </font>
    <font>
      <sz val="9.0"/>
      <color theme="1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000000"/>
      <name val="Arial"/>
    </font>
    <font>
      <sz val="8.0"/>
      <color theme="0"/>
      <name val="Libre Franklin"/>
    </font>
    <font>
      <sz val="10.0"/>
      <color rgb="FF242424"/>
      <name val="Calibri"/>
    </font>
    <font>
      <sz val="8.0"/>
      <color theme="1"/>
      <name val="Libre Franklin"/>
    </font>
    <font>
      <b/>
      <sz val="8.0"/>
      <color theme="1"/>
      <name val="Libre Franklin"/>
    </font>
    <font>
      <b/>
      <u/>
      <sz val="8.0"/>
      <color theme="1"/>
      <name val="Libre Franklin"/>
    </font>
    <font>
      <sz val="10.0"/>
      <color theme="1"/>
      <name val="Arial"/>
    </font>
    <font>
      <sz val="9.0"/>
      <color rgb="FF333333"/>
      <name val="Libre Franklin"/>
    </font>
    <font>
      <sz val="9.0"/>
      <color theme="0"/>
      <name val="Libre Franklin"/>
    </font>
    <font>
      <b/>
      <sz val="9.0"/>
      <color theme="1"/>
      <name val="Libre Franklin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7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left" vertical="center"/>
    </xf>
    <xf borderId="12" fillId="2" fontId="4" numFmtId="164" xfId="0" applyAlignment="1" applyBorder="1" applyFill="1" applyFont="1" applyNumberFormat="1">
      <alignment horizontal="right"/>
    </xf>
    <xf borderId="13" fillId="0" fontId="2" numFmtId="0" xfId="0" applyBorder="1" applyFont="1"/>
    <xf borderId="12" fillId="0" fontId="4" numFmtId="0" xfId="0" applyAlignment="1" applyBorder="1" applyFont="1">
      <alignment horizontal="left"/>
    </xf>
    <xf borderId="12" fillId="0" fontId="3" numFmtId="0" xfId="0" applyAlignment="1" applyBorder="1" applyFont="1">
      <alignment horizontal="left"/>
    </xf>
    <xf borderId="12" fillId="0" fontId="4" numFmtId="165" xfId="0" applyAlignment="1" applyBorder="1" applyFont="1" applyNumberFormat="1">
      <alignment horizontal="center"/>
    </xf>
    <xf borderId="9" fillId="2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shrinkToFit="0" vertical="top" wrapText="1"/>
    </xf>
    <xf quotePrefix="1" borderId="14" fillId="0" fontId="6" numFmtId="0" xfId="0" applyAlignment="1" applyBorder="1" applyFont="1">
      <alignment horizontal="left"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6" numFmtId="0" xfId="0" applyFont="1"/>
    <xf borderId="0" fillId="0" fontId="7" numFmtId="0" xfId="0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2" fontId="4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left" vertical="center"/>
    </xf>
    <xf borderId="24" fillId="2" fontId="4" numFmtId="0" xfId="0" applyAlignment="1" applyBorder="1" applyFont="1">
      <alignment vertical="center"/>
    </xf>
    <xf borderId="25" fillId="2" fontId="4" numFmtId="2" xfId="0" applyAlignment="1" applyBorder="1" applyFont="1" applyNumberFormat="1">
      <alignment vertical="center"/>
    </xf>
    <xf borderId="24" fillId="2" fontId="4" numFmtId="2" xfId="0" applyAlignment="1" applyBorder="1" applyFont="1" applyNumberFormat="1">
      <alignment vertical="center"/>
    </xf>
    <xf borderId="12" fillId="2" fontId="4" numFmtId="2" xfId="0" applyAlignment="1" applyBorder="1" applyFont="1" applyNumberFormat="1">
      <alignment horizontal="left" vertical="center"/>
    </xf>
    <xf borderId="26" fillId="2" fontId="4" numFmtId="0" xfId="0" applyAlignment="1" applyBorder="1" applyFont="1">
      <alignment vertical="center"/>
    </xf>
    <xf borderId="27" fillId="2" fontId="4" numFmtId="0" xfId="0" applyAlignment="1" applyBorder="1" applyFont="1">
      <alignment horizontal="left" vertical="center"/>
    </xf>
    <xf borderId="28" fillId="0" fontId="2" numFmtId="0" xfId="0" applyBorder="1" applyFont="1"/>
    <xf borderId="29" fillId="0" fontId="2" numFmtId="0" xfId="0" applyBorder="1" applyFont="1"/>
    <xf borderId="30" fillId="2" fontId="4" numFmtId="166" xfId="0" applyAlignment="1" applyBorder="1" applyFont="1" applyNumberFormat="1">
      <alignment vertical="center"/>
    </xf>
    <xf borderId="31" fillId="2" fontId="4" numFmtId="2" xfId="0" applyAlignment="1" applyBorder="1" applyFont="1" applyNumberFormat="1">
      <alignment vertical="center"/>
    </xf>
    <xf borderId="32" fillId="3" fontId="8" numFmtId="0" xfId="0" applyAlignment="1" applyBorder="1" applyFill="1" applyFont="1">
      <alignment horizontal="center" shrinkToFit="0" vertical="center" wrapText="1"/>
    </xf>
    <xf borderId="32" fillId="3" fontId="8" numFmtId="0" xfId="0" applyAlignment="1" applyBorder="1" applyFont="1">
      <alignment horizontal="left" vertical="center"/>
    </xf>
    <xf borderId="32" fillId="3" fontId="8" numFmtId="0" xfId="0" applyAlignment="1" applyBorder="1" applyFont="1">
      <alignment horizontal="left"/>
    </xf>
    <xf borderId="32" fillId="3" fontId="8" numFmtId="0" xfId="0" applyAlignment="1" applyBorder="1" applyFont="1">
      <alignment horizontal="center"/>
    </xf>
    <xf borderId="33" fillId="3" fontId="8" numFmtId="0" xfId="0" applyAlignment="1" applyBorder="1" applyFont="1">
      <alignment horizontal="center"/>
    </xf>
    <xf borderId="34" fillId="3" fontId="8" numFmtId="0" xfId="0" applyAlignment="1" applyBorder="1" applyFont="1">
      <alignment horizontal="center" vertical="center"/>
    </xf>
    <xf borderId="35" fillId="3" fontId="8" numFmtId="0" xfId="0" applyAlignment="1" applyBorder="1" applyFont="1">
      <alignment horizontal="center"/>
    </xf>
    <xf borderId="32" fillId="0" fontId="9" numFmtId="0" xfId="0" applyBorder="1" applyFont="1"/>
    <xf borderId="32" fillId="0" fontId="10" numFmtId="0" xfId="0" applyAlignment="1" applyBorder="1" applyFont="1">
      <alignment horizontal="center" vertical="center"/>
    </xf>
    <xf borderId="32" fillId="4" fontId="10" numFmtId="0" xfId="0" applyAlignment="1" applyBorder="1" applyFill="1" applyFont="1">
      <alignment horizontal="center" shrinkToFit="0" vertical="center" wrapText="1"/>
    </xf>
    <xf borderId="32" fillId="4" fontId="10" numFmtId="0" xfId="0" applyAlignment="1" applyBorder="1" applyFont="1">
      <alignment horizontal="center" vertical="center"/>
    </xf>
    <xf borderId="32" fillId="4" fontId="10" numFmtId="4" xfId="0" applyAlignment="1" applyBorder="1" applyFont="1" applyNumberFormat="1">
      <alignment horizontal="center" vertical="center"/>
    </xf>
    <xf borderId="36" fillId="0" fontId="10" numFmtId="0" xfId="0" applyAlignment="1" applyBorder="1" applyFont="1">
      <alignment horizontal="left" shrinkToFit="0" vertical="center" wrapText="1"/>
    </xf>
    <xf borderId="37" fillId="0" fontId="10" numFmtId="0" xfId="0" applyAlignment="1" applyBorder="1" applyFont="1">
      <alignment horizontal="left" shrinkToFit="0" vertical="center" wrapText="1"/>
    </xf>
    <xf borderId="38" fillId="0" fontId="10" numFmtId="0" xfId="0" applyAlignment="1" applyBorder="1" applyFont="1">
      <alignment horizontal="left" shrinkToFit="0" vertical="center" wrapText="1"/>
    </xf>
    <xf borderId="32" fillId="5" fontId="9" numFmtId="0" xfId="0" applyBorder="1" applyFill="1" applyFont="1"/>
    <xf borderId="32" fillId="6" fontId="9" numFmtId="0" xfId="0" applyBorder="1" applyFill="1" applyFont="1"/>
    <xf borderId="32" fillId="4" fontId="10" numFmtId="2" xfId="0" applyAlignment="1" applyBorder="1" applyFont="1" applyNumberFormat="1">
      <alignment horizontal="center" shrinkToFit="0" vertical="center" wrapText="1"/>
    </xf>
    <xf borderId="39" fillId="0" fontId="10" numFmtId="0" xfId="0" applyAlignment="1" applyBorder="1" applyFont="1">
      <alignment horizontal="center" vertical="center"/>
    </xf>
    <xf borderId="40" fillId="4" fontId="10" numFmtId="0" xfId="0" applyAlignment="1" applyBorder="1" applyFont="1">
      <alignment horizontal="center" shrinkToFit="0" vertical="center" wrapText="1"/>
    </xf>
    <xf borderId="40" fillId="4" fontId="10" numFmtId="0" xfId="0" applyAlignment="1" applyBorder="1" applyFont="1">
      <alignment horizontal="center" vertical="center"/>
    </xf>
    <xf borderId="40" fillId="4" fontId="10" numFmtId="4" xfId="0" applyAlignment="1" applyBorder="1" applyFont="1" applyNumberFormat="1">
      <alignment horizontal="center" vertical="center"/>
    </xf>
    <xf borderId="37" fillId="0" fontId="10" numFmtId="0" xfId="0" applyAlignment="1" applyBorder="1" applyFont="1">
      <alignment horizontal="center" vertical="center"/>
    </xf>
    <xf borderId="37" fillId="2" fontId="10" numFmtId="0" xfId="0" applyAlignment="1" applyBorder="1" applyFont="1">
      <alignment horizontal="center" shrinkToFit="0" vertical="center" wrapText="1"/>
    </xf>
    <xf borderId="37" fillId="2" fontId="10" numFmtId="0" xfId="0" applyAlignment="1" applyBorder="1" applyFont="1">
      <alignment horizontal="center" vertical="center"/>
    </xf>
    <xf borderId="37" fillId="0" fontId="10" numFmtId="0" xfId="0" applyAlignment="1" applyBorder="1" applyFont="1">
      <alignment horizontal="center" shrinkToFit="0" vertical="center" wrapText="1"/>
    </xf>
    <xf borderId="37" fillId="2" fontId="10" numFmtId="4" xfId="0" applyAlignment="1" applyBorder="1" applyFont="1" applyNumberFormat="1">
      <alignment horizontal="center" vertical="center"/>
    </xf>
    <xf borderId="41" fillId="0" fontId="10" numFmtId="0" xfId="0" applyAlignment="1" applyBorder="1" applyFont="1">
      <alignment horizontal="left" shrinkToFit="0" vertical="center" wrapText="1"/>
    </xf>
    <xf borderId="41" fillId="0" fontId="11" numFmtId="0" xfId="0" applyAlignment="1" applyBorder="1" applyFont="1">
      <alignment horizontal="left" shrinkToFit="0" vertical="center" wrapText="1"/>
    </xf>
    <xf borderId="41" fillId="0" fontId="12" numFmtId="0" xfId="0" applyAlignment="1" applyBorder="1" applyFont="1">
      <alignment horizontal="left" shrinkToFit="0" vertical="center" wrapText="1"/>
    </xf>
    <xf borderId="42" fillId="0" fontId="10" numFmtId="0" xfId="0" applyAlignment="1" applyBorder="1" applyFont="1">
      <alignment horizontal="left" shrinkToFit="0" vertical="center" wrapText="1"/>
    </xf>
    <xf borderId="43" fillId="0" fontId="10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vertical="center"/>
    </xf>
    <xf borderId="44" fillId="2" fontId="10" numFmtId="0" xfId="0" applyAlignment="1" applyBorder="1" applyFont="1">
      <alignment horizontal="center" shrinkToFit="0" vertical="center" wrapText="1"/>
    </xf>
    <xf borderId="44" fillId="4" fontId="10" numFmtId="0" xfId="0" applyAlignment="1" applyBorder="1" applyFont="1">
      <alignment horizontal="center" vertical="center"/>
    </xf>
    <xf borderId="44" fillId="2" fontId="10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shrinkToFit="0" vertical="center" wrapText="1"/>
    </xf>
    <xf borderId="44" fillId="2" fontId="10" numFmtId="4" xfId="0" applyAlignment="1" applyBorder="1" applyFont="1" applyNumberFormat="1">
      <alignment horizontal="center" vertical="center"/>
    </xf>
    <xf borderId="44" fillId="0" fontId="10" numFmtId="0" xfId="0" applyAlignment="1" applyBorder="1" applyFont="1">
      <alignment horizontal="left" shrinkToFit="0" vertical="center" wrapText="1"/>
    </xf>
    <xf borderId="45" fillId="0" fontId="10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center"/>
    </xf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0" fillId="0" fontId="6" numFmtId="0" xfId="0" applyAlignment="1" applyFont="1">
      <alignment horizontal="center"/>
    </xf>
    <xf borderId="9" fillId="2" fontId="3" numFmtId="0" xfId="0" applyAlignment="1" applyBorder="1" applyFont="1">
      <alignment horizontal="center" shrinkToFit="0" vertical="center" wrapText="1"/>
    </xf>
    <xf borderId="49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50" fillId="2" fontId="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23" fillId="2" fontId="3" numFmtId="0" xfId="0" applyAlignment="1" applyBorder="1" applyFont="1">
      <alignment horizontal="center" shrinkToFit="0" vertical="center" wrapText="1"/>
    </xf>
    <xf borderId="32" fillId="2" fontId="3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0" fontId="2" numFmtId="0" xfId="0" applyBorder="1" applyFont="1"/>
    <xf borderId="32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center" vertical="center"/>
    </xf>
    <xf borderId="32" fillId="0" fontId="4" numFmtId="167" xfId="0" applyAlignment="1" applyBorder="1" applyFont="1" applyNumberFormat="1">
      <alignment horizontal="center" vertical="center"/>
    </xf>
    <xf borderId="32" fillId="0" fontId="4" numFmtId="2" xfId="0" applyAlignment="1" applyBorder="1" applyFont="1" applyNumberFormat="1">
      <alignment horizontal="center" vertical="center"/>
    </xf>
    <xf borderId="32" fillId="2" fontId="4" numFmtId="4" xfId="0" applyAlignment="1" applyBorder="1" applyFont="1" applyNumberFormat="1">
      <alignment horizontal="center" vertical="center"/>
    </xf>
    <xf borderId="53" fillId="2" fontId="4" numFmtId="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left" shrinkToFit="0" vertical="center" wrapText="1"/>
    </xf>
    <xf borderId="32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right"/>
    </xf>
    <xf borderId="0" fillId="0" fontId="4" numFmtId="2" xfId="0" applyAlignment="1" applyFont="1" applyNumberFormat="1">
      <alignment horizontal="center"/>
    </xf>
    <xf borderId="5" fillId="0" fontId="4" numFmtId="2" xfId="0" applyBorder="1" applyFont="1" applyNumberFormat="1"/>
    <xf borderId="54" fillId="2" fontId="3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23" fillId="2" fontId="14" numFmtId="0" xfId="0" applyAlignment="1" applyBorder="1" applyFont="1">
      <alignment horizontal="left" vertical="center"/>
    </xf>
    <xf borderId="12" fillId="0" fontId="14" numFmtId="2" xfId="0" applyAlignment="1" applyBorder="1" applyFont="1" applyNumberFormat="1">
      <alignment horizontal="center" vertical="center"/>
    </xf>
    <xf borderId="32" fillId="2" fontId="4" numFmtId="3" xfId="0" applyAlignment="1" applyBorder="1" applyFont="1" applyNumberFormat="1">
      <alignment horizontal="center"/>
    </xf>
    <xf borderId="53" fillId="2" fontId="4" numFmtId="4" xfId="0" applyAlignment="1" applyBorder="1" applyFont="1" applyNumberFormat="1">
      <alignment horizontal="center"/>
    </xf>
    <xf borderId="58" fillId="2" fontId="14" numFmtId="0" xfId="0" applyAlignment="1" applyBorder="1" applyFont="1">
      <alignment horizontal="center"/>
    </xf>
    <xf borderId="59" fillId="0" fontId="3" numFmtId="0" xfId="0" applyAlignment="1" applyBorder="1" applyFont="1">
      <alignment horizontal="left" vertical="center"/>
    </xf>
    <xf borderId="60" fillId="0" fontId="2" numFmtId="0" xfId="0" applyBorder="1" applyFont="1"/>
    <xf borderId="61" fillId="0" fontId="2" numFmtId="0" xfId="0" applyBorder="1" applyFont="1"/>
    <xf borderId="62" fillId="0" fontId="3" numFmtId="0" xfId="0" applyAlignment="1" applyBorder="1" applyFont="1">
      <alignment horizontal="left" vertical="center"/>
    </xf>
    <xf borderId="62" fillId="0" fontId="3" numFmtId="0" xfId="0" applyAlignment="1" applyBorder="1" applyFont="1">
      <alignment horizontal="center" vertical="center"/>
    </xf>
    <xf borderId="59" fillId="0" fontId="14" numFmtId="2" xfId="0" applyAlignment="1" applyBorder="1" applyFont="1" applyNumberFormat="1">
      <alignment horizontal="center" vertical="center"/>
    </xf>
    <xf borderId="62" fillId="2" fontId="4" numFmtId="3" xfId="0" applyAlignment="1" applyBorder="1" applyFont="1" applyNumberFormat="1">
      <alignment horizontal="center"/>
    </xf>
    <xf borderId="63" fillId="2" fontId="4" numFmtId="4" xfId="0" applyAlignment="1" applyBorder="1" applyFont="1" applyNumberFormat="1">
      <alignment horizontal="center"/>
    </xf>
    <xf borderId="0" fillId="0" fontId="13" numFmtId="0" xfId="0" applyAlignment="1" applyFont="1">
      <alignment horizontal="right"/>
    </xf>
    <xf borderId="0" fillId="0" fontId="13" numFmtId="0" xfId="0" applyFont="1"/>
    <xf borderId="9" fillId="2" fontId="4" numFmtId="0" xfId="0" applyAlignment="1" applyBorder="1" applyFont="1">
      <alignment horizontal="left" vertical="center"/>
    </xf>
    <xf borderId="14" fillId="3" fontId="15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65" fillId="3" fontId="15" numFmtId="0" xfId="0" applyAlignment="1" applyBorder="1" applyFont="1">
      <alignment horizontal="center" vertical="center"/>
    </xf>
    <xf borderId="66" fillId="3" fontId="15" numFmtId="0" xfId="0" applyAlignment="1" applyBorder="1" applyFont="1">
      <alignment horizontal="center" shrinkToFit="0" vertical="center" wrapText="1"/>
    </xf>
    <xf borderId="67" fillId="3" fontId="15" numFmtId="0" xfId="0" applyAlignment="1" applyBorder="1" applyFont="1">
      <alignment horizontal="left" shrinkToFit="0" vertical="center" wrapText="1"/>
    </xf>
    <xf borderId="65" fillId="3" fontId="15" numFmtId="0" xfId="0" applyAlignment="1" applyBorder="1" applyFont="1">
      <alignment horizontal="center" shrinkToFit="0" vertical="center" wrapText="1"/>
    </xf>
    <xf borderId="68" fillId="3" fontId="15" numFmtId="0" xfId="0" applyAlignment="1" applyBorder="1" applyFont="1">
      <alignment horizontal="center" shrinkToFit="0" vertical="center" wrapText="1"/>
    </xf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3" fontId="15" numFmtId="0" xfId="0" applyAlignment="1" applyBorder="1" applyFont="1">
      <alignment horizontal="left" shrinkToFit="0" vertical="center" wrapText="1"/>
    </xf>
    <xf borderId="73" fillId="0" fontId="2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0" fontId="16" numFmtId="0" xfId="0" applyAlignment="1" applyBorder="1" applyFont="1">
      <alignment horizontal="center"/>
    </xf>
    <xf borderId="0" fillId="0" fontId="4" numFmtId="0" xfId="0" applyFont="1"/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167" xfId="0" applyFont="1" applyNumberFormat="1"/>
    <xf borderId="7" fillId="0" fontId="4" numFmtId="0" xfId="0" applyBorder="1" applyFont="1"/>
    <xf borderId="7" fillId="0" fontId="4" numFmtId="2" xfId="0" applyAlignment="1" applyBorder="1" applyFont="1" applyNumberFormat="1">
      <alignment vertical="center"/>
    </xf>
    <xf borderId="5" fillId="0" fontId="4" numFmtId="0" xfId="0" applyBorder="1" applyFont="1"/>
    <xf borderId="4" fillId="0" fontId="4" numFmtId="0" xfId="0" applyBorder="1" applyFont="1"/>
    <xf borderId="5" fillId="0" fontId="4" numFmtId="10" xfId="0" applyBorder="1" applyFont="1" applyNumberFormat="1"/>
    <xf borderId="0" fillId="0" fontId="4" numFmtId="2" xfId="0" applyFont="1" applyNumberFormat="1"/>
    <xf borderId="0" fillId="0" fontId="16" numFmtId="0" xfId="0" applyFont="1"/>
    <xf borderId="5" fillId="0" fontId="4" numFmtId="167" xfId="0" applyBorder="1" applyFont="1" applyNumberFormat="1"/>
    <xf borderId="6" fillId="0" fontId="4" numFmtId="0" xfId="0" applyBorder="1" applyFont="1"/>
    <xf borderId="8" fillId="0" fontId="4" numFmtId="0" xfId="0" applyBorder="1" applyFont="1"/>
    <xf borderId="7" fillId="0" fontId="4" numFmtId="2" xfId="0" applyBorder="1" applyFont="1" applyNumberFormat="1"/>
    <xf borderId="0" fillId="0" fontId="4" numFmtId="0" xfId="0" applyAlignment="1" applyFont="1">
      <alignment horizontal="left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74" fillId="0" fontId="2" numFmtId="0" xfId="0" applyBorder="1" applyFont="1"/>
    <xf borderId="4" fillId="0" fontId="13" numFmtId="0" xfId="0" applyBorder="1" applyFont="1"/>
    <xf borderId="5" fillId="0" fontId="13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49" fillId="0" fontId="4" numFmtId="0" xfId="0" applyAlignment="1" applyBorder="1" applyFont="1">
      <alignment horizontal="center"/>
    </xf>
    <xf borderId="32" fillId="2" fontId="4" numFmtId="1" xfId="0" applyAlignment="1" applyBorder="1" applyFont="1" applyNumberFormat="1">
      <alignment horizontal="center" vertical="center"/>
    </xf>
    <xf borderId="32" fillId="2" fontId="4" numFmtId="2" xfId="0" applyAlignment="1" applyBorder="1" applyFont="1" applyNumberFormat="1">
      <alignment horizontal="center" vertical="center"/>
    </xf>
    <xf borderId="32" fillId="2" fontId="4" numFmtId="167" xfId="0" applyAlignment="1" applyBorder="1" applyFont="1" applyNumberFormat="1">
      <alignment horizontal="center" vertical="center"/>
    </xf>
    <xf borderId="32" fillId="2" fontId="4" numFmtId="10" xfId="0" applyAlignment="1" applyBorder="1" applyFont="1" applyNumberFormat="1">
      <alignment horizontal="center" vertical="center"/>
    </xf>
    <xf borderId="32" fillId="0" fontId="4" numFmtId="2" xfId="0" applyAlignment="1" applyBorder="1" applyFont="1" applyNumberFormat="1">
      <alignment horizontal="center"/>
    </xf>
    <xf borderId="0" fillId="0" fontId="13" numFmtId="10" xfId="0" applyFont="1" applyNumberFormat="1"/>
    <xf borderId="32" fillId="4" fontId="16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 vertical="center"/>
    </xf>
    <xf borderId="7" fillId="0" fontId="13" numFmtId="0" xfId="0" applyBorder="1" applyFont="1"/>
    <xf borderId="0" fillId="0" fontId="4" numFmtId="10" xfId="0" applyFont="1" applyNumberFormat="1"/>
    <xf borderId="7" fillId="0" fontId="16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10" fillId="0" fontId="13" numFmtId="0" xfId="0" applyBorder="1" applyFont="1"/>
    <xf borderId="32" fillId="0" fontId="3" numFmtId="0" xfId="0" applyAlignment="1" applyBorder="1" applyFont="1">
      <alignment horizontal="center"/>
    </xf>
    <xf borderId="32" fillId="2" fontId="4" numFmtId="1" xfId="0" applyAlignment="1" applyBorder="1" applyFont="1" applyNumberFormat="1">
      <alignment horizontal="center"/>
    </xf>
    <xf borderId="32" fillId="2" fontId="4" numFmtId="2" xfId="0" applyAlignment="1" applyBorder="1" applyFont="1" applyNumberFormat="1">
      <alignment horizontal="center"/>
    </xf>
    <xf borderId="32" fillId="2" fontId="4" numFmtId="10" xfId="0" applyAlignment="1" applyBorder="1" applyFont="1" applyNumberFormat="1">
      <alignment horizontal="center"/>
    </xf>
    <xf borderId="17" fillId="0" fontId="13" numFmtId="0" xfId="0" applyBorder="1" applyFont="1"/>
    <xf borderId="18" fillId="0" fontId="3" numFmtId="0" xfId="0" applyAlignment="1" applyBorder="1" applyFont="1">
      <alignment horizontal="center" vertical="center"/>
    </xf>
    <xf borderId="18" fillId="0" fontId="13" numFmtId="0" xfId="0" applyBorder="1" applyFont="1"/>
    <xf borderId="18" fillId="0" fontId="3" numFmtId="0" xfId="0" applyAlignment="1" applyBorder="1" applyFont="1">
      <alignment horizontal="center"/>
    </xf>
    <xf borderId="18" fillId="0" fontId="4" numFmtId="1" xfId="0" applyAlignment="1" applyBorder="1" applyFont="1" applyNumberFormat="1">
      <alignment horizontal="center"/>
    </xf>
    <xf borderId="18" fillId="0" fontId="4" numFmtId="2" xfId="0" applyAlignment="1" applyBorder="1" applyFont="1" applyNumberFormat="1">
      <alignment horizontal="center"/>
    </xf>
    <xf borderId="18" fillId="0" fontId="4" numFmtId="10" xfId="0" applyBorder="1" applyFont="1" applyNumberFormat="1"/>
    <xf borderId="19" fillId="0" fontId="13" numFmtId="0" xfId="0" applyBorder="1" applyFont="1"/>
  </cellXfs>
  <cellStyles count="1">
    <cellStyle xfId="0" name="Normal" builtinId="0"/>
  </cellStyles>
  <dxfs count="3">
    <dxf>
      <font>
        <i/>
        <sz val="10.0"/>
        <color rgb="FF008000"/>
      </font>
      <fill>
        <patternFill patternType="solid">
          <fgColor rgb="FFCCFFFF"/>
          <bgColor rgb="FFCCFFFF"/>
        </patternFill>
      </fill>
      <border/>
    </dxf>
    <dxf>
      <font>
        <sz val="10.0"/>
        <color rgb="FFFF6600"/>
      </font>
      <fill>
        <patternFill patternType="solid">
          <fgColor rgb="FFFFFF99"/>
          <bgColor rgb="FFFFFF99"/>
        </patternFill>
      </fill>
      <border/>
    </dxf>
    <dxf>
      <font>
        <sz val="10.0"/>
        <color rgb="FFFF6600"/>
      </font>
      <fill>
        <patternFill patternType="solid">
          <fgColor rgb="FFFFCC99"/>
          <bgColor rgb="FFFFCC9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333333"/>
                </a:solidFill>
                <a:latin typeface="Arial"/>
              </a:defRPr>
            </a:pPr>
            <a:r>
              <a:rPr b="1" i="0" sz="800">
                <a:solidFill>
                  <a:srgbClr val="333333"/>
                </a:solidFill>
                <a:latin typeface="Arial"/>
              </a:rPr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3186824586569177"/>
          <c:y val="0.125"/>
          <c:w val="0.2747262574628601"/>
          <c:h val="0.59375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333333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'Sumário 1'!$B$10</c:f>
            </c:strRef>
          </c:cat>
          <c:val>
            <c:numRef>
              <c:f>'Sumário 1'!$B$17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7863270937286686"/>
          <c:y val="0.07292800804016138"/>
        </c:manualLayout>
      </c:layout>
      <c:overlay val="0"/>
      <c:txPr>
        <a:bodyPr/>
        <a:lstStyle/>
        <a:p>
          <a:pPr lvl="0">
            <a:defRPr b="0" i="0" sz="800">
              <a:solidFill>
                <a:srgbClr val="333333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133350</xdr:rowOff>
    </xdr:from>
    <xdr:ext cx="129540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133350</xdr:rowOff>
    </xdr:from>
    <xdr:ext cx="117157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85725</xdr:rowOff>
    </xdr:from>
    <xdr:ext cx="128587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43</xdr:row>
      <xdr:rowOff>28575</xdr:rowOff>
    </xdr:from>
    <xdr:ext cx="2924175" cy="1162050"/>
    <xdr:graphicFrame>
      <xdr:nvGraphicFramePr>
        <xdr:cNvPr id="16724908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0</xdr:row>
      <xdr:rowOff>123825</xdr:rowOff>
    </xdr:from>
    <xdr:ext cx="1276350" cy="295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114300</xdr:rowOff>
    </xdr:from>
    <xdr:ext cx="120015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38"/>
    <col customWidth="1" min="2" max="2" width="2.75"/>
    <col customWidth="1" min="3" max="3" width="8.63"/>
    <col customWidth="1" min="4" max="4" width="4.63"/>
    <col customWidth="1" min="5" max="5" width="4.0"/>
    <col customWidth="1" min="6" max="6" width="4.63"/>
    <col customWidth="1" min="7" max="12" width="6.0"/>
    <col customWidth="1" min="13" max="13" width="18.38"/>
    <col customWidth="1" min="14" max="14" width="8.25"/>
    <col customWidth="1" min="15" max="15" width="11.63"/>
    <col customWidth="1" min="16" max="16" width="5.88"/>
    <col customWidth="1" min="17" max="18" width="2.75"/>
    <col customWidth="1" min="19" max="19" width="8.0"/>
    <col customWidth="1" min="20" max="22" width="2.75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.5" customHeight="1">
      <c r="A2" s="4"/>
      <c r="V2" s="5"/>
    </row>
    <row r="3" ht="13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3.5" customHeight="1">
      <c r="A4" s="9" t="s">
        <v>1</v>
      </c>
      <c r="B4" s="10"/>
      <c r="C4" s="10"/>
      <c r="D4" s="10"/>
      <c r="E4" s="11"/>
      <c r="F4" s="12" t="s">
        <v>2</v>
      </c>
      <c r="G4" s="10"/>
      <c r="H4" s="10"/>
      <c r="I4" s="10"/>
      <c r="J4" s="10"/>
      <c r="K4" s="10"/>
      <c r="L4" s="10"/>
      <c r="M4" s="10"/>
      <c r="N4" s="10"/>
      <c r="O4" s="13" t="s">
        <v>3</v>
      </c>
      <c r="P4" s="10"/>
      <c r="Q4" s="14" t="str">
        <f t="shared" ref="Q4:Q6" si="1">#REF!</f>
        <v>#REF!</v>
      </c>
      <c r="R4" s="10"/>
      <c r="S4" s="10"/>
      <c r="T4" s="10"/>
      <c r="U4" s="10"/>
      <c r="V4" s="15"/>
    </row>
    <row r="5" ht="13.5" customHeight="1">
      <c r="A5" s="9" t="s">
        <v>4</v>
      </c>
      <c r="B5" s="10"/>
      <c r="C5" s="10"/>
      <c r="D5" s="10"/>
      <c r="E5" s="11"/>
      <c r="F5" s="12" t="s">
        <v>5</v>
      </c>
      <c r="G5" s="10"/>
      <c r="H5" s="10"/>
      <c r="I5" s="10"/>
      <c r="J5" s="10"/>
      <c r="K5" s="10"/>
      <c r="L5" s="10"/>
      <c r="M5" s="10"/>
      <c r="N5" s="10"/>
      <c r="O5" s="13" t="s">
        <v>6</v>
      </c>
      <c r="P5" s="11"/>
      <c r="Q5" s="14" t="str">
        <f t="shared" si="1"/>
        <v>#REF!</v>
      </c>
      <c r="R5" s="10"/>
      <c r="S5" s="10"/>
      <c r="T5" s="10"/>
      <c r="U5" s="10"/>
      <c r="V5" s="15"/>
    </row>
    <row r="6" ht="13.5" customHeight="1">
      <c r="A6" s="9" t="s">
        <v>7</v>
      </c>
      <c r="B6" s="10"/>
      <c r="C6" s="10"/>
      <c r="D6" s="10"/>
      <c r="E6" s="11"/>
      <c r="F6" s="16" t="s">
        <v>4</v>
      </c>
      <c r="G6" s="10"/>
      <c r="H6" s="10"/>
      <c r="I6" s="10"/>
      <c r="J6" s="10"/>
      <c r="K6" s="10"/>
      <c r="L6" s="10"/>
      <c r="M6" s="10"/>
      <c r="N6" s="11"/>
      <c r="O6" s="13" t="s">
        <v>8</v>
      </c>
      <c r="P6" s="11"/>
      <c r="Q6" s="14" t="str">
        <f t="shared" si="1"/>
        <v>#REF!</v>
      </c>
      <c r="R6" s="10"/>
      <c r="S6" s="10"/>
      <c r="T6" s="10"/>
      <c r="U6" s="10"/>
      <c r="V6" s="15"/>
    </row>
    <row r="7" ht="13.5" customHeight="1">
      <c r="A7" s="9" t="s">
        <v>9</v>
      </c>
      <c r="B7" s="10"/>
      <c r="C7" s="10"/>
      <c r="D7" s="10"/>
      <c r="E7" s="11"/>
      <c r="F7" s="12" t="s">
        <v>10</v>
      </c>
      <c r="G7" s="10"/>
      <c r="H7" s="10"/>
      <c r="I7" s="10"/>
      <c r="J7" s="10"/>
      <c r="K7" s="10"/>
      <c r="L7" s="10"/>
      <c r="M7" s="10"/>
      <c r="N7" s="10"/>
      <c r="O7" s="13" t="s">
        <v>11</v>
      </c>
      <c r="P7" s="10"/>
      <c r="Q7" s="11"/>
      <c r="R7" s="12" t="s">
        <v>12</v>
      </c>
      <c r="S7" s="10"/>
      <c r="T7" s="10"/>
      <c r="U7" s="10"/>
      <c r="V7" s="15"/>
    </row>
    <row r="8" ht="13.5" customHeight="1">
      <c r="A8" s="9" t="s">
        <v>13</v>
      </c>
      <c r="B8" s="10"/>
      <c r="C8" s="10"/>
      <c r="D8" s="10"/>
      <c r="E8" s="11"/>
      <c r="F8" s="12" t="s">
        <v>5</v>
      </c>
      <c r="G8" s="10"/>
      <c r="H8" s="10"/>
      <c r="I8" s="10"/>
      <c r="J8" s="10"/>
      <c r="K8" s="10"/>
      <c r="L8" s="10"/>
      <c r="M8" s="10"/>
      <c r="N8" s="10"/>
      <c r="O8" s="13" t="s">
        <v>14</v>
      </c>
      <c r="P8" s="10"/>
      <c r="Q8" s="11"/>
      <c r="R8" s="12" t="s">
        <v>15</v>
      </c>
      <c r="S8" s="10"/>
      <c r="T8" s="10"/>
      <c r="U8" s="10"/>
      <c r="V8" s="15"/>
    </row>
    <row r="9" ht="13.5" customHeight="1">
      <c r="A9" s="9" t="s">
        <v>16</v>
      </c>
      <c r="B9" s="10"/>
      <c r="C9" s="10"/>
      <c r="D9" s="10"/>
      <c r="E9" s="11"/>
      <c r="F9" s="16" t="s">
        <v>17</v>
      </c>
      <c r="G9" s="10"/>
      <c r="H9" s="10"/>
      <c r="I9" s="10"/>
      <c r="J9" s="10"/>
      <c r="K9" s="10"/>
      <c r="L9" s="10"/>
      <c r="M9" s="10"/>
      <c r="N9" s="11"/>
      <c r="O9" s="17" t="s">
        <v>18</v>
      </c>
      <c r="P9" s="10"/>
      <c r="Q9" s="11"/>
      <c r="R9" s="18"/>
      <c r="S9" s="10"/>
      <c r="T9" s="10"/>
      <c r="U9" s="10"/>
      <c r="V9" s="15"/>
    </row>
    <row r="10" ht="13.5" customHeight="1">
      <c r="A10" s="9" t="s">
        <v>19</v>
      </c>
      <c r="B10" s="10"/>
      <c r="C10" s="10"/>
      <c r="D10" s="10"/>
      <c r="E10" s="11"/>
      <c r="F10" s="16" t="s">
        <v>17</v>
      </c>
      <c r="G10" s="10"/>
      <c r="H10" s="10"/>
      <c r="I10" s="10"/>
      <c r="J10" s="10"/>
      <c r="K10" s="10"/>
      <c r="L10" s="10"/>
      <c r="M10" s="10"/>
      <c r="N10" s="11"/>
      <c r="O10" s="17" t="s">
        <v>20</v>
      </c>
      <c r="P10" s="10"/>
      <c r="Q10" s="11"/>
      <c r="R10" s="18"/>
      <c r="S10" s="10"/>
      <c r="T10" s="10"/>
      <c r="U10" s="10"/>
      <c r="V10" s="15"/>
    </row>
    <row r="11" ht="13.5" customHeight="1">
      <c r="A11" s="19" t="s">
        <v>21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5"/>
    </row>
    <row r="12" ht="13.5" customHeight="1">
      <c r="A12" s="20" t="s">
        <v>22</v>
      </c>
      <c r="V12" s="5"/>
    </row>
    <row r="13" ht="13.5" customHeight="1">
      <c r="A13" s="4"/>
      <c r="V13" s="5"/>
    </row>
    <row r="14" ht="13.5" customHeight="1">
      <c r="A14" s="4"/>
      <c r="V14" s="5"/>
    </row>
    <row r="15" ht="90.75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13.5" customHeight="1">
      <c r="A16" s="19" t="s">
        <v>23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5"/>
    </row>
    <row r="17" ht="13.5" customHeight="1">
      <c r="A17" s="21" t="s">
        <v>24</v>
      </c>
      <c r="V17" s="5"/>
    </row>
    <row r="18" ht="13.5" customHeight="1">
      <c r="A18" s="4"/>
      <c r="V18" s="5"/>
    </row>
    <row r="19" ht="13.5" customHeight="1">
      <c r="A19" s="4"/>
      <c r="V19" s="5"/>
    </row>
    <row r="20" ht="19.5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13.5" customHeight="1">
      <c r="A21" s="19" t="s">
        <v>25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5"/>
    </row>
    <row r="22" ht="13.5" customHeight="1">
      <c r="A22" s="22" t="s">
        <v>26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4"/>
    </row>
    <row r="23" ht="13.5" customHeight="1">
      <c r="A23" s="4"/>
      <c r="V23" s="5"/>
    </row>
    <row r="24" ht="13.5" customHeight="1">
      <c r="A24" s="4"/>
      <c r="V24" s="5"/>
    </row>
    <row r="25" ht="13.5" customHeight="1">
      <c r="A25" s="4"/>
      <c r="V25" s="5"/>
    </row>
    <row r="26" ht="13.5" customHeight="1">
      <c r="A26" s="4"/>
      <c r="V26" s="5"/>
    </row>
    <row r="27" ht="13.5" customHeight="1">
      <c r="A27" s="4"/>
      <c r="V27" s="5"/>
    </row>
    <row r="28" ht="13.5" customHeight="1">
      <c r="A28" s="4"/>
      <c r="V28" s="5"/>
    </row>
    <row r="29" ht="13.5" customHeight="1">
      <c r="A29" s="4"/>
      <c r="V29" s="5"/>
    </row>
    <row r="30" ht="13.5" customHeight="1">
      <c r="A30" s="4"/>
      <c r="V30" s="5"/>
    </row>
    <row r="31" ht="13.5" customHeight="1">
      <c r="A31" s="4"/>
      <c r="V31" s="5"/>
    </row>
    <row r="32" ht="13.5" customHeight="1">
      <c r="A32" s="4"/>
      <c r="V32" s="5"/>
    </row>
    <row r="33" ht="13.5" customHeight="1">
      <c r="A33" s="4"/>
      <c r="V33" s="5"/>
    </row>
    <row r="34" ht="13.5" customHeight="1">
      <c r="A34" s="4"/>
      <c r="V34" s="5"/>
    </row>
    <row r="35" ht="13.5" customHeight="1">
      <c r="A35" s="4"/>
      <c r="V35" s="5"/>
    </row>
    <row r="36" ht="13.5" customHeight="1">
      <c r="A36" s="4"/>
      <c r="V36" s="5"/>
    </row>
    <row r="37" ht="13.5" customHeight="1">
      <c r="A37" s="4"/>
      <c r="V37" s="5"/>
    </row>
    <row r="38" ht="13.5" customHeight="1">
      <c r="A38" s="4"/>
      <c r="V38" s="5"/>
    </row>
    <row r="39" ht="13.5" customHeight="1">
      <c r="A39" s="4"/>
      <c r="V39" s="5"/>
    </row>
    <row r="40" ht="13.5" customHeight="1">
      <c r="A40" s="4"/>
      <c r="V40" s="5"/>
    </row>
    <row r="41" ht="13.5" customHeight="1">
      <c r="A41" s="4"/>
      <c r="V41" s="5"/>
    </row>
    <row r="42" ht="13.5" customHeight="1">
      <c r="A42" s="4"/>
      <c r="V42" s="5"/>
    </row>
    <row r="43" ht="13.5" customHeight="1">
      <c r="A43" s="4"/>
      <c r="V43" s="5"/>
    </row>
    <row r="44" ht="13.5" customHeight="1">
      <c r="A44" s="4"/>
      <c r="V44" s="5"/>
    </row>
    <row r="45" ht="58.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7"/>
    </row>
    <row r="46" ht="13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3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ht="13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3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3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ht="13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3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3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ht="13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3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3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ht="13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3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3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O5:P5"/>
    <mergeCell ref="Q5:V5"/>
    <mergeCell ref="A1:V3"/>
    <mergeCell ref="A4:E4"/>
    <mergeCell ref="F4:N4"/>
    <mergeCell ref="O4:P4"/>
    <mergeCell ref="Q4:V4"/>
    <mergeCell ref="A5:E5"/>
    <mergeCell ref="F5:N5"/>
    <mergeCell ref="A6:E6"/>
    <mergeCell ref="F6:N6"/>
    <mergeCell ref="O6:P6"/>
    <mergeCell ref="Q6:V6"/>
    <mergeCell ref="F7:N7"/>
    <mergeCell ref="O7:Q7"/>
    <mergeCell ref="R7:V7"/>
    <mergeCell ref="O9:Q9"/>
    <mergeCell ref="R9:V9"/>
    <mergeCell ref="A7:E7"/>
    <mergeCell ref="A8:E8"/>
    <mergeCell ref="F8:N8"/>
    <mergeCell ref="O8:Q8"/>
    <mergeCell ref="R8:V8"/>
    <mergeCell ref="A9:E9"/>
    <mergeCell ref="F9:N9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16:V16"/>
  </mergeCells>
  <dataValidations>
    <dataValidation type="list" allowBlank="1" showErrorMessage="1" sqref="F7">
      <formula1>"Detalhada (IFPUG),Estimativa (NESMA),Indicativa (NESMA)"</formula1>
    </dataValidation>
    <dataValidation type="list" allowBlank="1" showErrorMessage="1" sqref="F6">
      <formula1>"Aplicação,Projeto de Desenvolvimento,Projeto de Melhoria"</formula1>
    </dataValidation>
  </dataValidations>
  <printOptions/>
  <pageMargins bottom="0.7875" footer="0.0" header="0.0" left="0.7875" right="0.7875" top="0.7875"/>
  <pageSetup paperSize="9" scale="59" orientation="portrait"/>
  <headerFooter>
    <oddFooter>&amp;R&amp;F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8.63"/>
    <col customWidth="1" min="2" max="2" width="5.0"/>
    <col customWidth="1" min="3" max="3" width="10.38"/>
    <col customWidth="1" min="4" max="4" width="3.75"/>
    <col customWidth="1" min="5" max="5" width="6.25"/>
    <col customWidth="1" min="6" max="6" width="8.0"/>
    <col customWidth="1" hidden="1" min="7" max="7" width="3.88"/>
    <col customWidth="1" min="8" max="8" width="12.0"/>
    <col customWidth="1" hidden="1" min="9" max="9" width="4.0"/>
    <col customWidth="1" hidden="1" min="10" max="10" width="4.38"/>
    <col customWidth="1" min="11" max="11" width="12.63"/>
    <col customWidth="1" min="12" max="12" width="12.0"/>
    <col customWidth="1" min="13" max="13" width="6.88"/>
    <col customWidth="1" min="14" max="14" width="7.38"/>
    <col customWidth="1" min="15" max="15" width="37.38"/>
  </cols>
  <sheetData>
    <row r="1" ht="12.75" customHeight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75" customHeight="1">
      <c r="A2" s="4"/>
      <c r="O2" s="5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75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2.75" customHeight="1">
      <c r="A4" s="33" t="str">
        <f>Contagem!A5&amp;" : "&amp;Contagem!F5</f>
        <v>Aplicação : MANOPLA</v>
      </c>
      <c r="B4" s="34" t="str">
        <f>Contagem!A8&amp;" : "&amp;Contagem!F8</f>
        <v>Projeto : MANOPLA</v>
      </c>
      <c r="C4" s="10"/>
      <c r="D4" s="10"/>
      <c r="E4" s="10"/>
      <c r="F4" s="10"/>
      <c r="G4" s="10"/>
      <c r="H4" s="10"/>
      <c r="I4" s="10"/>
      <c r="J4" s="11"/>
      <c r="K4" s="35" t="s">
        <v>3</v>
      </c>
      <c r="L4" s="36">
        <f>SUM(H8:H807)</f>
        <v>380</v>
      </c>
      <c r="M4" s="34"/>
      <c r="N4" s="10"/>
      <c r="O4" s="15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2.75" customHeight="1">
      <c r="A5" s="33" t="str">
        <f>Contagem!A9&amp;" : "&amp;Contagem!F9</f>
        <v>Responsável : João Cleber</v>
      </c>
      <c r="B5" s="34" t="str">
        <f>Contagem!A10&amp;" : "&amp;Contagem!F10</f>
        <v>Revisor : João Cleber</v>
      </c>
      <c r="C5" s="10"/>
      <c r="D5" s="10"/>
      <c r="E5" s="10"/>
      <c r="F5" s="10"/>
      <c r="G5" s="10"/>
      <c r="H5" s="10"/>
      <c r="I5" s="10"/>
      <c r="J5" s="11"/>
      <c r="K5" s="37" t="s">
        <v>6</v>
      </c>
      <c r="L5" s="36">
        <f>SUM(K8:K807)</f>
        <v>380</v>
      </c>
      <c r="M5" s="38"/>
      <c r="N5" s="10"/>
      <c r="O5" s="15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2.75" customHeight="1">
      <c r="A6" s="39" t="str">
        <f>Contagem!A4&amp;" : "&amp;Contagem!F4</f>
        <v>Empresa : Secretaria de Estado de Planejamento e Gestão de Mato Grosso</v>
      </c>
      <c r="B6" s="40" t="str">
        <f>"Tipo da Contagem : "&amp;Contagem!F6</f>
        <v>Tipo da Contagem : Aplicação</v>
      </c>
      <c r="C6" s="41"/>
      <c r="D6" s="41"/>
      <c r="E6" s="41"/>
      <c r="F6" s="41"/>
      <c r="G6" s="41"/>
      <c r="H6" s="41"/>
      <c r="I6" s="41"/>
      <c r="J6" s="42"/>
      <c r="K6" s="43" t="s">
        <v>8</v>
      </c>
      <c r="L6" s="44">
        <f>SUM(L8:L807)</f>
        <v>380</v>
      </c>
      <c r="M6" s="34"/>
      <c r="N6" s="10"/>
      <c r="O6" s="15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3.5" customHeight="1">
      <c r="A7" s="45" t="s">
        <v>28</v>
      </c>
      <c r="B7" s="46" t="s">
        <v>29</v>
      </c>
      <c r="C7" s="46" t="s">
        <v>30</v>
      </c>
      <c r="D7" s="47" t="s">
        <v>31</v>
      </c>
      <c r="E7" s="47" t="s">
        <v>32</v>
      </c>
      <c r="F7" s="47" t="s">
        <v>33</v>
      </c>
      <c r="G7" s="48" t="s">
        <v>34</v>
      </c>
      <c r="H7" s="48" t="s">
        <v>3</v>
      </c>
      <c r="I7" s="48" t="s">
        <v>35</v>
      </c>
      <c r="J7" s="48" t="s">
        <v>36</v>
      </c>
      <c r="K7" s="48" t="s">
        <v>6</v>
      </c>
      <c r="L7" s="48" t="s">
        <v>8</v>
      </c>
      <c r="M7" s="49" t="s">
        <v>37</v>
      </c>
      <c r="N7" s="50" t="s">
        <v>38</v>
      </c>
      <c r="O7" s="51" t="s">
        <v>39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>
      <c r="A8" s="52" t="s">
        <v>40</v>
      </c>
      <c r="B8" s="53" t="s">
        <v>41</v>
      </c>
      <c r="C8" s="53" t="s">
        <v>42</v>
      </c>
      <c r="D8" s="53"/>
      <c r="E8" s="53"/>
      <c r="F8" s="54" t="str">
        <f t="shared" ref="F8:F153" si="1">IF(ISBLANK(B8),"",IF(I8="L","Baixa",IF(I8="A","Média",IF(I8="","","Alta"))))</f>
        <v>Baixa</v>
      </c>
      <c r="G8" s="55" t="str">
        <f t="shared" ref="G8:G153" si="2">CONCATENATE(B8,I8)</f>
        <v>ALIL</v>
      </c>
      <c r="H8" s="55">
        <f t="shared" ref="H8:H153" si="3">IF(ISBLANK(B8),"",IF(B8="ALI",IF(I8="L",7,IF(I8="A",10,15)),IF(B8="AIE",IF(I8="L",5,IF(I8="A",7,10)),IF(B8="SE",IF(I8="L",4,IF(I8="A",5,7)),IF(OR(B8="EE",B8="CE"),IF(I8="L",3,IF(I8="A",4,6)),0)))))</f>
        <v>7</v>
      </c>
      <c r="I8" s="54" t="str">
        <f t="shared" ref="I8:I153" si="4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>L</v>
      </c>
      <c r="J8" s="55" t="str">
        <f t="shared" ref="J8:J153" si="5">CONCATENATE(B8,C8)</f>
        <v>ALII</v>
      </c>
      <c r="K8" s="56">
        <f t="shared" ref="K8:K153" si="6">IF(OR(H8="",H8=0),L8,H8)</f>
        <v>7</v>
      </c>
      <c r="L8" s="56">
        <f>IF(NOT(ISERROR(VLOOKUP(B8,Deflatores!G$42:H$64,2,FALSE))),VLOOKUP(B8,Deflatores!G$42:H$64,2,FALSE),IF(OR(ISBLANK(C8),ISBLANK(B8)),"",VLOOKUP(C8,Deflatores!G$4:H$38,2,FALSE)*H8+VLOOKUP(C8,Deflatores!G$4:I$38,3,FALSE)))</f>
        <v>7</v>
      </c>
      <c r="M8" s="57"/>
      <c r="N8" s="58"/>
      <c r="O8" s="5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52" t="s">
        <v>43</v>
      </c>
      <c r="B9" s="53" t="s">
        <v>44</v>
      </c>
      <c r="C9" s="53" t="s">
        <v>42</v>
      </c>
      <c r="D9" s="53"/>
      <c r="E9" s="53"/>
      <c r="F9" s="54" t="str">
        <f t="shared" si="1"/>
        <v>Média</v>
      </c>
      <c r="G9" s="55" t="str">
        <f t="shared" si="2"/>
        <v>CEA</v>
      </c>
      <c r="H9" s="55">
        <f t="shared" si="3"/>
        <v>4</v>
      </c>
      <c r="I9" s="54" t="str">
        <f t="shared" si="4"/>
        <v>A</v>
      </c>
      <c r="J9" s="55" t="str">
        <f t="shared" si="5"/>
        <v>CEI</v>
      </c>
      <c r="K9" s="56">
        <f t="shared" si="6"/>
        <v>4</v>
      </c>
      <c r="L9" s="56">
        <f>IF(NOT(ISERROR(VLOOKUP(B9,Deflatores!G$42:H$64,2,FALSE))),VLOOKUP(B9,Deflatores!G$42:H$64,2,FALSE),IF(OR(ISBLANK(C9),ISBLANK(B9)),"",VLOOKUP(C9,Deflatores!G$4:H$38,2,FALSE)*H9+VLOOKUP(C9,Deflatores!G$4:I$38,3,FALSE)))</f>
        <v>4</v>
      </c>
      <c r="M9" s="57"/>
      <c r="N9" s="58"/>
      <c r="O9" s="5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52" t="s">
        <v>45</v>
      </c>
      <c r="B10" s="53" t="s">
        <v>46</v>
      </c>
      <c r="C10" s="53" t="s">
        <v>42</v>
      </c>
      <c r="D10" s="53"/>
      <c r="E10" s="53"/>
      <c r="F10" s="54" t="str">
        <f t="shared" si="1"/>
        <v>Média</v>
      </c>
      <c r="G10" s="55" t="str">
        <f t="shared" si="2"/>
        <v>EEA</v>
      </c>
      <c r="H10" s="55">
        <f t="shared" si="3"/>
        <v>4</v>
      </c>
      <c r="I10" s="54" t="str">
        <f t="shared" si="4"/>
        <v>A</v>
      </c>
      <c r="J10" s="55" t="str">
        <f t="shared" si="5"/>
        <v>EEI</v>
      </c>
      <c r="K10" s="56">
        <f t="shared" si="6"/>
        <v>4</v>
      </c>
      <c r="L10" s="56">
        <f>IF(NOT(ISERROR(VLOOKUP(B10,Deflatores!G$42:H$64,2,FALSE))),VLOOKUP(B10,Deflatores!G$42:H$64,2,FALSE),IF(OR(ISBLANK(C10),ISBLANK(B10)),"",VLOOKUP(C10,Deflatores!G$4:H$38,2,FALSE)*H10+VLOOKUP(C10,Deflatores!G$4:I$38,3,FALSE)))</f>
        <v>4</v>
      </c>
      <c r="M10" s="57"/>
      <c r="N10" s="58"/>
      <c r="O10" s="5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2.75" customHeight="1">
      <c r="A11" s="52" t="s">
        <v>47</v>
      </c>
      <c r="B11" s="53" t="s">
        <v>46</v>
      </c>
      <c r="C11" s="53" t="s">
        <v>42</v>
      </c>
      <c r="D11" s="53"/>
      <c r="E11" s="53"/>
      <c r="F11" s="54" t="str">
        <f t="shared" si="1"/>
        <v>Média</v>
      </c>
      <c r="G11" s="55" t="str">
        <f t="shared" si="2"/>
        <v>EEA</v>
      </c>
      <c r="H11" s="55">
        <f t="shared" si="3"/>
        <v>4</v>
      </c>
      <c r="I11" s="54" t="str">
        <f t="shared" si="4"/>
        <v>A</v>
      </c>
      <c r="J11" s="55" t="str">
        <f t="shared" si="5"/>
        <v>EEI</v>
      </c>
      <c r="K11" s="56">
        <f t="shared" si="6"/>
        <v>4</v>
      </c>
      <c r="L11" s="56">
        <f>IF(NOT(ISERROR(VLOOKUP(B11,Deflatores!G$42:H$64,2,FALSE))),VLOOKUP(B11,Deflatores!G$42:H$64,2,FALSE),IF(OR(ISBLANK(C11),ISBLANK(B11)),"",VLOOKUP(C11,Deflatores!G$4:H$38,2,FALSE)*H11+VLOOKUP(C11,Deflatores!G$4:I$38,3,FALSE)))</f>
        <v>4</v>
      </c>
      <c r="M11" s="57"/>
      <c r="N11" s="58"/>
      <c r="O11" s="5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2.75" customHeight="1">
      <c r="A12" s="52" t="s">
        <v>48</v>
      </c>
      <c r="B12" s="53" t="s">
        <v>46</v>
      </c>
      <c r="C12" s="53" t="s">
        <v>42</v>
      </c>
      <c r="D12" s="53"/>
      <c r="E12" s="53"/>
      <c r="F12" s="54" t="str">
        <f t="shared" si="1"/>
        <v>Média</v>
      </c>
      <c r="G12" s="55" t="str">
        <f t="shared" si="2"/>
        <v>EEA</v>
      </c>
      <c r="H12" s="55">
        <f t="shared" si="3"/>
        <v>4</v>
      </c>
      <c r="I12" s="54" t="str">
        <f t="shared" si="4"/>
        <v>A</v>
      </c>
      <c r="J12" s="55" t="str">
        <f t="shared" si="5"/>
        <v>EEI</v>
      </c>
      <c r="K12" s="56">
        <f t="shared" si="6"/>
        <v>4</v>
      </c>
      <c r="L12" s="56">
        <f>IF(NOT(ISERROR(VLOOKUP(B12,Deflatores!G$42:H$64,2,FALSE))),VLOOKUP(B12,Deflatores!G$42:H$64,2,FALSE),IF(OR(ISBLANK(C12),ISBLANK(B12)),"",VLOOKUP(C12,Deflatores!G$4:H$38,2,FALSE)*H12+VLOOKUP(C12,Deflatores!G$4:I$38,3,FALSE)))</f>
        <v>4</v>
      </c>
      <c r="M12" s="57"/>
      <c r="N12" s="58"/>
      <c r="O12" s="5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2.75" customHeight="1">
      <c r="A13" s="52" t="s">
        <v>49</v>
      </c>
      <c r="B13" s="53" t="s">
        <v>50</v>
      </c>
      <c r="C13" s="53" t="s">
        <v>42</v>
      </c>
      <c r="D13" s="53"/>
      <c r="E13" s="53"/>
      <c r="F13" s="54" t="str">
        <f t="shared" si="1"/>
        <v>Média</v>
      </c>
      <c r="G13" s="55" t="str">
        <f t="shared" si="2"/>
        <v>SEA</v>
      </c>
      <c r="H13" s="55">
        <f t="shared" si="3"/>
        <v>5</v>
      </c>
      <c r="I13" s="54" t="str">
        <f t="shared" si="4"/>
        <v>A</v>
      </c>
      <c r="J13" s="55" t="str">
        <f t="shared" si="5"/>
        <v>SEI</v>
      </c>
      <c r="K13" s="56">
        <f t="shared" si="6"/>
        <v>5</v>
      </c>
      <c r="L13" s="56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57"/>
      <c r="N13" s="58"/>
      <c r="O13" s="5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2.75" customHeight="1">
      <c r="A14" s="60" t="s">
        <v>51</v>
      </c>
      <c r="B14" s="53" t="s">
        <v>41</v>
      </c>
      <c r="C14" s="53" t="s">
        <v>42</v>
      </c>
      <c r="D14" s="53"/>
      <c r="E14" s="53"/>
      <c r="F14" s="54" t="str">
        <f t="shared" si="1"/>
        <v>Baixa</v>
      </c>
      <c r="G14" s="55" t="str">
        <f t="shared" si="2"/>
        <v>ALIL</v>
      </c>
      <c r="H14" s="55">
        <f t="shared" si="3"/>
        <v>7</v>
      </c>
      <c r="I14" s="54" t="str">
        <f t="shared" si="4"/>
        <v>L</v>
      </c>
      <c r="J14" s="55" t="str">
        <f t="shared" si="5"/>
        <v>ALII</v>
      </c>
      <c r="K14" s="56">
        <f t="shared" si="6"/>
        <v>7</v>
      </c>
      <c r="L14" s="56">
        <f>IF(NOT(ISERROR(VLOOKUP(B14,Deflatores!G$42:H$64,2,FALSE))),VLOOKUP(B14,Deflatores!G$42:H$64,2,FALSE),IF(OR(ISBLANK(C14),ISBLANK(B14)),"",VLOOKUP(C14,Deflatores!G$4:H$38,2,FALSE)*H14+VLOOKUP(C14,Deflatores!G$4:I$38,3,FALSE)))</f>
        <v>7</v>
      </c>
      <c r="M14" s="57"/>
      <c r="N14" s="58"/>
      <c r="O14" s="5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2.75" customHeight="1">
      <c r="A15" s="60" t="s">
        <v>52</v>
      </c>
      <c r="B15" s="53" t="s">
        <v>44</v>
      </c>
      <c r="C15" s="53" t="s">
        <v>42</v>
      </c>
      <c r="D15" s="53"/>
      <c r="E15" s="53"/>
      <c r="F15" s="54" t="str">
        <f t="shared" si="1"/>
        <v>Média</v>
      </c>
      <c r="G15" s="55" t="str">
        <f t="shared" si="2"/>
        <v>CEA</v>
      </c>
      <c r="H15" s="55">
        <f t="shared" si="3"/>
        <v>4</v>
      </c>
      <c r="I15" s="54" t="str">
        <f t="shared" si="4"/>
        <v>A</v>
      </c>
      <c r="J15" s="55" t="str">
        <f t="shared" si="5"/>
        <v>CEI</v>
      </c>
      <c r="K15" s="56">
        <f t="shared" si="6"/>
        <v>4</v>
      </c>
      <c r="L15" s="56">
        <f>IF(NOT(ISERROR(VLOOKUP(B15,Deflatores!G$42:H$64,2,FALSE))),VLOOKUP(B15,Deflatores!G$42:H$64,2,FALSE),IF(OR(ISBLANK(C15),ISBLANK(B15)),"",VLOOKUP(C15,Deflatores!G$4:H$38,2,FALSE)*H15+VLOOKUP(C15,Deflatores!G$4:I$38,3,FALSE)))</f>
        <v>4</v>
      </c>
      <c r="M15" s="57"/>
      <c r="N15" s="58"/>
      <c r="O15" s="5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2.75" customHeight="1">
      <c r="A16" s="60" t="s">
        <v>53</v>
      </c>
      <c r="B16" s="53" t="s">
        <v>46</v>
      </c>
      <c r="C16" s="53" t="s">
        <v>42</v>
      </c>
      <c r="D16" s="53"/>
      <c r="E16" s="53"/>
      <c r="F16" s="54" t="str">
        <f t="shared" si="1"/>
        <v>Média</v>
      </c>
      <c r="G16" s="55" t="str">
        <f t="shared" si="2"/>
        <v>EEA</v>
      </c>
      <c r="H16" s="55">
        <f t="shared" si="3"/>
        <v>4</v>
      </c>
      <c r="I16" s="54" t="str">
        <f t="shared" si="4"/>
        <v>A</v>
      </c>
      <c r="J16" s="55" t="str">
        <f t="shared" si="5"/>
        <v>EEI</v>
      </c>
      <c r="K16" s="56">
        <f t="shared" si="6"/>
        <v>4</v>
      </c>
      <c r="L16" s="56">
        <f>IF(NOT(ISERROR(VLOOKUP(B16,Deflatores!G$42:H$64,2,FALSE))),VLOOKUP(B16,Deflatores!G$42:H$64,2,FALSE),IF(OR(ISBLANK(C16),ISBLANK(B16)),"",VLOOKUP(C16,Deflatores!G$4:H$38,2,FALSE)*H16+VLOOKUP(C16,Deflatores!G$4:I$38,3,FALSE)))</f>
        <v>4</v>
      </c>
      <c r="M16" s="57"/>
      <c r="N16" s="58"/>
      <c r="O16" s="5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60" t="s">
        <v>54</v>
      </c>
      <c r="B17" s="53" t="s">
        <v>46</v>
      </c>
      <c r="C17" s="53" t="s">
        <v>42</v>
      </c>
      <c r="D17" s="53"/>
      <c r="E17" s="53"/>
      <c r="F17" s="54" t="str">
        <f t="shared" si="1"/>
        <v>Média</v>
      </c>
      <c r="G17" s="55" t="str">
        <f t="shared" si="2"/>
        <v>EEA</v>
      </c>
      <c r="H17" s="55">
        <f t="shared" si="3"/>
        <v>4</v>
      </c>
      <c r="I17" s="54" t="str">
        <f t="shared" si="4"/>
        <v>A</v>
      </c>
      <c r="J17" s="55" t="str">
        <f t="shared" si="5"/>
        <v>EEI</v>
      </c>
      <c r="K17" s="56">
        <f t="shared" si="6"/>
        <v>4</v>
      </c>
      <c r="L17" s="56">
        <f>IF(NOT(ISERROR(VLOOKUP(B17,Deflatores!G$42:H$64,2,FALSE))),VLOOKUP(B17,Deflatores!G$42:H$64,2,FALSE),IF(OR(ISBLANK(C17),ISBLANK(B17)),"",VLOOKUP(C17,Deflatores!G$4:H$38,2,FALSE)*H17+VLOOKUP(C17,Deflatores!G$4:I$38,3,FALSE)))</f>
        <v>4</v>
      </c>
      <c r="M17" s="57"/>
      <c r="N17" s="58"/>
      <c r="O17" s="5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60" t="s">
        <v>55</v>
      </c>
      <c r="B18" s="53" t="s">
        <v>46</v>
      </c>
      <c r="C18" s="53" t="s">
        <v>42</v>
      </c>
      <c r="D18" s="53"/>
      <c r="E18" s="53"/>
      <c r="F18" s="54" t="str">
        <f t="shared" si="1"/>
        <v>Média</v>
      </c>
      <c r="G18" s="55" t="str">
        <f t="shared" si="2"/>
        <v>EEA</v>
      </c>
      <c r="H18" s="55">
        <f t="shared" si="3"/>
        <v>4</v>
      </c>
      <c r="I18" s="54" t="str">
        <f t="shared" si="4"/>
        <v>A</v>
      </c>
      <c r="J18" s="55" t="str">
        <f t="shared" si="5"/>
        <v>EEI</v>
      </c>
      <c r="K18" s="56">
        <f t="shared" si="6"/>
        <v>4</v>
      </c>
      <c r="L18" s="56">
        <f>IF(NOT(ISERROR(VLOOKUP(B18,Deflatores!G$42:H$64,2,FALSE))),VLOOKUP(B18,Deflatores!G$42:H$64,2,FALSE),IF(OR(ISBLANK(C18),ISBLANK(B18)),"",VLOOKUP(C18,Deflatores!G$4:H$38,2,FALSE)*H18+VLOOKUP(C18,Deflatores!G$4:I$38,3,FALSE)))</f>
        <v>4</v>
      </c>
      <c r="M18" s="57"/>
      <c r="N18" s="58"/>
      <c r="O18" s="5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2.75" customHeight="1">
      <c r="A19" s="60" t="s">
        <v>56</v>
      </c>
      <c r="B19" s="53" t="s">
        <v>50</v>
      </c>
      <c r="C19" s="53" t="s">
        <v>42</v>
      </c>
      <c r="D19" s="53"/>
      <c r="E19" s="53"/>
      <c r="F19" s="54" t="str">
        <f t="shared" si="1"/>
        <v>Média</v>
      </c>
      <c r="G19" s="55" t="str">
        <f t="shared" si="2"/>
        <v>SEA</v>
      </c>
      <c r="H19" s="55">
        <f t="shared" si="3"/>
        <v>5</v>
      </c>
      <c r="I19" s="54" t="str">
        <f t="shared" si="4"/>
        <v>A</v>
      </c>
      <c r="J19" s="55" t="str">
        <f t="shared" si="5"/>
        <v>SEI</v>
      </c>
      <c r="K19" s="56">
        <f t="shared" si="6"/>
        <v>5</v>
      </c>
      <c r="L19" s="56">
        <f>IF(NOT(ISERROR(VLOOKUP(B19,Deflatores!G$42:H$64,2,FALSE))),VLOOKUP(B19,Deflatores!G$42:H$64,2,FALSE),IF(OR(ISBLANK(C19),ISBLANK(B19)),"",VLOOKUP(C19,Deflatores!G$4:H$38,2,FALSE)*H19+VLOOKUP(C19,Deflatores!G$4:I$38,3,FALSE)))</f>
        <v>5</v>
      </c>
      <c r="M19" s="57"/>
      <c r="N19" s="58"/>
      <c r="O19" s="5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2.75" customHeight="1">
      <c r="A20" s="52" t="s">
        <v>57</v>
      </c>
      <c r="B20" s="53" t="s">
        <v>41</v>
      </c>
      <c r="C20" s="53" t="s">
        <v>42</v>
      </c>
      <c r="D20" s="53"/>
      <c r="E20" s="53"/>
      <c r="F20" s="54" t="str">
        <f t="shared" si="1"/>
        <v>Baixa</v>
      </c>
      <c r="G20" s="55" t="str">
        <f t="shared" si="2"/>
        <v>ALIL</v>
      </c>
      <c r="H20" s="55">
        <f t="shared" si="3"/>
        <v>7</v>
      </c>
      <c r="I20" s="54" t="str">
        <f t="shared" si="4"/>
        <v>L</v>
      </c>
      <c r="J20" s="55" t="str">
        <f t="shared" si="5"/>
        <v>ALII</v>
      </c>
      <c r="K20" s="56">
        <f t="shared" si="6"/>
        <v>7</v>
      </c>
      <c r="L20" s="56">
        <f>IF(NOT(ISERROR(VLOOKUP(B20,Deflatores!G$42:H$64,2,FALSE))),VLOOKUP(B20,Deflatores!G$42:H$64,2,FALSE),IF(OR(ISBLANK(C20),ISBLANK(B20)),"",VLOOKUP(C20,Deflatores!G$4:H$38,2,FALSE)*H20+VLOOKUP(C20,Deflatores!G$4:I$38,3,FALSE)))</f>
        <v>7</v>
      </c>
      <c r="M20" s="57"/>
      <c r="N20" s="58"/>
      <c r="O20" s="5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2.75" customHeight="1">
      <c r="A21" s="52" t="s">
        <v>58</v>
      </c>
      <c r="B21" s="53" t="s">
        <v>44</v>
      </c>
      <c r="C21" s="53" t="s">
        <v>42</v>
      </c>
      <c r="D21" s="53"/>
      <c r="E21" s="53"/>
      <c r="F21" s="54" t="str">
        <f t="shared" si="1"/>
        <v>Média</v>
      </c>
      <c r="G21" s="55" t="str">
        <f t="shared" si="2"/>
        <v>CEA</v>
      </c>
      <c r="H21" s="55">
        <f t="shared" si="3"/>
        <v>4</v>
      </c>
      <c r="I21" s="54" t="str">
        <f t="shared" si="4"/>
        <v>A</v>
      </c>
      <c r="J21" s="55" t="str">
        <f t="shared" si="5"/>
        <v>CEI</v>
      </c>
      <c r="K21" s="56">
        <f t="shared" si="6"/>
        <v>4</v>
      </c>
      <c r="L21" s="56">
        <f>IF(NOT(ISERROR(VLOOKUP(B21,Deflatores!G$42:H$64,2,FALSE))),VLOOKUP(B21,Deflatores!G$42:H$64,2,FALSE),IF(OR(ISBLANK(C21),ISBLANK(B21)),"",VLOOKUP(C21,Deflatores!G$4:H$38,2,FALSE)*H21+VLOOKUP(C21,Deflatores!G$4:I$38,3,FALSE)))</f>
        <v>4</v>
      </c>
      <c r="M21" s="57"/>
      <c r="N21" s="58"/>
      <c r="O21" s="5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52" t="s">
        <v>59</v>
      </c>
      <c r="B22" s="53" t="s">
        <v>46</v>
      </c>
      <c r="C22" s="53" t="s">
        <v>42</v>
      </c>
      <c r="D22" s="53"/>
      <c r="E22" s="53"/>
      <c r="F22" s="54" t="str">
        <f t="shared" si="1"/>
        <v>Média</v>
      </c>
      <c r="G22" s="55" t="str">
        <f t="shared" si="2"/>
        <v>EEA</v>
      </c>
      <c r="H22" s="55">
        <f t="shared" si="3"/>
        <v>4</v>
      </c>
      <c r="I22" s="54" t="str">
        <f t="shared" si="4"/>
        <v>A</v>
      </c>
      <c r="J22" s="55" t="str">
        <f t="shared" si="5"/>
        <v>EEI</v>
      </c>
      <c r="K22" s="56">
        <f t="shared" si="6"/>
        <v>4</v>
      </c>
      <c r="L22" s="56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57"/>
      <c r="N22" s="58"/>
      <c r="O22" s="5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2.75" customHeight="1">
      <c r="A23" s="52" t="s">
        <v>60</v>
      </c>
      <c r="B23" s="53" t="s">
        <v>46</v>
      </c>
      <c r="C23" s="53" t="s">
        <v>42</v>
      </c>
      <c r="D23" s="53"/>
      <c r="E23" s="53"/>
      <c r="F23" s="54" t="str">
        <f t="shared" si="1"/>
        <v>Média</v>
      </c>
      <c r="G23" s="55" t="str">
        <f t="shared" si="2"/>
        <v>EEA</v>
      </c>
      <c r="H23" s="55">
        <f t="shared" si="3"/>
        <v>4</v>
      </c>
      <c r="I23" s="54" t="str">
        <f t="shared" si="4"/>
        <v>A</v>
      </c>
      <c r="J23" s="55" t="str">
        <f t="shared" si="5"/>
        <v>EEI</v>
      </c>
      <c r="K23" s="56">
        <f t="shared" si="6"/>
        <v>4</v>
      </c>
      <c r="L23" s="56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57"/>
      <c r="N23" s="58"/>
      <c r="O23" s="5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2.75" customHeight="1">
      <c r="A24" s="52" t="s">
        <v>61</v>
      </c>
      <c r="B24" s="53" t="s">
        <v>46</v>
      </c>
      <c r="C24" s="53" t="s">
        <v>42</v>
      </c>
      <c r="D24" s="53"/>
      <c r="E24" s="53"/>
      <c r="F24" s="54" t="str">
        <f t="shared" si="1"/>
        <v>Média</v>
      </c>
      <c r="G24" s="55" t="str">
        <f t="shared" si="2"/>
        <v>EEA</v>
      </c>
      <c r="H24" s="55">
        <f t="shared" si="3"/>
        <v>4</v>
      </c>
      <c r="I24" s="54" t="str">
        <f t="shared" si="4"/>
        <v>A</v>
      </c>
      <c r="J24" s="55" t="str">
        <f t="shared" si="5"/>
        <v>EEI</v>
      </c>
      <c r="K24" s="56">
        <f t="shared" si="6"/>
        <v>4</v>
      </c>
      <c r="L24" s="56">
        <f>IF(NOT(ISERROR(VLOOKUP(B24,Deflatores!G$42:H$64,2,FALSE))),VLOOKUP(B24,Deflatores!G$42:H$64,2,FALSE),IF(OR(ISBLANK(C24),ISBLANK(B24)),"",VLOOKUP(C24,Deflatores!G$4:H$38,2,FALSE)*H24+VLOOKUP(C24,Deflatores!G$4:I$38,3,FALSE)))</f>
        <v>4</v>
      </c>
      <c r="M24" s="57"/>
      <c r="N24" s="58"/>
      <c r="O24" s="5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2.75" customHeight="1">
      <c r="A25" s="52" t="s">
        <v>62</v>
      </c>
      <c r="B25" s="53" t="s">
        <v>50</v>
      </c>
      <c r="C25" s="53" t="s">
        <v>42</v>
      </c>
      <c r="D25" s="53"/>
      <c r="E25" s="53"/>
      <c r="F25" s="54" t="str">
        <f t="shared" si="1"/>
        <v>Média</v>
      </c>
      <c r="G25" s="55" t="str">
        <f t="shared" si="2"/>
        <v>SEA</v>
      </c>
      <c r="H25" s="55">
        <f t="shared" si="3"/>
        <v>5</v>
      </c>
      <c r="I25" s="54" t="str">
        <f t="shared" si="4"/>
        <v>A</v>
      </c>
      <c r="J25" s="55" t="str">
        <f t="shared" si="5"/>
        <v>SEI</v>
      </c>
      <c r="K25" s="56">
        <f t="shared" si="6"/>
        <v>5</v>
      </c>
      <c r="L25" s="56">
        <f>IF(NOT(ISERROR(VLOOKUP(B25,Deflatores!G$42:H$64,2,FALSE))),VLOOKUP(B25,Deflatores!G$42:H$64,2,FALSE),IF(OR(ISBLANK(C25),ISBLANK(B25)),"",VLOOKUP(C25,Deflatores!G$4:H$38,2,FALSE)*H25+VLOOKUP(C25,Deflatores!G$4:I$38,3,FALSE)))</f>
        <v>5</v>
      </c>
      <c r="M25" s="57"/>
      <c r="N25" s="58"/>
      <c r="O25" s="5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2.75" customHeight="1">
      <c r="A26" s="60" t="s">
        <v>63</v>
      </c>
      <c r="B26" s="53" t="s">
        <v>41</v>
      </c>
      <c r="C26" s="53" t="s">
        <v>42</v>
      </c>
      <c r="D26" s="53"/>
      <c r="E26" s="53"/>
      <c r="F26" s="54" t="str">
        <f t="shared" si="1"/>
        <v>Baixa</v>
      </c>
      <c r="G26" s="55" t="str">
        <f t="shared" si="2"/>
        <v>ALIL</v>
      </c>
      <c r="H26" s="55">
        <f t="shared" si="3"/>
        <v>7</v>
      </c>
      <c r="I26" s="54" t="str">
        <f t="shared" si="4"/>
        <v>L</v>
      </c>
      <c r="J26" s="55" t="str">
        <f t="shared" si="5"/>
        <v>ALII</v>
      </c>
      <c r="K26" s="56">
        <f t="shared" si="6"/>
        <v>7</v>
      </c>
      <c r="L26" s="56">
        <f>IF(NOT(ISERROR(VLOOKUP(B26,Deflatores!G$42:H$64,2,FALSE))),VLOOKUP(B26,Deflatores!G$42:H$64,2,FALSE),IF(OR(ISBLANK(C26),ISBLANK(B26)),"",VLOOKUP(C26,Deflatores!G$4:H$38,2,FALSE)*H26+VLOOKUP(C26,Deflatores!G$4:I$38,3,FALSE)))</f>
        <v>7</v>
      </c>
      <c r="M26" s="57"/>
      <c r="N26" s="58"/>
      <c r="O26" s="5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2.75" customHeight="1">
      <c r="A27" s="60" t="s">
        <v>64</v>
      </c>
      <c r="B27" s="53" t="s">
        <v>46</v>
      </c>
      <c r="C27" s="53" t="s">
        <v>42</v>
      </c>
      <c r="D27" s="53"/>
      <c r="E27" s="53"/>
      <c r="F27" s="54" t="str">
        <f t="shared" si="1"/>
        <v>Média</v>
      </c>
      <c r="G27" s="55" t="str">
        <f t="shared" si="2"/>
        <v>EEA</v>
      </c>
      <c r="H27" s="55">
        <f t="shared" si="3"/>
        <v>4</v>
      </c>
      <c r="I27" s="54" t="str">
        <f t="shared" si="4"/>
        <v>A</v>
      </c>
      <c r="J27" s="55" t="str">
        <f t="shared" si="5"/>
        <v>EEI</v>
      </c>
      <c r="K27" s="56">
        <f t="shared" si="6"/>
        <v>4</v>
      </c>
      <c r="L27" s="56">
        <f>IF(NOT(ISERROR(VLOOKUP(B27,Deflatores!G$42:H$64,2,FALSE))),VLOOKUP(B27,Deflatores!G$42:H$64,2,FALSE),IF(OR(ISBLANK(C27),ISBLANK(B27)),"",VLOOKUP(C27,Deflatores!G$4:H$38,2,FALSE)*H27+VLOOKUP(C27,Deflatores!G$4:I$38,3,FALSE)))</f>
        <v>4</v>
      </c>
      <c r="M27" s="57"/>
      <c r="N27" s="58"/>
      <c r="O27" s="5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75" customHeight="1">
      <c r="A28" s="60" t="s">
        <v>65</v>
      </c>
      <c r="B28" s="53" t="s">
        <v>46</v>
      </c>
      <c r="C28" s="53" t="s">
        <v>42</v>
      </c>
      <c r="D28" s="53"/>
      <c r="E28" s="53"/>
      <c r="F28" s="54" t="str">
        <f t="shared" si="1"/>
        <v>Média</v>
      </c>
      <c r="G28" s="55" t="str">
        <f t="shared" si="2"/>
        <v>EEA</v>
      </c>
      <c r="H28" s="55">
        <f t="shared" si="3"/>
        <v>4</v>
      </c>
      <c r="I28" s="54" t="str">
        <f t="shared" si="4"/>
        <v>A</v>
      </c>
      <c r="J28" s="55" t="str">
        <f t="shared" si="5"/>
        <v>EEI</v>
      </c>
      <c r="K28" s="56">
        <f t="shared" si="6"/>
        <v>4</v>
      </c>
      <c r="L28" s="56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57"/>
      <c r="N28" s="58"/>
      <c r="O28" s="5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2.75" customHeight="1">
      <c r="A29" s="60" t="s">
        <v>66</v>
      </c>
      <c r="B29" s="53" t="s">
        <v>46</v>
      </c>
      <c r="C29" s="53" t="s">
        <v>42</v>
      </c>
      <c r="D29" s="53"/>
      <c r="E29" s="53"/>
      <c r="F29" s="54" t="str">
        <f t="shared" si="1"/>
        <v>Média</v>
      </c>
      <c r="G29" s="55" t="str">
        <f t="shared" si="2"/>
        <v>EEA</v>
      </c>
      <c r="H29" s="55">
        <f t="shared" si="3"/>
        <v>4</v>
      </c>
      <c r="I29" s="54" t="str">
        <f t="shared" si="4"/>
        <v>A</v>
      </c>
      <c r="J29" s="55" t="str">
        <f t="shared" si="5"/>
        <v>EEI</v>
      </c>
      <c r="K29" s="56">
        <f t="shared" si="6"/>
        <v>4</v>
      </c>
      <c r="L29" s="56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57"/>
      <c r="N29" s="58"/>
      <c r="O29" s="5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2.75" customHeight="1">
      <c r="A30" s="52" t="s">
        <v>67</v>
      </c>
      <c r="B30" s="53" t="s">
        <v>41</v>
      </c>
      <c r="C30" s="53" t="s">
        <v>42</v>
      </c>
      <c r="D30" s="53"/>
      <c r="E30" s="53"/>
      <c r="F30" s="54" t="str">
        <f t="shared" si="1"/>
        <v>Baixa</v>
      </c>
      <c r="G30" s="55" t="str">
        <f t="shared" si="2"/>
        <v>ALIL</v>
      </c>
      <c r="H30" s="55">
        <f t="shared" si="3"/>
        <v>7</v>
      </c>
      <c r="I30" s="54" t="str">
        <f t="shared" si="4"/>
        <v>L</v>
      </c>
      <c r="J30" s="55" t="str">
        <f t="shared" si="5"/>
        <v>ALII</v>
      </c>
      <c r="K30" s="56">
        <f t="shared" si="6"/>
        <v>7</v>
      </c>
      <c r="L30" s="56">
        <f>IF(NOT(ISERROR(VLOOKUP(B30,Deflatores!G$42:H$64,2,FALSE))),VLOOKUP(B30,Deflatores!G$42:H$64,2,FALSE),IF(OR(ISBLANK(C30),ISBLANK(B30)),"",VLOOKUP(C30,Deflatores!G$4:H$38,2,FALSE)*H30+VLOOKUP(C30,Deflatores!G$4:I$38,3,FALSE)))</f>
        <v>7</v>
      </c>
      <c r="M30" s="57"/>
      <c r="N30" s="58"/>
      <c r="O30" s="5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2.75" customHeight="1">
      <c r="A31" s="52" t="s">
        <v>68</v>
      </c>
      <c r="B31" s="53" t="s">
        <v>44</v>
      </c>
      <c r="C31" s="53" t="s">
        <v>42</v>
      </c>
      <c r="D31" s="53"/>
      <c r="E31" s="53"/>
      <c r="F31" s="54" t="str">
        <f t="shared" si="1"/>
        <v>Média</v>
      </c>
      <c r="G31" s="55" t="str">
        <f t="shared" si="2"/>
        <v>CEA</v>
      </c>
      <c r="H31" s="55">
        <f t="shared" si="3"/>
        <v>4</v>
      </c>
      <c r="I31" s="54" t="str">
        <f t="shared" si="4"/>
        <v>A</v>
      </c>
      <c r="J31" s="55" t="str">
        <f t="shared" si="5"/>
        <v>CEI</v>
      </c>
      <c r="K31" s="56">
        <f t="shared" si="6"/>
        <v>4</v>
      </c>
      <c r="L31" s="56">
        <f>IF(NOT(ISERROR(VLOOKUP(B31,Deflatores!G$42:H$64,2,FALSE))),VLOOKUP(B31,Deflatores!G$42:H$64,2,FALSE),IF(OR(ISBLANK(C31),ISBLANK(B31)),"",VLOOKUP(C31,Deflatores!G$4:H$38,2,FALSE)*H31+VLOOKUP(C31,Deflatores!G$4:I$38,3,FALSE)))</f>
        <v>4</v>
      </c>
      <c r="M31" s="57"/>
      <c r="N31" s="58"/>
      <c r="O31" s="5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2.75" customHeight="1">
      <c r="A32" s="52" t="s">
        <v>69</v>
      </c>
      <c r="B32" s="53" t="s">
        <v>46</v>
      </c>
      <c r="C32" s="53" t="s">
        <v>42</v>
      </c>
      <c r="D32" s="53"/>
      <c r="E32" s="53"/>
      <c r="F32" s="54" t="str">
        <f t="shared" si="1"/>
        <v>Média</v>
      </c>
      <c r="G32" s="55" t="str">
        <f t="shared" si="2"/>
        <v>EEA</v>
      </c>
      <c r="H32" s="55">
        <f t="shared" si="3"/>
        <v>4</v>
      </c>
      <c r="I32" s="54" t="str">
        <f t="shared" si="4"/>
        <v>A</v>
      </c>
      <c r="J32" s="55" t="str">
        <f t="shared" si="5"/>
        <v>EEI</v>
      </c>
      <c r="K32" s="56">
        <f t="shared" si="6"/>
        <v>4</v>
      </c>
      <c r="L32" s="56">
        <f>IF(NOT(ISERROR(VLOOKUP(B32,Deflatores!G$42:H$64,2,FALSE))),VLOOKUP(B32,Deflatores!G$42:H$64,2,FALSE),IF(OR(ISBLANK(C32),ISBLANK(B32)),"",VLOOKUP(C32,Deflatores!G$4:H$38,2,FALSE)*H32+VLOOKUP(C32,Deflatores!G$4:I$38,3,FALSE)))</f>
        <v>4</v>
      </c>
      <c r="M32" s="57"/>
      <c r="N32" s="58"/>
      <c r="O32" s="5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2.75" customHeight="1">
      <c r="A33" s="52" t="s">
        <v>70</v>
      </c>
      <c r="B33" s="53" t="s">
        <v>50</v>
      </c>
      <c r="C33" s="53" t="s">
        <v>42</v>
      </c>
      <c r="D33" s="53"/>
      <c r="E33" s="53"/>
      <c r="F33" s="54" t="str">
        <f t="shared" si="1"/>
        <v>Média</v>
      </c>
      <c r="G33" s="55" t="str">
        <f t="shared" si="2"/>
        <v>SEA</v>
      </c>
      <c r="H33" s="55">
        <f t="shared" si="3"/>
        <v>5</v>
      </c>
      <c r="I33" s="54" t="str">
        <f t="shared" si="4"/>
        <v>A</v>
      </c>
      <c r="J33" s="55" t="str">
        <f t="shared" si="5"/>
        <v>SEI</v>
      </c>
      <c r="K33" s="56">
        <f t="shared" si="6"/>
        <v>5</v>
      </c>
      <c r="L33" s="56">
        <f>IF(NOT(ISERROR(VLOOKUP(B33,Deflatores!G$42:H$64,2,FALSE))),VLOOKUP(B33,Deflatores!G$42:H$64,2,FALSE),IF(OR(ISBLANK(C33),ISBLANK(B33)),"",VLOOKUP(C33,Deflatores!G$4:H$38,2,FALSE)*H33+VLOOKUP(C33,Deflatores!G$4:I$38,3,FALSE)))</f>
        <v>5</v>
      </c>
      <c r="M33" s="57"/>
      <c r="N33" s="58"/>
      <c r="O33" s="5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2.75" customHeight="1">
      <c r="A34" s="60" t="s">
        <v>71</v>
      </c>
      <c r="B34" s="53" t="s">
        <v>41</v>
      </c>
      <c r="C34" s="53" t="s">
        <v>42</v>
      </c>
      <c r="D34" s="53"/>
      <c r="E34" s="53"/>
      <c r="F34" s="54" t="str">
        <f t="shared" si="1"/>
        <v>Baixa</v>
      </c>
      <c r="G34" s="55" t="str">
        <f t="shared" si="2"/>
        <v>ALIL</v>
      </c>
      <c r="H34" s="55">
        <f t="shared" si="3"/>
        <v>7</v>
      </c>
      <c r="I34" s="54" t="str">
        <f t="shared" si="4"/>
        <v>L</v>
      </c>
      <c r="J34" s="55" t="str">
        <f t="shared" si="5"/>
        <v>ALII</v>
      </c>
      <c r="K34" s="56">
        <f t="shared" si="6"/>
        <v>7</v>
      </c>
      <c r="L34" s="56">
        <f>IF(NOT(ISERROR(VLOOKUP(B34,Deflatores!G$42:H$64,2,FALSE))),VLOOKUP(B34,Deflatores!G$42:H$64,2,FALSE),IF(OR(ISBLANK(C34),ISBLANK(B34)),"",VLOOKUP(C34,Deflatores!G$4:H$38,2,FALSE)*H34+VLOOKUP(C34,Deflatores!G$4:I$38,3,FALSE)))</f>
        <v>7</v>
      </c>
      <c r="M34" s="57"/>
      <c r="N34" s="58"/>
      <c r="O34" s="5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2.75" customHeight="1">
      <c r="A35" s="60" t="s">
        <v>72</v>
      </c>
      <c r="B35" s="53" t="s">
        <v>44</v>
      </c>
      <c r="C35" s="53" t="s">
        <v>42</v>
      </c>
      <c r="D35" s="53"/>
      <c r="E35" s="53"/>
      <c r="F35" s="54" t="str">
        <f t="shared" si="1"/>
        <v>Média</v>
      </c>
      <c r="G35" s="55" t="str">
        <f t="shared" si="2"/>
        <v>CEA</v>
      </c>
      <c r="H35" s="55">
        <f t="shared" si="3"/>
        <v>4</v>
      </c>
      <c r="I35" s="54" t="str">
        <f t="shared" si="4"/>
        <v>A</v>
      </c>
      <c r="J35" s="55" t="str">
        <f t="shared" si="5"/>
        <v>CEI</v>
      </c>
      <c r="K35" s="56">
        <f t="shared" si="6"/>
        <v>4</v>
      </c>
      <c r="L35" s="56">
        <f>IF(NOT(ISERROR(VLOOKUP(B35,Deflatores!G$42:H$64,2,FALSE))),VLOOKUP(B35,Deflatores!G$42:H$64,2,FALSE),IF(OR(ISBLANK(C35),ISBLANK(B35)),"",VLOOKUP(C35,Deflatores!G$4:H$38,2,FALSE)*H35+VLOOKUP(C35,Deflatores!G$4:I$38,3,FALSE)))</f>
        <v>4</v>
      </c>
      <c r="M35" s="57"/>
      <c r="N35" s="58"/>
      <c r="O35" s="5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60" t="s">
        <v>73</v>
      </c>
      <c r="B36" s="53" t="s">
        <v>46</v>
      </c>
      <c r="C36" s="53" t="s">
        <v>42</v>
      </c>
      <c r="D36" s="53"/>
      <c r="E36" s="53"/>
      <c r="F36" s="54" t="str">
        <f t="shared" si="1"/>
        <v>Média</v>
      </c>
      <c r="G36" s="55" t="str">
        <f t="shared" si="2"/>
        <v>EEA</v>
      </c>
      <c r="H36" s="55">
        <f t="shared" si="3"/>
        <v>4</v>
      </c>
      <c r="I36" s="54" t="str">
        <f t="shared" si="4"/>
        <v>A</v>
      </c>
      <c r="J36" s="55" t="str">
        <f t="shared" si="5"/>
        <v>EEI</v>
      </c>
      <c r="K36" s="56">
        <f t="shared" si="6"/>
        <v>4</v>
      </c>
      <c r="L36" s="56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57"/>
      <c r="N36" s="58"/>
      <c r="O36" s="5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2.75" customHeight="1">
      <c r="A37" s="52" t="s">
        <v>74</v>
      </c>
      <c r="B37" s="53" t="s">
        <v>41</v>
      </c>
      <c r="C37" s="53" t="s">
        <v>42</v>
      </c>
      <c r="D37" s="53"/>
      <c r="E37" s="53"/>
      <c r="F37" s="54" t="str">
        <f t="shared" si="1"/>
        <v>Baixa</v>
      </c>
      <c r="G37" s="55" t="str">
        <f t="shared" si="2"/>
        <v>ALIL</v>
      </c>
      <c r="H37" s="55">
        <f t="shared" si="3"/>
        <v>7</v>
      </c>
      <c r="I37" s="54" t="str">
        <f t="shared" si="4"/>
        <v>L</v>
      </c>
      <c r="J37" s="55" t="str">
        <f t="shared" si="5"/>
        <v>ALII</v>
      </c>
      <c r="K37" s="56">
        <f t="shared" si="6"/>
        <v>7</v>
      </c>
      <c r="L37" s="56">
        <f>IF(NOT(ISERROR(VLOOKUP(B37,Deflatores!G$42:H$64,2,FALSE))),VLOOKUP(B37,Deflatores!G$42:H$64,2,FALSE),IF(OR(ISBLANK(C37),ISBLANK(B37)),"",VLOOKUP(C37,Deflatores!G$4:H$38,2,FALSE)*H37+VLOOKUP(C37,Deflatores!G$4:I$38,3,FALSE)))</f>
        <v>7</v>
      </c>
      <c r="M37" s="57"/>
      <c r="N37" s="58"/>
      <c r="O37" s="5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75" customHeight="1">
      <c r="A38" s="52" t="s">
        <v>75</v>
      </c>
      <c r="B38" s="53" t="s">
        <v>44</v>
      </c>
      <c r="C38" s="53" t="s">
        <v>42</v>
      </c>
      <c r="D38" s="53"/>
      <c r="E38" s="53"/>
      <c r="F38" s="54" t="str">
        <f t="shared" si="1"/>
        <v>Média</v>
      </c>
      <c r="G38" s="55" t="str">
        <f t="shared" si="2"/>
        <v>CEA</v>
      </c>
      <c r="H38" s="55">
        <f t="shared" si="3"/>
        <v>4</v>
      </c>
      <c r="I38" s="54" t="str">
        <f t="shared" si="4"/>
        <v>A</v>
      </c>
      <c r="J38" s="55" t="str">
        <f t="shared" si="5"/>
        <v>CEI</v>
      </c>
      <c r="K38" s="56">
        <f t="shared" si="6"/>
        <v>4</v>
      </c>
      <c r="L38" s="56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57"/>
      <c r="N38" s="58"/>
      <c r="O38" s="5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52" t="s">
        <v>76</v>
      </c>
      <c r="B39" s="53" t="s">
        <v>46</v>
      </c>
      <c r="C39" s="53" t="s">
        <v>42</v>
      </c>
      <c r="D39" s="53"/>
      <c r="E39" s="53"/>
      <c r="F39" s="54" t="str">
        <f t="shared" si="1"/>
        <v>Média</v>
      </c>
      <c r="G39" s="55" t="str">
        <f t="shared" si="2"/>
        <v>EEA</v>
      </c>
      <c r="H39" s="55">
        <f t="shared" si="3"/>
        <v>4</v>
      </c>
      <c r="I39" s="54" t="str">
        <f t="shared" si="4"/>
        <v>A</v>
      </c>
      <c r="J39" s="55" t="str">
        <f t="shared" si="5"/>
        <v>EEI</v>
      </c>
      <c r="K39" s="56">
        <f t="shared" si="6"/>
        <v>4</v>
      </c>
      <c r="L39" s="56">
        <f>IF(NOT(ISERROR(VLOOKUP(B39,Deflatores!G$42:H$64,2,FALSE))),VLOOKUP(B39,Deflatores!G$42:H$64,2,FALSE),IF(OR(ISBLANK(C39),ISBLANK(B39)),"",VLOOKUP(C39,Deflatores!G$4:H$38,2,FALSE)*H39+VLOOKUP(C39,Deflatores!G$4:I$38,3,FALSE)))</f>
        <v>4</v>
      </c>
      <c r="M39" s="57"/>
      <c r="N39" s="58"/>
      <c r="O39" s="5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75" customHeight="1">
      <c r="A40" s="52" t="s">
        <v>77</v>
      </c>
      <c r="B40" s="53" t="s">
        <v>46</v>
      </c>
      <c r="C40" s="53" t="s">
        <v>42</v>
      </c>
      <c r="D40" s="53"/>
      <c r="E40" s="53"/>
      <c r="F40" s="54" t="str">
        <f t="shared" si="1"/>
        <v>Média</v>
      </c>
      <c r="G40" s="55" t="str">
        <f t="shared" si="2"/>
        <v>EEA</v>
      </c>
      <c r="H40" s="55">
        <f t="shared" si="3"/>
        <v>4</v>
      </c>
      <c r="I40" s="54" t="str">
        <f t="shared" si="4"/>
        <v>A</v>
      </c>
      <c r="J40" s="55" t="str">
        <f t="shared" si="5"/>
        <v>EEI</v>
      </c>
      <c r="K40" s="56">
        <f t="shared" si="6"/>
        <v>4</v>
      </c>
      <c r="L40" s="56">
        <f>IF(NOT(ISERROR(VLOOKUP(B40,Deflatores!G$42:H$64,2,FALSE))),VLOOKUP(B40,Deflatores!G$42:H$64,2,FALSE),IF(OR(ISBLANK(C40),ISBLANK(B40)),"",VLOOKUP(C40,Deflatores!G$4:H$38,2,FALSE)*H40+VLOOKUP(C40,Deflatores!G$4:I$38,3,FALSE)))</f>
        <v>4</v>
      </c>
      <c r="M40" s="57"/>
      <c r="N40" s="58"/>
      <c r="O40" s="5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2.75" customHeight="1">
      <c r="A41" s="60" t="s">
        <v>78</v>
      </c>
      <c r="B41" s="53" t="s">
        <v>41</v>
      </c>
      <c r="C41" s="53" t="s">
        <v>42</v>
      </c>
      <c r="D41" s="53"/>
      <c r="E41" s="53"/>
      <c r="F41" s="54" t="str">
        <f t="shared" si="1"/>
        <v>Baixa</v>
      </c>
      <c r="G41" s="55" t="str">
        <f t="shared" si="2"/>
        <v>ALIL</v>
      </c>
      <c r="H41" s="55">
        <f t="shared" si="3"/>
        <v>7</v>
      </c>
      <c r="I41" s="54" t="str">
        <f t="shared" si="4"/>
        <v>L</v>
      </c>
      <c r="J41" s="55" t="str">
        <f t="shared" si="5"/>
        <v>ALII</v>
      </c>
      <c r="K41" s="56">
        <f t="shared" si="6"/>
        <v>7</v>
      </c>
      <c r="L41" s="56">
        <f>IF(NOT(ISERROR(VLOOKUP(B41,Deflatores!G$42:H$64,2,FALSE))),VLOOKUP(B41,Deflatores!G$42:H$64,2,FALSE),IF(OR(ISBLANK(C41),ISBLANK(B41)),"",VLOOKUP(C41,Deflatores!G$4:H$38,2,FALSE)*H41+VLOOKUP(C41,Deflatores!G$4:I$38,3,FALSE)))</f>
        <v>7</v>
      </c>
      <c r="M41" s="57"/>
      <c r="N41" s="58"/>
      <c r="O41" s="5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2.75" customHeight="1">
      <c r="A42" s="60" t="s">
        <v>79</v>
      </c>
      <c r="B42" s="53" t="s">
        <v>44</v>
      </c>
      <c r="C42" s="53" t="s">
        <v>42</v>
      </c>
      <c r="D42" s="53"/>
      <c r="E42" s="53"/>
      <c r="F42" s="54" t="str">
        <f t="shared" si="1"/>
        <v>Média</v>
      </c>
      <c r="G42" s="55" t="str">
        <f t="shared" si="2"/>
        <v>CEA</v>
      </c>
      <c r="H42" s="55">
        <f t="shared" si="3"/>
        <v>4</v>
      </c>
      <c r="I42" s="54" t="str">
        <f t="shared" si="4"/>
        <v>A</v>
      </c>
      <c r="J42" s="55" t="str">
        <f t="shared" si="5"/>
        <v>CEI</v>
      </c>
      <c r="K42" s="56">
        <f t="shared" si="6"/>
        <v>4</v>
      </c>
      <c r="L42" s="56">
        <f>IF(NOT(ISERROR(VLOOKUP(B42,Deflatores!G$42:H$64,2,FALSE))),VLOOKUP(B42,Deflatores!G$42:H$64,2,FALSE),IF(OR(ISBLANK(C42),ISBLANK(B42)),"",VLOOKUP(C42,Deflatores!G$4:H$38,2,FALSE)*H42+VLOOKUP(C42,Deflatores!G$4:I$38,3,FALSE)))</f>
        <v>4</v>
      </c>
      <c r="M42" s="57"/>
      <c r="N42" s="58"/>
      <c r="O42" s="5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75" customHeight="1">
      <c r="A43" s="60" t="s">
        <v>80</v>
      </c>
      <c r="B43" s="53" t="s">
        <v>46</v>
      </c>
      <c r="C43" s="53" t="s">
        <v>42</v>
      </c>
      <c r="D43" s="53"/>
      <c r="E43" s="53"/>
      <c r="F43" s="54" t="str">
        <f t="shared" si="1"/>
        <v>Média</v>
      </c>
      <c r="G43" s="55" t="str">
        <f t="shared" si="2"/>
        <v>EEA</v>
      </c>
      <c r="H43" s="55">
        <f t="shared" si="3"/>
        <v>4</v>
      </c>
      <c r="I43" s="54" t="str">
        <f t="shared" si="4"/>
        <v>A</v>
      </c>
      <c r="J43" s="55" t="str">
        <f t="shared" si="5"/>
        <v>EEI</v>
      </c>
      <c r="K43" s="56">
        <f t="shared" si="6"/>
        <v>4</v>
      </c>
      <c r="L43" s="56">
        <f>IF(NOT(ISERROR(VLOOKUP(B43,Deflatores!G$42:H$64,2,FALSE))),VLOOKUP(B43,Deflatores!G$42:H$64,2,FALSE),IF(OR(ISBLANK(C43),ISBLANK(B43)),"",VLOOKUP(C43,Deflatores!G$4:H$38,2,FALSE)*H43+VLOOKUP(C43,Deflatores!G$4:I$38,3,FALSE)))</f>
        <v>4</v>
      </c>
      <c r="M43" s="57"/>
      <c r="N43" s="58"/>
      <c r="O43" s="5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2.75" customHeight="1">
      <c r="A44" s="60" t="s">
        <v>81</v>
      </c>
      <c r="B44" s="53" t="s">
        <v>46</v>
      </c>
      <c r="C44" s="53" t="s">
        <v>42</v>
      </c>
      <c r="D44" s="53"/>
      <c r="E44" s="53"/>
      <c r="F44" s="54" t="str">
        <f t="shared" si="1"/>
        <v>Média</v>
      </c>
      <c r="G44" s="55" t="str">
        <f t="shared" si="2"/>
        <v>EEA</v>
      </c>
      <c r="H44" s="55">
        <f t="shared" si="3"/>
        <v>4</v>
      </c>
      <c r="I44" s="54" t="str">
        <f t="shared" si="4"/>
        <v>A</v>
      </c>
      <c r="J44" s="55" t="str">
        <f t="shared" si="5"/>
        <v>EEI</v>
      </c>
      <c r="K44" s="56">
        <f t="shared" si="6"/>
        <v>4</v>
      </c>
      <c r="L44" s="56">
        <f>IF(NOT(ISERROR(VLOOKUP(B44,Deflatores!G$42:H$64,2,FALSE))),VLOOKUP(B44,Deflatores!G$42:H$64,2,FALSE),IF(OR(ISBLANK(C44),ISBLANK(B44)),"",VLOOKUP(C44,Deflatores!G$4:H$38,2,FALSE)*H44+VLOOKUP(C44,Deflatores!G$4:I$38,3,FALSE)))</f>
        <v>4</v>
      </c>
      <c r="M44" s="57"/>
      <c r="N44" s="58"/>
      <c r="O44" s="5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2.75" customHeight="1">
      <c r="A45" s="60" t="s">
        <v>82</v>
      </c>
      <c r="B45" s="53" t="s">
        <v>46</v>
      </c>
      <c r="C45" s="53" t="s">
        <v>42</v>
      </c>
      <c r="D45" s="53"/>
      <c r="E45" s="53"/>
      <c r="F45" s="54" t="str">
        <f t="shared" si="1"/>
        <v>Média</v>
      </c>
      <c r="G45" s="55" t="str">
        <f t="shared" si="2"/>
        <v>EEA</v>
      </c>
      <c r="H45" s="55">
        <f t="shared" si="3"/>
        <v>4</v>
      </c>
      <c r="I45" s="54" t="str">
        <f t="shared" si="4"/>
        <v>A</v>
      </c>
      <c r="J45" s="55" t="str">
        <f t="shared" si="5"/>
        <v>EEI</v>
      </c>
      <c r="K45" s="56">
        <f t="shared" si="6"/>
        <v>4</v>
      </c>
      <c r="L45" s="56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57"/>
      <c r="N45" s="58"/>
      <c r="O45" s="5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60" t="s">
        <v>83</v>
      </c>
      <c r="B46" s="53" t="s">
        <v>50</v>
      </c>
      <c r="C46" s="53" t="s">
        <v>42</v>
      </c>
      <c r="D46" s="53"/>
      <c r="E46" s="53"/>
      <c r="F46" s="54" t="str">
        <f t="shared" si="1"/>
        <v>Média</v>
      </c>
      <c r="G46" s="55" t="str">
        <f t="shared" si="2"/>
        <v>SEA</v>
      </c>
      <c r="H46" s="55">
        <f t="shared" si="3"/>
        <v>5</v>
      </c>
      <c r="I46" s="54" t="str">
        <f t="shared" si="4"/>
        <v>A</v>
      </c>
      <c r="J46" s="55" t="str">
        <f t="shared" si="5"/>
        <v>SEI</v>
      </c>
      <c r="K46" s="56">
        <f t="shared" si="6"/>
        <v>5</v>
      </c>
      <c r="L46" s="56">
        <f>IF(NOT(ISERROR(VLOOKUP(B46,Deflatores!G$42:H$64,2,FALSE))),VLOOKUP(B46,Deflatores!G$42:H$64,2,FALSE),IF(OR(ISBLANK(C46),ISBLANK(B46)),"",VLOOKUP(C46,Deflatores!G$4:H$38,2,FALSE)*H46+VLOOKUP(C46,Deflatores!G$4:I$38,3,FALSE)))</f>
        <v>5</v>
      </c>
      <c r="M46" s="57"/>
      <c r="N46" s="58"/>
      <c r="O46" s="5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61" t="s">
        <v>84</v>
      </c>
      <c r="B47" s="53" t="s">
        <v>41</v>
      </c>
      <c r="C47" s="53" t="s">
        <v>42</v>
      </c>
      <c r="D47" s="53"/>
      <c r="E47" s="53"/>
      <c r="F47" s="54" t="str">
        <f t="shared" si="1"/>
        <v>Baixa</v>
      </c>
      <c r="G47" s="55" t="str">
        <f t="shared" si="2"/>
        <v>ALIL</v>
      </c>
      <c r="H47" s="55">
        <f t="shared" si="3"/>
        <v>7</v>
      </c>
      <c r="I47" s="54" t="str">
        <f t="shared" si="4"/>
        <v>L</v>
      </c>
      <c r="J47" s="55" t="str">
        <f t="shared" si="5"/>
        <v>ALII</v>
      </c>
      <c r="K47" s="56">
        <f t="shared" si="6"/>
        <v>7</v>
      </c>
      <c r="L47" s="56">
        <f>IF(NOT(ISERROR(VLOOKUP(B47,Deflatores!G$42:H$64,2,FALSE))),VLOOKUP(B47,Deflatores!G$42:H$64,2,FALSE),IF(OR(ISBLANK(C47),ISBLANK(B47)),"",VLOOKUP(C47,Deflatores!G$4:H$38,2,FALSE)*H47+VLOOKUP(C47,Deflatores!G$4:I$38,3,FALSE)))</f>
        <v>7</v>
      </c>
      <c r="M47" s="57"/>
      <c r="N47" s="58"/>
      <c r="O47" s="5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61" t="s">
        <v>85</v>
      </c>
      <c r="B48" s="53" t="s">
        <v>44</v>
      </c>
      <c r="C48" s="53" t="s">
        <v>42</v>
      </c>
      <c r="D48" s="53"/>
      <c r="E48" s="53"/>
      <c r="F48" s="54" t="str">
        <f t="shared" si="1"/>
        <v>Média</v>
      </c>
      <c r="G48" s="55" t="str">
        <f t="shared" si="2"/>
        <v>CEA</v>
      </c>
      <c r="H48" s="55">
        <f t="shared" si="3"/>
        <v>4</v>
      </c>
      <c r="I48" s="54" t="str">
        <f t="shared" si="4"/>
        <v>A</v>
      </c>
      <c r="J48" s="55" t="str">
        <f t="shared" si="5"/>
        <v>CEI</v>
      </c>
      <c r="K48" s="56">
        <f t="shared" si="6"/>
        <v>4</v>
      </c>
      <c r="L48" s="56">
        <f>IF(NOT(ISERROR(VLOOKUP(B48,Deflatores!G$42:H$64,2,FALSE))),VLOOKUP(B48,Deflatores!G$42:H$64,2,FALSE),IF(OR(ISBLANK(C48),ISBLANK(B48)),"",VLOOKUP(C48,Deflatores!G$4:H$38,2,FALSE)*H48+VLOOKUP(C48,Deflatores!G$4:I$38,3,FALSE)))</f>
        <v>4</v>
      </c>
      <c r="M48" s="57"/>
      <c r="N48" s="58"/>
      <c r="O48" s="5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61" t="s">
        <v>86</v>
      </c>
      <c r="B49" s="53" t="s">
        <v>46</v>
      </c>
      <c r="C49" s="53" t="s">
        <v>42</v>
      </c>
      <c r="D49" s="53"/>
      <c r="E49" s="53"/>
      <c r="F49" s="54" t="str">
        <f t="shared" si="1"/>
        <v>Média</v>
      </c>
      <c r="G49" s="55" t="str">
        <f t="shared" si="2"/>
        <v>EEA</v>
      </c>
      <c r="H49" s="55">
        <f t="shared" si="3"/>
        <v>4</v>
      </c>
      <c r="I49" s="54" t="str">
        <f t="shared" si="4"/>
        <v>A</v>
      </c>
      <c r="J49" s="55" t="str">
        <f t="shared" si="5"/>
        <v>EEI</v>
      </c>
      <c r="K49" s="56">
        <f t="shared" si="6"/>
        <v>4</v>
      </c>
      <c r="L49" s="56">
        <f>IF(NOT(ISERROR(VLOOKUP(B49,Deflatores!G$42:H$64,2,FALSE))),VLOOKUP(B49,Deflatores!G$42:H$64,2,FALSE),IF(OR(ISBLANK(C49),ISBLANK(B49)),"",VLOOKUP(C49,Deflatores!G$4:H$38,2,FALSE)*H49+VLOOKUP(C49,Deflatores!G$4:I$38,3,FALSE)))</f>
        <v>4</v>
      </c>
      <c r="M49" s="57"/>
      <c r="N49" s="58"/>
      <c r="O49" s="5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61" t="s">
        <v>87</v>
      </c>
      <c r="B50" s="53" t="s">
        <v>46</v>
      </c>
      <c r="C50" s="53" t="s">
        <v>42</v>
      </c>
      <c r="D50" s="53"/>
      <c r="E50" s="53"/>
      <c r="F50" s="54" t="str">
        <f t="shared" si="1"/>
        <v>Média</v>
      </c>
      <c r="G50" s="55" t="str">
        <f t="shared" si="2"/>
        <v>EEA</v>
      </c>
      <c r="H50" s="55">
        <f t="shared" si="3"/>
        <v>4</v>
      </c>
      <c r="I50" s="54" t="str">
        <f t="shared" si="4"/>
        <v>A</v>
      </c>
      <c r="J50" s="55" t="str">
        <f t="shared" si="5"/>
        <v>EEI</v>
      </c>
      <c r="K50" s="56">
        <f t="shared" si="6"/>
        <v>4</v>
      </c>
      <c r="L50" s="56">
        <f>IF(NOT(ISERROR(VLOOKUP(B50,Deflatores!G$42:H$64,2,FALSE))),VLOOKUP(B50,Deflatores!G$42:H$64,2,FALSE),IF(OR(ISBLANK(C50),ISBLANK(B50)),"",VLOOKUP(C50,Deflatores!G$4:H$38,2,FALSE)*H50+VLOOKUP(C50,Deflatores!G$4:I$38,3,FALSE)))</f>
        <v>4</v>
      </c>
      <c r="M50" s="57"/>
      <c r="N50" s="58"/>
      <c r="O50" s="5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61" t="s">
        <v>88</v>
      </c>
      <c r="B51" s="53" t="s">
        <v>46</v>
      </c>
      <c r="C51" s="53" t="s">
        <v>42</v>
      </c>
      <c r="D51" s="53"/>
      <c r="E51" s="53"/>
      <c r="F51" s="54" t="str">
        <f t="shared" si="1"/>
        <v>Média</v>
      </c>
      <c r="G51" s="55" t="str">
        <f t="shared" si="2"/>
        <v>EEA</v>
      </c>
      <c r="H51" s="55">
        <f t="shared" si="3"/>
        <v>4</v>
      </c>
      <c r="I51" s="54" t="str">
        <f t="shared" si="4"/>
        <v>A</v>
      </c>
      <c r="J51" s="55" t="str">
        <f t="shared" si="5"/>
        <v>EEI</v>
      </c>
      <c r="K51" s="56">
        <f t="shared" si="6"/>
        <v>4</v>
      </c>
      <c r="L51" s="56">
        <f>IF(NOT(ISERROR(VLOOKUP(B51,Deflatores!G$42:H$64,2,FALSE))),VLOOKUP(B51,Deflatores!G$42:H$64,2,FALSE),IF(OR(ISBLANK(C51),ISBLANK(B51)),"",VLOOKUP(C51,Deflatores!G$4:H$38,2,FALSE)*H51+VLOOKUP(C51,Deflatores!G$4:I$38,3,FALSE)))</f>
        <v>4</v>
      </c>
      <c r="M51" s="57"/>
      <c r="N51" s="58"/>
      <c r="O51" s="5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61" t="s">
        <v>89</v>
      </c>
      <c r="B52" s="53" t="s">
        <v>46</v>
      </c>
      <c r="C52" s="53" t="s">
        <v>42</v>
      </c>
      <c r="D52" s="53"/>
      <c r="E52" s="53"/>
      <c r="F52" s="54" t="str">
        <f t="shared" si="1"/>
        <v>Média</v>
      </c>
      <c r="G52" s="55" t="str">
        <f t="shared" si="2"/>
        <v>EEA</v>
      </c>
      <c r="H52" s="55">
        <f t="shared" si="3"/>
        <v>4</v>
      </c>
      <c r="I52" s="54" t="str">
        <f t="shared" si="4"/>
        <v>A</v>
      </c>
      <c r="J52" s="55" t="str">
        <f t="shared" si="5"/>
        <v>EEI</v>
      </c>
      <c r="K52" s="56">
        <f t="shared" si="6"/>
        <v>4</v>
      </c>
      <c r="L52" s="56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57"/>
      <c r="N52" s="58"/>
      <c r="O52" s="5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61" t="s">
        <v>90</v>
      </c>
      <c r="B53" s="53" t="s">
        <v>91</v>
      </c>
      <c r="C53" s="53" t="s">
        <v>42</v>
      </c>
      <c r="D53" s="53"/>
      <c r="E53" s="53"/>
      <c r="F53" s="54" t="str">
        <f t="shared" si="1"/>
        <v>Baixa</v>
      </c>
      <c r="G53" s="55" t="str">
        <f t="shared" si="2"/>
        <v>AIEL</v>
      </c>
      <c r="H53" s="55">
        <f t="shared" si="3"/>
        <v>5</v>
      </c>
      <c r="I53" s="54" t="str">
        <f t="shared" si="4"/>
        <v>L</v>
      </c>
      <c r="J53" s="55" t="str">
        <f t="shared" si="5"/>
        <v>AIEI</v>
      </c>
      <c r="K53" s="56">
        <f t="shared" si="6"/>
        <v>5</v>
      </c>
      <c r="L53" s="56">
        <f>IF(NOT(ISERROR(VLOOKUP(B53,Deflatores!G$42:H$64,2,FALSE))),VLOOKUP(B53,Deflatores!G$42:H$64,2,FALSE),IF(OR(ISBLANK(C53),ISBLANK(B53)),"",VLOOKUP(C53,Deflatores!G$4:H$38,2,FALSE)*H53+VLOOKUP(C53,Deflatores!G$4:I$38,3,FALSE)))</f>
        <v>5</v>
      </c>
      <c r="M53" s="57"/>
      <c r="N53" s="58"/>
      <c r="O53" s="5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3.5" customHeight="1">
      <c r="A54" s="61" t="s">
        <v>92</v>
      </c>
      <c r="B54" s="53" t="s">
        <v>50</v>
      </c>
      <c r="C54" s="53" t="s">
        <v>42</v>
      </c>
      <c r="D54" s="53"/>
      <c r="E54" s="53"/>
      <c r="F54" s="54" t="str">
        <f t="shared" si="1"/>
        <v>Média</v>
      </c>
      <c r="G54" s="55" t="str">
        <f t="shared" si="2"/>
        <v>SEA</v>
      </c>
      <c r="H54" s="55">
        <f t="shared" si="3"/>
        <v>5</v>
      </c>
      <c r="I54" s="54" t="str">
        <f t="shared" si="4"/>
        <v>A</v>
      </c>
      <c r="J54" s="55" t="str">
        <f t="shared" si="5"/>
        <v>SEI</v>
      </c>
      <c r="K54" s="56">
        <f t="shared" si="6"/>
        <v>5</v>
      </c>
      <c r="L54" s="56">
        <f>IF(NOT(ISERROR(VLOOKUP(B54,Deflatores!G$42:H$64,2,FALSE))),VLOOKUP(B54,Deflatores!G$42:H$64,2,FALSE),IF(OR(ISBLANK(C54),ISBLANK(B54)),"",VLOOKUP(C54,Deflatores!G$4:H$38,2,FALSE)*H54+VLOOKUP(C54,Deflatores!G$4:I$38,3,FALSE)))</f>
        <v>5</v>
      </c>
      <c r="M54" s="57"/>
      <c r="N54" s="58"/>
      <c r="O54" s="5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60" t="s">
        <v>93</v>
      </c>
      <c r="B55" s="53" t="s">
        <v>41</v>
      </c>
      <c r="C55" s="53" t="s">
        <v>42</v>
      </c>
      <c r="D55" s="53"/>
      <c r="E55" s="53"/>
      <c r="F55" s="54" t="str">
        <f t="shared" si="1"/>
        <v>Baixa</v>
      </c>
      <c r="G55" s="55" t="str">
        <f t="shared" si="2"/>
        <v>ALIL</v>
      </c>
      <c r="H55" s="55">
        <f t="shared" si="3"/>
        <v>7</v>
      </c>
      <c r="I55" s="54" t="str">
        <f t="shared" si="4"/>
        <v>L</v>
      </c>
      <c r="J55" s="55" t="str">
        <f t="shared" si="5"/>
        <v>ALII</v>
      </c>
      <c r="K55" s="56">
        <f t="shared" si="6"/>
        <v>7</v>
      </c>
      <c r="L55" s="56">
        <f>IF(NOT(ISERROR(VLOOKUP(B55,Deflatores!G$42:H$64,2,FALSE))),VLOOKUP(B55,Deflatores!G$42:H$64,2,FALSE),IF(OR(ISBLANK(C55),ISBLANK(B55)),"",VLOOKUP(C55,Deflatores!G$4:H$38,2,FALSE)*H55+VLOOKUP(C55,Deflatores!G$4:I$38,3,FALSE)))</f>
        <v>7</v>
      </c>
      <c r="M55" s="57"/>
      <c r="N55" s="58"/>
      <c r="O55" s="5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60" t="s">
        <v>94</v>
      </c>
      <c r="B56" s="53" t="s">
        <v>44</v>
      </c>
      <c r="C56" s="53" t="s">
        <v>42</v>
      </c>
      <c r="D56" s="53"/>
      <c r="E56" s="53"/>
      <c r="F56" s="54" t="str">
        <f t="shared" si="1"/>
        <v>Média</v>
      </c>
      <c r="G56" s="55" t="str">
        <f t="shared" si="2"/>
        <v>CEA</v>
      </c>
      <c r="H56" s="55">
        <f t="shared" si="3"/>
        <v>4</v>
      </c>
      <c r="I56" s="54" t="str">
        <f t="shared" si="4"/>
        <v>A</v>
      </c>
      <c r="J56" s="55" t="str">
        <f t="shared" si="5"/>
        <v>CEI</v>
      </c>
      <c r="K56" s="56">
        <f t="shared" si="6"/>
        <v>4</v>
      </c>
      <c r="L56" s="56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57"/>
      <c r="N56" s="58"/>
      <c r="O56" s="5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60" t="s">
        <v>95</v>
      </c>
      <c r="B57" s="53" t="s">
        <v>46</v>
      </c>
      <c r="C57" s="53" t="s">
        <v>42</v>
      </c>
      <c r="D57" s="53"/>
      <c r="E57" s="53"/>
      <c r="F57" s="54" t="str">
        <f t="shared" si="1"/>
        <v>Média</v>
      </c>
      <c r="G57" s="55" t="str">
        <f t="shared" si="2"/>
        <v>EEA</v>
      </c>
      <c r="H57" s="55">
        <f t="shared" si="3"/>
        <v>4</v>
      </c>
      <c r="I57" s="54" t="str">
        <f t="shared" si="4"/>
        <v>A</v>
      </c>
      <c r="J57" s="55" t="str">
        <f t="shared" si="5"/>
        <v>EEI</v>
      </c>
      <c r="K57" s="56">
        <f t="shared" si="6"/>
        <v>4</v>
      </c>
      <c r="L57" s="56">
        <f>IF(NOT(ISERROR(VLOOKUP(B57,Deflatores!G$42:H$64,2,FALSE))),VLOOKUP(B57,Deflatores!G$42:H$64,2,FALSE),IF(OR(ISBLANK(C57),ISBLANK(B57)),"",VLOOKUP(C57,Deflatores!G$4:H$38,2,FALSE)*H57+VLOOKUP(C57,Deflatores!G$4:I$38,3,FALSE)))</f>
        <v>4</v>
      </c>
      <c r="M57" s="57"/>
      <c r="N57" s="58"/>
      <c r="O57" s="5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60" t="s">
        <v>96</v>
      </c>
      <c r="B58" s="53" t="s">
        <v>46</v>
      </c>
      <c r="C58" s="53" t="s">
        <v>42</v>
      </c>
      <c r="D58" s="53"/>
      <c r="E58" s="53"/>
      <c r="F58" s="54" t="str">
        <f t="shared" si="1"/>
        <v>Média</v>
      </c>
      <c r="G58" s="55" t="str">
        <f t="shared" si="2"/>
        <v>EEA</v>
      </c>
      <c r="H58" s="55">
        <f t="shared" si="3"/>
        <v>4</v>
      </c>
      <c r="I58" s="54" t="str">
        <f t="shared" si="4"/>
        <v>A</v>
      </c>
      <c r="J58" s="55" t="str">
        <f t="shared" si="5"/>
        <v>EEI</v>
      </c>
      <c r="K58" s="56">
        <f t="shared" si="6"/>
        <v>4</v>
      </c>
      <c r="L58" s="56">
        <f>IF(NOT(ISERROR(VLOOKUP(B58,Deflatores!G$42:H$64,2,FALSE))),VLOOKUP(B58,Deflatores!G$42:H$64,2,FALSE),IF(OR(ISBLANK(C58),ISBLANK(B58)),"",VLOOKUP(C58,Deflatores!G$4:H$38,2,FALSE)*H58+VLOOKUP(C58,Deflatores!G$4:I$38,3,FALSE)))</f>
        <v>4</v>
      </c>
      <c r="M58" s="57"/>
      <c r="N58" s="58"/>
      <c r="O58" s="5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60" t="s">
        <v>97</v>
      </c>
      <c r="B59" s="53" t="s">
        <v>50</v>
      </c>
      <c r="C59" s="53" t="s">
        <v>42</v>
      </c>
      <c r="D59" s="53"/>
      <c r="E59" s="53"/>
      <c r="F59" s="54" t="str">
        <f t="shared" si="1"/>
        <v>Média</v>
      </c>
      <c r="G59" s="55" t="str">
        <f t="shared" si="2"/>
        <v>SEA</v>
      </c>
      <c r="H59" s="55">
        <f t="shared" si="3"/>
        <v>5</v>
      </c>
      <c r="I59" s="54" t="str">
        <f t="shared" si="4"/>
        <v>A</v>
      </c>
      <c r="J59" s="55" t="str">
        <f t="shared" si="5"/>
        <v>SEI</v>
      </c>
      <c r="K59" s="56">
        <f t="shared" si="6"/>
        <v>5</v>
      </c>
      <c r="L59" s="56">
        <f>IF(NOT(ISERROR(VLOOKUP(B59,Deflatores!G$42:H$64,2,FALSE))),VLOOKUP(B59,Deflatores!G$42:H$64,2,FALSE),IF(OR(ISBLANK(C59),ISBLANK(B59)),"",VLOOKUP(C59,Deflatores!G$4:H$38,2,FALSE)*H59+VLOOKUP(C59,Deflatores!G$4:I$38,3,FALSE)))</f>
        <v>5</v>
      </c>
      <c r="M59" s="57"/>
      <c r="N59" s="58"/>
      <c r="O59" s="5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60" t="s">
        <v>98</v>
      </c>
      <c r="B60" s="53" t="s">
        <v>41</v>
      </c>
      <c r="C60" s="53" t="s">
        <v>42</v>
      </c>
      <c r="D60" s="53"/>
      <c r="E60" s="53"/>
      <c r="F60" s="54" t="str">
        <f t="shared" si="1"/>
        <v>Baixa</v>
      </c>
      <c r="G60" s="55" t="str">
        <f t="shared" si="2"/>
        <v>ALIL</v>
      </c>
      <c r="H60" s="55">
        <f t="shared" si="3"/>
        <v>7</v>
      </c>
      <c r="I60" s="54" t="str">
        <f t="shared" si="4"/>
        <v>L</v>
      </c>
      <c r="J60" s="55" t="str">
        <f t="shared" si="5"/>
        <v>ALII</v>
      </c>
      <c r="K60" s="56">
        <f t="shared" si="6"/>
        <v>7</v>
      </c>
      <c r="L60" s="56">
        <f>IF(NOT(ISERROR(VLOOKUP(B60,Deflatores!G$42:H$64,2,FALSE))),VLOOKUP(B60,Deflatores!G$42:H$64,2,FALSE),IF(OR(ISBLANK(C60),ISBLANK(B60)),"",VLOOKUP(C60,Deflatores!G$4:H$38,2,FALSE)*H60+VLOOKUP(C60,Deflatores!G$4:I$38,3,FALSE)))</f>
        <v>7</v>
      </c>
      <c r="M60" s="57"/>
      <c r="N60" s="58"/>
      <c r="O60" s="5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60" t="s">
        <v>99</v>
      </c>
      <c r="B61" s="53" t="s">
        <v>46</v>
      </c>
      <c r="C61" s="53" t="s">
        <v>42</v>
      </c>
      <c r="D61" s="53"/>
      <c r="E61" s="53"/>
      <c r="F61" s="54" t="str">
        <f t="shared" si="1"/>
        <v>Média</v>
      </c>
      <c r="G61" s="55" t="str">
        <f t="shared" si="2"/>
        <v>EEA</v>
      </c>
      <c r="H61" s="55">
        <f t="shared" si="3"/>
        <v>4</v>
      </c>
      <c r="I61" s="54" t="str">
        <f t="shared" si="4"/>
        <v>A</v>
      </c>
      <c r="J61" s="55" t="str">
        <f t="shared" si="5"/>
        <v>EEI</v>
      </c>
      <c r="K61" s="56">
        <f t="shared" si="6"/>
        <v>4</v>
      </c>
      <c r="L61" s="56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57"/>
      <c r="N61" s="58"/>
      <c r="O61" s="5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60" t="s">
        <v>100</v>
      </c>
      <c r="B62" s="53" t="s">
        <v>46</v>
      </c>
      <c r="C62" s="53" t="s">
        <v>42</v>
      </c>
      <c r="D62" s="53"/>
      <c r="E62" s="53"/>
      <c r="F62" s="54" t="str">
        <f t="shared" si="1"/>
        <v>Média</v>
      </c>
      <c r="G62" s="55" t="str">
        <f t="shared" si="2"/>
        <v>EEA</v>
      </c>
      <c r="H62" s="55">
        <f t="shared" si="3"/>
        <v>4</v>
      </c>
      <c r="I62" s="54" t="str">
        <f t="shared" si="4"/>
        <v>A</v>
      </c>
      <c r="J62" s="55" t="str">
        <f t="shared" si="5"/>
        <v>EEI</v>
      </c>
      <c r="K62" s="56">
        <f t="shared" si="6"/>
        <v>4</v>
      </c>
      <c r="L62" s="56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57"/>
      <c r="N62" s="58"/>
      <c r="O62" s="5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60" t="s">
        <v>101</v>
      </c>
      <c r="B63" s="53" t="s">
        <v>44</v>
      </c>
      <c r="C63" s="53" t="s">
        <v>42</v>
      </c>
      <c r="D63" s="53"/>
      <c r="E63" s="53"/>
      <c r="F63" s="54" t="str">
        <f t="shared" si="1"/>
        <v>Média</v>
      </c>
      <c r="G63" s="55" t="str">
        <f t="shared" si="2"/>
        <v>CEA</v>
      </c>
      <c r="H63" s="55">
        <f t="shared" si="3"/>
        <v>4</v>
      </c>
      <c r="I63" s="54" t="str">
        <f t="shared" si="4"/>
        <v>A</v>
      </c>
      <c r="J63" s="55" t="str">
        <f t="shared" si="5"/>
        <v>CEI</v>
      </c>
      <c r="K63" s="56">
        <f t="shared" si="6"/>
        <v>4</v>
      </c>
      <c r="L63" s="56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57"/>
      <c r="N63" s="58"/>
      <c r="O63" s="5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60" t="s">
        <v>102</v>
      </c>
      <c r="B64" s="53" t="s">
        <v>41</v>
      </c>
      <c r="C64" s="53" t="s">
        <v>42</v>
      </c>
      <c r="D64" s="53"/>
      <c r="E64" s="53"/>
      <c r="F64" s="54" t="str">
        <f t="shared" si="1"/>
        <v>Baixa</v>
      </c>
      <c r="G64" s="55" t="str">
        <f t="shared" si="2"/>
        <v>ALIL</v>
      </c>
      <c r="H64" s="55">
        <f t="shared" si="3"/>
        <v>7</v>
      </c>
      <c r="I64" s="54" t="str">
        <f t="shared" si="4"/>
        <v>L</v>
      </c>
      <c r="J64" s="55" t="str">
        <f t="shared" si="5"/>
        <v>ALII</v>
      </c>
      <c r="K64" s="56">
        <f t="shared" si="6"/>
        <v>7</v>
      </c>
      <c r="L64" s="56">
        <f>IF(NOT(ISERROR(VLOOKUP(B64,Deflatores!G$42:H$64,2,FALSE))),VLOOKUP(B64,Deflatores!G$42:H$64,2,FALSE),IF(OR(ISBLANK(C64),ISBLANK(B64)),"",VLOOKUP(C64,Deflatores!G$4:H$38,2,FALSE)*H64+VLOOKUP(C64,Deflatores!G$4:I$38,3,FALSE)))</f>
        <v>7</v>
      </c>
      <c r="M64" s="57"/>
      <c r="N64" s="58"/>
      <c r="O64" s="5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60" t="s">
        <v>103</v>
      </c>
      <c r="B65" s="53" t="s">
        <v>44</v>
      </c>
      <c r="C65" s="53" t="s">
        <v>42</v>
      </c>
      <c r="D65" s="53"/>
      <c r="E65" s="53"/>
      <c r="F65" s="54" t="str">
        <f t="shared" si="1"/>
        <v>Média</v>
      </c>
      <c r="G65" s="55" t="str">
        <f t="shared" si="2"/>
        <v>CEA</v>
      </c>
      <c r="H65" s="55">
        <f t="shared" si="3"/>
        <v>4</v>
      </c>
      <c r="I65" s="54" t="str">
        <f t="shared" si="4"/>
        <v>A</v>
      </c>
      <c r="J65" s="55" t="str">
        <f t="shared" si="5"/>
        <v>CEI</v>
      </c>
      <c r="K65" s="56">
        <f t="shared" si="6"/>
        <v>4</v>
      </c>
      <c r="L65" s="56">
        <f>IF(NOT(ISERROR(VLOOKUP(B65,Deflatores!G$42:H$64,2,FALSE))),VLOOKUP(B65,Deflatores!G$42:H$64,2,FALSE),IF(OR(ISBLANK(C65),ISBLANK(B65)),"",VLOOKUP(C65,Deflatores!G$4:H$38,2,FALSE)*H65+VLOOKUP(C65,Deflatores!G$4:I$38,3,FALSE)))</f>
        <v>4</v>
      </c>
      <c r="M65" s="57"/>
      <c r="N65" s="58"/>
      <c r="O65" s="5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60" t="s">
        <v>104</v>
      </c>
      <c r="B66" s="53" t="s">
        <v>46</v>
      </c>
      <c r="C66" s="53" t="s">
        <v>42</v>
      </c>
      <c r="D66" s="53"/>
      <c r="E66" s="53"/>
      <c r="F66" s="54" t="str">
        <f t="shared" si="1"/>
        <v>Média</v>
      </c>
      <c r="G66" s="55" t="str">
        <f t="shared" si="2"/>
        <v>EEA</v>
      </c>
      <c r="H66" s="55">
        <f t="shared" si="3"/>
        <v>4</v>
      </c>
      <c r="I66" s="54" t="str">
        <f t="shared" si="4"/>
        <v>A</v>
      </c>
      <c r="J66" s="55" t="str">
        <f t="shared" si="5"/>
        <v>EEI</v>
      </c>
      <c r="K66" s="56">
        <f t="shared" si="6"/>
        <v>4</v>
      </c>
      <c r="L66" s="56">
        <f>IF(NOT(ISERROR(VLOOKUP(B66,Deflatores!G$42:H$64,2,FALSE))),VLOOKUP(B66,Deflatores!G$42:H$64,2,FALSE),IF(OR(ISBLANK(C66),ISBLANK(B66)),"",VLOOKUP(C66,Deflatores!G$4:H$38,2,FALSE)*H66+VLOOKUP(C66,Deflatores!G$4:I$38,3,FALSE)))</f>
        <v>4</v>
      </c>
      <c r="M66" s="57"/>
      <c r="N66" s="58"/>
      <c r="O66" s="5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60" t="s">
        <v>105</v>
      </c>
      <c r="B67" s="53" t="s">
        <v>46</v>
      </c>
      <c r="C67" s="53" t="s">
        <v>42</v>
      </c>
      <c r="D67" s="53"/>
      <c r="E67" s="53"/>
      <c r="F67" s="54" t="str">
        <f t="shared" si="1"/>
        <v>Média</v>
      </c>
      <c r="G67" s="55" t="str">
        <f t="shared" si="2"/>
        <v>EEA</v>
      </c>
      <c r="H67" s="55">
        <f t="shared" si="3"/>
        <v>4</v>
      </c>
      <c r="I67" s="54" t="str">
        <f t="shared" si="4"/>
        <v>A</v>
      </c>
      <c r="J67" s="55" t="str">
        <f t="shared" si="5"/>
        <v>EEI</v>
      </c>
      <c r="K67" s="56">
        <f t="shared" si="6"/>
        <v>4</v>
      </c>
      <c r="L67" s="56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57"/>
      <c r="N67" s="58"/>
      <c r="O67" s="5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60" t="s">
        <v>106</v>
      </c>
      <c r="B68" s="53" t="s">
        <v>41</v>
      </c>
      <c r="C68" s="53" t="s">
        <v>42</v>
      </c>
      <c r="D68" s="53"/>
      <c r="E68" s="53"/>
      <c r="F68" s="54" t="str">
        <f t="shared" si="1"/>
        <v>Baixa</v>
      </c>
      <c r="G68" s="55" t="str">
        <f t="shared" si="2"/>
        <v>ALIL</v>
      </c>
      <c r="H68" s="55">
        <f t="shared" si="3"/>
        <v>7</v>
      </c>
      <c r="I68" s="54" t="str">
        <f t="shared" si="4"/>
        <v>L</v>
      </c>
      <c r="J68" s="55" t="str">
        <f t="shared" si="5"/>
        <v>ALII</v>
      </c>
      <c r="K68" s="56">
        <f t="shared" si="6"/>
        <v>7</v>
      </c>
      <c r="L68" s="56">
        <f>IF(NOT(ISERROR(VLOOKUP(B68,Deflatores!G$42:H$64,2,FALSE))),VLOOKUP(B68,Deflatores!G$42:H$64,2,FALSE),IF(OR(ISBLANK(C68),ISBLANK(B68)),"",VLOOKUP(C68,Deflatores!G$4:H$38,2,FALSE)*H68+VLOOKUP(C68,Deflatores!G$4:I$38,3,FALSE)))</f>
        <v>7</v>
      </c>
      <c r="M68" s="57"/>
      <c r="N68" s="58"/>
      <c r="O68" s="5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60" t="s">
        <v>107</v>
      </c>
      <c r="B69" s="53" t="s">
        <v>44</v>
      </c>
      <c r="C69" s="53" t="s">
        <v>42</v>
      </c>
      <c r="D69" s="53"/>
      <c r="E69" s="53"/>
      <c r="F69" s="54" t="str">
        <f t="shared" si="1"/>
        <v>Média</v>
      </c>
      <c r="G69" s="55" t="str">
        <f t="shared" si="2"/>
        <v>CEA</v>
      </c>
      <c r="H69" s="55">
        <f t="shared" si="3"/>
        <v>4</v>
      </c>
      <c r="I69" s="54" t="str">
        <f t="shared" si="4"/>
        <v>A</v>
      </c>
      <c r="J69" s="55" t="str">
        <f t="shared" si="5"/>
        <v>CEI</v>
      </c>
      <c r="K69" s="56">
        <f t="shared" si="6"/>
        <v>4</v>
      </c>
      <c r="L69" s="56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57"/>
      <c r="N69" s="58"/>
      <c r="O69" s="5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60" t="s">
        <v>108</v>
      </c>
      <c r="B70" s="53" t="s">
        <v>46</v>
      </c>
      <c r="C70" s="53" t="s">
        <v>42</v>
      </c>
      <c r="D70" s="53"/>
      <c r="E70" s="53"/>
      <c r="F70" s="54" t="str">
        <f t="shared" si="1"/>
        <v>Média</v>
      </c>
      <c r="G70" s="55" t="str">
        <f t="shared" si="2"/>
        <v>EEA</v>
      </c>
      <c r="H70" s="55">
        <f t="shared" si="3"/>
        <v>4</v>
      </c>
      <c r="I70" s="54" t="str">
        <f t="shared" si="4"/>
        <v>A</v>
      </c>
      <c r="J70" s="55" t="str">
        <f t="shared" si="5"/>
        <v>EEI</v>
      </c>
      <c r="K70" s="56">
        <f t="shared" si="6"/>
        <v>4</v>
      </c>
      <c r="L70" s="56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57"/>
      <c r="N70" s="58"/>
      <c r="O70" s="5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60" t="s">
        <v>109</v>
      </c>
      <c r="B71" s="53" t="s">
        <v>46</v>
      </c>
      <c r="C71" s="53" t="s">
        <v>42</v>
      </c>
      <c r="D71" s="53"/>
      <c r="E71" s="53"/>
      <c r="F71" s="54" t="str">
        <f t="shared" si="1"/>
        <v>Média</v>
      </c>
      <c r="G71" s="55" t="str">
        <f t="shared" si="2"/>
        <v>EEA</v>
      </c>
      <c r="H71" s="55">
        <f t="shared" si="3"/>
        <v>4</v>
      </c>
      <c r="I71" s="54" t="str">
        <f t="shared" si="4"/>
        <v>A</v>
      </c>
      <c r="J71" s="55" t="str">
        <f t="shared" si="5"/>
        <v>EEI</v>
      </c>
      <c r="K71" s="56">
        <f t="shared" si="6"/>
        <v>4</v>
      </c>
      <c r="L71" s="56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57"/>
      <c r="N71" s="58"/>
      <c r="O71" s="5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60" t="s">
        <v>110</v>
      </c>
      <c r="B72" s="53" t="s">
        <v>46</v>
      </c>
      <c r="C72" s="53" t="s">
        <v>42</v>
      </c>
      <c r="D72" s="53"/>
      <c r="E72" s="53"/>
      <c r="F72" s="54" t="str">
        <f t="shared" si="1"/>
        <v>Média</v>
      </c>
      <c r="G72" s="55" t="str">
        <f t="shared" si="2"/>
        <v>EEA</v>
      </c>
      <c r="H72" s="55">
        <f t="shared" si="3"/>
        <v>4</v>
      </c>
      <c r="I72" s="54" t="str">
        <f t="shared" si="4"/>
        <v>A</v>
      </c>
      <c r="J72" s="55" t="str">
        <f t="shared" si="5"/>
        <v>EEI</v>
      </c>
      <c r="K72" s="56">
        <f t="shared" si="6"/>
        <v>4</v>
      </c>
      <c r="L72" s="56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57"/>
      <c r="N72" s="58"/>
      <c r="O72" s="5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60" t="s">
        <v>111</v>
      </c>
      <c r="B73" s="53" t="s">
        <v>46</v>
      </c>
      <c r="C73" s="53" t="s">
        <v>42</v>
      </c>
      <c r="D73" s="53"/>
      <c r="E73" s="53"/>
      <c r="F73" s="54" t="str">
        <f t="shared" si="1"/>
        <v>Média</v>
      </c>
      <c r="G73" s="55" t="str">
        <f t="shared" si="2"/>
        <v>EEA</v>
      </c>
      <c r="H73" s="55">
        <f t="shared" si="3"/>
        <v>4</v>
      </c>
      <c r="I73" s="54" t="str">
        <f t="shared" si="4"/>
        <v>A</v>
      </c>
      <c r="J73" s="55" t="str">
        <f t="shared" si="5"/>
        <v>EEI</v>
      </c>
      <c r="K73" s="56">
        <f t="shared" si="6"/>
        <v>4</v>
      </c>
      <c r="L73" s="56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57"/>
      <c r="N73" s="58"/>
      <c r="O73" s="5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61" t="s">
        <v>112</v>
      </c>
      <c r="B74" s="53" t="s">
        <v>41</v>
      </c>
      <c r="C74" s="53" t="s">
        <v>42</v>
      </c>
      <c r="D74" s="53"/>
      <c r="E74" s="53"/>
      <c r="F74" s="54" t="str">
        <f t="shared" si="1"/>
        <v>Baixa</v>
      </c>
      <c r="G74" s="55" t="str">
        <f t="shared" si="2"/>
        <v>ALIL</v>
      </c>
      <c r="H74" s="55">
        <f t="shared" si="3"/>
        <v>7</v>
      </c>
      <c r="I74" s="54" t="str">
        <f t="shared" si="4"/>
        <v>L</v>
      </c>
      <c r="J74" s="55" t="str">
        <f t="shared" si="5"/>
        <v>ALII</v>
      </c>
      <c r="K74" s="56">
        <f t="shared" si="6"/>
        <v>7</v>
      </c>
      <c r="L74" s="56">
        <f>IF(NOT(ISERROR(VLOOKUP(B74,Deflatores!G$42:H$64,2,FALSE))),VLOOKUP(B74,Deflatores!G$42:H$64,2,FALSE),IF(OR(ISBLANK(C74),ISBLANK(B74)),"",VLOOKUP(C74,Deflatores!G$4:H$38,2,FALSE)*H74+VLOOKUP(C74,Deflatores!G$4:I$38,3,FALSE)))</f>
        <v>7</v>
      </c>
      <c r="M74" s="57"/>
      <c r="N74" s="58"/>
      <c r="O74" s="5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61" t="s">
        <v>113</v>
      </c>
      <c r="B75" s="53" t="s">
        <v>44</v>
      </c>
      <c r="C75" s="53" t="s">
        <v>42</v>
      </c>
      <c r="D75" s="53"/>
      <c r="E75" s="53"/>
      <c r="F75" s="54" t="str">
        <f t="shared" si="1"/>
        <v>Média</v>
      </c>
      <c r="G75" s="55" t="str">
        <f t="shared" si="2"/>
        <v>CEA</v>
      </c>
      <c r="H75" s="55">
        <f t="shared" si="3"/>
        <v>4</v>
      </c>
      <c r="I75" s="54" t="str">
        <f t="shared" si="4"/>
        <v>A</v>
      </c>
      <c r="J75" s="55" t="str">
        <f t="shared" si="5"/>
        <v>CEI</v>
      </c>
      <c r="K75" s="56">
        <f t="shared" si="6"/>
        <v>4</v>
      </c>
      <c r="L75" s="56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57"/>
      <c r="N75" s="58"/>
      <c r="O75" s="5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61" t="s">
        <v>114</v>
      </c>
      <c r="B76" s="53" t="s">
        <v>50</v>
      </c>
      <c r="C76" s="53" t="s">
        <v>42</v>
      </c>
      <c r="D76" s="53"/>
      <c r="E76" s="53"/>
      <c r="F76" s="54" t="str">
        <f t="shared" si="1"/>
        <v>Média</v>
      </c>
      <c r="G76" s="55" t="str">
        <f t="shared" si="2"/>
        <v>SEA</v>
      </c>
      <c r="H76" s="55">
        <f t="shared" si="3"/>
        <v>5</v>
      </c>
      <c r="I76" s="54" t="str">
        <f t="shared" si="4"/>
        <v>A</v>
      </c>
      <c r="J76" s="55" t="str">
        <f t="shared" si="5"/>
        <v>SEI</v>
      </c>
      <c r="K76" s="56">
        <f t="shared" si="6"/>
        <v>5</v>
      </c>
      <c r="L76" s="56">
        <f>IF(NOT(ISERROR(VLOOKUP(B76,Deflatores!G$42:H$64,2,FALSE))),VLOOKUP(B76,Deflatores!G$42:H$64,2,FALSE),IF(OR(ISBLANK(C76),ISBLANK(B76)),"",VLOOKUP(C76,Deflatores!G$4:H$38,2,FALSE)*H76+VLOOKUP(C76,Deflatores!G$4:I$38,3,FALSE)))</f>
        <v>5</v>
      </c>
      <c r="M76" s="57"/>
      <c r="N76" s="58"/>
      <c r="O76" s="5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60" t="s">
        <v>115</v>
      </c>
      <c r="B77" s="53" t="s">
        <v>41</v>
      </c>
      <c r="C77" s="53" t="s">
        <v>42</v>
      </c>
      <c r="D77" s="53"/>
      <c r="E77" s="53"/>
      <c r="F77" s="54" t="str">
        <f t="shared" si="1"/>
        <v>Baixa</v>
      </c>
      <c r="G77" s="55" t="str">
        <f t="shared" si="2"/>
        <v>ALIL</v>
      </c>
      <c r="H77" s="55">
        <f t="shared" si="3"/>
        <v>7</v>
      </c>
      <c r="I77" s="54" t="str">
        <f t="shared" si="4"/>
        <v>L</v>
      </c>
      <c r="J77" s="55" t="str">
        <f t="shared" si="5"/>
        <v>ALII</v>
      </c>
      <c r="K77" s="56">
        <f t="shared" si="6"/>
        <v>7</v>
      </c>
      <c r="L77" s="56">
        <f>IF(NOT(ISERROR(VLOOKUP(B77,Deflatores!G$42:H$64,2,FALSE))),VLOOKUP(B77,Deflatores!G$42:H$64,2,FALSE),IF(OR(ISBLANK(C77),ISBLANK(B77)),"",VLOOKUP(C77,Deflatores!G$4:H$38,2,FALSE)*H77+VLOOKUP(C77,Deflatores!G$4:I$38,3,FALSE)))</f>
        <v>7</v>
      </c>
      <c r="M77" s="57"/>
      <c r="N77" s="58"/>
      <c r="O77" s="5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60" t="s">
        <v>116</v>
      </c>
      <c r="B78" s="53" t="s">
        <v>44</v>
      </c>
      <c r="C78" s="53" t="s">
        <v>42</v>
      </c>
      <c r="D78" s="53"/>
      <c r="E78" s="53"/>
      <c r="F78" s="54" t="str">
        <f t="shared" si="1"/>
        <v>Média</v>
      </c>
      <c r="G78" s="54" t="str">
        <f t="shared" si="2"/>
        <v>CEA</v>
      </c>
      <c r="H78" s="54">
        <f t="shared" si="3"/>
        <v>4</v>
      </c>
      <c r="I78" s="54" t="str">
        <f t="shared" si="4"/>
        <v>A</v>
      </c>
      <c r="J78" s="54" t="str">
        <f t="shared" si="5"/>
        <v>CEI</v>
      </c>
      <c r="K78" s="54">
        <f t="shared" si="6"/>
        <v>4</v>
      </c>
      <c r="L78" s="62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57"/>
      <c r="N78" s="58"/>
      <c r="O78" s="5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60" t="s">
        <v>117</v>
      </c>
      <c r="B79" s="53" t="s">
        <v>50</v>
      </c>
      <c r="C79" s="53" t="s">
        <v>42</v>
      </c>
      <c r="D79" s="53"/>
      <c r="E79" s="53"/>
      <c r="F79" s="54" t="str">
        <f t="shared" si="1"/>
        <v>Média</v>
      </c>
      <c r="G79" s="54" t="str">
        <f t="shared" si="2"/>
        <v>SEA</v>
      </c>
      <c r="H79" s="54">
        <f t="shared" si="3"/>
        <v>5</v>
      </c>
      <c r="I79" s="54" t="str">
        <f t="shared" si="4"/>
        <v>A</v>
      </c>
      <c r="J79" s="54" t="str">
        <f t="shared" si="5"/>
        <v>SEI</v>
      </c>
      <c r="K79" s="54">
        <f t="shared" si="6"/>
        <v>5</v>
      </c>
      <c r="L79" s="62">
        <f>IF(NOT(ISERROR(VLOOKUP(B79,Deflatores!G$42:H$64,2,FALSE))),VLOOKUP(B79,Deflatores!G$42:H$64,2,FALSE),IF(OR(ISBLANK(C79),ISBLANK(B79)),"",VLOOKUP(C79,Deflatores!G$4:H$38,2,FALSE)*H79+VLOOKUP(C79,Deflatores!G$4:I$38,3,FALSE)))</f>
        <v>5</v>
      </c>
      <c r="M79" s="57"/>
      <c r="N79" s="58"/>
      <c r="O79" s="5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60" t="s">
        <v>116</v>
      </c>
      <c r="B80" s="53" t="s">
        <v>50</v>
      </c>
      <c r="C80" s="53" t="s">
        <v>42</v>
      </c>
      <c r="D80" s="53"/>
      <c r="E80" s="53"/>
      <c r="F80" s="54" t="str">
        <f t="shared" si="1"/>
        <v>Média</v>
      </c>
      <c r="G80" s="54" t="str">
        <f t="shared" si="2"/>
        <v>SEA</v>
      </c>
      <c r="H80" s="54">
        <f t="shared" si="3"/>
        <v>5</v>
      </c>
      <c r="I80" s="54" t="str">
        <f t="shared" si="4"/>
        <v>A</v>
      </c>
      <c r="J80" s="54" t="str">
        <f t="shared" si="5"/>
        <v>SEI</v>
      </c>
      <c r="K80" s="54">
        <f t="shared" si="6"/>
        <v>5</v>
      </c>
      <c r="L80" s="62">
        <f>IF(NOT(ISERROR(VLOOKUP(B80,Deflatores!G$42:H$64,2,FALSE))),VLOOKUP(B80,Deflatores!G$42:H$64,2,FALSE),IF(OR(ISBLANK(C80),ISBLANK(B80)),"",VLOOKUP(C80,Deflatores!G$4:H$38,2,FALSE)*H80+VLOOKUP(C80,Deflatores!G$4:I$38,3,FALSE)))</f>
        <v>5</v>
      </c>
      <c r="M80" s="57"/>
      <c r="N80" s="58"/>
      <c r="O80" s="5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61" t="s">
        <v>118</v>
      </c>
      <c r="B81" s="53" t="s">
        <v>41</v>
      </c>
      <c r="C81" s="53" t="s">
        <v>42</v>
      </c>
      <c r="D81" s="53"/>
      <c r="E81" s="53"/>
      <c r="F81" s="54" t="str">
        <f t="shared" si="1"/>
        <v>Baixa</v>
      </c>
      <c r="G81" s="54" t="str">
        <f t="shared" si="2"/>
        <v>ALIL</v>
      </c>
      <c r="H81" s="54">
        <f t="shared" si="3"/>
        <v>7</v>
      </c>
      <c r="I81" s="54" t="str">
        <f t="shared" si="4"/>
        <v>L</v>
      </c>
      <c r="J81" s="54" t="str">
        <f t="shared" si="5"/>
        <v>ALII</v>
      </c>
      <c r="K81" s="54">
        <f t="shared" si="6"/>
        <v>7</v>
      </c>
      <c r="L81" s="62">
        <f>IF(NOT(ISERROR(VLOOKUP(B81,Deflatores!G$42:H$64,2,FALSE))),VLOOKUP(B81,Deflatores!G$42:H$64,2,FALSE),IF(OR(ISBLANK(C81),ISBLANK(B81)),"",VLOOKUP(C81,Deflatores!G$4:H$38,2,FALSE)*H81+VLOOKUP(C81,Deflatores!G$4:I$38,3,FALSE)))</f>
        <v>7</v>
      </c>
      <c r="M81" s="57"/>
      <c r="N81" s="58"/>
      <c r="O81" s="5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61" t="s">
        <v>119</v>
      </c>
      <c r="B82" s="53" t="s">
        <v>44</v>
      </c>
      <c r="C82" s="53" t="s">
        <v>42</v>
      </c>
      <c r="D82" s="53"/>
      <c r="E82" s="53"/>
      <c r="F82" s="54" t="str">
        <f t="shared" si="1"/>
        <v>Média</v>
      </c>
      <c r="G82" s="54" t="str">
        <f t="shared" si="2"/>
        <v>CEA</v>
      </c>
      <c r="H82" s="54">
        <f t="shared" si="3"/>
        <v>4</v>
      </c>
      <c r="I82" s="54" t="str">
        <f t="shared" si="4"/>
        <v>A</v>
      </c>
      <c r="J82" s="54" t="str">
        <f t="shared" si="5"/>
        <v>CEI</v>
      </c>
      <c r="K82" s="54">
        <f t="shared" si="6"/>
        <v>4</v>
      </c>
      <c r="L82" s="62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57"/>
      <c r="N82" s="58"/>
      <c r="O82" s="5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61" t="s">
        <v>120</v>
      </c>
      <c r="B83" s="53" t="s">
        <v>50</v>
      </c>
      <c r="C83" s="53" t="s">
        <v>42</v>
      </c>
      <c r="D83" s="53"/>
      <c r="E83" s="53"/>
      <c r="F83" s="54" t="str">
        <f t="shared" si="1"/>
        <v>Média</v>
      </c>
      <c r="G83" s="54" t="str">
        <f t="shared" si="2"/>
        <v>SEA</v>
      </c>
      <c r="H83" s="54">
        <f t="shared" si="3"/>
        <v>5</v>
      </c>
      <c r="I83" s="54" t="str">
        <f t="shared" si="4"/>
        <v>A</v>
      </c>
      <c r="J83" s="54" t="str">
        <f t="shared" si="5"/>
        <v>SEI</v>
      </c>
      <c r="K83" s="54">
        <f t="shared" si="6"/>
        <v>5</v>
      </c>
      <c r="L83" s="62">
        <f>IF(NOT(ISERROR(VLOOKUP(B83,Deflatores!G$42:H$64,2,FALSE))),VLOOKUP(B83,Deflatores!G$42:H$64,2,FALSE),IF(OR(ISBLANK(C83),ISBLANK(B83)),"",VLOOKUP(C83,Deflatores!G$4:H$38,2,FALSE)*H83+VLOOKUP(C83,Deflatores!G$4:I$38,3,FALSE)))</f>
        <v>5</v>
      </c>
      <c r="M83" s="57"/>
      <c r="N83" s="58"/>
      <c r="O83" s="5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60" t="s">
        <v>121</v>
      </c>
      <c r="B84" s="53" t="s">
        <v>41</v>
      </c>
      <c r="C84" s="53" t="s">
        <v>42</v>
      </c>
      <c r="D84" s="53"/>
      <c r="E84" s="53"/>
      <c r="F84" s="54" t="str">
        <f t="shared" si="1"/>
        <v>Baixa</v>
      </c>
      <c r="G84" s="54" t="str">
        <f t="shared" si="2"/>
        <v>ALIL</v>
      </c>
      <c r="H84" s="54">
        <f t="shared" si="3"/>
        <v>7</v>
      </c>
      <c r="I84" s="54" t="str">
        <f t="shared" si="4"/>
        <v>L</v>
      </c>
      <c r="J84" s="54" t="str">
        <f t="shared" si="5"/>
        <v>ALII</v>
      </c>
      <c r="K84" s="54">
        <f t="shared" si="6"/>
        <v>7</v>
      </c>
      <c r="L84" s="62">
        <f>IF(NOT(ISERROR(VLOOKUP(B84,Deflatores!G$42:H$64,2,FALSE))),VLOOKUP(B84,Deflatores!G$42:H$64,2,FALSE),IF(OR(ISBLANK(C84),ISBLANK(B84)),"",VLOOKUP(C84,Deflatores!G$4:H$38,2,FALSE)*H84+VLOOKUP(C84,Deflatores!G$4:I$38,3,FALSE)))</f>
        <v>7</v>
      </c>
      <c r="M84" s="57"/>
      <c r="N84" s="58"/>
      <c r="O84" s="5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60" t="s">
        <v>122</v>
      </c>
      <c r="B85" s="53" t="s">
        <v>44</v>
      </c>
      <c r="C85" s="53" t="s">
        <v>42</v>
      </c>
      <c r="D85" s="53"/>
      <c r="E85" s="53"/>
      <c r="F85" s="54" t="str">
        <f t="shared" si="1"/>
        <v>Média</v>
      </c>
      <c r="G85" s="54" t="str">
        <f t="shared" si="2"/>
        <v>CEA</v>
      </c>
      <c r="H85" s="54">
        <f t="shared" si="3"/>
        <v>4</v>
      </c>
      <c r="I85" s="54" t="str">
        <f t="shared" si="4"/>
        <v>A</v>
      </c>
      <c r="J85" s="54" t="str">
        <f t="shared" si="5"/>
        <v>CEI</v>
      </c>
      <c r="K85" s="54">
        <f t="shared" si="6"/>
        <v>4</v>
      </c>
      <c r="L85" s="62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57"/>
      <c r="N85" s="58"/>
      <c r="O85" s="5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60" t="s">
        <v>123</v>
      </c>
      <c r="B86" s="53" t="s">
        <v>50</v>
      </c>
      <c r="C86" s="53" t="s">
        <v>42</v>
      </c>
      <c r="D86" s="53"/>
      <c r="E86" s="53"/>
      <c r="F86" s="54" t="str">
        <f t="shared" si="1"/>
        <v>Média</v>
      </c>
      <c r="G86" s="54" t="str">
        <f t="shared" si="2"/>
        <v>SEA</v>
      </c>
      <c r="H86" s="54">
        <f t="shared" si="3"/>
        <v>5</v>
      </c>
      <c r="I86" s="54" t="str">
        <f t="shared" si="4"/>
        <v>A</v>
      </c>
      <c r="J86" s="54" t="str">
        <f t="shared" si="5"/>
        <v>SEI</v>
      </c>
      <c r="K86" s="54">
        <f t="shared" si="6"/>
        <v>5</v>
      </c>
      <c r="L86" s="62">
        <f>IF(NOT(ISERROR(VLOOKUP(B86,Deflatores!G$42:H$64,2,FALSE))),VLOOKUP(B86,Deflatores!G$42:H$64,2,FALSE),IF(OR(ISBLANK(C86),ISBLANK(B86)),"",VLOOKUP(C86,Deflatores!G$4:H$38,2,FALSE)*H86+VLOOKUP(C86,Deflatores!G$4:I$38,3,FALSE)))</f>
        <v>5</v>
      </c>
      <c r="M86" s="57"/>
      <c r="N86" s="58"/>
      <c r="O86" s="5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60"/>
      <c r="B87" s="63"/>
      <c r="C87" s="53"/>
      <c r="D87" s="63"/>
      <c r="E87" s="63"/>
      <c r="F87" s="64" t="str">
        <f t="shared" si="1"/>
        <v/>
      </c>
      <c r="G87" s="65" t="str">
        <f t="shared" si="2"/>
        <v/>
      </c>
      <c r="H87" s="65" t="str">
        <f t="shared" si="3"/>
        <v/>
      </c>
      <c r="I87" s="64" t="str">
        <f t="shared" si="4"/>
        <v/>
      </c>
      <c r="J87" s="65" t="str">
        <f t="shared" si="5"/>
        <v/>
      </c>
      <c r="K87" s="66" t="str">
        <f t="shared" si="6"/>
        <v/>
      </c>
      <c r="L87" s="66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58"/>
      <c r="N87" s="58"/>
      <c r="O87" s="5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61"/>
      <c r="B88" s="53"/>
      <c r="C88" s="53"/>
      <c r="D88" s="67"/>
      <c r="E88" s="67"/>
      <c r="F88" s="64" t="str">
        <f t="shared" si="1"/>
        <v/>
      </c>
      <c r="G88" s="64" t="str">
        <f t="shared" si="2"/>
        <v/>
      </c>
      <c r="H88" s="64" t="str">
        <f t="shared" si="3"/>
        <v/>
      </c>
      <c r="I88" s="64" t="str">
        <f t="shared" si="4"/>
        <v/>
      </c>
      <c r="J88" s="64" t="str">
        <f t="shared" si="5"/>
        <v/>
      </c>
      <c r="K88" s="64" t="str">
        <f t="shared" si="6"/>
        <v/>
      </c>
      <c r="L88" s="64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58"/>
      <c r="N88" s="58"/>
      <c r="O88" s="5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61"/>
      <c r="B89" s="53"/>
      <c r="C89" s="53"/>
      <c r="D89" s="67"/>
      <c r="E89" s="67"/>
      <c r="F89" s="64" t="str">
        <f t="shared" si="1"/>
        <v/>
      </c>
      <c r="G89" s="64" t="str">
        <f t="shared" si="2"/>
        <v/>
      </c>
      <c r="H89" s="64" t="str">
        <f t="shared" si="3"/>
        <v/>
      </c>
      <c r="I89" s="64" t="str">
        <f t="shared" si="4"/>
        <v/>
      </c>
      <c r="J89" s="64" t="str">
        <f t="shared" si="5"/>
        <v/>
      </c>
      <c r="K89" s="64" t="str">
        <f t="shared" si="6"/>
        <v/>
      </c>
      <c r="L89" s="64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58"/>
      <c r="N89" s="58"/>
      <c r="O89" s="5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61"/>
      <c r="B90" s="53"/>
      <c r="C90" s="53"/>
      <c r="D90" s="67"/>
      <c r="E90" s="67"/>
      <c r="F90" s="64" t="str">
        <f t="shared" si="1"/>
        <v/>
      </c>
      <c r="G90" s="64" t="str">
        <f t="shared" si="2"/>
        <v/>
      </c>
      <c r="H90" s="64" t="str">
        <f t="shared" si="3"/>
        <v/>
      </c>
      <c r="I90" s="64" t="str">
        <f t="shared" si="4"/>
        <v/>
      </c>
      <c r="J90" s="64" t="str">
        <f t="shared" si="5"/>
        <v/>
      </c>
      <c r="K90" s="64" t="str">
        <f t="shared" si="6"/>
        <v/>
      </c>
      <c r="L90" s="64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58"/>
      <c r="N90" s="58"/>
      <c r="O90" s="5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61"/>
      <c r="B91" s="53"/>
      <c r="C91" s="53"/>
      <c r="D91" s="67"/>
      <c r="E91" s="67"/>
      <c r="F91" s="64" t="str">
        <f t="shared" si="1"/>
        <v/>
      </c>
      <c r="G91" s="64" t="str">
        <f t="shared" si="2"/>
        <v/>
      </c>
      <c r="H91" s="64" t="str">
        <f t="shared" si="3"/>
        <v/>
      </c>
      <c r="I91" s="64" t="str">
        <f t="shared" si="4"/>
        <v/>
      </c>
      <c r="J91" s="64" t="str">
        <f t="shared" si="5"/>
        <v/>
      </c>
      <c r="K91" s="64" t="str">
        <f t="shared" si="6"/>
        <v/>
      </c>
      <c r="L91" s="64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58"/>
      <c r="N91" s="58"/>
      <c r="O91" s="5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61"/>
      <c r="B92" s="53"/>
      <c r="C92" s="53"/>
      <c r="D92" s="67"/>
      <c r="E92" s="67"/>
      <c r="F92" s="64" t="str">
        <f t="shared" si="1"/>
        <v/>
      </c>
      <c r="G92" s="64" t="str">
        <f t="shared" si="2"/>
        <v/>
      </c>
      <c r="H92" s="64" t="str">
        <f t="shared" si="3"/>
        <v/>
      </c>
      <c r="I92" s="64" t="str">
        <f t="shared" si="4"/>
        <v/>
      </c>
      <c r="J92" s="64" t="str">
        <f t="shared" si="5"/>
        <v/>
      </c>
      <c r="K92" s="64" t="str">
        <f t="shared" si="6"/>
        <v/>
      </c>
      <c r="L92" s="64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58"/>
      <c r="N92" s="58"/>
      <c r="O92" s="5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61"/>
      <c r="B93" s="63"/>
      <c r="C93" s="53"/>
      <c r="D93" s="67"/>
      <c r="E93" s="67"/>
      <c r="F93" s="64" t="str">
        <f t="shared" si="1"/>
        <v/>
      </c>
      <c r="G93" s="64" t="str">
        <f t="shared" si="2"/>
        <v/>
      </c>
      <c r="H93" s="64" t="str">
        <f t="shared" si="3"/>
        <v/>
      </c>
      <c r="I93" s="64" t="str">
        <f t="shared" si="4"/>
        <v/>
      </c>
      <c r="J93" s="64" t="str">
        <f t="shared" si="5"/>
        <v/>
      </c>
      <c r="K93" s="64" t="str">
        <f t="shared" si="6"/>
        <v/>
      </c>
      <c r="L93" s="64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58"/>
      <c r="N93" s="58"/>
      <c r="O93" s="5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60"/>
      <c r="B94" s="53"/>
      <c r="C94" s="53"/>
      <c r="D94" s="67"/>
      <c r="E94" s="67"/>
      <c r="F94" s="68" t="str">
        <f t="shared" si="1"/>
        <v/>
      </c>
      <c r="G94" s="67" t="str">
        <f t="shared" si="2"/>
        <v/>
      </c>
      <c r="H94" s="69" t="str">
        <f t="shared" si="3"/>
        <v/>
      </c>
      <c r="I94" s="70" t="str">
        <f t="shared" si="4"/>
        <v/>
      </c>
      <c r="J94" s="67" t="str">
        <f t="shared" si="5"/>
        <v/>
      </c>
      <c r="K94" s="71" t="str">
        <f t="shared" si="6"/>
        <v/>
      </c>
      <c r="L94" s="71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58"/>
      <c r="N94" s="58"/>
      <c r="O94" s="5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60"/>
      <c r="B95" s="53"/>
      <c r="C95" s="53"/>
      <c r="D95" s="67"/>
      <c r="E95" s="67"/>
      <c r="F95" s="68" t="str">
        <f t="shared" si="1"/>
        <v/>
      </c>
      <c r="G95" s="67" t="str">
        <f t="shared" si="2"/>
        <v/>
      </c>
      <c r="H95" s="69" t="str">
        <f t="shared" si="3"/>
        <v/>
      </c>
      <c r="I95" s="70" t="str">
        <f t="shared" si="4"/>
        <v/>
      </c>
      <c r="J95" s="67" t="str">
        <f t="shared" si="5"/>
        <v/>
      </c>
      <c r="K95" s="71" t="str">
        <f t="shared" si="6"/>
        <v/>
      </c>
      <c r="L95" s="71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58"/>
      <c r="N95" s="58"/>
      <c r="O95" s="5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60"/>
      <c r="B96" s="53"/>
      <c r="C96" s="53"/>
      <c r="D96" s="67"/>
      <c r="E96" s="67"/>
      <c r="F96" s="68" t="str">
        <f t="shared" si="1"/>
        <v/>
      </c>
      <c r="G96" s="67" t="str">
        <f t="shared" si="2"/>
        <v/>
      </c>
      <c r="H96" s="69" t="str">
        <f t="shared" si="3"/>
        <v/>
      </c>
      <c r="I96" s="70" t="str">
        <f t="shared" si="4"/>
        <v/>
      </c>
      <c r="J96" s="67" t="str">
        <f t="shared" si="5"/>
        <v/>
      </c>
      <c r="K96" s="71" t="str">
        <f t="shared" si="6"/>
        <v/>
      </c>
      <c r="L96" s="71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58"/>
      <c r="N96" s="58"/>
      <c r="O96" s="5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60"/>
      <c r="B97" s="53"/>
      <c r="C97" s="53"/>
      <c r="D97" s="67"/>
      <c r="E97" s="67"/>
      <c r="F97" s="68" t="str">
        <f t="shared" si="1"/>
        <v/>
      </c>
      <c r="G97" s="67" t="str">
        <f t="shared" si="2"/>
        <v/>
      </c>
      <c r="H97" s="69" t="str">
        <f t="shared" si="3"/>
        <v/>
      </c>
      <c r="I97" s="70" t="str">
        <f t="shared" si="4"/>
        <v/>
      </c>
      <c r="J97" s="67" t="str">
        <f t="shared" si="5"/>
        <v/>
      </c>
      <c r="K97" s="71" t="str">
        <f t="shared" si="6"/>
        <v/>
      </c>
      <c r="L97" s="71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58"/>
      <c r="N97" s="58"/>
      <c r="O97" s="5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60"/>
      <c r="B98" s="53"/>
      <c r="C98" s="53"/>
      <c r="D98" s="67"/>
      <c r="E98" s="67"/>
      <c r="F98" s="68" t="str">
        <f t="shared" si="1"/>
        <v/>
      </c>
      <c r="G98" s="67" t="str">
        <f t="shared" si="2"/>
        <v/>
      </c>
      <c r="H98" s="69" t="str">
        <f t="shared" si="3"/>
        <v/>
      </c>
      <c r="I98" s="70" t="str">
        <f t="shared" si="4"/>
        <v/>
      </c>
      <c r="J98" s="67" t="str">
        <f t="shared" si="5"/>
        <v/>
      </c>
      <c r="K98" s="71" t="str">
        <f t="shared" si="6"/>
        <v/>
      </c>
      <c r="L98" s="71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58"/>
      <c r="N98" s="58"/>
      <c r="O98" s="5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60"/>
      <c r="B99" s="63"/>
      <c r="C99" s="53"/>
      <c r="D99" s="67"/>
      <c r="E99" s="67"/>
      <c r="F99" s="68" t="str">
        <f t="shared" si="1"/>
        <v/>
      </c>
      <c r="G99" s="67" t="str">
        <f t="shared" si="2"/>
        <v/>
      </c>
      <c r="H99" s="69" t="str">
        <f t="shared" si="3"/>
        <v/>
      </c>
      <c r="I99" s="70" t="str">
        <f t="shared" si="4"/>
        <v/>
      </c>
      <c r="J99" s="67" t="str">
        <f t="shared" si="5"/>
        <v/>
      </c>
      <c r="K99" s="71" t="str">
        <f t="shared" si="6"/>
        <v/>
      </c>
      <c r="L99" s="71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58"/>
      <c r="N99" s="58"/>
      <c r="O99" s="5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72"/>
      <c r="B100" s="63"/>
      <c r="C100" s="63"/>
      <c r="D100" s="67"/>
      <c r="E100" s="67"/>
      <c r="F100" s="68" t="str">
        <f t="shared" si="1"/>
        <v/>
      </c>
      <c r="G100" s="67" t="str">
        <f t="shared" si="2"/>
        <v/>
      </c>
      <c r="H100" s="69" t="str">
        <f t="shared" si="3"/>
        <v/>
      </c>
      <c r="I100" s="70" t="str">
        <f t="shared" si="4"/>
        <v/>
      </c>
      <c r="J100" s="67" t="str">
        <f t="shared" si="5"/>
        <v/>
      </c>
      <c r="K100" s="71" t="str">
        <f t="shared" si="6"/>
        <v/>
      </c>
      <c r="L100" s="71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58"/>
      <c r="N100" s="58"/>
      <c r="O100" s="5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72"/>
      <c r="B101" s="63"/>
      <c r="C101" s="63"/>
      <c r="D101" s="67"/>
      <c r="E101" s="67"/>
      <c r="F101" s="68" t="str">
        <f t="shared" si="1"/>
        <v/>
      </c>
      <c r="G101" s="67" t="str">
        <f t="shared" si="2"/>
        <v/>
      </c>
      <c r="H101" s="69" t="str">
        <f t="shared" si="3"/>
        <v/>
      </c>
      <c r="I101" s="70" t="str">
        <f t="shared" si="4"/>
        <v/>
      </c>
      <c r="J101" s="67" t="str">
        <f t="shared" si="5"/>
        <v/>
      </c>
      <c r="K101" s="71" t="str">
        <f t="shared" si="6"/>
        <v/>
      </c>
      <c r="L101" s="71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58"/>
      <c r="N101" s="58"/>
      <c r="O101" s="5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72"/>
      <c r="B102" s="63"/>
      <c r="C102" s="63"/>
      <c r="D102" s="67"/>
      <c r="E102" s="67"/>
      <c r="F102" s="68" t="str">
        <f t="shared" si="1"/>
        <v/>
      </c>
      <c r="G102" s="67" t="str">
        <f t="shared" si="2"/>
        <v/>
      </c>
      <c r="H102" s="69" t="str">
        <f t="shared" si="3"/>
        <v/>
      </c>
      <c r="I102" s="70" t="str">
        <f t="shared" si="4"/>
        <v/>
      </c>
      <c r="J102" s="67" t="str">
        <f t="shared" si="5"/>
        <v/>
      </c>
      <c r="K102" s="71" t="str">
        <f t="shared" si="6"/>
        <v/>
      </c>
      <c r="L102" s="71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58"/>
      <c r="N102" s="58"/>
      <c r="O102" s="5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72"/>
      <c r="B103" s="63"/>
      <c r="C103" s="63"/>
      <c r="D103" s="67"/>
      <c r="E103" s="67"/>
      <c r="F103" s="68" t="str">
        <f t="shared" si="1"/>
        <v/>
      </c>
      <c r="G103" s="67" t="str">
        <f t="shared" si="2"/>
        <v/>
      </c>
      <c r="H103" s="69" t="str">
        <f t="shared" si="3"/>
        <v/>
      </c>
      <c r="I103" s="70" t="str">
        <f t="shared" si="4"/>
        <v/>
      </c>
      <c r="J103" s="67" t="str">
        <f t="shared" si="5"/>
        <v/>
      </c>
      <c r="K103" s="71" t="str">
        <f t="shared" si="6"/>
        <v/>
      </c>
      <c r="L103" s="71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58"/>
      <c r="N103" s="58"/>
      <c r="O103" s="5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72"/>
      <c r="B104" s="63"/>
      <c r="C104" s="63"/>
      <c r="D104" s="67"/>
      <c r="E104" s="67"/>
      <c r="F104" s="68" t="str">
        <f t="shared" si="1"/>
        <v/>
      </c>
      <c r="G104" s="67" t="str">
        <f t="shared" si="2"/>
        <v/>
      </c>
      <c r="H104" s="69" t="str">
        <f t="shared" si="3"/>
        <v/>
      </c>
      <c r="I104" s="70" t="str">
        <f t="shared" si="4"/>
        <v/>
      </c>
      <c r="J104" s="67" t="str">
        <f t="shared" si="5"/>
        <v/>
      </c>
      <c r="K104" s="71" t="str">
        <f t="shared" si="6"/>
        <v/>
      </c>
      <c r="L104" s="71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58"/>
      <c r="N104" s="58"/>
      <c r="O104" s="5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72"/>
      <c r="B105" s="63"/>
      <c r="C105" s="63"/>
      <c r="D105" s="67"/>
      <c r="E105" s="67"/>
      <c r="F105" s="68" t="str">
        <f t="shared" si="1"/>
        <v/>
      </c>
      <c r="G105" s="67" t="str">
        <f t="shared" si="2"/>
        <v/>
      </c>
      <c r="H105" s="69" t="str">
        <f t="shared" si="3"/>
        <v/>
      </c>
      <c r="I105" s="70" t="str">
        <f t="shared" si="4"/>
        <v/>
      </c>
      <c r="J105" s="67" t="str">
        <f t="shared" si="5"/>
        <v/>
      </c>
      <c r="K105" s="71" t="str">
        <f t="shared" si="6"/>
        <v/>
      </c>
      <c r="L105" s="71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58"/>
      <c r="N105" s="58"/>
      <c r="O105" s="5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72"/>
      <c r="B106" s="63"/>
      <c r="C106" s="63"/>
      <c r="D106" s="67"/>
      <c r="E106" s="67"/>
      <c r="F106" s="68" t="str">
        <f t="shared" si="1"/>
        <v/>
      </c>
      <c r="G106" s="67" t="str">
        <f t="shared" si="2"/>
        <v/>
      </c>
      <c r="H106" s="69" t="str">
        <f t="shared" si="3"/>
        <v/>
      </c>
      <c r="I106" s="70" t="str">
        <f t="shared" si="4"/>
        <v/>
      </c>
      <c r="J106" s="67" t="str">
        <f t="shared" si="5"/>
        <v/>
      </c>
      <c r="K106" s="71" t="str">
        <f t="shared" si="6"/>
        <v/>
      </c>
      <c r="L106" s="71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58"/>
      <c r="N106" s="58"/>
      <c r="O106" s="5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72"/>
      <c r="B107" s="63"/>
      <c r="C107" s="63"/>
      <c r="D107" s="67"/>
      <c r="E107" s="67"/>
      <c r="F107" s="68" t="str">
        <f t="shared" si="1"/>
        <v/>
      </c>
      <c r="G107" s="67" t="str">
        <f t="shared" si="2"/>
        <v/>
      </c>
      <c r="H107" s="69" t="str">
        <f t="shared" si="3"/>
        <v/>
      </c>
      <c r="I107" s="70" t="str">
        <f t="shared" si="4"/>
        <v/>
      </c>
      <c r="J107" s="67" t="str">
        <f t="shared" si="5"/>
        <v/>
      </c>
      <c r="K107" s="71" t="str">
        <f t="shared" si="6"/>
        <v/>
      </c>
      <c r="L107" s="71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58"/>
      <c r="N107" s="58"/>
      <c r="O107" s="5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72"/>
      <c r="B108" s="63"/>
      <c r="C108" s="63"/>
      <c r="D108" s="67"/>
      <c r="E108" s="67"/>
      <c r="F108" s="68" t="str">
        <f t="shared" si="1"/>
        <v/>
      </c>
      <c r="G108" s="67" t="str">
        <f t="shared" si="2"/>
        <v/>
      </c>
      <c r="H108" s="69" t="str">
        <f t="shared" si="3"/>
        <v/>
      </c>
      <c r="I108" s="70" t="str">
        <f t="shared" si="4"/>
        <v/>
      </c>
      <c r="J108" s="67" t="str">
        <f t="shared" si="5"/>
        <v/>
      </c>
      <c r="K108" s="71" t="str">
        <f t="shared" si="6"/>
        <v/>
      </c>
      <c r="L108" s="71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58"/>
      <c r="N108" s="58"/>
      <c r="O108" s="5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72"/>
      <c r="B109" s="63"/>
      <c r="C109" s="63"/>
      <c r="D109" s="67"/>
      <c r="E109" s="67"/>
      <c r="F109" s="68" t="str">
        <f t="shared" si="1"/>
        <v/>
      </c>
      <c r="G109" s="67" t="str">
        <f t="shared" si="2"/>
        <v/>
      </c>
      <c r="H109" s="69" t="str">
        <f t="shared" si="3"/>
        <v/>
      </c>
      <c r="I109" s="70" t="str">
        <f t="shared" si="4"/>
        <v/>
      </c>
      <c r="J109" s="67" t="str">
        <f t="shared" si="5"/>
        <v/>
      </c>
      <c r="K109" s="71" t="str">
        <f t="shared" si="6"/>
        <v/>
      </c>
      <c r="L109" s="71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58"/>
      <c r="N109" s="58"/>
      <c r="O109" s="5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3.5" customHeight="1">
      <c r="A110" s="72"/>
      <c r="B110" s="63"/>
      <c r="C110" s="63"/>
      <c r="D110" s="67"/>
      <c r="E110" s="67"/>
      <c r="F110" s="68" t="str">
        <f t="shared" si="1"/>
        <v/>
      </c>
      <c r="G110" s="67" t="str">
        <f t="shared" si="2"/>
        <v/>
      </c>
      <c r="H110" s="69" t="str">
        <f t="shared" si="3"/>
        <v/>
      </c>
      <c r="I110" s="70" t="str">
        <f t="shared" si="4"/>
        <v/>
      </c>
      <c r="J110" s="67" t="str">
        <f t="shared" si="5"/>
        <v/>
      </c>
      <c r="K110" s="71" t="str">
        <f t="shared" si="6"/>
        <v/>
      </c>
      <c r="L110" s="71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58"/>
      <c r="N110" s="58"/>
      <c r="O110" s="5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72"/>
      <c r="B111" s="63"/>
      <c r="C111" s="63"/>
      <c r="D111" s="67"/>
      <c r="E111" s="67"/>
      <c r="F111" s="68" t="str">
        <f t="shared" si="1"/>
        <v/>
      </c>
      <c r="G111" s="67" t="str">
        <f t="shared" si="2"/>
        <v/>
      </c>
      <c r="H111" s="69" t="str">
        <f t="shared" si="3"/>
        <v/>
      </c>
      <c r="I111" s="70" t="str">
        <f t="shared" si="4"/>
        <v/>
      </c>
      <c r="J111" s="67" t="str">
        <f t="shared" si="5"/>
        <v/>
      </c>
      <c r="K111" s="71" t="str">
        <f t="shared" si="6"/>
        <v/>
      </c>
      <c r="L111" s="71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58"/>
      <c r="N111" s="58"/>
      <c r="O111" s="5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72"/>
      <c r="B112" s="63"/>
      <c r="C112" s="63"/>
      <c r="D112" s="67"/>
      <c r="E112" s="67"/>
      <c r="F112" s="68" t="str">
        <f t="shared" si="1"/>
        <v/>
      </c>
      <c r="G112" s="67" t="str">
        <f t="shared" si="2"/>
        <v/>
      </c>
      <c r="H112" s="69" t="str">
        <f t="shared" si="3"/>
        <v/>
      </c>
      <c r="I112" s="70" t="str">
        <f t="shared" si="4"/>
        <v/>
      </c>
      <c r="J112" s="67" t="str">
        <f t="shared" si="5"/>
        <v/>
      </c>
      <c r="K112" s="71" t="str">
        <f t="shared" si="6"/>
        <v/>
      </c>
      <c r="L112" s="71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58"/>
      <c r="N112" s="58"/>
      <c r="O112" s="5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72"/>
      <c r="B113" s="63"/>
      <c r="C113" s="63"/>
      <c r="D113" s="67"/>
      <c r="E113" s="67"/>
      <c r="F113" s="68" t="str">
        <f t="shared" si="1"/>
        <v/>
      </c>
      <c r="G113" s="67" t="str">
        <f t="shared" si="2"/>
        <v/>
      </c>
      <c r="H113" s="69" t="str">
        <f t="shared" si="3"/>
        <v/>
      </c>
      <c r="I113" s="70" t="str">
        <f t="shared" si="4"/>
        <v/>
      </c>
      <c r="J113" s="67" t="str">
        <f t="shared" si="5"/>
        <v/>
      </c>
      <c r="K113" s="71" t="str">
        <f t="shared" si="6"/>
        <v/>
      </c>
      <c r="L113" s="71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58"/>
      <c r="N113" s="58"/>
      <c r="O113" s="5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72"/>
      <c r="B114" s="63"/>
      <c r="C114" s="63"/>
      <c r="D114" s="67"/>
      <c r="E114" s="67"/>
      <c r="F114" s="68" t="str">
        <f t="shared" si="1"/>
        <v/>
      </c>
      <c r="G114" s="67" t="str">
        <f t="shared" si="2"/>
        <v/>
      </c>
      <c r="H114" s="69" t="str">
        <f t="shared" si="3"/>
        <v/>
      </c>
      <c r="I114" s="70" t="str">
        <f t="shared" si="4"/>
        <v/>
      </c>
      <c r="J114" s="67" t="str">
        <f t="shared" si="5"/>
        <v/>
      </c>
      <c r="K114" s="71" t="str">
        <f t="shared" si="6"/>
        <v/>
      </c>
      <c r="L114" s="71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58"/>
      <c r="N114" s="58"/>
      <c r="O114" s="5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72"/>
      <c r="B115" s="63"/>
      <c r="C115" s="63"/>
      <c r="D115" s="67"/>
      <c r="E115" s="67"/>
      <c r="F115" s="68" t="str">
        <f t="shared" si="1"/>
        <v/>
      </c>
      <c r="G115" s="67" t="str">
        <f t="shared" si="2"/>
        <v/>
      </c>
      <c r="H115" s="69" t="str">
        <f t="shared" si="3"/>
        <v/>
      </c>
      <c r="I115" s="70" t="str">
        <f t="shared" si="4"/>
        <v/>
      </c>
      <c r="J115" s="67" t="str">
        <f t="shared" si="5"/>
        <v/>
      </c>
      <c r="K115" s="71" t="str">
        <f t="shared" si="6"/>
        <v/>
      </c>
      <c r="L115" s="71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58"/>
      <c r="N115" s="58"/>
      <c r="O115" s="5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3.5" customHeight="1">
      <c r="A116" s="72"/>
      <c r="B116" s="63"/>
      <c r="C116" s="63"/>
      <c r="D116" s="67"/>
      <c r="E116" s="67"/>
      <c r="F116" s="68" t="str">
        <f t="shared" si="1"/>
        <v/>
      </c>
      <c r="G116" s="67" t="str">
        <f t="shared" si="2"/>
        <v/>
      </c>
      <c r="H116" s="69" t="str">
        <f t="shared" si="3"/>
        <v/>
      </c>
      <c r="I116" s="70" t="str">
        <f t="shared" si="4"/>
        <v/>
      </c>
      <c r="J116" s="67" t="str">
        <f t="shared" si="5"/>
        <v/>
      </c>
      <c r="K116" s="71" t="str">
        <f t="shared" si="6"/>
        <v/>
      </c>
      <c r="L116" s="71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58"/>
      <c r="N116" s="58"/>
      <c r="O116" s="5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3.5" customHeight="1">
      <c r="A117" s="72"/>
      <c r="B117" s="63"/>
      <c r="C117" s="63"/>
      <c r="D117" s="67"/>
      <c r="E117" s="67"/>
      <c r="F117" s="68" t="str">
        <f t="shared" si="1"/>
        <v/>
      </c>
      <c r="G117" s="67" t="str">
        <f t="shared" si="2"/>
        <v/>
      </c>
      <c r="H117" s="69" t="str">
        <f t="shared" si="3"/>
        <v/>
      </c>
      <c r="I117" s="70" t="str">
        <f t="shared" si="4"/>
        <v/>
      </c>
      <c r="J117" s="67" t="str">
        <f t="shared" si="5"/>
        <v/>
      </c>
      <c r="K117" s="71" t="str">
        <f t="shared" si="6"/>
        <v/>
      </c>
      <c r="L117" s="71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58"/>
      <c r="N117" s="58"/>
      <c r="O117" s="5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72"/>
      <c r="B118" s="63"/>
      <c r="C118" s="63"/>
      <c r="D118" s="67"/>
      <c r="E118" s="67"/>
      <c r="F118" s="68" t="str">
        <f t="shared" si="1"/>
        <v/>
      </c>
      <c r="G118" s="67" t="str">
        <f t="shared" si="2"/>
        <v/>
      </c>
      <c r="H118" s="69" t="str">
        <f t="shared" si="3"/>
        <v/>
      </c>
      <c r="I118" s="70" t="str">
        <f t="shared" si="4"/>
        <v/>
      </c>
      <c r="J118" s="67" t="str">
        <f t="shared" si="5"/>
        <v/>
      </c>
      <c r="K118" s="71" t="str">
        <f t="shared" si="6"/>
        <v/>
      </c>
      <c r="L118" s="71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58"/>
      <c r="N118" s="58"/>
      <c r="O118" s="5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72"/>
      <c r="B119" s="63"/>
      <c r="C119" s="63"/>
      <c r="D119" s="67"/>
      <c r="E119" s="67"/>
      <c r="F119" s="68" t="str">
        <f t="shared" si="1"/>
        <v/>
      </c>
      <c r="G119" s="67" t="str">
        <f t="shared" si="2"/>
        <v/>
      </c>
      <c r="H119" s="69" t="str">
        <f t="shared" si="3"/>
        <v/>
      </c>
      <c r="I119" s="70" t="str">
        <f t="shared" si="4"/>
        <v/>
      </c>
      <c r="J119" s="67" t="str">
        <f t="shared" si="5"/>
        <v/>
      </c>
      <c r="K119" s="71" t="str">
        <f t="shared" si="6"/>
        <v/>
      </c>
      <c r="L119" s="71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58"/>
      <c r="N119" s="58"/>
      <c r="O119" s="5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72"/>
      <c r="B120" s="63"/>
      <c r="C120" s="63"/>
      <c r="D120" s="67"/>
      <c r="E120" s="67"/>
      <c r="F120" s="68" t="str">
        <f t="shared" si="1"/>
        <v/>
      </c>
      <c r="G120" s="67" t="str">
        <f t="shared" si="2"/>
        <v/>
      </c>
      <c r="H120" s="69" t="str">
        <f t="shared" si="3"/>
        <v/>
      </c>
      <c r="I120" s="70" t="str">
        <f t="shared" si="4"/>
        <v/>
      </c>
      <c r="J120" s="67" t="str">
        <f t="shared" si="5"/>
        <v/>
      </c>
      <c r="K120" s="71" t="str">
        <f t="shared" si="6"/>
        <v/>
      </c>
      <c r="L120" s="71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58"/>
      <c r="N120" s="58"/>
      <c r="O120" s="5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73"/>
      <c r="B121" s="63"/>
      <c r="C121" s="63"/>
      <c r="D121" s="67"/>
      <c r="E121" s="67"/>
      <c r="F121" s="68" t="str">
        <f t="shared" si="1"/>
        <v/>
      </c>
      <c r="G121" s="67" t="str">
        <f t="shared" si="2"/>
        <v/>
      </c>
      <c r="H121" s="69" t="str">
        <f t="shared" si="3"/>
        <v/>
      </c>
      <c r="I121" s="70" t="str">
        <f t="shared" si="4"/>
        <v/>
      </c>
      <c r="J121" s="67" t="str">
        <f t="shared" si="5"/>
        <v/>
      </c>
      <c r="K121" s="71" t="str">
        <f t="shared" si="6"/>
        <v/>
      </c>
      <c r="L121" s="71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58"/>
      <c r="N121" s="58"/>
      <c r="O121" s="5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72"/>
      <c r="B122" s="63"/>
      <c r="C122" s="63"/>
      <c r="D122" s="67"/>
      <c r="E122" s="67"/>
      <c r="F122" s="68" t="str">
        <f t="shared" si="1"/>
        <v/>
      </c>
      <c r="G122" s="67" t="str">
        <f t="shared" si="2"/>
        <v/>
      </c>
      <c r="H122" s="69" t="str">
        <f t="shared" si="3"/>
        <v/>
      </c>
      <c r="I122" s="70" t="str">
        <f t="shared" si="4"/>
        <v/>
      </c>
      <c r="J122" s="67" t="str">
        <f t="shared" si="5"/>
        <v/>
      </c>
      <c r="K122" s="71" t="str">
        <f t="shared" si="6"/>
        <v/>
      </c>
      <c r="L122" s="71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58"/>
      <c r="N122" s="58"/>
      <c r="O122" s="5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72"/>
      <c r="B123" s="63"/>
      <c r="C123" s="63"/>
      <c r="D123" s="67"/>
      <c r="E123" s="67"/>
      <c r="F123" s="68" t="str">
        <f t="shared" si="1"/>
        <v/>
      </c>
      <c r="G123" s="67" t="str">
        <f t="shared" si="2"/>
        <v/>
      </c>
      <c r="H123" s="69" t="str">
        <f t="shared" si="3"/>
        <v/>
      </c>
      <c r="I123" s="70" t="str">
        <f t="shared" si="4"/>
        <v/>
      </c>
      <c r="J123" s="67" t="str">
        <f t="shared" si="5"/>
        <v/>
      </c>
      <c r="K123" s="71" t="str">
        <f t="shared" si="6"/>
        <v/>
      </c>
      <c r="L123" s="71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58"/>
      <c r="N123" s="58"/>
      <c r="O123" s="5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72"/>
      <c r="B124" s="63"/>
      <c r="C124" s="63"/>
      <c r="D124" s="67"/>
      <c r="E124" s="67"/>
      <c r="F124" s="68" t="str">
        <f t="shared" si="1"/>
        <v/>
      </c>
      <c r="G124" s="67" t="str">
        <f t="shared" si="2"/>
        <v/>
      </c>
      <c r="H124" s="69" t="str">
        <f t="shared" si="3"/>
        <v/>
      </c>
      <c r="I124" s="70" t="str">
        <f t="shared" si="4"/>
        <v/>
      </c>
      <c r="J124" s="67" t="str">
        <f t="shared" si="5"/>
        <v/>
      </c>
      <c r="K124" s="71" t="str">
        <f t="shared" si="6"/>
        <v/>
      </c>
      <c r="L124" s="71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58"/>
      <c r="N124" s="58"/>
      <c r="O124" s="5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72"/>
      <c r="B125" s="63"/>
      <c r="C125" s="63"/>
      <c r="D125" s="67"/>
      <c r="E125" s="67"/>
      <c r="F125" s="68" t="str">
        <f t="shared" si="1"/>
        <v/>
      </c>
      <c r="G125" s="67" t="str">
        <f t="shared" si="2"/>
        <v/>
      </c>
      <c r="H125" s="69" t="str">
        <f t="shared" si="3"/>
        <v/>
      </c>
      <c r="I125" s="70" t="str">
        <f t="shared" si="4"/>
        <v/>
      </c>
      <c r="J125" s="67" t="str">
        <f t="shared" si="5"/>
        <v/>
      </c>
      <c r="K125" s="71" t="str">
        <f t="shared" si="6"/>
        <v/>
      </c>
      <c r="L125" s="71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58"/>
      <c r="N125" s="58"/>
      <c r="O125" s="5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72"/>
      <c r="B126" s="63"/>
      <c r="C126" s="63"/>
      <c r="D126" s="67"/>
      <c r="E126" s="67"/>
      <c r="F126" s="68" t="str">
        <f t="shared" si="1"/>
        <v/>
      </c>
      <c r="G126" s="67" t="str">
        <f t="shared" si="2"/>
        <v/>
      </c>
      <c r="H126" s="69" t="str">
        <f t="shared" si="3"/>
        <v/>
      </c>
      <c r="I126" s="70" t="str">
        <f t="shared" si="4"/>
        <v/>
      </c>
      <c r="J126" s="67" t="str">
        <f t="shared" si="5"/>
        <v/>
      </c>
      <c r="K126" s="71" t="str">
        <f t="shared" si="6"/>
        <v/>
      </c>
      <c r="L126" s="71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58"/>
      <c r="N126" s="58"/>
      <c r="O126" s="5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73"/>
      <c r="B127" s="63"/>
      <c r="C127" s="63"/>
      <c r="D127" s="67"/>
      <c r="E127" s="67"/>
      <c r="F127" s="68" t="str">
        <f t="shared" si="1"/>
        <v/>
      </c>
      <c r="G127" s="67" t="str">
        <f t="shared" si="2"/>
        <v/>
      </c>
      <c r="H127" s="69" t="str">
        <f t="shared" si="3"/>
        <v/>
      </c>
      <c r="I127" s="70" t="str">
        <f t="shared" si="4"/>
        <v/>
      </c>
      <c r="J127" s="67" t="str">
        <f t="shared" si="5"/>
        <v/>
      </c>
      <c r="K127" s="71" t="str">
        <f t="shared" si="6"/>
        <v/>
      </c>
      <c r="L127" s="71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58"/>
      <c r="N127" s="58"/>
      <c r="O127" s="5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72"/>
      <c r="B128" s="63"/>
      <c r="C128" s="63"/>
      <c r="D128" s="67"/>
      <c r="E128" s="67"/>
      <c r="F128" s="68" t="str">
        <f t="shared" si="1"/>
        <v/>
      </c>
      <c r="G128" s="67" t="str">
        <f t="shared" si="2"/>
        <v/>
      </c>
      <c r="H128" s="69" t="str">
        <f t="shared" si="3"/>
        <v/>
      </c>
      <c r="I128" s="70" t="str">
        <f t="shared" si="4"/>
        <v/>
      </c>
      <c r="J128" s="67" t="str">
        <f t="shared" si="5"/>
        <v/>
      </c>
      <c r="K128" s="71" t="str">
        <f t="shared" si="6"/>
        <v/>
      </c>
      <c r="L128" s="71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58"/>
      <c r="N128" s="58"/>
      <c r="O128" s="5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72"/>
      <c r="B129" s="63"/>
      <c r="C129" s="63"/>
      <c r="D129" s="67"/>
      <c r="E129" s="67"/>
      <c r="F129" s="68" t="str">
        <f t="shared" si="1"/>
        <v/>
      </c>
      <c r="G129" s="67" t="str">
        <f t="shared" si="2"/>
        <v/>
      </c>
      <c r="H129" s="69" t="str">
        <f t="shared" si="3"/>
        <v/>
      </c>
      <c r="I129" s="70" t="str">
        <f t="shared" si="4"/>
        <v/>
      </c>
      <c r="J129" s="67" t="str">
        <f t="shared" si="5"/>
        <v/>
      </c>
      <c r="K129" s="71" t="str">
        <f t="shared" si="6"/>
        <v/>
      </c>
      <c r="L129" s="71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58"/>
      <c r="N129" s="58"/>
      <c r="O129" s="5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72"/>
      <c r="B130" s="63"/>
      <c r="C130" s="63"/>
      <c r="D130" s="67"/>
      <c r="E130" s="67"/>
      <c r="F130" s="68" t="str">
        <f t="shared" si="1"/>
        <v/>
      </c>
      <c r="G130" s="67" t="str">
        <f t="shared" si="2"/>
        <v/>
      </c>
      <c r="H130" s="69" t="str">
        <f t="shared" si="3"/>
        <v/>
      </c>
      <c r="I130" s="70" t="str">
        <f t="shared" si="4"/>
        <v/>
      </c>
      <c r="J130" s="67" t="str">
        <f t="shared" si="5"/>
        <v/>
      </c>
      <c r="K130" s="71" t="str">
        <f t="shared" si="6"/>
        <v/>
      </c>
      <c r="L130" s="71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58"/>
      <c r="N130" s="58"/>
      <c r="O130" s="5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72"/>
      <c r="B131" s="63"/>
      <c r="C131" s="63"/>
      <c r="D131" s="67"/>
      <c r="E131" s="67"/>
      <c r="F131" s="68" t="str">
        <f t="shared" si="1"/>
        <v/>
      </c>
      <c r="G131" s="67" t="str">
        <f t="shared" si="2"/>
        <v/>
      </c>
      <c r="H131" s="69" t="str">
        <f t="shared" si="3"/>
        <v/>
      </c>
      <c r="I131" s="70" t="str">
        <f t="shared" si="4"/>
        <v/>
      </c>
      <c r="J131" s="67" t="str">
        <f t="shared" si="5"/>
        <v/>
      </c>
      <c r="K131" s="71" t="str">
        <f t="shared" si="6"/>
        <v/>
      </c>
      <c r="L131" s="71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58"/>
      <c r="N131" s="58"/>
      <c r="O131" s="5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72"/>
      <c r="B132" s="63"/>
      <c r="C132" s="63"/>
      <c r="D132" s="67"/>
      <c r="E132" s="67"/>
      <c r="F132" s="68" t="str">
        <f t="shared" si="1"/>
        <v/>
      </c>
      <c r="G132" s="67" t="str">
        <f t="shared" si="2"/>
        <v/>
      </c>
      <c r="H132" s="69" t="str">
        <f t="shared" si="3"/>
        <v/>
      </c>
      <c r="I132" s="70" t="str">
        <f t="shared" si="4"/>
        <v/>
      </c>
      <c r="J132" s="67" t="str">
        <f t="shared" si="5"/>
        <v/>
      </c>
      <c r="K132" s="71" t="str">
        <f t="shared" si="6"/>
        <v/>
      </c>
      <c r="L132" s="71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58"/>
      <c r="N132" s="58"/>
      <c r="O132" s="5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0" customHeight="1">
      <c r="A133" s="73"/>
      <c r="B133" s="63"/>
      <c r="C133" s="63"/>
      <c r="D133" s="67"/>
      <c r="E133" s="67"/>
      <c r="F133" s="68" t="str">
        <f t="shared" si="1"/>
        <v/>
      </c>
      <c r="G133" s="67" t="str">
        <f t="shared" si="2"/>
        <v/>
      </c>
      <c r="H133" s="69" t="str">
        <f t="shared" si="3"/>
        <v/>
      </c>
      <c r="I133" s="70" t="str">
        <f t="shared" si="4"/>
        <v/>
      </c>
      <c r="J133" s="67" t="str">
        <f t="shared" si="5"/>
        <v/>
      </c>
      <c r="K133" s="71" t="str">
        <f t="shared" si="6"/>
        <v/>
      </c>
      <c r="L133" s="71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58"/>
      <c r="N133" s="58"/>
      <c r="O133" s="5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3.5" customHeight="1">
      <c r="A134" s="72"/>
      <c r="B134" s="63"/>
      <c r="C134" s="63"/>
      <c r="D134" s="67"/>
      <c r="E134" s="67"/>
      <c r="F134" s="68" t="str">
        <f t="shared" si="1"/>
        <v/>
      </c>
      <c r="G134" s="67" t="str">
        <f t="shared" si="2"/>
        <v/>
      </c>
      <c r="H134" s="69" t="str">
        <f t="shared" si="3"/>
        <v/>
      </c>
      <c r="I134" s="70" t="str">
        <f t="shared" si="4"/>
        <v/>
      </c>
      <c r="J134" s="67" t="str">
        <f t="shared" si="5"/>
        <v/>
      </c>
      <c r="K134" s="71" t="str">
        <f t="shared" si="6"/>
        <v/>
      </c>
      <c r="L134" s="71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58"/>
      <c r="N134" s="58"/>
      <c r="O134" s="5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72"/>
      <c r="B135" s="63"/>
      <c r="C135" s="63"/>
      <c r="D135" s="67"/>
      <c r="E135" s="67"/>
      <c r="F135" s="68" t="str">
        <f t="shared" si="1"/>
        <v/>
      </c>
      <c r="G135" s="67" t="str">
        <f t="shared" si="2"/>
        <v/>
      </c>
      <c r="H135" s="69" t="str">
        <f t="shared" si="3"/>
        <v/>
      </c>
      <c r="I135" s="70" t="str">
        <f t="shared" si="4"/>
        <v/>
      </c>
      <c r="J135" s="67" t="str">
        <f t="shared" si="5"/>
        <v/>
      </c>
      <c r="K135" s="71" t="str">
        <f t="shared" si="6"/>
        <v/>
      </c>
      <c r="L135" s="71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58"/>
      <c r="N135" s="58"/>
      <c r="O135" s="5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72"/>
      <c r="B136" s="63"/>
      <c r="C136" s="63"/>
      <c r="D136" s="67"/>
      <c r="E136" s="67"/>
      <c r="F136" s="68" t="str">
        <f t="shared" si="1"/>
        <v/>
      </c>
      <c r="G136" s="67" t="str">
        <f t="shared" si="2"/>
        <v/>
      </c>
      <c r="H136" s="69" t="str">
        <f t="shared" si="3"/>
        <v/>
      </c>
      <c r="I136" s="70" t="str">
        <f t="shared" si="4"/>
        <v/>
      </c>
      <c r="J136" s="67" t="str">
        <f t="shared" si="5"/>
        <v/>
      </c>
      <c r="K136" s="71" t="str">
        <f t="shared" si="6"/>
        <v/>
      </c>
      <c r="L136" s="71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58"/>
      <c r="N136" s="58"/>
      <c r="O136" s="5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72"/>
      <c r="B137" s="63"/>
      <c r="C137" s="63"/>
      <c r="D137" s="67"/>
      <c r="E137" s="67"/>
      <c r="F137" s="68" t="str">
        <f t="shared" si="1"/>
        <v/>
      </c>
      <c r="G137" s="67" t="str">
        <f t="shared" si="2"/>
        <v/>
      </c>
      <c r="H137" s="69" t="str">
        <f t="shared" si="3"/>
        <v/>
      </c>
      <c r="I137" s="70" t="str">
        <f t="shared" si="4"/>
        <v/>
      </c>
      <c r="J137" s="67" t="str">
        <f t="shared" si="5"/>
        <v/>
      </c>
      <c r="K137" s="71" t="str">
        <f t="shared" si="6"/>
        <v/>
      </c>
      <c r="L137" s="71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58"/>
      <c r="N137" s="58"/>
      <c r="O137" s="5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72"/>
      <c r="B138" s="63"/>
      <c r="C138" s="63"/>
      <c r="D138" s="67"/>
      <c r="E138" s="67"/>
      <c r="F138" s="68" t="str">
        <f t="shared" si="1"/>
        <v/>
      </c>
      <c r="G138" s="67" t="str">
        <f t="shared" si="2"/>
        <v/>
      </c>
      <c r="H138" s="69" t="str">
        <f t="shared" si="3"/>
        <v/>
      </c>
      <c r="I138" s="70" t="str">
        <f t="shared" si="4"/>
        <v/>
      </c>
      <c r="J138" s="67" t="str">
        <f t="shared" si="5"/>
        <v/>
      </c>
      <c r="K138" s="71" t="str">
        <f t="shared" si="6"/>
        <v/>
      </c>
      <c r="L138" s="71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58"/>
      <c r="N138" s="58"/>
      <c r="O138" s="5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73"/>
      <c r="B139" s="63"/>
      <c r="C139" s="63"/>
      <c r="D139" s="67"/>
      <c r="E139" s="67"/>
      <c r="F139" s="68" t="str">
        <f t="shared" si="1"/>
        <v/>
      </c>
      <c r="G139" s="67" t="str">
        <f t="shared" si="2"/>
        <v/>
      </c>
      <c r="H139" s="69" t="str">
        <f t="shared" si="3"/>
        <v/>
      </c>
      <c r="I139" s="70" t="str">
        <f t="shared" si="4"/>
        <v/>
      </c>
      <c r="J139" s="67" t="str">
        <f t="shared" si="5"/>
        <v/>
      </c>
      <c r="K139" s="71" t="str">
        <f t="shared" si="6"/>
        <v/>
      </c>
      <c r="L139" s="71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58"/>
      <c r="N139" s="58"/>
      <c r="O139" s="5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72"/>
      <c r="B140" s="63"/>
      <c r="C140" s="63"/>
      <c r="D140" s="67"/>
      <c r="E140" s="67"/>
      <c r="F140" s="68" t="str">
        <f t="shared" si="1"/>
        <v/>
      </c>
      <c r="G140" s="67" t="str">
        <f t="shared" si="2"/>
        <v/>
      </c>
      <c r="H140" s="69" t="str">
        <f t="shared" si="3"/>
        <v/>
      </c>
      <c r="I140" s="70" t="str">
        <f t="shared" si="4"/>
        <v/>
      </c>
      <c r="J140" s="67" t="str">
        <f t="shared" si="5"/>
        <v/>
      </c>
      <c r="K140" s="71" t="str">
        <f t="shared" si="6"/>
        <v/>
      </c>
      <c r="L140" s="71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58"/>
      <c r="N140" s="58"/>
      <c r="O140" s="5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72"/>
      <c r="B141" s="63"/>
      <c r="C141" s="63"/>
      <c r="D141" s="67"/>
      <c r="E141" s="67"/>
      <c r="F141" s="68" t="str">
        <f t="shared" si="1"/>
        <v/>
      </c>
      <c r="G141" s="67" t="str">
        <f t="shared" si="2"/>
        <v/>
      </c>
      <c r="H141" s="69" t="str">
        <f t="shared" si="3"/>
        <v/>
      </c>
      <c r="I141" s="70" t="str">
        <f t="shared" si="4"/>
        <v/>
      </c>
      <c r="J141" s="67" t="str">
        <f t="shared" si="5"/>
        <v/>
      </c>
      <c r="K141" s="71" t="str">
        <f t="shared" si="6"/>
        <v/>
      </c>
      <c r="L141" s="71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58"/>
      <c r="N141" s="58"/>
      <c r="O141" s="5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72"/>
      <c r="B142" s="63"/>
      <c r="C142" s="63"/>
      <c r="D142" s="67"/>
      <c r="E142" s="67"/>
      <c r="F142" s="68" t="str">
        <f t="shared" si="1"/>
        <v/>
      </c>
      <c r="G142" s="67" t="str">
        <f t="shared" si="2"/>
        <v/>
      </c>
      <c r="H142" s="69" t="str">
        <f t="shared" si="3"/>
        <v/>
      </c>
      <c r="I142" s="70" t="str">
        <f t="shared" si="4"/>
        <v/>
      </c>
      <c r="J142" s="67" t="str">
        <f t="shared" si="5"/>
        <v/>
      </c>
      <c r="K142" s="71" t="str">
        <f t="shared" si="6"/>
        <v/>
      </c>
      <c r="L142" s="71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58"/>
      <c r="N142" s="58"/>
      <c r="O142" s="5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72"/>
      <c r="B143" s="63"/>
      <c r="C143" s="63"/>
      <c r="D143" s="67"/>
      <c r="E143" s="67"/>
      <c r="F143" s="68" t="str">
        <f t="shared" si="1"/>
        <v/>
      </c>
      <c r="G143" s="67" t="str">
        <f t="shared" si="2"/>
        <v/>
      </c>
      <c r="H143" s="69" t="str">
        <f t="shared" si="3"/>
        <v/>
      </c>
      <c r="I143" s="70" t="str">
        <f t="shared" si="4"/>
        <v/>
      </c>
      <c r="J143" s="67" t="str">
        <f t="shared" si="5"/>
        <v/>
      </c>
      <c r="K143" s="71" t="str">
        <f t="shared" si="6"/>
        <v/>
      </c>
      <c r="L143" s="71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58"/>
      <c r="N143" s="58"/>
      <c r="O143" s="5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72"/>
      <c r="B144" s="63"/>
      <c r="C144" s="63"/>
      <c r="D144" s="67"/>
      <c r="E144" s="67"/>
      <c r="F144" s="68" t="str">
        <f t="shared" si="1"/>
        <v/>
      </c>
      <c r="G144" s="67" t="str">
        <f t="shared" si="2"/>
        <v/>
      </c>
      <c r="H144" s="69" t="str">
        <f t="shared" si="3"/>
        <v/>
      </c>
      <c r="I144" s="70" t="str">
        <f t="shared" si="4"/>
        <v/>
      </c>
      <c r="J144" s="67" t="str">
        <f t="shared" si="5"/>
        <v/>
      </c>
      <c r="K144" s="71" t="str">
        <f t="shared" si="6"/>
        <v/>
      </c>
      <c r="L144" s="71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58"/>
      <c r="N144" s="58"/>
      <c r="O144" s="5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72"/>
      <c r="B145" s="63"/>
      <c r="C145" s="63"/>
      <c r="D145" s="67"/>
      <c r="E145" s="67"/>
      <c r="F145" s="68" t="str">
        <f t="shared" si="1"/>
        <v/>
      </c>
      <c r="G145" s="67" t="str">
        <f t="shared" si="2"/>
        <v/>
      </c>
      <c r="H145" s="69" t="str">
        <f t="shared" si="3"/>
        <v/>
      </c>
      <c r="I145" s="70" t="str">
        <f t="shared" si="4"/>
        <v/>
      </c>
      <c r="J145" s="67" t="str">
        <f t="shared" si="5"/>
        <v/>
      </c>
      <c r="K145" s="71" t="str">
        <f t="shared" si="6"/>
        <v/>
      </c>
      <c r="L145" s="71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58"/>
      <c r="N145" s="58"/>
      <c r="O145" s="5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72"/>
      <c r="B146" s="63"/>
      <c r="C146" s="63"/>
      <c r="D146" s="67"/>
      <c r="E146" s="67"/>
      <c r="F146" s="68" t="str">
        <f t="shared" si="1"/>
        <v/>
      </c>
      <c r="G146" s="67" t="str">
        <f t="shared" si="2"/>
        <v/>
      </c>
      <c r="H146" s="69" t="str">
        <f t="shared" si="3"/>
        <v/>
      </c>
      <c r="I146" s="70" t="str">
        <f t="shared" si="4"/>
        <v/>
      </c>
      <c r="J146" s="67" t="str">
        <f t="shared" si="5"/>
        <v/>
      </c>
      <c r="K146" s="71" t="str">
        <f t="shared" si="6"/>
        <v/>
      </c>
      <c r="L146" s="71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58"/>
      <c r="N146" s="58"/>
      <c r="O146" s="5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72"/>
      <c r="B147" s="63"/>
      <c r="C147" s="63"/>
      <c r="D147" s="67"/>
      <c r="E147" s="67"/>
      <c r="F147" s="68" t="str">
        <f t="shared" si="1"/>
        <v/>
      </c>
      <c r="G147" s="67" t="str">
        <f t="shared" si="2"/>
        <v/>
      </c>
      <c r="H147" s="69" t="str">
        <f t="shared" si="3"/>
        <v/>
      </c>
      <c r="I147" s="70" t="str">
        <f t="shared" si="4"/>
        <v/>
      </c>
      <c r="J147" s="67" t="str">
        <f t="shared" si="5"/>
        <v/>
      </c>
      <c r="K147" s="71" t="str">
        <f t="shared" si="6"/>
        <v/>
      </c>
      <c r="L147" s="71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58"/>
      <c r="N147" s="58"/>
      <c r="O147" s="5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72"/>
      <c r="B148" s="63"/>
      <c r="C148" s="63"/>
      <c r="D148" s="67"/>
      <c r="E148" s="67"/>
      <c r="F148" s="68" t="str">
        <f t="shared" si="1"/>
        <v/>
      </c>
      <c r="G148" s="67" t="str">
        <f t="shared" si="2"/>
        <v/>
      </c>
      <c r="H148" s="69" t="str">
        <f t="shared" si="3"/>
        <v/>
      </c>
      <c r="I148" s="70" t="str">
        <f t="shared" si="4"/>
        <v/>
      </c>
      <c r="J148" s="67" t="str">
        <f t="shared" si="5"/>
        <v/>
      </c>
      <c r="K148" s="71" t="str">
        <f t="shared" si="6"/>
        <v/>
      </c>
      <c r="L148" s="71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58"/>
      <c r="N148" s="58"/>
      <c r="O148" s="5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73"/>
      <c r="B149" s="63"/>
      <c r="C149" s="63"/>
      <c r="D149" s="67"/>
      <c r="E149" s="67"/>
      <c r="F149" s="68" t="str">
        <f t="shared" si="1"/>
        <v/>
      </c>
      <c r="G149" s="67" t="str">
        <f t="shared" si="2"/>
        <v/>
      </c>
      <c r="H149" s="69" t="str">
        <f t="shared" si="3"/>
        <v/>
      </c>
      <c r="I149" s="70" t="str">
        <f t="shared" si="4"/>
        <v/>
      </c>
      <c r="J149" s="67" t="str">
        <f t="shared" si="5"/>
        <v/>
      </c>
      <c r="K149" s="71" t="str">
        <f t="shared" si="6"/>
        <v/>
      </c>
      <c r="L149" s="71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58"/>
      <c r="N149" s="58"/>
      <c r="O149" s="5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72"/>
      <c r="B150" s="63"/>
      <c r="C150" s="63"/>
      <c r="D150" s="67"/>
      <c r="E150" s="67"/>
      <c r="F150" s="68" t="str">
        <f t="shared" si="1"/>
        <v/>
      </c>
      <c r="G150" s="67" t="str">
        <f t="shared" si="2"/>
        <v/>
      </c>
      <c r="H150" s="69" t="str">
        <f t="shared" si="3"/>
        <v/>
      </c>
      <c r="I150" s="70" t="str">
        <f t="shared" si="4"/>
        <v/>
      </c>
      <c r="J150" s="67" t="str">
        <f t="shared" si="5"/>
        <v/>
      </c>
      <c r="K150" s="71" t="str">
        <f t="shared" si="6"/>
        <v/>
      </c>
      <c r="L150" s="71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58"/>
      <c r="N150" s="58"/>
      <c r="O150" s="5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72"/>
      <c r="B151" s="63"/>
      <c r="C151" s="63"/>
      <c r="D151" s="67"/>
      <c r="E151" s="67"/>
      <c r="F151" s="68" t="str">
        <f t="shared" si="1"/>
        <v/>
      </c>
      <c r="G151" s="67" t="str">
        <f t="shared" si="2"/>
        <v/>
      </c>
      <c r="H151" s="69" t="str">
        <f t="shared" si="3"/>
        <v/>
      </c>
      <c r="I151" s="70" t="str">
        <f t="shared" si="4"/>
        <v/>
      </c>
      <c r="J151" s="67" t="str">
        <f t="shared" si="5"/>
        <v/>
      </c>
      <c r="K151" s="71" t="str">
        <f t="shared" si="6"/>
        <v/>
      </c>
      <c r="L151" s="71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58"/>
      <c r="N151" s="58"/>
      <c r="O151" s="5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72"/>
      <c r="B152" s="63"/>
      <c r="C152" s="63"/>
      <c r="D152" s="67"/>
      <c r="E152" s="67"/>
      <c r="F152" s="68" t="str">
        <f t="shared" si="1"/>
        <v/>
      </c>
      <c r="G152" s="67" t="str">
        <f t="shared" si="2"/>
        <v/>
      </c>
      <c r="H152" s="69" t="str">
        <f t="shared" si="3"/>
        <v/>
      </c>
      <c r="I152" s="70" t="str">
        <f t="shared" si="4"/>
        <v/>
      </c>
      <c r="J152" s="67" t="str">
        <f t="shared" si="5"/>
        <v/>
      </c>
      <c r="K152" s="71" t="str">
        <f t="shared" si="6"/>
        <v/>
      </c>
      <c r="L152" s="71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58"/>
      <c r="N152" s="58"/>
      <c r="O152" s="5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72"/>
      <c r="B153" s="63"/>
      <c r="C153" s="63"/>
      <c r="D153" s="67"/>
      <c r="E153" s="67"/>
      <c r="F153" s="68" t="str">
        <f t="shared" si="1"/>
        <v/>
      </c>
      <c r="G153" s="67" t="str">
        <f t="shared" si="2"/>
        <v/>
      </c>
      <c r="H153" s="69" t="str">
        <f t="shared" si="3"/>
        <v/>
      </c>
      <c r="I153" s="70" t="str">
        <f t="shared" si="4"/>
        <v/>
      </c>
      <c r="J153" s="67" t="str">
        <f t="shared" si="5"/>
        <v/>
      </c>
      <c r="K153" s="71" t="str">
        <f t="shared" si="6"/>
        <v/>
      </c>
      <c r="L153" s="71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58"/>
      <c r="N153" s="58"/>
      <c r="O153" s="5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72"/>
      <c r="B154" s="63"/>
      <c r="C154" s="63"/>
      <c r="D154" s="67"/>
      <c r="E154" s="67"/>
      <c r="F154" s="68"/>
      <c r="G154" s="67"/>
      <c r="H154" s="69"/>
      <c r="I154" s="70"/>
      <c r="J154" s="67"/>
      <c r="K154" s="71"/>
      <c r="L154" s="71"/>
      <c r="M154" s="58"/>
      <c r="N154" s="58"/>
      <c r="O154" s="5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73"/>
      <c r="B155" s="63"/>
      <c r="C155" s="63"/>
      <c r="D155" s="67"/>
      <c r="E155" s="67"/>
      <c r="F155" s="68"/>
      <c r="G155" s="67"/>
      <c r="H155" s="69"/>
      <c r="I155" s="70"/>
      <c r="J155" s="67"/>
      <c r="K155" s="71"/>
      <c r="L155" s="71"/>
      <c r="M155" s="58"/>
      <c r="N155" s="58"/>
      <c r="O155" s="5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72"/>
      <c r="B156" s="63"/>
      <c r="C156" s="63"/>
      <c r="D156" s="67"/>
      <c r="E156" s="67"/>
      <c r="F156" s="68" t="str">
        <f t="shared" ref="F156:F807" si="7">IF(ISBLANK(B156),"",IF(I156="L","Baixa",IF(I156="A","Média",IF(I156="","","Alta"))))</f>
        <v/>
      </c>
      <c r="G156" s="67" t="str">
        <f t="shared" ref="G156:G807" si="8">CONCATENATE(B156,I156)</f>
        <v/>
      </c>
      <c r="H156" s="69" t="str">
        <f t="shared" ref="H156:H807" si="9">IF(ISBLANK(B156),"",IF(B156="ALI",IF(I156="L",7,IF(I156="A",10,15)),IF(B156="AIE",IF(I156="L",5,IF(I156="A",7,10)),IF(B156="SE",IF(I156="L",4,IF(I156="A",5,7)),IF(OR(B156="EE",B156="CE"),IF(I156="L",3,IF(I156="A",4,6)),0)))))</f>
        <v/>
      </c>
      <c r="I156" s="70" t="str">
        <f t="shared" ref="I156:I807" si="10">IF(OR(ISBLANK(D156),ISBLANK(E156)),IF(OR(B156="ALI",B156="AIE"),"L",IF(OR(B156="EE",B156="SE",B156="CE"),"A","")),IF(B156="EE",IF(E156&gt;=3,IF(D156&gt;=5,"H","A"),IF(E156&gt;=2,IF(D156&gt;=16,"H",IF(D156&lt;=4,"L","A")),IF(D156&lt;=15,"L","A"))),IF(OR(B156="SE",B156="CE"),IF(E156&gt;=4,IF(D156&gt;=6,"H","A"),IF(E156&gt;=2,IF(D156&gt;=20,"H",IF(D156&lt;=5,"L","A")),IF(D156&lt;=19,"L","A"))),IF(OR(B156="ALI",B156="AIE"),IF(E156&gt;=6,IF(D156&gt;=20,"H","A"),IF(E156&gt;=2,IF(D156&gt;=51,"H",IF(D156&lt;=19,"L","A")),IF(D156&lt;=50,"L","A"))),""))))</f>
        <v/>
      </c>
      <c r="J156" s="67" t="str">
        <f t="shared" ref="J156:J807" si="11">CONCATENATE(B156,C156)</f>
        <v/>
      </c>
      <c r="K156" s="71" t="str">
        <f t="shared" ref="K156:K807" si="12">IF(OR(H156="",H156=0),L156,H156)</f>
        <v/>
      </c>
      <c r="L156" s="71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58"/>
      <c r="N156" s="58"/>
      <c r="O156" s="5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72"/>
      <c r="B157" s="63"/>
      <c r="C157" s="63"/>
      <c r="D157" s="67"/>
      <c r="E157" s="67"/>
      <c r="F157" s="68" t="str">
        <f t="shared" si="7"/>
        <v/>
      </c>
      <c r="G157" s="67" t="str">
        <f t="shared" si="8"/>
        <v/>
      </c>
      <c r="H157" s="69" t="str">
        <f t="shared" si="9"/>
        <v/>
      </c>
      <c r="I157" s="70" t="str">
        <f t="shared" si="10"/>
        <v/>
      </c>
      <c r="J157" s="67" t="str">
        <f t="shared" si="11"/>
        <v/>
      </c>
      <c r="K157" s="71" t="str">
        <f t="shared" si="12"/>
        <v/>
      </c>
      <c r="L157" s="71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58"/>
      <c r="N157" s="58"/>
      <c r="O157" s="5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72"/>
      <c r="B158" s="63"/>
      <c r="C158" s="63"/>
      <c r="D158" s="67"/>
      <c r="E158" s="67"/>
      <c r="F158" s="68" t="str">
        <f t="shared" si="7"/>
        <v/>
      </c>
      <c r="G158" s="67" t="str">
        <f t="shared" si="8"/>
        <v/>
      </c>
      <c r="H158" s="69" t="str">
        <f t="shared" si="9"/>
        <v/>
      </c>
      <c r="I158" s="70" t="str">
        <f t="shared" si="10"/>
        <v/>
      </c>
      <c r="J158" s="67" t="str">
        <f t="shared" si="11"/>
        <v/>
      </c>
      <c r="K158" s="71" t="str">
        <f t="shared" si="12"/>
        <v/>
      </c>
      <c r="L158" s="71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58"/>
      <c r="N158" s="58"/>
      <c r="O158" s="5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72"/>
      <c r="B159" s="63"/>
      <c r="C159" s="63"/>
      <c r="D159" s="67"/>
      <c r="E159" s="67"/>
      <c r="F159" s="68" t="str">
        <f t="shared" si="7"/>
        <v/>
      </c>
      <c r="G159" s="67" t="str">
        <f t="shared" si="8"/>
        <v/>
      </c>
      <c r="H159" s="69" t="str">
        <f t="shared" si="9"/>
        <v/>
      </c>
      <c r="I159" s="70" t="str">
        <f t="shared" si="10"/>
        <v/>
      </c>
      <c r="J159" s="67" t="str">
        <f t="shared" si="11"/>
        <v/>
      </c>
      <c r="K159" s="71" t="str">
        <f t="shared" si="12"/>
        <v/>
      </c>
      <c r="L159" s="71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58"/>
      <c r="N159" s="58"/>
      <c r="O159" s="5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72"/>
      <c r="B160" s="63"/>
      <c r="C160" s="63"/>
      <c r="D160" s="67"/>
      <c r="E160" s="67"/>
      <c r="F160" s="68" t="str">
        <f t="shared" si="7"/>
        <v/>
      </c>
      <c r="G160" s="67" t="str">
        <f t="shared" si="8"/>
        <v/>
      </c>
      <c r="H160" s="69" t="str">
        <f t="shared" si="9"/>
        <v/>
      </c>
      <c r="I160" s="70" t="str">
        <f t="shared" si="10"/>
        <v/>
      </c>
      <c r="J160" s="67" t="str">
        <f t="shared" si="11"/>
        <v/>
      </c>
      <c r="K160" s="71" t="str">
        <f t="shared" si="12"/>
        <v/>
      </c>
      <c r="L160" s="71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58"/>
      <c r="N160" s="58"/>
      <c r="O160" s="5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73"/>
      <c r="B161" s="63"/>
      <c r="C161" s="63"/>
      <c r="D161" s="67"/>
      <c r="E161" s="67"/>
      <c r="F161" s="68" t="str">
        <f t="shared" si="7"/>
        <v/>
      </c>
      <c r="G161" s="67" t="str">
        <f t="shared" si="8"/>
        <v/>
      </c>
      <c r="H161" s="69" t="str">
        <f t="shared" si="9"/>
        <v/>
      </c>
      <c r="I161" s="70" t="str">
        <f t="shared" si="10"/>
        <v/>
      </c>
      <c r="J161" s="67" t="str">
        <f t="shared" si="11"/>
        <v/>
      </c>
      <c r="K161" s="71" t="str">
        <f t="shared" si="12"/>
        <v/>
      </c>
      <c r="L161" s="71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58"/>
      <c r="N161" s="58"/>
      <c r="O161" s="5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72"/>
      <c r="B162" s="63"/>
      <c r="C162" s="63"/>
      <c r="D162" s="67"/>
      <c r="E162" s="67"/>
      <c r="F162" s="68" t="str">
        <f t="shared" si="7"/>
        <v/>
      </c>
      <c r="G162" s="67" t="str">
        <f t="shared" si="8"/>
        <v/>
      </c>
      <c r="H162" s="69" t="str">
        <f t="shared" si="9"/>
        <v/>
      </c>
      <c r="I162" s="70" t="str">
        <f t="shared" si="10"/>
        <v/>
      </c>
      <c r="J162" s="67" t="str">
        <f t="shared" si="11"/>
        <v/>
      </c>
      <c r="K162" s="71" t="str">
        <f t="shared" si="12"/>
        <v/>
      </c>
      <c r="L162" s="71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58"/>
      <c r="N162" s="58"/>
      <c r="O162" s="5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72"/>
      <c r="B163" s="63"/>
      <c r="C163" s="63"/>
      <c r="D163" s="67"/>
      <c r="E163" s="67"/>
      <c r="F163" s="68" t="str">
        <f t="shared" si="7"/>
        <v/>
      </c>
      <c r="G163" s="67" t="str">
        <f t="shared" si="8"/>
        <v/>
      </c>
      <c r="H163" s="69" t="str">
        <f t="shared" si="9"/>
        <v/>
      </c>
      <c r="I163" s="70" t="str">
        <f t="shared" si="10"/>
        <v/>
      </c>
      <c r="J163" s="67" t="str">
        <f t="shared" si="11"/>
        <v/>
      </c>
      <c r="K163" s="71" t="str">
        <f t="shared" si="12"/>
        <v/>
      </c>
      <c r="L163" s="71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58"/>
      <c r="N163" s="58"/>
      <c r="O163" s="5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72"/>
      <c r="B164" s="63"/>
      <c r="C164" s="63"/>
      <c r="D164" s="67"/>
      <c r="E164" s="67"/>
      <c r="F164" s="68" t="str">
        <f t="shared" si="7"/>
        <v/>
      </c>
      <c r="G164" s="67" t="str">
        <f t="shared" si="8"/>
        <v/>
      </c>
      <c r="H164" s="69" t="str">
        <f t="shared" si="9"/>
        <v/>
      </c>
      <c r="I164" s="70" t="str">
        <f t="shared" si="10"/>
        <v/>
      </c>
      <c r="J164" s="67" t="str">
        <f t="shared" si="11"/>
        <v/>
      </c>
      <c r="K164" s="71" t="str">
        <f t="shared" si="12"/>
        <v/>
      </c>
      <c r="L164" s="71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58"/>
      <c r="N164" s="58"/>
      <c r="O164" s="5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72"/>
      <c r="B165" s="63"/>
      <c r="C165" s="63"/>
      <c r="D165" s="67"/>
      <c r="E165" s="67"/>
      <c r="F165" s="68" t="str">
        <f t="shared" si="7"/>
        <v/>
      </c>
      <c r="G165" s="67" t="str">
        <f t="shared" si="8"/>
        <v/>
      </c>
      <c r="H165" s="69" t="str">
        <f t="shared" si="9"/>
        <v/>
      </c>
      <c r="I165" s="70" t="str">
        <f t="shared" si="10"/>
        <v/>
      </c>
      <c r="J165" s="67" t="str">
        <f t="shared" si="11"/>
        <v/>
      </c>
      <c r="K165" s="71" t="str">
        <f t="shared" si="12"/>
        <v/>
      </c>
      <c r="L165" s="71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58"/>
      <c r="N165" s="58"/>
      <c r="O165" s="5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72"/>
      <c r="B166" s="63"/>
      <c r="C166" s="63"/>
      <c r="D166" s="67"/>
      <c r="E166" s="67"/>
      <c r="F166" s="68" t="str">
        <f t="shared" si="7"/>
        <v/>
      </c>
      <c r="G166" s="67" t="str">
        <f t="shared" si="8"/>
        <v/>
      </c>
      <c r="H166" s="69" t="str">
        <f t="shared" si="9"/>
        <v/>
      </c>
      <c r="I166" s="70" t="str">
        <f t="shared" si="10"/>
        <v/>
      </c>
      <c r="J166" s="67" t="str">
        <f t="shared" si="11"/>
        <v/>
      </c>
      <c r="K166" s="71" t="str">
        <f t="shared" si="12"/>
        <v/>
      </c>
      <c r="L166" s="71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58"/>
      <c r="N166" s="58"/>
      <c r="O166" s="5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73"/>
      <c r="B167" s="63"/>
      <c r="C167" s="63"/>
      <c r="D167" s="67"/>
      <c r="E167" s="67"/>
      <c r="F167" s="68" t="str">
        <f t="shared" si="7"/>
        <v/>
      </c>
      <c r="G167" s="67" t="str">
        <f t="shared" si="8"/>
        <v/>
      </c>
      <c r="H167" s="69" t="str">
        <f t="shared" si="9"/>
        <v/>
      </c>
      <c r="I167" s="70" t="str">
        <f t="shared" si="10"/>
        <v/>
      </c>
      <c r="J167" s="67" t="str">
        <f t="shared" si="11"/>
        <v/>
      </c>
      <c r="K167" s="71" t="str">
        <f t="shared" si="12"/>
        <v/>
      </c>
      <c r="L167" s="71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58"/>
      <c r="N167" s="58"/>
      <c r="O167" s="5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72"/>
      <c r="B168" s="63"/>
      <c r="C168" s="63"/>
      <c r="D168" s="67"/>
      <c r="E168" s="67"/>
      <c r="F168" s="68" t="str">
        <f t="shared" si="7"/>
        <v/>
      </c>
      <c r="G168" s="67" t="str">
        <f t="shared" si="8"/>
        <v/>
      </c>
      <c r="H168" s="69" t="str">
        <f t="shared" si="9"/>
        <v/>
      </c>
      <c r="I168" s="70" t="str">
        <f t="shared" si="10"/>
        <v/>
      </c>
      <c r="J168" s="67" t="str">
        <f t="shared" si="11"/>
        <v/>
      </c>
      <c r="K168" s="71" t="str">
        <f t="shared" si="12"/>
        <v/>
      </c>
      <c r="L168" s="71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58"/>
      <c r="N168" s="58"/>
      <c r="O168" s="5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72"/>
      <c r="B169" s="63"/>
      <c r="C169" s="63"/>
      <c r="D169" s="67"/>
      <c r="E169" s="67"/>
      <c r="F169" s="68" t="str">
        <f t="shared" si="7"/>
        <v/>
      </c>
      <c r="G169" s="67" t="str">
        <f t="shared" si="8"/>
        <v/>
      </c>
      <c r="H169" s="69" t="str">
        <f t="shared" si="9"/>
        <v/>
      </c>
      <c r="I169" s="70" t="str">
        <f t="shared" si="10"/>
        <v/>
      </c>
      <c r="J169" s="67" t="str">
        <f t="shared" si="11"/>
        <v/>
      </c>
      <c r="K169" s="71" t="str">
        <f t="shared" si="12"/>
        <v/>
      </c>
      <c r="L169" s="71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58"/>
      <c r="N169" s="58"/>
      <c r="O169" s="5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0" customHeight="1">
      <c r="A170" s="72"/>
      <c r="B170" s="63"/>
      <c r="C170" s="63"/>
      <c r="D170" s="67"/>
      <c r="E170" s="67"/>
      <c r="F170" s="68" t="str">
        <f t="shared" si="7"/>
        <v/>
      </c>
      <c r="G170" s="67" t="str">
        <f t="shared" si="8"/>
        <v/>
      </c>
      <c r="H170" s="69" t="str">
        <f t="shared" si="9"/>
        <v/>
      </c>
      <c r="I170" s="70" t="str">
        <f t="shared" si="10"/>
        <v/>
      </c>
      <c r="J170" s="67" t="str">
        <f t="shared" si="11"/>
        <v/>
      </c>
      <c r="K170" s="71" t="str">
        <f t="shared" si="12"/>
        <v/>
      </c>
      <c r="L170" s="71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58"/>
      <c r="N170" s="58"/>
      <c r="O170" s="5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72"/>
      <c r="B171" s="63"/>
      <c r="C171" s="63"/>
      <c r="D171" s="67"/>
      <c r="E171" s="67"/>
      <c r="F171" s="68" t="str">
        <f t="shared" si="7"/>
        <v/>
      </c>
      <c r="G171" s="67" t="str">
        <f t="shared" si="8"/>
        <v/>
      </c>
      <c r="H171" s="69" t="str">
        <f t="shared" si="9"/>
        <v/>
      </c>
      <c r="I171" s="70" t="str">
        <f t="shared" si="10"/>
        <v/>
      </c>
      <c r="J171" s="67" t="str">
        <f t="shared" si="11"/>
        <v/>
      </c>
      <c r="K171" s="71" t="str">
        <f t="shared" si="12"/>
        <v/>
      </c>
      <c r="L171" s="71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58"/>
      <c r="N171" s="58"/>
      <c r="O171" s="5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72"/>
      <c r="B172" s="63"/>
      <c r="C172" s="63"/>
      <c r="D172" s="67"/>
      <c r="E172" s="67"/>
      <c r="F172" s="68" t="str">
        <f t="shared" si="7"/>
        <v/>
      </c>
      <c r="G172" s="67" t="str">
        <f t="shared" si="8"/>
        <v/>
      </c>
      <c r="H172" s="69" t="str">
        <f t="shared" si="9"/>
        <v/>
      </c>
      <c r="I172" s="70" t="str">
        <f t="shared" si="10"/>
        <v/>
      </c>
      <c r="J172" s="67" t="str">
        <f t="shared" si="11"/>
        <v/>
      </c>
      <c r="K172" s="71" t="str">
        <f t="shared" si="12"/>
        <v/>
      </c>
      <c r="L172" s="71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58"/>
      <c r="N172" s="58"/>
      <c r="O172" s="5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73"/>
      <c r="B173" s="63"/>
      <c r="C173" s="63"/>
      <c r="D173" s="67"/>
      <c r="E173" s="67"/>
      <c r="F173" s="68" t="str">
        <f t="shared" si="7"/>
        <v/>
      </c>
      <c r="G173" s="67" t="str">
        <f t="shared" si="8"/>
        <v/>
      </c>
      <c r="H173" s="69" t="str">
        <f t="shared" si="9"/>
        <v/>
      </c>
      <c r="I173" s="70" t="str">
        <f t="shared" si="10"/>
        <v/>
      </c>
      <c r="J173" s="67" t="str">
        <f t="shared" si="11"/>
        <v/>
      </c>
      <c r="K173" s="71" t="str">
        <f t="shared" si="12"/>
        <v/>
      </c>
      <c r="L173" s="71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58"/>
      <c r="N173" s="58"/>
      <c r="O173" s="5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72"/>
      <c r="B174" s="63"/>
      <c r="C174" s="63"/>
      <c r="D174" s="67"/>
      <c r="E174" s="67"/>
      <c r="F174" s="68" t="str">
        <f t="shared" si="7"/>
        <v/>
      </c>
      <c r="G174" s="67" t="str">
        <f t="shared" si="8"/>
        <v/>
      </c>
      <c r="H174" s="69" t="str">
        <f t="shared" si="9"/>
        <v/>
      </c>
      <c r="I174" s="70" t="str">
        <f t="shared" si="10"/>
        <v/>
      </c>
      <c r="J174" s="67" t="str">
        <f t="shared" si="11"/>
        <v/>
      </c>
      <c r="K174" s="71" t="str">
        <f t="shared" si="12"/>
        <v/>
      </c>
      <c r="L174" s="71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58"/>
      <c r="N174" s="58"/>
      <c r="O174" s="5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72"/>
      <c r="B175" s="63"/>
      <c r="C175" s="63"/>
      <c r="D175" s="67"/>
      <c r="E175" s="67"/>
      <c r="F175" s="68" t="str">
        <f t="shared" si="7"/>
        <v/>
      </c>
      <c r="G175" s="67" t="str">
        <f t="shared" si="8"/>
        <v/>
      </c>
      <c r="H175" s="69" t="str">
        <f t="shared" si="9"/>
        <v/>
      </c>
      <c r="I175" s="70" t="str">
        <f t="shared" si="10"/>
        <v/>
      </c>
      <c r="J175" s="67" t="str">
        <f t="shared" si="11"/>
        <v/>
      </c>
      <c r="K175" s="71" t="str">
        <f t="shared" si="12"/>
        <v/>
      </c>
      <c r="L175" s="71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58"/>
      <c r="N175" s="58"/>
      <c r="O175" s="5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72"/>
      <c r="B176" s="63"/>
      <c r="C176" s="63"/>
      <c r="D176" s="67"/>
      <c r="E176" s="67"/>
      <c r="F176" s="68" t="str">
        <f t="shared" si="7"/>
        <v/>
      </c>
      <c r="G176" s="67" t="str">
        <f t="shared" si="8"/>
        <v/>
      </c>
      <c r="H176" s="69" t="str">
        <f t="shared" si="9"/>
        <v/>
      </c>
      <c r="I176" s="70" t="str">
        <f t="shared" si="10"/>
        <v/>
      </c>
      <c r="J176" s="67" t="str">
        <f t="shared" si="11"/>
        <v/>
      </c>
      <c r="K176" s="71" t="str">
        <f t="shared" si="12"/>
        <v/>
      </c>
      <c r="L176" s="71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58"/>
      <c r="N176" s="58"/>
      <c r="O176" s="59" t="s">
        <v>124</v>
      </c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73"/>
      <c r="B177" s="63"/>
      <c r="C177" s="63"/>
      <c r="D177" s="67"/>
      <c r="E177" s="67"/>
      <c r="F177" s="68" t="str">
        <f t="shared" si="7"/>
        <v/>
      </c>
      <c r="G177" s="67" t="str">
        <f t="shared" si="8"/>
        <v/>
      </c>
      <c r="H177" s="69" t="str">
        <f t="shared" si="9"/>
        <v/>
      </c>
      <c r="I177" s="70" t="str">
        <f t="shared" si="10"/>
        <v/>
      </c>
      <c r="J177" s="67" t="str">
        <f t="shared" si="11"/>
        <v/>
      </c>
      <c r="K177" s="71" t="str">
        <f t="shared" si="12"/>
        <v/>
      </c>
      <c r="L177" s="71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58"/>
      <c r="N177" s="58"/>
      <c r="O177" s="5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72"/>
      <c r="B178" s="63"/>
      <c r="C178" s="63"/>
      <c r="D178" s="67"/>
      <c r="E178" s="67"/>
      <c r="F178" s="68" t="str">
        <f t="shared" si="7"/>
        <v/>
      </c>
      <c r="G178" s="67" t="str">
        <f t="shared" si="8"/>
        <v/>
      </c>
      <c r="H178" s="69" t="str">
        <f t="shared" si="9"/>
        <v/>
      </c>
      <c r="I178" s="70" t="str">
        <f t="shared" si="10"/>
        <v/>
      </c>
      <c r="J178" s="67" t="str">
        <f t="shared" si="11"/>
        <v/>
      </c>
      <c r="K178" s="71" t="str">
        <f t="shared" si="12"/>
        <v/>
      </c>
      <c r="L178" s="71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58"/>
      <c r="N178" s="58"/>
      <c r="O178" s="5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72"/>
      <c r="B179" s="63"/>
      <c r="C179" s="63"/>
      <c r="D179" s="67"/>
      <c r="E179" s="67"/>
      <c r="F179" s="68" t="str">
        <f t="shared" si="7"/>
        <v/>
      </c>
      <c r="G179" s="67" t="str">
        <f t="shared" si="8"/>
        <v/>
      </c>
      <c r="H179" s="69" t="str">
        <f t="shared" si="9"/>
        <v/>
      </c>
      <c r="I179" s="70" t="str">
        <f t="shared" si="10"/>
        <v/>
      </c>
      <c r="J179" s="67" t="str">
        <f t="shared" si="11"/>
        <v/>
      </c>
      <c r="K179" s="71" t="str">
        <f t="shared" si="12"/>
        <v/>
      </c>
      <c r="L179" s="71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58"/>
      <c r="N179" s="58"/>
      <c r="O179" s="5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72"/>
      <c r="B180" s="63"/>
      <c r="C180" s="63"/>
      <c r="D180" s="67"/>
      <c r="E180" s="67"/>
      <c r="F180" s="68" t="str">
        <f t="shared" si="7"/>
        <v/>
      </c>
      <c r="G180" s="67" t="str">
        <f t="shared" si="8"/>
        <v/>
      </c>
      <c r="H180" s="69" t="str">
        <f t="shared" si="9"/>
        <v/>
      </c>
      <c r="I180" s="70" t="str">
        <f t="shared" si="10"/>
        <v/>
      </c>
      <c r="J180" s="67" t="str">
        <f t="shared" si="11"/>
        <v/>
      </c>
      <c r="K180" s="71" t="str">
        <f t="shared" si="12"/>
        <v/>
      </c>
      <c r="L180" s="71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58"/>
      <c r="N180" s="58"/>
      <c r="O180" s="5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72"/>
      <c r="B181" s="63"/>
      <c r="C181" s="63"/>
      <c r="D181" s="67"/>
      <c r="E181" s="67"/>
      <c r="F181" s="68" t="str">
        <f t="shared" si="7"/>
        <v/>
      </c>
      <c r="G181" s="67" t="str">
        <f t="shared" si="8"/>
        <v/>
      </c>
      <c r="H181" s="69" t="str">
        <f t="shared" si="9"/>
        <v/>
      </c>
      <c r="I181" s="70" t="str">
        <f t="shared" si="10"/>
        <v/>
      </c>
      <c r="J181" s="67" t="str">
        <f t="shared" si="11"/>
        <v/>
      </c>
      <c r="K181" s="71" t="str">
        <f t="shared" si="12"/>
        <v/>
      </c>
      <c r="L181" s="71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58"/>
      <c r="N181" s="58"/>
      <c r="O181" s="5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72"/>
      <c r="B182" s="63"/>
      <c r="C182" s="63"/>
      <c r="D182" s="67"/>
      <c r="E182" s="67"/>
      <c r="F182" s="68" t="str">
        <f t="shared" si="7"/>
        <v/>
      </c>
      <c r="G182" s="67" t="str">
        <f t="shared" si="8"/>
        <v/>
      </c>
      <c r="H182" s="69" t="str">
        <f t="shared" si="9"/>
        <v/>
      </c>
      <c r="I182" s="70" t="str">
        <f t="shared" si="10"/>
        <v/>
      </c>
      <c r="J182" s="67" t="str">
        <f t="shared" si="11"/>
        <v/>
      </c>
      <c r="K182" s="71" t="str">
        <f t="shared" si="12"/>
        <v/>
      </c>
      <c r="L182" s="71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58"/>
      <c r="N182" s="58"/>
      <c r="O182" s="5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72"/>
      <c r="B183" s="63"/>
      <c r="C183" s="63"/>
      <c r="D183" s="67"/>
      <c r="E183" s="67"/>
      <c r="F183" s="68" t="str">
        <f t="shared" si="7"/>
        <v/>
      </c>
      <c r="G183" s="67" t="str">
        <f t="shared" si="8"/>
        <v/>
      </c>
      <c r="H183" s="69" t="str">
        <f t="shared" si="9"/>
        <v/>
      </c>
      <c r="I183" s="70" t="str">
        <f t="shared" si="10"/>
        <v/>
      </c>
      <c r="J183" s="67" t="str">
        <f t="shared" si="11"/>
        <v/>
      </c>
      <c r="K183" s="71" t="str">
        <f t="shared" si="12"/>
        <v/>
      </c>
      <c r="L183" s="71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58"/>
      <c r="N183" s="58"/>
      <c r="O183" s="5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72"/>
      <c r="B184" s="63"/>
      <c r="C184" s="63"/>
      <c r="D184" s="67"/>
      <c r="E184" s="67"/>
      <c r="F184" s="68" t="str">
        <f t="shared" si="7"/>
        <v/>
      </c>
      <c r="G184" s="67" t="str">
        <f t="shared" si="8"/>
        <v/>
      </c>
      <c r="H184" s="69" t="str">
        <f t="shared" si="9"/>
        <v/>
      </c>
      <c r="I184" s="70" t="str">
        <f t="shared" si="10"/>
        <v/>
      </c>
      <c r="J184" s="67" t="str">
        <f t="shared" si="11"/>
        <v/>
      </c>
      <c r="K184" s="71" t="str">
        <f t="shared" si="12"/>
        <v/>
      </c>
      <c r="L184" s="71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58"/>
      <c r="N184" s="58"/>
      <c r="O184" s="5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72"/>
      <c r="B185" s="63"/>
      <c r="C185" s="63"/>
      <c r="D185" s="67"/>
      <c r="E185" s="67"/>
      <c r="F185" s="68" t="str">
        <f t="shared" si="7"/>
        <v/>
      </c>
      <c r="G185" s="67" t="str">
        <f t="shared" si="8"/>
        <v/>
      </c>
      <c r="H185" s="69" t="str">
        <f t="shared" si="9"/>
        <v/>
      </c>
      <c r="I185" s="70" t="str">
        <f t="shared" si="10"/>
        <v/>
      </c>
      <c r="J185" s="67" t="str">
        <f t="shared" si="11"/>
        <v/>
      </c>
      <c r="K185" s="71" t="str">
        <f t="shared" si="12"/>
        <v/>
      </c>
      <c r="L185" s="71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58"/>
      <c r="N185" s="58"/>
      <c r="O185" s="5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72"/>
      <c r="B186" s="63"/>
      <c r="C186" s="63"/>
      <c r="D186" s="67"/>
      <c r="E186" s="67"/>
      <c r="F186" s="68" t="str">
        <f t="shared" si="7"/>
        <v/>
      </c>
      <c r="G186" s="67" t="str">
        <f t="shared" si="8"/>
        <v/>
      </c>
      <c r="H186" s="69" t="str">
        <f t="shared" si="9"/>
        <v/>
      </c>
      <c r="I186" s="70" t="str">
        <f t="shared" si="10"/>
        <v/>
      </c>
      <c r="J186" s="67" t="str">
        <f t="shared" si="11"/>
        <v/>
      </c>
      <c r="K186" s="71" t="str">
        <f t="shared" si="12"/>
        <v/>
      </c>
      <c r="L186" s="71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58"/>
      <c r="N186" s="58"/>
      <c r="O186" s="5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73"/>
      <c r="B187" s="63"/>
      <c r="C187" s="63"/>
      <c r="D187" s="67"/>
      <c r="E187" s="67"/>
      <c r="F187" s="68" t="str">
        <f t="shared" si="7"/>
        <v/>
      </c>
      <c r="G187" s="67" t="str">
        <f t="shared" si="8"/>
        <v/>
      </c>
      <c r="H187" s="69" t="str">
        <f t="shared" si="9"/>
        <v/>
      </c>
      <c r="I187" s="70" t="str">
        <f t="shared" si="10"/>
        <v/>
      </c>
      <c r="J187" s="67" t="str">
        <f t="shared" si="11"/>
        <v/>
      </c>
      <c r="K187" s="71" t="str">
        <f t="shared" si="12"/>
        <v/>
      </c>
      <c r="L187" s="71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58"/>
      <c r="N187" s="58"/>
      <c r="O187" s="5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72"/>
      <c r="B188" s="63"/>
      <c r="C188" s="63"/>
      <c r="D188" s="67"/>
      <c r="E188" s="67"/>
      <c r="F188" s="68" t="str">
        <f t="shared" si="7"/>
        <v/>
      </c>
      <c r="G188" s="67" t="str">
        <f t="shared" si="8"/>
        <v/>
      </c>
      <c r="H188" s="69" t="str">
        <f t="shared" si="9"/>
        <v/>
      </c>
      <c r="I188" s="70" t="str">
        <f t="shared" si="10"/>
        <v/>
      </c>
      <c r="J188" s="67" t="str">
        <f t="shared" si="11"/>
        <v/>
      </c>
      <c r="K188" s="71" t="str">
        <f t="shared" si="12"/>
        <v/>
      </c>
      <c r="L188" s="71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58"/>
      <c r="N188" s="58"/>
      <c r="O188" s="5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72"/>
      <c r="B189" s="63"/>
      <c r="C189" s="63"/>
      <c r="D189" s="67"/>
      <c r="E189" s="67"/>
      <c r="F189" s="68" t="str">
        <f t="shared" si="7"/>
        <v/>
      </c>
      <c r="G189" s="67" t="str">
        <f t="shared" si="8"/>
        <v/>
      </c>
      <c r="H189" s="69" t="str">
        <f t="shared" si="9"/>
        <v/>
      </c>
      <c r="I189" s="70" t="str">
        <f t="shared" si="10"/>
        <v/>
      </c>
      <c r="J189" s="67" t="str">
        <f t="shared" si="11"/>
        <v/>
      </c>
      <c r="K189" s="71" t="str">
        <f t="shared" si="12"/>
        <v/>
      </c>
      <c r="L189" s="71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58"/>
      <c r="N189" s="58"/>
      <c r="O189" s="5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72"/>
      <c r="B190" s="63"/>
      <c r="C190" s="63"/>
      <c r="D190" s="67"/>
      <c r="E190" s="67"/>
      <c r="F190" s="68" t="str">
        <f t="shared" si="7"/>
        <v/>
      </c>
      <c r="G190" s="67" t="str">
        <f t="shared" si="8"/>
        <v/>
      </c>
      <c r="H190" s="69" t="str">
        <f t="shared" si="9"/>
        <v/>
      </c>
      <c r="I190" s="70" t="str">
        <f t="shared" si="10"/>
        <v/>
      </c>
      <c r="J190" s="67" t="str">
        <f t="shared" si="11"/>
        <v/>
      </c>
      <c r="K190" s="71" t="str">
        <f t="shared" si="12"/>
        <v/>
      </c>
      <c r="L190" s="71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58"/>
      <c r="N190" s="58"/>
      <c r="O190" s="5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72"/>
      <c r="B191" s="63"/>
      <c r="C191" s="63"/>
      <c r="D191" s="67"/>
      <c r="E191" s="67"/>
      <c r="F191" s="68" t="str">
        <f t="shared" si="7"/>
        <v/>
      </c>
      <c r="G191" s="67" t="str">
        <f t="shared" si="8"/>
        <v/>
      </c>
      <c r="H191" s="69" t="str">
        <f t="shared" si="9"/>
        <v/>
      </c>
      <c r="I191" s="70" t="str">
        <f t="shared" si="10"/>
        <v/>
      </c>
      <c r="J191" s="67" t="str">
        <f t="shared" si="11"/>
        <v/>
      </c>
      <c r="K191" s="71" t="str">
        <f t="shared" si="12"/>
        <v/>
      </c>
      <c r="L191" s="71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58"/>
      <c r="N191" s="58"/>
      <c r="O191" s="5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72"/>
      <c r="B192" s="63"/>
      <c r="C192" s="63"/>
      <c r="D192" s="67"/>
      <c r="E192" s="67"/>
      <c r="F192" s="68" t="str">
        <f t="shared" si="7"/>
        <v/>
      </c>
      <c r="G192" s="67" t="str">
        <f t="shared" si="8"/>
        <v/>
      </c>
      <c r="H192" s="69" t="str">
        <f t="shared" si="9"/>
        <v/>
      </c>
      <c r="I192" s="70" t="str">
        <f t="shared" si="10"/>
        <v/>
      </c>
      <c r="J192" s="67" t="str">
        <f t="shared" si="11"/>
        <v/>
      </c>
      <c r="K192" s="71" t="str">
        <f t="shared" si="12"/>
        <v/>
      </c>
      <c r="L192" s="71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58"/>
      <c r="N192" s="58"/>
      <c r="O192" s="5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72"/>
      <c r="B193" s="63"/>
      <c r="C193" s="63"/>
      <c r="D193" s="67"/>
      <c r="E193" s="67"/>
      <c r="F193" s="68" t="str">
        <f t="shared" si="7"/>
        <v/>
      </c>
      <c r="G193" s="67" t="str">
        <f t="shared" si="8"/>
        <v/>
      </c>
      <c r="H193" s="69" t="str">
        <f t="shared" si="9"/>
        <v/>
      </c>
      <c r="I193" s="70" t="str">
        <f t="shared" si="10"/>
        <v/>
      </c>
      <c r="J193" s="67" t="str">
        <f t="shared" si="11"/>
        <v/>
      </c>
      <c r="K193" s="71" t="str">
        <f t="shared" si="12"/>
        <v/>
      </c>
      <c r="L193" s="71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58"/>
      <c r="N193" s="58"/>
      <c r="O193" s="5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0" customHeight="1">
      <c r="A194" s="72"/>
      <c r="B194" s="63"/>
      <c r="C194" s="63"/>
      <c r="D194" s="67"/>
      <c r="E194" s="67"/>
      <c r="F194" s="68" t="str">
        <f t="shared" si="7"/>
        <v/>
      </c>
      <c r="G194" s="67" t="str">
        <f t="shared" si="8"/>
        <v/>
      </c>
      <c r="H194" s="69" t="str">
        <f t="shared" si="9"/>
        <v/>
      </c>
      <c r="I194" s="70" t="str">
        <f t="shared" si="10"/>
        <v/>
      </c>
      <c r="J194" s="67" t="str">
        <f t="shared" si="11"/>
        <v/>
      </c>
      <c r="K194" s="71" t="str">
        <f t="shared" si="12"/>
        <v/>
      </c>
      <c r="L194" s="71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58"/>
      <c r="N194" s="58"/>
      <c r="O194" s="5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72"/>
      <c r="B195" s="63"/>
      <c r="C195" s="63"/>
      <c r="D195" s="67"/>
      <c r="E195" s="67"/>
      <c r="F195" s="68" t="str">
        <f t="shared" si="7"/>
        <v/>
      </c>
      <c r="G195" s="67" t="str">
        <f t="shared" si="8"/>
        <v/>
      </c>
      <c r="H195" s="69" t="str">
        <f t="shared" si="9"/>
        <v/>
      </c>
      <c r="I195" s="70" t="str">
        <f t="shared" si="10"/>
        <v/>
      </c>
      <c r="J195" s="67" t="str">
        <f t="shared" si="11"/>
        <v/>
      </c>
      <c r="K195" s="71" t="str">
        <f t="shared" si="12"/>
        <v/>
      </c>
      <c r="L195" s="71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58"/>
      <c r="N195" s="58"/>
      <c r="O195" s="5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72"/>
      <c r="B196" s="63"/>
      <c r="C196" s="63"/>
      <c r="D196" s="67"/>
      <c r="E196" s="67"/>
      <c r="F196" s="68" t="str">
        <f t="shared" si="7"/>
        <v/>
      </c>
      <c r="G196" s="67" t="str">
        <f t="shared" si="8"/>
        <v/>
      </c>
      <c r="H196" s="69" t="str">
        <f t="shared" si="9"/>
        <v/>
      </c>
      <c r="I196" s="70" t="str">
        <f t="shared" si="10"/>
        <v/>
      </c>
      <c r="J196" s="67" t="str">
        <f t="shared" si="11"/>
        <v/>
      </c>
      <c r="K196" s="71" t="str">
        <f t="shared" si="12"/>
        <v/>
      </c>
      <c r="L196" s="71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58"/>
      <c r="N196" s="58"/>
      <c r="O196" s="5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72"/>
      <c r="B197" s="63"/>
      <c r="C197" s="63"/>
      <c r="D197" s="67"/>
      <c r="E197" s="67"/>
      <c r="F197" s="68" t="str">
        <f t="shared" si="7"/>
        <v/>
      </c>
      <c r="G197" s="67" t="str">
        <f t="shared" si="8"/>
        <v/>
      </c>
      <c r="H197" s="69" t="str">
        <f t="shared" si="9"/>
        <v/>
      </c>
      <c r="I197" s="70" t="str">
        <f t="shared" si="10"/>
        <v/>
      </c>
      <c r="J197" s="67" t="str">
        <f t="shared" si="11"/>
        <v/>
      </c>
      <c r="K197" s="71" t="str">
        <f t="shared" si="12"/>
        <v/>
      </c>
      <c r="L197" s="71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58"/>
      <c r="N197" s="58"/>
      <c r="O197" s="5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72"/>
      <c r="B198" s="63"/>
      <c r="C198" s="63"/>
      <c r="D198" s="67"/>
      <c r="E198" s="67"/>
      <c r="F198" s="68" t="str">
        <f t="shared" si="7"/>
        <v/>
      </c>
      <c r="G198" s="67" t="str">
        <f t="shared" si="8"/>
        <v/>
      </c>
      <c r="H198" s="69" t="str">
        <f t="shared" si="9"/>
        <v/>
      </c>
      <c r="I198" s="70" t="str">
        <f t="shared" si="10"/>
        <v/>
      </c>
      <c r="J198" s="67" t="str">
        <f t="shared" si="11"/>
        <v/>
      </c>
      <c r="K198" s="71" t="str">
        <f t="shared" si="12"/>
        <v/>
      </c>
      <c r="L198" s="71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58"/>
      <c r="N198" s="58"/>
      <c r="O198" s="5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72"/>
      <c r="B199" s="63"/>
      <c r="C199" s="63"/>
      <c r="D199" s="67"/>
      <c r="E199" s="67"/>
      <c r="F199" s="68" t="str">
        <f t="shared" si="7"/>
        <v/>
      </c>
      <c r="G199" s="67" t="str">
        <f t="shared" si="8"/>
        <v/>
      </c>
      <c r="H199" s="69" t="str">
        <f t="shared" si="9"/>
        <v/>
      </c>
      <c r="I199" s="70" t="str">
        <f t="shared" si="10"/>
        <v/>
      </c>
      <c r="J199" s="67" t="str">
        <f t="shared" si="11"/>
        <v/>
      </c>
      <c r="K199" s="71" t="str">
        <f t="shared" si="12"/>
        <v/>
      </c>
      <c r="L199" s="71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58"/>
      <c r="N199" s="58"/>
      <c r="O199" s="5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72"/>
      <c r="B200" s="63"/>
      <c r="C200" s="63"/>
      <c r="D200" s="67"/>
      <c r="E200" s="67"/>
      <c r="F200" s="68" t="str">
        <f t="shared" si="7"/>
        <v/>
      </c>
      <c r="G200" s="67" t="str">
        <f t="shared" si="8"/>
        <v/>
      </c>
      <c r="H200" s="69" t="str">
        <f t="shared" si="9"/>
        <v/>
      </c>
      <c r="I200" s="70" t="str">
        <f t="shared" si="10"/>
        <v/>
      </c>
      <c r="J200" s="67" t="str">
        <f t="shared" si="11"/>
        <v/>
      </c>
      <c r="K200" s="71" t="str">
        <f t="shared" si="12"/>
        <v/>
      </c>
      <c r="L200" s="71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58"/>
      <c r="N200" s="58"/>
      <c r="O200" s="5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72"/>
      <c r="B201" s="63"/>
      <c r="C201" s="63"/>
      <c r="D201" s="67"/>
      <c r="E201" s="67"/>
      <c r="F201" s="68" t="str">
        <f t="shared" si="7"/>
        <v/>
      </c>
      <c r="G201" s="67" t="str">
        <f t="shared" si="8"/>
        <v/>
      </c>
      <c r="H201" s="69" t="str">
        <f t="shared" si="9"/>
        <v/>
      </c>
      <c r="I201" s="70" t="str">
        <f t="shared" si="10"/>
        <v/>
      </c>
      <c r="J201" s="67" t="str">
        <f t="shared" si="11"/>
        <v/>
      </c>
      <c r="K201" s="71" t="str">
        <f t="shared" si="12"/>
        <v/>
      </c>
      <c r="L201" s="71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58"/>
      <c r="N201" s="58"/>
      <c r="O201" s="5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72"/>
      <c r="B202" s="63"/>
      <c r="C202" s="63"/>
      <c r="D202" s="67"/>
      <c r="E202" s="67"/>
      <c r="F202" s="68" t="str">
        <f t="shared" si="7"/>
        <v/>
      </c>
      <c r="G202" s="67" t="str">
        <f t="shared" si="8"/>
        <v/>
      </c>
      <c r="H202" s="69" t="str">
        <f t="shared" si="9"/>
        <v/>
      </c>
      <c r="I202" s="70" t="str">
        <f t="shared" si="10"/>
        <v/>
      </c>
      <c r="J202" s="67" t="str">
        <f t="shared" si="11"/>
        <v/>
      </c>
      <c r="K202" s="71" t="str">
        <f t="shared" si="12"/>
        <v/>
      </c>
      <c r="L202" s="71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58"/>
      <c r="N202" s="58"/>
      <c r="O202" s="5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72"/>
      <c r="B203" s="63"/>
      <c r="C203" s="63"/>
      <c r="D203" s="67"/>
      <c r="E203" s="67"/>
      <c r="F203" s="68" t="str">
        <f t="shared" si="7"/>
        <v/>
      </c>
      <c r="G203" s="67" t="str">
        <f t="shared" si="8"/>
        <v/>
      </c>
      <c r="H203" s="69" t="str">
        <f t="shared" si="9"/>
        <v/>
      </c>
      <c r="I203" s="70" t="str">
        <f t="shared" si="10"/>
        <v/>
      </c>
      <c r="J203" s="67" t="str">
        <f t="shared" si="11"/>
        <v/>
      </c>
      <c r="K203" s="71" t="str">
        <f t="shared" si="12"/>
        <v/>
      </c>
      <c r="L203" s="71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58"/>
      <c r="N203" s="58"/>
      <c r="O203" s="5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72"/>
      <c r="B204" s="63"/>
      <c r="C204" s="63"/>
      <c r="D204" s="67"/>
      <c r="E204" s="67"/>
      <c r="F204" s="68" t="str">
        <f t="shared" si="7"/>
        <v/>
      </c>
      <c r="G204" s="67" t="str">
        <f t="shared" si="8"/>
        <v/>
      </c>
      <c r="H204" s="69" t="str">
        <f t="shared" si="9"/>
        <v/>
      </c>
      <c r="I204" s="70" t="str">
        <f t="shared" si="10"/>
        <v/>
      </c>
      <c r="J204" s="67" t="str">
        <f t="shared" si="11"/>
        <v/>
      </c>
      <c r="K204" s="71" t="str">
        <f t="shared" si="12"/>
        <v/>
      </c>
      <c r="L204" s="71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58"/>
      <c r="N204" s="58"/>
      <c r="O204" s="5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72"/>
      <c r="B205" s="63"/>
      <c r="C205" s="63"/>
      <c r="D205" s="67"/>
      <c r="E205" s="67"/>
      <c r="F205" s="68" t="str">
        <f t="shared" si="7"/>
        <v/>
      </c>
      <c r="G205" s="67" t="str">
        <f t="shared" si="8"/>
        <v/>
      </c>
      <c r="H205" s="69" t="str">
        <f t="shared" si="9"/>
        <v/>
      </c>
      <c r="I205" s="70" t="str">
        <f t="shared" si="10"/>
        <v/>
      </c>
      <c r="J205" s="67" t="str">
        <f t="shared" si="11"/>
        <v/>
      </c>
      <c r="K205" s="71" t="str">
        <f t="shared" si="12"/>
        <v/>
      </c>
      <c r="L205" s="71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58"/>
      <c r="N205" s="58"/>
      <c r="O205" s="5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72"/>
      <c r="B206" s="63"/>
      <c r="C206" s="63"/>
      <c r="D206" s="67"/>
      <c r="E206" s="67"/>
      <c r="F206" s="68" t="str">
        <f t="shared" si="7"/>
        <v/>
      </c>
      <c r="G206" s="67" t="str">
        <f t="shared" si="8"/>
        <v/>
      </c>
      <c r="H206" s="69" t="str">
        <f t="shared" si="9"/>
        <v/>
      </c>
      <c r="I206" s="70" t="str">
        <f t="shared" si="10"/>
        <v/>
      </c>
      <c r="J206" s="67" t="str">
        <f t="shared" si="11"/>
        <v/>
      </c>
      <c r="K206" s="71" t="str">
        <f t="shared" si="12"/>
        <v/>
      </c>
      <c r="L206" s="71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58"/>
      <c r="N206" s="58"/>
      <c r="O206" s="5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74"/>
      <c r="B207" s="63"/>
      <c r="C207" s="63"/>
      <c r="D207" s="67"/>
      <c r="E207" s="67"/>
      <c r="F207" s="68" t="str">
        <f t="shared" si="7"/>
        <v/>
      </c>
      <c r="G207" s="67" t="str">
        <f t="shared" si="8"/>
        <v/>
      </c>
      <c r="H207" s="69" t="str">
        <f t="shared" si="9"/>
        <v/>
      </c>
      <c r="I207" s="70" t="str">
        <f t="shared" si="10"/>
        <v/>
      </c>
      <c r="J207" s="67" t="str">
        <f t="shared" si="11"/>
        <v/>
      </c>
      <c r="K207" s="71" t="str">
        <f t="shared" si="12"/>
        <v/>
      </c>
      <c r="L207" s="71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58"/>
      <c r="N207" s="58"/>
      <c r="O207" s="59" t="s">
        <v>125</v>
      </c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72"/>
      <c r="B208" s="63"/>
      <c r="C208" s="63"/>
      <c r="D208" s="67"/>
      <c r="E208" s="67"/>
      <c r="F208" s="68" t="str">
        <f t="shared" si="7"/>
        <v/>
      </c>
      <c r="G208" s="67" t="str">
        <f t="shared" si="8"/>
        <v/>
      </c>
      <c r="H208" s="69" t="str">
        <f t="shared" si="9"/>
        <v/>
      </c>
      <c r="I208" s="70" t="str">
        <f t="shared" si="10"/>
        <v/>
      </c>
      <c r="J208" s="67" t="str">
        <f t="shared" si="11"/>
        <v/>
      </c>
      <c r="K208" s="71" t="str">
        <f t="shared" si="12"/>
        <v/>
      </c>
      <c r="L208" s="71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58"/>
      <c r="N208" s="58"/>
      <c r="O208" s="5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72"/>
      <c r="B209" s="63"/>
      <c r="C209" s="63"/>
      <c r="D209" s="67"/>
      <c r="E209" s="67"/>
      <c r="F209" s="68" t="str">
        <f t="shared" si="7"/>
        <v/>
      </c>
      <c r="G209" s="67" t="str">
        <f t="shared" si="8"/>
        <v/>
      </c>
      <c r="H209" s="69" t="str">
        <f t="shared" si="9"/>
        <v/>
      </c>
      <c r="I209" s="70" t="str">
        <f t="shared" si="10"/>
        <v/>
      </c>
      <c r="J209" s="67" t="str">
        <f t="shared" si="11"/>
        <v/>
      </c>
      <c r="K209" s="71" t="str">
        <f t="shared" si="12"/>
        <v/>
      </c>
      <c r="L209" s="71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58"/>
      <c r="N209" s="58"/>
      <c r="O209" s="5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72"/>
      <c r="B210" s="63"/>
      <c r="C210" s="63"/>
      <c r="D210" s="67"/>
      <c r="E210" s="67"/>
      <c r="F210" s="68" t="str">
        <f t="shared" si="7"/>
        <v/>
      </c>
      <c r="G210" s="67" t="str">
        <f t="shared" si="8"/>
        <v/>
      </c>
      <c r="H210" s="69" t="str">
        <f t="shared" si="9"/>
        <v/>
      </c>
      <c r="I210" s="70" t="str">
        <f t="shared" si="10"/>
        <v/>
      </c>
      <c r="J210" s="67" t="str">
        <f t="shared" si="11"/>
        <v/>
      </c>
      <c r="K210" s="71" t="str">
        <f t="shared" si="12"/>
        <v/>
      </c>
      <c r="L210" s="71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58"/>
      <c r="N210" s="58"/>
      <c r="O210" s="5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0" customHeight="1">
      <c r="A211" s="72"/>
      <c r="B211" s="63"/>
      <c r="C211" s="63"/>
      <c r="D211" s="67"/>
      <c r="E211" s="67"/>
      <c r="F211" s="68" t="str">
        <f t="shared" si="7"/>
        <v/>
      </c>
      <c r="G211" s="67" t="str">
        <f t="shared" si="8"/>
        <v/>
      </c>
      <c r="H211" s="69" t="str">
        <f t="shared" si="9"/>
        <v/>
      </c>
      <c r="I211" s="70" t="str">
        <f t="shared" si="10"/>
        <v/>
      </c>
      <c r="J211" s="67" t="str">
        <f t="shared" si="11"/>
        <v/>
      </c>
      <c r="K211" s="71" t="str">
        <f t="shared" si="12"/>
        <v/>
      </c>
      <c r="L211" s="71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58"/>
      <c r="N211" s="58"/>
      <c r="O211" s="5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73"/>
      <c r="B212" s="63"/>
      <c r="C212" s="63"/>
      <c r="D212" s="67"/>
      <c r="E212" s="67"/>
      <c r="F212" s="68" t="str">
        <f t="shared" si="7"/>
        <v/>
      </c>
      <c r="G212" s="67" t="str">
        <f t="shared" si="8"/>
        <v/>
      </c>
      <c r="H212" s="69" t="str">
        <f t="shared" si="9"/>
        <v/>
      </c>
      <c r="I212" s="70" t="str">
        <f t="shared" si="10"/>
        <v/>
      </c>
      <c r="J212" s="67" t="str">
        <f t="shared" si="11"/>
        <v/>
      </c>
      <c r="K212" s="71" t="str">
        <f t="shared" si="12"/>
        <v/>
      </c>
      <c r="L212" s="71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58"/>
      <c r="N212" s="58"/>
      <c r="O212" s="5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72"/>
      <c r="B213" s="63"/>
      <c r="C213" s="63"/>
      <c r="D213" s="67"/>
      <c r="E213" s="67"/>
      <c r="F213" s="68" t="str">
        <f t="shared" si="7"/>
        <v/>
      </c>
      <c r="G213" s="67" t="str">
        <f t="shared" si="8"/>
        <v/>
      </c>
      <c r="H213" s="69" t="str">
        <f t="shared" si="9"/>
        <v/>
      </c>
      <c r="I213" s="70" t="str">
        <f t="shared" si="10"/>
        <v/>
      </c>
      <c r="J213" s="67" t="str">
        <f t="shared" si="11"/>
        <v/>
      </c>
      <c r="K213" s="71" t="str">
        <f t="shared" si="12"/>
        <v/>
      </c>
      <c r="L213" s="71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58"/>
      <c r="N213" s="58"/>
      <c r="O213" s="5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72"/>
      <c r="B214" s="63"/>
      <c r="C214" s="63"/>
      <c r="D214" s="67"/>
      <c r="E214" s="67"/>
      <c r="F214" s="68" t="str">
        <f t="shared" si="7"/>
        <v/>
      </c>
      <c r="G214" s="67" t="str">
        <f t="shared" si="8"/>
        <v/>
      </c>
      <c r="H214" s="69" t="str">
        <f t="shared" si="9"/>
        <v/>
      </c>
      <c r="I214" s="70" t="str">
        <f t="shared" si="10"/>
        <v/>
      </c>
      <c r="J214" s="67" t="str">
        <f t="shared" si="11"/>
        <v/>
      </c>
      <c r="K214" s="71" t="str">
        <f t="shared" si="12"/>
        <v/>
      </c>
      <c r="L214" s="71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58"/>
      <c r="N214" s="58"/>
      <c r="O214" s="5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72"/>
      <c r="B215" s="63"/>
      <c r="C215" s="63"/>
      <c r="D215" s="67"/>
      <c r="E215" s="67"/>
      <c r="F215" s="68" t="str">
        <f t="shared" si="7"/>
        <v/>
      </c>
      <c r="G215" s="67" t="str">
        <f t="shared" si="8"/>
        <v/>
      </c>
      <c r="H215" s="69" t="str">
        <f t="shared" si="9"/>
        <v/>
      </c>
      <c r="I215" s="70" t="str">
        <f t="shared" si="10"/>
        <v/>
      </c>
      <c r="J215" s="67" t="str">
        <f t="shared" si="11"/>
        <v/>
      </c>
      <c r="K215" s="71" t="str">
        <f t="shared" si="12"/>
        <v/>
      </c>
      <c r="L215" s="71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58"/>
      <c r="N215" s="58"/>
      <c r="O215" s="5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3.5" customHeight="1">
      <c r="A216" s="72"/>
      <c r="B216" s="63"/>
      <c r="C216" s="63"/>
      <c r="D216" s="67"/>
      <c r="E216" s="67"/>
      <c r="F216" s="68" t="str">
        <f t="shared" si="7"/>
        <v/>
      </c>
      <c r="G216" s="67" t="str">
        <f t="shared" si="8"/>
        <v/>
      </c>
      <c r="H216" s="69" t="str">
        <f t="shared" si="9"/>
        <v/>
      </c>
      <c r="I216" s="70" t="str">
        <f t="shared" si="10"/>
        <v/>
      </c>
      <c r="J216" s="67" t="str">
        <f t="shared" si="11"/>
        <v/>
      </c>
      <c r="K216" s="71" t="str">
        <f t="shared" si="12"/>
        <v/>
      </c>
      <c r="L216" s="71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58"/>
      <c r="N216" s="58"/>
      <c r="O216" s="5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3.5" customHeight="1">
      <c r="A217" s="72"/>
      <c r="B217" s="63"/>
      <c r="C217" s="63"/>
      <c r="D217" s="67"/>
      <c r="E217" s="67"/>
      <c r="F217" s="68" t="str">
        <f t="shared" si="7"/>
        <v/>
      </c>
      <c r="G217" s="67" t="str">
        <f t="shared" si="8"/>
        <v/>
      </c>
      <c r="H217" s="69" t="str">
        <f t="shared" si="9"/>
        <v/>
      </c>
      <c r="I217" s="70" t="str">
        <f t="shared" si="10"/>
        <v/>
      </c>
      <c r="J217" s="67" t="str">
        <f t="shared" si="11"/>
        <v/>
      </c>
      <c r="K217" s="71" t="str">
        <f t="shared" si="12"/>
        <v/>
      </c>
      <c r="L217" s="71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58"/>
      <c r="N217" s="58"/>
      <c r="O217" s="5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72"/>
      <c r="B218" s="63"/>
      <c r="C218" s="63"/>
      <c r="D218" s="67"/>
      <c r="E218" s="67"/>
      <c r="F218" s="68" t="str">
        <f t="shared" si="7"/>
        <v/>
      </c>
      <c r="G218" s="67" t="str">
        <f t="shared" si="8"/>
        <v/>
      </c>
      <c r="H218" s="69" t="str">
        <f t="shared" si="9"/>
        <v/>
      </c>
      <c r="I218" s="70" t="str">
        <f t="shared" si="10"/>
        <v/>
      </c>
      <c r="J218" s="67" t="str">
        <f t="shared" si="11"/>
        <v/>
      </c>
      <c r="K218" s="71" t="str">
        <f t="shared" si="12"/>
        <v/>
      </c>
      <c r="L218" s="71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58"/>
      <c r="N218" s="58"/>
      <c r="O218" s="5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72"/>
      <c r="B219" s="63"/>
      <c r="C219" s="63"/>
      <c r="D219" s="67"/>
      <c r="E219" s="67"/>
      <c r="F219" s="68" t="str">
        <f t="shared" si="7"/>
        <v/>
      </c>
      <c r="G219" s="67" t="str">
        <f t="shared" si="8"/>
        <v/>
      </c>
      <c r="H219" s="69" t="str">
        <f t="shared" si="9"/>
        <v/>
      </c>
      <c r="I219" s="70" t="str">
        <f t="shared" si="10"/>
        <v/>
      </c>
      <c r="J219" s="67" t="str">
        <f t="shared" si="11"/>
        <v/>
      </c>
      <c r="K219" s="71" t="str">
        <f t="shared" si="12"/>
        <v/>
      </c>
      <c r="L219" s="71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58"/>
      <c r="N219" s="58"/>
      <c r="O219" s="5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72"/>
      <c r="B220" s="63"/>
      <c r="C220" s="63"/>
      <c r="D220" s="67"/>
      <c r="E220" s="67"/>
      <c r="F220" s="68" t="str">
        <f t="shared" si="7"/>
        <v/>
      </c>
      <c r="G220" s="67" t="str">
        <f t="shared" si="8"/>
        <v/>
      </c>
      <c r="H220" s="69" t="str">
        <f t="shared" si="9"/>
        <v/>
      </c>
      <c r="I220" s="70" t="str">
        <f t="shared" si="10"/>
        <v/>
      </c>
      <c r="J220" s="67" t="str">
        <f t="shared" si="11"/>
        <v/>
      </c>
      <c r="K220" s="71" t="str">
        <f t="shared" si="12"/>
        <v/>
      </c>
      <c r="L220" s="71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58"/>
      <c r="N220" s="58"/>
      <c r="O220" s="5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72"/>
      <c r="B221" s="63"/>
      <c r="C221" s="63"/>
      <c r="D221" s="67"/>
      <c r="E221" s="67"/>
      <c r="F221" s="68" t="str">
        <f t="shared" si="7"/>
        <v/>
      </c>
      <c r="G221" s="67" t="str">
        <f t="shared" si="8"/>
        <v/>
      </c>
      <c r="H221" s="69" t="str">
        <f t="shared" si="9"/>
        <v/>
      </c>
      <c r="I221" s="70" t="str">
        <f t="shared" si="10"/>
        <v/>
      </c>
      <c r="J221" s="67" t="str">
        <f t="shared" si="11"/>
        <v/>
      </c>
      <c r="K221" s="71" t="str">
        <f t="shared" si="12"/>
        <v/>
      </c>
      <c r="L221" s="71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58"/>
      <c r="N221" s="58"/>
      <c r="O221" s="5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72"/>
      <c r="B222" s="63"/>
      <c r="C222" s="63"/>
      <c r="D222" s="67"/>
      <c r="E222" s="67"/>
      <c r="F222" s="68" t="str">
        <f t="shared" si="7"/>
        <v/>
      </c>
      <c r="G222" s="67" t="str">
        <f t="shared" si="8"/>
        <v/>
      </c>
      <c r="H222" s="69" t="str">
        <f t="shared" si="9"/>
        <v/>
      </c>
      <c r="I222" s="70" t="str">
        <f t="shared" si="10"/>
        <v/>
      </c>
      <c r="J222" s="67" t="str">
        <f t="shared" si="11"/>
        <v/>
      </c>
      <c r="K222" s="71" t="str">
        <f t="shared" si="12"/>
        <v/>
      </c>
      <c r="L222" s="71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58"/>
      <c r="N222" s="58"/>
      <c r="O222" s="5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72"/>
      <c r="B223" s="63"/>
      <c r="C223" s="63"/>
      <c r="D223" s="67"/>
      <c r="E223" s="67"/>
      <c r="F223" s="68" t="str">
        <f t="shared" si="7"/>
        <v/>
      </c>
      <c r="G223" s="67" t="str">
        <f t="shared" si="8"/>
        <v/>
      </c>
      <c r="H223" s="69" t="str">
        <f t="shared" si="9"/>
        <v/>
      </c>
      <c r="I223" s="70" t="str">
        <f t="shared" si="10"/>
        <v/>
      </c>
      <c r="J223" s="67" t="str">
        <f t="shared" si="11"/>
        <v/>
      </c>
      <c r="K223" s="71" t="str">
        <f t="shared" si="12"/>
        <v/>
      </c>
      <c r="L223" s="71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58"/>
      <c r="N223" s="58"/>
      <c r="O223" s="5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72"/>
      <c r="B224" s="63"/>
      <c r="C224" s="63"/>
      <c r="D224" s="67"/>
      <c r="E224" s="67"/>
      <c r="F224" s="68" t="str">
        <f t="shared" si="7"/>
        <v/>
      </c>
      <c r="G224" s="67" t="str">
        <f t="shared" si="8"/>
        <v/>
      </c>
      <c r="H224" s="69" t="str">
        <f t="shared" si="9"/>
        <v/>
      </c>
      <c r="I224" s="70" t="str">
        <f t="shared" si="10"/>
        <v/>
      </c>
      <c r="J224" s="67" t="str">
        <f t="shared" si="11"/>
        <v/>
      </c>
      <c r="K224" s="71" t="str">
        <f t="shared" si="12"/>
        <v/>
      </c>
      <c r="L224" s="71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58"/>
      <c r="N224" s="58"/>
      <c r="O224" s="5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72"/>
      <c r="B225" s="63"/>
      <c r="C225" s="63"/>
      <c r="D225" s="67"/>
      <c r="E225" s="67"/>
      <c r="F225" s="68" t="str">
        <f t="shared" si="7"/>
        <v/>
      </c>
      <c r="G225" s="67" t="str">
        <f t="shared" si="8"/>
        <v/>
      </c>
      <c r="H225" s="69" t="str">
        <f t="shared" si="9"/>
        <v/>
      </c>
      <c r="I225" s="70" t="str">
        <f t="shared" si="10"/>
        <v/>
      </c>
      <c r="J225" s="67" t="str">
        <f t="shared" si="11"/>
        <v/>
      </c>
      <c r="K225" s="71" t="str">
        <f t="shared" si="12"/>
        <v/>
      </c>
      <c r="L225" s="71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58"/>
      <c r="N225" s="58"/>
      <c r="O225" s="5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72"/>
      <c r="B226" s="63"/>
      <c r="C226" s="63"/>
      <c r="D226" s="67"/>
      <c r="E226" s="67"/>
      <c r="F226" s="68" t="str">
        <f t="shared" si="7"/>
        <v/>
      </c>
      <c r="G226" s="67" t="str">
        <f t="shared" si="8"/>
        <v/>
      </c>
      <c r="H226" s="69" t="str">
        <f t="shared" si="9"/>
        <v/>
      </c>
      <c r="I226" s="70" t="str">
        <f t="shared" si="10"/>
        <v/>
      </c>
      <c r="J226" s="67" t="str">
        <f t="shared" si="11"/>
        <v/>
      </c>
      <c r="K226" s="71" t="str">
        <f t="shared" si="12"/>
        <v/>
      </c>
      <c r="L226" s="71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58"/>
      <c r="N226" s="58"/>
      <c r="O226" s="5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72"/>
      <c r="B227" s="63"/>
      <c r="C227" s="63"/>
      <c r="D227" s="67"/>
      <c r="E227" s="67"/>
      <c r="F227" s="68" t="str">
        <f t="shared" si="7"/>
        <v/>
      </c>
      <c r="G227" s="67" t="str">
        <f t="shared" si="8"/>
        <v/>
      </c>
      <c r="H227" s="69" t="str">
        <f t="shared" si="9"/>
        <v/>
      </c>
      <c r="I227" s="70" t="str">
        <f t="shared" si="10"/>
        <v/>
      </c>
      <c r="J227" s="67" t="str">
        <f t="shared" si="11"/>
        <v/>
      </c>
      <c r="K227" s="71" t="str">
        <f t="shared" si="12"/>
        <v/>
      </c>
      <c r="L227" s="71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58"/>
      <c r="N227" s="58"/>
      <c r="O227" s="5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72"/>
      <c r="B228" s="63"/>
      <c r="C228" s="63"/>
      <c r="D228" s="67"/>
      <c r="E228" s="67"/>
      <c r="F228" s="68" t="str">
        <f t="shared" si="7"/>
        <v/>
      </c>
      <c r="G228" s="67" t="str">
        <f t="shared" si="8"/>
        <v/>
      </c>
      <c r="H228" s="69" t="str">
        <f t="shared" si="9"/>
        <v/>
      </c>
      <c r="I228" s="70" t="str">
        <f t="shared" si="10"/>
        <v/>
      </c>
      <c r="J228" s="67" t="str">
        <f t="shared" si="11"/>
        <v/>
      </c>
      <c r="K228" s="71" t="str">
        <f t="shared" si="12"/>
        <v/>
      </c>
      <c r="L228" s="71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58"/>
      <c r="N228" s="58"/>
      <c r="O228" s="5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72"/>
      <c r="B229" s="63"/>
      <c r="C229" s="63"/>
      <c r="D229" s="67"/>
      <c r="E229" s="67"/>
      <c r="F229" s="68" t="str">
        <f t="shared" si="7"/>
        <v/>
      </c>
      <c r="G229" s="67" t="str">
        <f t="shared" si="8"/>
        <v/>
      </c>
      <c r="H229" s="69" t="str">
        <f t="shared" si="9"/>
        <v/>
      </c>
      <c r="I229" s="70" t="str">
        <f t="shared" si="10"/>
        <v/>
      </c>
      <c r="J229" s="67" t="str">
        <f t="shared" si="11"/>
        <v/>
      </c>
      <c r="K229" s="71" t="str">
        <f t="shared" si="12"/>
        <v/>
      </c>
      <c r="L229" s="71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58"/>
      <c r="N229" s="58"/>
      <c r="O229" s="5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73"/>
      <c r="B230" s="63"/>
      <c r="C230" s="63"/>
      <c r="D230" s="67"/>
      <c r="E230" s="67"/>
      <c r="F230" s="68" t="str">
        <f t="shared" si="7"/>
        <v/>
      </c>
      <c r="G230" s="67" t="str">
        <f t="shared" si="8"/>
        <v/>
      </c>
      <c r="H230" s="69" t="str">
        <f t="shared" si="9"/>
        <v/>
      </c>
      <c r="I230" s="70" t="str">
        <f t="shared" si="10"/>
        <v/>
      </c>
      <c r="J230" s="67" t="str">
        <f t="shared" si="11"/>
        <v/>
      </c>
      <c r="K230" s="71" t="str">
        <f t="shared" si="12"/>
        <v/>
      </c>
      <c r="L230" s="71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58"/>
      <c r="N230" s="58"/>
      <c r="O230" s="5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73"/>
      <c r="B231" s="63"/>
      <c r="C231" s="63"/>
      <c r="D231" s="67"/>
      <c r="E231" s="67"/>
      <c r="F231" s="68" t="str">
        <f t="shared" si="7"/>
        <v/>
      </c>
      <c r="G231" s="67" t="str">
        <f t="shared" si="8"/>
        <v/>
      </c>
      <c r="H231" s="69" t="str">
        <f t="shared" si="9"/>
        <v/>
      </c>
      <c r="I231" s="70" t="str">
        <f t="shared" si="10"/>
        <v/>
      </c>
      <c r="J231" s="67" t="str">
        <f t="shared" si="11"/>
        <v/>
      </c>
      <c r="K231" s="71" t="str">
        <f t="shared" si="12"/>
        <v/>
      </c>
      <c r="L231" s="71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58"/>
      <c r="N231" s="58"/>
      <c r="O231" s="5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72"/>
      <c r="B232" s="63"/>
      <c r="C232" s="63"/>
      <c r="D232" s="67"/>
      <c r="E232" s="67"/>
      <c r="F232" s="68" t="str">
        <f t="shared" si="7"/>
        <v/>
      </c>
      <c r="G232" s="67" t="str">
        <f t="shared" si="8"/>
        <v/>
      </c>
      <c r="H232" s="69" t="str">
        <f t="shared" si="9"/>
        <v/>
      </c>
      <c r="I232" s="70" t="str">
        <f t="shared" si="10"/>
        <v/>
      </c>
      <c r="J232" s="67" t="str">
        <f t="shared" si="11"/>
        <v/>
      </c>
      <c r="K232" s="71" t="str">
        <f t="shared" si="12"/>
        <v/>
      </c>
      <c r="L232" s="71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58"/>
      <c r="N232" s="58"/>
      <c r="O232" s="5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72"/>
      <c r="B233" s="63"/>
      <c r="C233" s="63"/>
      <c r="D233" s="67"/>
      <c r="E233" s="67"/>
      <c r="F233" s="68" t="str">
        <f t="shared" si="7"/>
        <v/>
      </c>
      <c r="G233" s="67" t="str">
        <f t="shared" si="8"/>
        <v/>
      </c>
      <c r="H233" s="69" t="str">
        <f t="shared" si="9"/>
        <v/>
      </c>
      <c r="I233" s="70" t="str">
        <f t="shared" si="10"/>
        <v/>
      </c>
      <c r="J233" s="67" t="str">
        <f t="shared" si="11"/>
        <v/>
      </c>
      <c r="K233" s="71" t="str">
        <f t="shared" si="12"/>
        <v/>
      </c>
      <c r="L233" s="71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58"/>
      <c r="N233" s="58"/>
      <c r="O233" s="5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72"/>
      <c r="B234" s="63"/>
      <c r="C234" s="63"/>
      <c r="D234" s="67"/>
      <c r="E234" s="67"/>
      <c r="F234" s="68" t="str">
        <f t="shared" si="7"/>
        <v/>
      </c>
      <c r="G234" s="67" t="str">
        <f t="shared" si="8"/>
        <v/>
      </c>
      <c r="H234" s="69" t="str">
        <f t="shared" si="9"/>
        <v/>
      </c>
      <c r="I234" s="70" t="str">
        <f t="shared" si="10"/>
        <v/>
      </c>
      <c r="J234" s="67" t="str">
        <f t="shared" si="11"/>
        <v/>
      </c>
      <c r="K234" s="71" t="str">
        <f t="shared" si="12"/>
        <v/>
      </c>
      <c r="L234" s="71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58"/>
      <c r="N234" s="58"/>
      <c r="O234" s="5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72"/>
      <c r="B235" s="63"/>
      <c r="C235" s="63"/>
      <c r="D235" s="67"/>
      <c r="E235" s="67"/>
      <c r="F235" s="68" t="str">
        <f t="shared" si="7"/>
        <v/>
      </c>
      <c r="G235" s="67" t="str">
        <f t="shared" si="8"/>
        <v/>
      </c>
      <c r="H235" s="69" t="str">
        <f t="shared" si="9"/>
        <v/>
      </c>
      <c r="I235" s="70" t="str">
        <f t="shared" si="10"/>
        <v/>
      </c>
      <c r="J235" s="67" t="str">
        <f t="shared" si="11"/>
        <v/>
      </c>
      <c r="K235" s="71" t="str">
        <f t="shared" si="12"/>
        <v/>
      </c>
      <c r="L235" s="71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58"/>
      <c r="N235" s="58"/>
      <c r="O235" s="5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72"/>
      <c r="B236" s="63"/>
      <c r="C236" s="63"/>
      <c r="D236" s="67"/>
      <c r="E236" s="67"/>
      <c r="F236" s="68" t="str">
        <f t="shared" si="7"/>
        <v/>
      </c>
      <c r="G236" s="67" t="str">
        <f t="shared" si="8"/>
        <v/>
      </c>
      <c r="H236" s="69" t="str">
        <f t="shared" si="9"/>
        <v/>
      </c>
      <c r="I236" s="70" t="str">
        <f t="shared" si="10"/>
        <v/>
      </c>
      <c r="J236" s="67" t="str">
        <f t="shared" si="11"/>
        <v/>
      </c>
      <c r="K236" s="71" t="str">
        <f t="shared" si="12"/>
        <v/>
      </c>
      <c r="L236" s="71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58"/>
      <c r="N236" s="58"/>
      <c r="O236" s="5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74"/>
      <c r="B237" s="63"/>
      <c r="C237" s="63"/>
      <c r="D237" s="67"/>
      <c r="E237" s="67"/>
      <c r="F237" s="68" t="str">
        <f t="shared" si="7"/>
        <v/>
      </c>
      <c r="G237" s="67" t="str">
        <f t="shared" si="8"/>
        <v/>
      </c>
      <c r="H237" s="69" t="str">
        <f t="shared" si="9"/>
        <v/>
      </c>
      <c r="I237" s="70" t="str">
        <f t="shared" si="10"/>
        <v/>
      </c>
      <c r="J237" s="67" t="str">
        <f t="shared" si="11"/>
        <v/>
      </c>
      <c r="K237" s="71" t="str">
        <f t="shared" si="12"/>
        <v/>
      </c>
      <c r="L237" s="71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58"/>
      <c r="N237" s="58"/>
      <c r="O237" s="5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73"/>
      <c r="B238" s="63"/>
      <c r="C238" s="63"/>
      <c r="D238" s="67"/>
      <c r="E238" s="67"/>
      <c r="F238" s="68" t="str">
        <f t="shared" si="7"/>
        <v/>
      </c>
      <c r="G238" s="67" t="str">
        <f t="shared" si="8"/>
        <v/>
      </c>
      <c r="H238" s="69" t="str">
        <f t="shared" si="9"/>
        <v/>
      </c>
      <c r="I238" s="70" t="str">
        <f t="shared" si="10"/>
        <v/>
      </c>
      <c r="J238" s="67" t="str">
        <f t="shared" si="11"/>
        <v/>
      </c>
      <c r="K238" s="71" t="str">
        <f t="shared" si="12"/>
        <v/>
      </c>
      <c r="L238" s="71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58"/>
      <c r="N238" s="58"/>
      <c r="O238" s="5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0" customHeight="1">
      <c r="A239" s="72"/>
      <c r="B239" s="63"/>
      <c r="C239" s="63"/>
      <c r="D239" s="67"/>
      <c r="E239" s="67"/>
      <c r="F239" s="68" t="str">
        <f t="shared" si="7"/>
        <v/>
      </c>
      <c r="G239" s="67" t="str">
        <f t="shared" si="8"/>
        <v/>
      </c>
      <c r="H239" s="69" t="str">
        <f t="shared" si="9"/>
        <v/>
      </c>
      <c r="I239" s="70" t="str">
        <f t="shared" si="10"/>
        <v/>
      </c>
      <c r="J239" s="67" t="str">
        <f t="shared" si="11"/>
        <v/>
      </c>
      <c r="K239" s="71" t="str">
        <f t="shared" si="12"/>
        <v/>
      </c>
      <c r="L239" s="71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58"/>
      <c r="N239" s="58"/>
      <c r="O239" s="5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0" customHeight="1">
      <c r="A240" s="72"/>
      <c r="B240" s="63"/>
      <c r="C240" s="63"/>
      <c r="D240" s="67"/>
      <c r="E240" s="67"/>
      <c r="F240" s="68" t="str">
        <f t="shared" si="7"/>
        <v/>
      </c>
      <c r="G240" s="67" t="str">
        <f t="shared" si="8"/>
        <v/>
      </c>
      <c r="H240" s="69" t="str">
        <f t="shared" si="9"/>
        <v/>
      </c>
      <c r="I240" s="70" t="str">
        <f t="shared" si="10"/>
        <v/>
      </c>
      <c r="J240" s="67" t="str">
        <f t="shared" si="11"/>
        <v/>
      </c>
      <c r="K240" s="71" t="str">
        <f t="shared" si="12"/>
        <v/>
      </c>
      <c r="L240" s="71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58"/>
      <c r="N240" s="58"/>
      <c r="O240" s="5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72"/>
      <c r="B241" s="63"/>
      <c r="C241" s="63"/>
      <c r="D241" s="67"/>
      <c r="E241" s="67"/>
      <c r="F241" s="68" t="str">
        <f t="shared" si="7"/>
        <v/>
      </c>
      <c r="G241" s="67" t="str">
        <f t="shared" si="8"/>
        <v/>
      </c>
      <c r="H241" s="69" t="str">
        <f t="shared" si="9"/>
        <v/>
      </c>
      <c r="I241" s="70" t="str">
        <f t="shared" si="10"/>
        <v/>
      </c>
      <c r="J241" s="67" t="str">
        <f t="shared" si="11"/>
        <v/>
      </c>
      <c r="K241" s="71" t="str">
        <f t="shared" si="12"/>
        <v/>
      </c>
      <c r="L241" s="71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58"/>
      <c r="N241" s="58"/>
      <c r="O241" s="5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73"/>
      <c r="B242" s="63"/>
      <c r="C242" s="63"/>
      <c r="D242" s="67"/>
      <c r="E242" s="67"/>
      <c r="F242" s="68" t="str">
        <f t="shared" si="7"/>
        <v/>
      </c>
      <c r="G242" s="67" t="str">
        <f t="shared" si="8"/>
        <v/>
      </c>
      <c r="H242" s="69" t="str">
        <f t="shared" si="9"/>
        <v/>
      </c>
      <c r="I242" s="70" t="str">
        <f t="shared" si="10"/>
        <v/>
      </c>
      <c r="J242" s="67" t="str">
        <f t="shared" si="11"/>
        <v/>
      </c>
      <c r="K242" s="71" t="str">
        <f t="shared" si="12"/>
        <v/>
      </c>
      <c r="L242" s="71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58"/>
      <c r="N242" s="58"/>
      <c r="O242" s="5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72"/>
      <c r="B243" s="63"/>
      <c r="C243" s="63"/>
      <c r="D243" s="67"/>
      <c r="E243" s="67"/>
      <c r="F243" s="68" t="str">
        <f t="shared" si="7"/>
        <v/>
      </c>
      <c r="G243" s="67" t="str">
        <f t="shared" si="8"/>
        <v/>
      </c>
      <c r="H243" s="69" t="str">
        <f t="shared" si="9"/>
        <v/>
      </c>
      <c r="I243" s="70" t="str">
        <f t="shared" si="10"/>
        <v/>
      </c>
      <c r="J243" s="67" t="str">
        <f t="shared" si="11"/>
        <v/>
      </c>
      <c r="K243" s="71" t="str">
        <f t="shared" si="12"/>
        <v/>
      </c>
      <c r="L243" s="71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58"/>
      <c r="N243" s="58"/>
      <c r="O243" s="5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72"/>
      <c r="B244" s="63"/>
      <c r="C244" s="63"/>
      <c r="D244" s="67"/>
      <c r="E244" s="67"/>
      <c r="F244" s="68" t="str">
        <f t="shared" si="7"/>
        <v/>
      </c>
      <c r="G244" s="67" t="str">
        <f t="shared" si="8"/>
        <v/>
      </c>
      <c r="H244" s="69" t="str">
        <f t="shared" si="9"/>
        <v/>
      </c>
      <c r="I244" s="70" t="str">
        <f t="shared" si="10"/>
        <v/>
      </c>
      <c r="J244" s="67" t="str">
        <f t="shared" si="11"/>
        <v/>
      </c>
      <c r="K244" s="71" t="str">
        <f t="shared" si="12"/>
        <v/>
      </c>
      <c r="L244" s="71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58"/>
      <c r="N244" s="58"/>
      <c r="O244" s="5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72"/>
      <c r="B245" s="63"/>
      <c r="C245" s="63"/>
      <c r="D245" s="67"/>
      <c r="E245" s="67"/>
      <c r="F245" s="68" t="str">
        <f t="shared" si="7"/>
        <v/>
      </c>
      <c r="G245" s="67" t="str">
        <f t="shared" si="8"/>
        <v/>
      </c>
      <c r="H245" s="69" t="str">
        <f t="shared" si="9"/>
        <v/>
      </c>
      <c r="I245" s="70" t="str">
        <f t="shared" si="10"/>
        <v/>
      </c>
      <c r="J245" s="67" t="str">
        <f t="shared" si="11"/>
        <v/>
      </c>
      <c r="K245" s="71" t="str">
        <f t="shared" si="12"/>
        <v/>
      </c>
      <c r="L245" s="71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58"/>
      <c r="N245" s="58"/>
      <c r="O245" s="5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72"/>
      <c r="B246" s="63"/>
      <c r="C246" s="63"/>
      <c r="D246" s="67"/>
      <c r="E246" s="67"/>
      <c r="F246" s="68" t="str">
        <f t="shared" si="7"/>
        <v/>
      </c>
      <c r="G246" s="67" t="str">
        <f t="shared" si="8"/>
        <v/>
      </c>
      <c r="H246" s="69" t="str">
        <f t="shared" si="9"/>
        <v/>
      </c>
      <c r="I246" s="70" t="str">
        <f t="shared" si="10"/>
        <v/>
      </c>
      <c r="J246" s="67" t="str">
        <f t="shared" si="11"/>
        <v/>
      </c>
      <c r="K246" s="71" t="str">
        <f t="shared" si="12"/>
        <v/>
      </c>
      <c r="L246" s="71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58"/>
      <c r="N246" s="58"/>
      <c r="O246" s="5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72"/>
      <c r="B247" s="63"/>
      <c r="C247" s="63"/>
      <c r="D247" s="67"/>
      <c r="E247" s="67"/>
      <c r="F247" s="68" t="str">
        <f t="shared" si="7"/>
        <v/>
      </c>
      <c r="G247" s="67" t="str">
        <f t="shared" si="8"/>
        <v/>
      </c>
      <c r="H247" s="69" t="str">
        <f t="shared" si="9"/>
        <v/>
      </c>
      <c r="I247" s="70" t="str">
        <f t="shared" si="10"/>
        <v/>
      </c>
      <c r="J247" s="67" t="str">
        <f t="shared" si="11"/>
        <v/>
      </c>
      <c r="K247" s="71" t="str">
        <f t="shared" si="12"/>
        <v/>
      </c>
      <c r="L247" s="71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58"/>
      <c r="N247" s="58"/>
      <c r="O247" s="5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72"/>
      <c r="B248" s="63"/>
      <c r="C248" s="63"/>
      <c r="D248" s="67"/>
      <c r="E248" s="67"/>
      <c r="F248" s="68" t="str">
        <f t="shared" si="7"/>
        <v/>
      </c>
      <c r="G248" s="67" t="str">
        <f t="shared" si="8"/>
        <v/>
      </c>
      <c r="H248" s="69" t="str">
        <f t="shared" si="9"/>
        <v/>
      </c>
      <c r="I248" s="70" t="str">
        <f t="shared" si="10"/>
        <v/>
      </c>
      <c r="J248" s="67" t="str">
        <f t="shared" si="11"/>
        <v/>
      </c>
      <c r="K248" s="71" t="str">
        <f t="shared" si="12"/>
        <v/>
      </c>
      <c r="L248" s="71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58"/>
      <c r="N248" s="58"/>
      <c r="O248" s="5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72"/>
      <c r="B249" s="63"/>
      <c r="C249" s="63"/>
      <c r="D249" s="67"/>
      <c r="E249" s="67"/>
      <c r="F249" s="68" t="str">
        <f t="shared" si="7"/>
        <v/>
      </c>
      <c r="G249" s="67" t="str">
        <f t="shared" si="8"/>
        <v/>
      </c>
      <c r="H249" s="69" t="str">
        <f t="shared" si="9"/>
        <v/>
      </c>
      <c r="I249" s="70" t="str">
        <f t="shared" si="10"/>
        <v/>
      </c>
      <c r="J249" s="67" t="str">
        <f t="shared" si="11"/>
        <v/>
      </c>
      <c r="K249" s="71" t="str">
        <f t="shared" si="12"/>
        <v/>
      </c>
      <c r="L249" s="71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58"/>
      <c r="N249" s="58"/>
      <c r="O249" s="5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72"/>
      <c r="B250" s="63"/>
      <c r="C250" s="63"/>
      <c r="D250" s="67"/>
      <c r="E250" s="67"/>
      <c r="F250" s="68" t="str">
        <f t="shared" si="7"/>
        <v/>
      </c>
      <c r="G250" s="67" t="str">
        <f t="shared" si="8"/>
        <v/>
      </c>
      <c r="H250" s="69" t="str">
        <f t="shared" si="9"/>
        <v/>
      </c>
      <c r="I250" s="70" t="str">
        <f t="shared" si="10"/>
        <v/>
      </c>
      <c r="J250" s="67" t="str">
        <f t="shared" si="11"/>
        <v/>
      </c>
      <c r="K250" s="71" t="str">
        <f t="shared" si="12"/>
        <v/>
      </c>
      <c r="L250" s="71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58"/>
      <c r="N250" s="58"/>
      <c r="O250" s="5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74"/>
      <c r="B251" s="63"/>
      <c r="C251" s="63"/>
      <c r="D251" s="67"/>
      <c r="E251" s="67"/>
      <c r="F251" s="68" t="str">
        <f t="shared" si="7"/>
        <v/>
      </c>
      <c r="G251" s="67" t="str">
        <f t="shared" si="8"/>
        <v/>
      </c>
      <c r="H251" s="69" t="str">
        <f t="shared" si="9"/>
        <v/>
      </c>
      <c r="I251" s="70" t="str">
        <f t="shared" si="10"/>
        <v/>
      </c>
      <c r="J251" s="67" t="str">
        <f t="shared" si="11"/>
        <v/>
      </c>
      <c r="K251" s="71" t="str">
        <f t="shared" si="12"/>
        <v/>
      </c>
      <c r="L251" s="71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58"/>
      <c r="N251" s="58"/>
      <c r="O251" s="5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73"/>
      <c r="B252" s="63"/>
      <c r="C252" s="63"/>
      <c r="D252" s="67"/>
      <c r="E252" s="67"/>
      <c r="F252" s="68" t="str">
        <f t="shared" si="7"/>
        <v/>
      </c>
      <c r="G252" s="67" t="str">
        <f t="shared" si="8"/>
        <v/>
      </c>
      <c r="H252" s="69" t="str">
        <f t="shared" si="9"/>
        <v/>
      </c>
      <c r="I252" s="70" t="str">
        <f t="shared" si="10"/>
        <v/>
      </c>
      <c r="J252" s="67" t="str">
        <f t="shared" si="11"/>
        <v/>
      </c>
      <c r="K252" s="71" t="str">
        <f t="shared" si="12"/>
        <v/>
      </c>
      <c r="L252" s="71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58"/>
      <c r="N252" s="58"/>
      <c r="O252" s="5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72"/>
      <c r="B253" s="63"/>
      <c r="C253" s="63"/>
      <c r="D253" s="67"/>
      <c r="E253" s="67"/>
      <c r="F253" s="68" t="str">
        <f t="shared" si="7"/>
        <v/>
      </c>
      <c r="G253" s="67" t="str">
        <f t="shared" si="8"/>
        <v/>
      </c>
      <c r="H253" s="69" t="str">
        <f t="shared" si="9"/>
        <v/>
      </c>
      <c r="I253" s="70" t="str">
        <f t="shared" si="10"/>
        <v/>
      </c>
      <c r="J253" s="67" t="str">
        <f t="shared" si="11"/>
        <v/>
      </c>
      <c r="K253" s="71" t="str">
        <f t="shared" si="12"/>
        <v/>
      </c>
      <c r="L253" s="71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58"/>
      <c r="N253" s="58"/>
      <c r="O253" s="5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72"/>
      <c r="B254" s="63"/>
      <c r="C254" s="63"/>
      <c r="D254" s="67"/>
      <c r="E254" s="67"/>
      <c r="F254" s="68" t="str">
        <f t="shared" si="7"/>
        <v/>
      </c>
      <c r="G254" s="67" t="str">
        <f t="shared" si="8"/>
        <v/>
      </c>
      <c r="H254" s="69" t="str">
        <f t="shared" si="9"/>
        <v/>
      </c>
      <c r="I254" s="70" t="str">
        <f t="shared" si="10"/>
        <v/>
      </c>
      <c r="J254" s="67" t="str">
        <f t="shared" si="11"/>
        <v/>
      </c>
      <c r="K254" s="71" t="str">
        <f t="shared" si="12"/>
        <v/>
      </c>
      <c r="L254" s="71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58"/>
      <c r="N254" s="58"/>
      <c r="O254" s="5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72"/>
      <c r="B255" s="63"/>
      <c r="C255" s="63"/>
      <c r="D255" s="67"/>
      <c r="E255" s="67"/>
      <c r="F255" s="68" t="str">
        <f t="shared" si="7"/>
        <v/>
      </c>
      <c r="G255" s="67" t="str">
        <f t="shared" si="8"/>
        <v/>
      </c>
      <c r="H255" s="69" t="str">
        <f t="shared" si="9"/>
        <v/>
      </c>
      <c r="I255" s="70" t="str">
        <f t="shared" si="10"/>
        <v/>
      </c>
      <c r="J255" s="67" t="str">
        <f t="shared" si="11"/>
        <v/>
      </c>
      <c r="K255" s="71" t="str">
        <f t="shared" si="12"/>
        <v/>
      </c>
      <c r="L255" s="71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58"/>
      <c r="N255" s="58"/>
      <c r="O255" s="5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72"/>
      <c r="B256" s="63"/>
      <c r="C256" s="63"/>
      <c r="D256" s="67"/>
      <c r="E256" s="67"/>
      <c r="F256" s="68" t="str">
        <f t="shared" si="7"/>
        <v/>
      </c>
      <c r="G256" s="67" t="str">
        <f t="shared" si="8"/>
        <v/>
      </c>
      <c r="H256" s="69" t="str">
        <f t="shared" si="9"/>
        <v/>
      </c>
      <c r="I256" s="70" t="str">
        <f t="shared" si="10"/>
        <v/>
      </c>
      <c r="J256" s="67" t="str">
        <f t="shared" si="11"/>
        <v/>
      </c>
      <c r="K256" s="71" t="str">
        <f t="shared" si="12"/>
        <v/>
      </c>
      <c r="L256" s="71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58"/>
      <c r="N256" s="58"/>
      <c r="O256" s="5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72"/>
      <c r="B257" s="63"/>
      <c r="C257" s="63"/>
      <c r="D257" s="67"/>
      <c r="E257" s="67"/>
      <c r="F257" s="68" t="str">
        <f t="shared" si="7"/>
        <v/>
      </c>
      <c r="G257" s="67" t="str">
        <f t="shared" si="8"/>
        <v/>
      </c>
      <c r="H257" s="69" t="str">
        <f t="shared" si="9"/>
        <v/>
      </c>
      <c r="I257" s="70" t="str">
        <f t="shared" si="10"/>
        <v/>
      </c>
      <c r="J257" s="67" t="str">
        <f t="shared" si="11"/>
        <v/>
      </c>
      <c r="K257" s="71" t="str">
        <f t="shared" si="12"/>
        <v/>
      </c>
      <c r="L257" s="71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58"/>
      <c r="N257" s="58"/>
      <c r="O257" s="5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72"/>
      <c r="B258" s="63"/>
      <c r="C258" s="63"/>
      <c r="D258" s="67"/>
      <c r="E258" s="67"/>
      <c r="F258" s="68" t="str">
        <f t="shared" si="7"/>
        <v/>
      </c>
      <c r="G258" s="67" t="str">
        <f t="shared" si="8"/>
        <v/>
      </c>
      <c r="H258" s="69" t="str">
        <f t="shared" si="9"/>
        <v/>
      </c>
      <c r="I258" s="70" t="str">
        <f t="shared" si="10"/>
        <v/>
      </c>
      <c r="J258" s="67" t="str">
        <f t="shared" si="11"/>
        <v/>
      </c>
      <c r="K258" s="71" t="str">
        <f t="shared" si="12"/>
        <v/>
      </c>
      <c r="L258" s="71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58"/>
      <c r="N258" s="58"/>
      <c r="O258" s="5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72"/>
      <c r="B259" s="63"/>
      <c r="C259" s="63"/>
      <c r="D259" s="67"/>
      <c r="E259" s="67"/>
      <c r="F259" s="68" t="str">
        <f t="shared" si="7"/>
        <v/>
      </c>
      <c r="G259" s="67" t="str">
        <f t="shared" si="8"/>
        <v/>
      </c>
      <c r="H259" s="69" t="str">
        <f t="shared" si="9"/>
        <v/>
      </c>
      <c r="I259" s="70" t="str">
        <f t="shared" si="10"/>
        <v/>
      </c>
      <c r="J259" s="67" t="str">
        <f t="shared" si="11"/>
        <v/>
      </c>
      <c r="K259" s="71" t="str">
        <f t="shared" si="12"/>
        <v/>
      </c>
      <c r="L259" s="71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58"/>
      <c r="N259" s="58"/>
      <c r="O259" s="5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72"/>
      <c r="B260" s="63"/>
      <c r="C260" s="63"/>
      <c r="D260" s="67"/>
      <c r="E260" s="67"/>
      <c r="F260" s="68" t="str">
        <f t="shared" si="7"/>
        <v/>
      </c>
      <c r="G260" s="67" t="str">
        <f t="shared" si="8"/>
        <v/>
      </c>
      <c r="H260" s="69" t="str">
        <f t="shared" si="9"/>
        <v/>
      </c>
      <c r="I260" s="70" t="str">
        <f t="shared" si="10"/>
        <v/>
      </c>
      <c r="J260" s="67" t="str">
        <f t="shared" si="11"/>
        <v/>
      </c>
      <c r="K260" s="71" t="str">
        <f t="shared" si="12"/>
        <v/>
      </c>
      <c r="L260" s="71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58"/>
      <c r="N260" s="58"/>
      <c r="O260" s="5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72"/>
      <c r="B261" s="63"/>
      <c r="C261" s="63"/>
      <c r="D261" s="67"/>
      <c r="E261" s="67"/>
      <c r="F261" s="68" t="str">
        <f t="shared" si="7"/>
        <v/>
      </c>
      <c r="G261" s="67" t="str">
        <f t="shared" si="8"/>
        <v/>
      </c>
      <c r="H261" s="69" t="str">
        <f t="shared" si="9"/>
        <v/>
      </c>
      <c r="I261" s="70" t="str">
        <f t="shared" si="10"/>
        <v/>
      </c>
      <c r="J261" s="67" t="str">
        <f t="shared" si="11"/>
        <v/>
      </c>
      <c r="K261" s="71" t="str">
        <f t="shared" si="12"/>
        <v/>
      </c>
      <c r="L261" s="71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58"/>
      <c r="N261" s="58"/>
      <c r="O261" s="5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72"/>
      <c r="B262" s="63"/>
      <c r="C262" s="63"/>
      <c r="D262" s="67"/>
      <c r="E262" s="67"/>
      <c r="F262" s="68" t="str">
        <f t="shared" si="7"/>
        <v/>
      </c>
      <c r="G262" s="67" t="str">
        <f t="shared" si="8"/>
        <v/>
      </c>
      <c r="H262" s="69" t="str">
        <f t="shared" si="9"/>
        <v/>
      </c>
      <c r="I262" s="70" t="str">
        <f t="shared" si="10"/>
        <v/>
      </c>
      <c r="J262" s="67" t="str">
        <f t="shared" si="11"/>
        <v/>
      </c>
      <c r="K262" s="71" t="str">
        <f t="shared" si="12"/>
        <v/>
      </c>
      <c r="L262" s="71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58"/>
      <c r="N262" s="58"/>
      <c r="O262" s="5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72"/>
      <c r="B263" s="63"/>
      <c r="C263" s="63"/>
      <c r="D263" s="67"/>
      <c r="E263" s="67"/>
      <c r="F263" s="68" t="str">
        <f t="shared" si="7"/>
        <v/>
      </c>
      <c r="G263" s="67" t="str">
        <f t="shared" si="8"/>
        <v/>
      </c>
      <c r="H263" s="69" t="str">
        <f t="shared" si="9"/>
        <v/>
      </c>
      <c r="I263" s="70" t="str">
        <f t="shared" si="10"/>
        <v/>
      </c>
      <c r="J263" s="67" t="str">
        <f t="shared" si="11"/>
        <v/>
      </c>
      <c r="K263" s="71" t="str">
        <f t="shared" si="12"/>
        <v/>
      </c>
      <c r="L263" s="71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58"/>
      <c r="N263" s="58"/>
      <c r="O263" s="5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72"/>
      <c r="B264" s="63"/>
      <c r="C264" s="63"/>
      <c r="D264" s="67"/>
      <c r="E264" s="67"/>
      <c r="F264" s="68" t="str">
        <f t="shared" si="7"/>
        <v/>
      </c>
      <c r="G264" s="67" t="str">
        <f t="shared" si="8"/>
        <v/>
      </c>
      <c r="H264" s="69" t="str">
        <f t="shared" si="9"/>
        <v/>
      </c>
      <c r="I264" s="70" t="str">
        <f t="shared" si="10"/>
        <v/>
      </c>
      <c r="J264" s="67" t="str">
        <f t="shared" si="11"/>
        <v/>
      </c>
      <c r="K264" s="71" t="str">
        <f t="shared" si="12"/>
        <v/>
      </c>
      <c r="L264" s="71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58"/>
      <c r="N264" s="58"/>
      <c r="O264" s="5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72"/>
      <c r="B265" s="63"/>
      <c r="C265" s="63"/>
      <c r="D265" s="67"/>
      <c r="E265" s="67"/>
      <c r="F265" s="68" t="str">
        <f t="shared" si="7"/>
        <v/>
      </c>
      <c r="G265" s="67" t="str">
        <f t="shared" si="8"/>
        <v/>
      </c>
      <c r="H265" s="69" t="str">
        <f t="shared" si="9"/>
        <v/>
      </c>
      <c r="I265" s="70" t="str">
        <f t="shared" si="10"/>
        <v/>
      </c>
      <c r="J265" s="67" t="str">
        <f t="shared" si="11"/>
        <v/>
      </c>
      <c r="K265" s="71" t="str">
        <f t="shared" si="12"/>
        <v/>
      </c>
      <c r="L265" s="71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58"/>
      <c r="N265" s="58"/>
      <c r="O265" s="5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74"/>
      <c r="B266" s="63"/>
      <c r="C266" s="63"/>
      <c r="D266" s="67"/>
      <c r="E266" s="67"/>
      <c r="F266" s="68" t="str">
        <f t="shared" si="7"/>
        <v/>
      </c>
      <c r="G266" s="67" t="str">
        <f t="shared" si="8"/>
        <v/>
      </c>
      <c r="H266" s="69" t="str">
        <f t="shared" si="9"/>
        <v/>
      </c>
      <c r="I266" s="70" t="str">
        <f t="shared" si="10"/>
        <v/>
      </c>
      <c r="J266" s="67" t="str">
        <f t="shared" si="11"/>
        <v/>
      </c>
      <c r="K266" s="71" t="str">
        <f t="shared" si="12"/>
        <v/>
      </c>
      <c r="L266" s="71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58"/>
      <c r="N266" s="58"/>
      <c r="O266" s="5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72"/>
      <c r="B267" s="63"/>
      <c r="C267" s="63"/>
      <c r="D267" s="67"/>
      <c r="E267" s="67"/>
      <c r="F267" s="68" t="str">
        <f t="shared" si="7"/>
        <v/>
      </c>
      <c r="G267" s="67" t="str">
        <f t="shared" si="8"/>
        <v/>
      </c>
      <c r="H267" s="69" t="str">
        <f t="shared" si="9"/>
        <v/>
      </c>
      <c r="I267" s="70" t="str">
        <f t="shared" si="10"/>
        <v/>
      </c>
      <c r="J267" s="67" t="str">
        <f t="shared" si="11"/>
        <v/>
      </c>
      <c r="K267" s="71" t="str">
        <f t="shared" si="12"/>
        <v/>
      </c>
      <c r="L267" s="71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58"/>
      <c r="N267" s="58"/>
      <c r="O267" s="5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72"/>
      <c r="B268" s="63"/>
      <c r="C268" s="63"/>
      <c r="D268" s="67"/>
      <c r="E268" s="67"/>
      <c r="F268" s="68" t="str">
        <f t="shared" si="7"/>
        <v/>
      </c>
      <c r="G268" s="67" t="str">
        <f t="shared" si="8"/>
        <v/>
      </c>
      <c r="H268" s="69" t="str">
        <f t="shared" si="9"/>
        <v/>
      </c>
      <c r="I268" s="70" t="str">
        <f t="shared" si="10"/>
        <v/>
      </c>
      <c r="J268" s="67" t="str">
        <f t="shared" si="11"/>
        <v/>
      </c>
      <c r="K268" s="71" t="str">
        <f t="shared" si="12"/>
        <v/>
      </c>
      <c r="L268" s="71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58"/>
      <c r="N268" s="58"/>
      <c r="O268" s="5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72"/>
      <c r="B269" s="63"/>
      <c r="C269" s="63"/>
      <c r="D269" s="67"/>
      <c r="E269" s="67"/>
      <c r="F269" s="68" t="str">
        <f t="shared" si="7"/>
        <v/>
      </c>
      <c r="G269" s="67" t="str">
        <f t="shared" si="8"/>
        <v/>
      </c>
      <c r="H269" s="69" t="str">
        <f t="shared" si="9"/>
        <v/>
      </c>
      <c r="I269" s="70" t="str">
        <f t="shared" si="10"/>
        <v/>
      </c>
      <c r="J269" s="67" t="str">
        <f t="shared" si="11"/>
        <v/>
      </c>
      <c r="K269" s="71" t="str">
        <f t="shared" si="12"/>
        <v/>
      </c>
      <c r="L269" s="71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58"/>
      <c r="N269" s="58"/>
      <c r="O269" s="5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72"/>
      <c r="B270" s="63"/>
      <c r="C270" s="63"/>
      <c r="D270" s="67"/>
      <c r="E270" s="67"/>
      <c r="F270" s="68" t="str">
        <f t="shared" si="7"/>
        <v/>
      </c>
      <c r="G270" s="67" t="str">
        <f t="shared" si="8"/>
        <v/>
      </c>
      <c r="H270" s="69" t="str">
        <f t="shared" si="9"/>
        <v/>
      </c>
      <c r="I270" s="70" t="str">
        <f t="shared" si="10"/>
        <v/>
      </c>
      <c r="J270" s="67" t="str">
        <f t="shared" si="11"/>
        <v/>
      </c>
      <c r="K270" s="71" t="str">
        <f t="shared" si="12"/>
        <v/>
      </c>
      <c r="L270" s="71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58"/>
      <c r="N270" s="58"/>
      <c r="O270" s="5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72"/>
      <c r="B271" s="63"/>
      <c r="C271" s="63"/>
      <c r="D271" s="67"/>
      <c r="E271" s="67"/>
      <c r="F271" s="68" t="str">
        <f t="shared" si="7"/>
        <v/>
      </c>
      <c r="G271" s="67" t="str">
        <f t="shared" si="8"/>
        <v/>
      </c>
      <c r="H271" s="69" t="str">
        <f t="shared" si="9"/>
        <v/>
      </c>
      <c r="I271" s="70" t="str">
        <f t="shared" si="10"/>
        <v/>
      </c>
      <c r="J271" s="67" t="str">
        <f t="shared" si="11"/>
        <v/>
      </c>
      <c r="K271" s="71" t="str">
        <f t="shared" si="12"/>
        <v/>
      </c>
      <c r="L271" s="71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58"/>
      <c r="N271" s="58"/>
      <c r="O271" s="5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72"/>
      <c r="B272" s="63"/>
      <c r="C272" s="63"/>
      <c r="D272" s="67"/>
      <c r="E272" s="67"/>
      <c r="F272" s="68" t="str">
        <f t="shared" si="7"/>
        <v/>
      </c>
      <c r="G272" s="67" t="str">
        <f t="shared" si="8"/>
        <v/>
      </c>
      <c r="H272" s="69" t="str">
        <f t="shared" si="9"/>
        <v/>
      </c>
      <c r="I272" s="70" t="str">
        <f t="shared" si="10"/>
        <v/>
      </c>
      <c r="J272" s="67" t="str">
        <f t="shared" si="11"/>
        <v/>
      </c>
      <c r="K272" s="71" t="str">
        <f t="shared" si="12"/>
        <v/>
      </c>
      <c r="L272" s="71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58"/>
      <c r="N272" s="58"/>
      <c r="O272" s="5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74"/>
      <c r="B273" s="63"/>
      <c r="C273" s="63"/>
      <c r="D273" s="67"/>
      <c r="E273" s="67"/>
      <c r="F273" s="68" t="str">
        <f t="shared" si="7"/>
        <v/>
      </c>
      <c r="G273" s="67" t="str">
        <f t="shared" si="8"/>
        <v/>
      </c>
      <c r="H273" s="69" t="str">
        <f t="shared" si="9"/>
        <v/>
      </c>
      <c r="I273" s="70" t="str">
        <f t="shared" si="10"/>
        <v/>
      </c>
      <c r="J273" s="67" t="str">
        <f t="shared" si="11"/>
        <v/>
      </c>
      <c r="K273" s="71" t="str">
        <f t="shared" si="12"/>
        <v/>
      </c>
      <c r="L273" s="71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58"/>
      <c r="N273" s="58"/>
      <c r="O273" s="5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72"/>
      <c r="B274" s="63"/>
      <c r="C274" s="63"/>
      <c r="D274" s="67"/>
      <c r="E274" s="67"/>
      <c r="F274" s="68" t="str">
        <f t="shared" si="7"/>
        <v/>
      </c>
      <c r="G274" s="67" t="str">
        <f t="shared" si="8"/>
        <v/>
      </c>
      <c r="H274" s="69" t="str">
        <f t="shared" si="9"/>
        <v/>
      </c>
      <c r="I274" s="70" t="str">
        <f t="shared" si="10"/>
        <v/>
      </c>
      <c r="J274" s="67" t="str">
        <f t="shared" si="11"/>
        <v/>
      </c>
      <c r="K274" s="71" t="str">
        <f t="shared" si="12"/>
        <v/>
      </c>
      <c r="L274" s="71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58"/>
      <c r="N274" s="58"/>
      <c r="O274" s="5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72"/>
      <c r="B275" s="63"/>
      <c r="C275" s="63"/>
      <c r="D275" s="67"/>
      <c r="E275" s="67"/>
      <c r="F275" s="68" t="str">
        <f t="shared" si="7"/>
        <v/>
      </c>
      <c r="G275" s="67" t="str">
        <f t="shared" si="8"/>
        <v/>
      </c>
      <c r="H275" s="69" t="str">
        <f t="shared" si="9"/>
        <v/>
      </c>
      <c r="I275" s="70" t="str">
        <f t="shared" si="10"/>
        <v/>
      </c>
      <c r="J275" s="67" t="str">
        <f t="shared" si="11"/>
        <v/>
      </c>
      <c r="K275" s="71" t="str">
        <f t="shared" si="12"/>
        <v/>
      </c>
      <c r="L275" s="71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58"/>
      <c r="N275" s="58"/>
      <c r="O275" s="5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72"/>
      <c r="B276" s="63"/>
      <c r="C276" s="63"/>
      <c r="D276" s="67"/>
      <c r="E276" s="67"/>
      <c r="F276" s="68" t="str">
        <f t="shared" si="7"/>
        <v/>
      </c>
      <c r="G276" s="67" t="str">
        <f t="shared" si="8"/>
        <v/>
      </c>
      <c r="H276" s="69" t="str">
        <f t="shared" si="9"/>
        <v/>
      </c>
      <c r="I276" s="70" t="str">
        <f t="shared" si="10"/>
        <v/>
      </c>
      <c r="J276" s="67" t="str">
        <f t="shared" si="11"/>
        <v/>
      </c>
      <c r="K276" s="71" t="str">
        <f t="shared" si="12"/>
        <v/>
      </c>
      <c r="L276" s="71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58"/>
      <c r="N276" s="58"/>
      <c r="O276" s="5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72"/>
      <c r="B277" s="63"/>
      <c r="C277" s="63"/>
      <c r="D277" s="67"/>
      <c r="E277" s="67"/>
      <c r="F277" s="68" t="str">
        <f t="shared" si="7"/>
        <v/>
      </c>
      <c r="G277" s="67" t="str">
        <f t="shared" si="8"/>
        <v/>
      </c>
      <c r="H277" s="69" t="str">
        <f t="shared" si="9"/>
        <v/>
      </c>
      <c r="I277" s="70" t="str">
        <f t="shared" si="10"/>
        <v/>
      </c>
      <c r="J277" s="67" t="str">
        <f t="shared" si="11"/>
        <v/>
      </c>
      <c r="K277" s="71" t="str">
        <f t="shared" si="12"/>
        <v/>
      </c>
      <c r="L277" s="71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58"/>
      <c r="N277" s="58"/>
      <c r="O277" s="5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72"/>
      <c r="B278" s="63"/>
      <c r="C278" s="63"/>
      <c r="D278" s="67"/>
      <c r="E278" s="67"/>
      <c r="F278" s="68" t="str">
        <f t="shared" si="7"/>
        <v/>
      </c>
      <c r="G278" s="67" t="str">
        <f t="shared" si="8"/>
        <v/>
      </c>
      <c r="H278" s="69" t="str">
        <f t="shared" si="9"/>
        <v/>
      </c>
      <c r="I278" s="70" t="str">
        <f t="shared" si="10"/>
        <v/>
      </c>
      <c r="J278" s="67" t="str">
        <f t="shared" si="11"/>
        <v/>
      </c>
      <c r="K278" s="71" t="str">
        <f t="shared" si="12"/>
        <v/>
      </c>
      <c r="L278" s="71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58"/>
      <c r="N278" s="58"/>
      <c r="O278" s="5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74"/>
      <c r="B279" s="63"/>
      <c r="C279" s="63"/>
      <c r="D279" s="67"/>
      <c r="E279" s="67"/>
      <c r="F279" s="68" t="str">
        <f t="shared" si="7"/>
        <v/>
      </c>
      <c r="G279" s="67" t="str">
        <f t="shared" si="8"/>
        <v/>
      </c>
      <c r="H279" s="69" t="str">
        <f t="shared" si="9"/>
        <v/>
      </c>
      <c r="I279" s="70" t="str">
        <f t="shared" si="10"/>
        <v/>
      </c>
      <c r="J279" s="67" t="str">
        <f t="shared" si="11"/>
        <v/>
      </c>
      <c r="K279" s="71" t="str">
        <f t="shared" si="12"/>
        <v/>
      </c>
      <c r="L279" s="71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58"/>
      <c r="N279" s="58"/>
      <c r="O279" s="5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72"/>
      <c r="B280" s="63"/>
      <c r="C280" s="63"/>
      <c r="D280" s="67"/>
      <c r="E280" s="67"/>
      <c r="F280" s="68" t="str">
        <f t="shared" si="7"/>
        <v/>
      </c>
      <c r="G280" s="67" t="str">
        <f t="shared" si="8"/>
        <v/>
      </c>
      <c r="H280" s="69" t="str">
        <f t="shared" si="9"/>
        <v/>
      </c>
      <c r="I280" s="70" t="str">
        <f t="shared" si="10"/>
        <v/>
      </c>
      <c r="J280" s="67" t="str">
        <f t="shared" si="11"/>
        <v/>
      </c>
      <c r="K280" s="71" t="str">
        <f t="shared" si="12"/>
        <v/>
      </c>
      <c r="L280" s="71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58"/>
      <c r="N280" s="58"/>
      <c r="O280" s="5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72"/>
      <c r="B281" s="63"/>
      <c r="C281" s="63"/>
      <c r="D281" s="67"/>
      <c r="E281" s="67"/>
      <c r="F281" s="68" t="str">
        <f t="shared" si="7"/>
        <v/>
      </c>
      <c r="G281" s="67" t="str">
        <f t="shared" si="8"/>
        <v/>
      </c>
      <c r="H281" s="69" t="str">
        <f t="shared" si="9"/>
        <v/>
      </c>
      <c r="I281" s="70" t="str">
        <f t="shared" si="10"/>
        <v/>
      </c>
      <c r="J281" s="67" t="str">
        <f t="shared" si="11"/>
        <v/>
      </c>
      <c r="K281" s="71" t="str">
        <f t="shared" si="12"/>
        <v/>
      </c>
      <c r="L281" s="71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58"/>
      <c r="N281" s="58"/>
      <c r="O281" s="5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74"/>
      <c r="B282" s="63"/>
      <c r="C282" s="63"/>
      <c r="D282" s="67"/>
      <c r="E282" s="67"/>
      <c r="F282" s="68" t="str">
        <f t="shared" si="7"/>
        <v/>
      </c>
      <c r="G282" s="67" t="str">
        <f t="shared" si="8"/>
        <v/>
      </c>
      <c r="H282" s="69" t="str">
        <f t="shared" si="9"/>
        <v/>
      </c>
      <c r="I282" s="70" t="str">
        <f t="shared" si="10"/>
        <v/>
      </c>
      <c r="J282" s="67" t="str">
        <f t="shared" si="11"/>
        <v/>
      </c>
      <c r="K282" s="71" t="str">
        <f t="shared" si="12"/>
        <v/>
      </c>
      <c r="L282" s="71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58"/>
      <c r="N282" s="58"/>
      <c r="O282" s="5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74"/>
      <c r="B283" s="63"/>
      <c r="C283" s="63"/>
      <c r="D283" s="67"/>
      <c r="E283" s="67"/>
      <c r="F283" s="68" t="str">
        <f t="shared" si="7"/>
        <v/>
      </c>
      <c r="G283" s="67" t="str">
        <f t="shared" si="8"/>
        <v/>
      </c>
      <c r="H283" s="69" t="str">
        <f t="shared" si="9"/>
        <v/>
      </c>
      <c r="I283" s="70" t="str">
        <f t="shared" si="10"/>
        <v/>
      </c>
      <c r="J283" s="67" t="str">
        <f t="shared" si="11"/>
        <v/>
      </c>
      <c r="K283" s="71" t="str">
        <f t="shared" si="12"/>
        <v/>
      </c>
      <c r="L283" s="71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58"/>
      <c r="N283" s="58"/>
      <c r="O283" s="5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72"/>
      <c r="B284" s="63"/>
      <c r="C284" s="63"/>
      <c r="D284" s="67"/>
      <c r="E284" s="67"/>
      <c r="F284" s="68" t="str">
        <f t="shared" si="7"/>
        <v/>
      </c>
      <c r="G284" s="67" t="str">
        <f t="shared" si="8"/>
        <v/>
      </c>
      <c r="H284" s="69" t="str">
        <f t="shared" si="9"/>
        <v/>
      </c>
      <c r="I284" s="70" t="str">
        <f t="shared" si="10"/>
        <v/>
      </c>
      <c r="J284" s="67" t="str">
        <f t="shared" si="11"/>
        <v/>
      </c>
      <c r="K284" s="71" t="str">
        <f t="shared" si="12"/>
        <v/>
      </c>
      <c r="L284" s="71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58"/>
      <c r="N284" s="58"/>
      <c r="O284" s="5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72"/>
      <c r="B285" s="63"/>
      <c r="C285" s="63"/>
      <c r="D285" s="67"/>
      <c r="E285" s="67"/>
      <c r="F285" s="68" t="str">
        <f t="shared" si="7"/>
        <v/>
      </c>
      <c r="G285" s="67" t="str">
        <f t="shared" si="8"/>
        <v/>
      </c>
      <c r="H285" s="69" t="str">
        <f t="shared" si="9"/>
        <v/>
      </c>
      <c r="I285" s="70" t="str">
        <f t="shared" si="10"/>
        <v/>
      </c>
      <c r="J285" s="67" t="str">
        <f t="shared" si="11"/>
        <v/>
      </c>
      <c r="K285" s="71" t="str">
        <f t="shared" si="12"/>
        <v/>
      </c>
      <c r="L285" s="71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58"/>
      <c r="N285" s="58"/>
      <c r="O285" s="5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72"/>
      <c r="B286" s="63"/>
      <c r="C286" s="63"/>
      <c r="D286" s="67"/>
      <c r="E286" s="67"/>
      <c r="F286" s="68" t="str">
        <f t="shared" si="7"/>
        <v/>
      </c>
      <c r="G286" s="67" t="str">
        <f t="shared" si="8"/>
        <v/>
      </c>
      <c r="H286" s="69" t="str">
        <f t="shared" si="9"/>
        <v/>
      </c>
      <c r="I286" s="70" t="str">
        <f t="shared" si="10"/>
        <v/>
      </c>
      <c r="J286" s="67" t="str">
        <f t="shared" si="11"/>
        <v/>
      </c>
      <c r="K286" s="71" t="str">
        <f t="shared" si="12"/>
        <v/>
      </c>
      <c r="L286" s="71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58"/>
      <c r="N286" s="58"/>
      <c r="O286" s="5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72"/>
      <c r="B287" s="63"/>
      <c r="C287" s="63"/>
      <c r="D287" s="67"/>
      <c r="E287" s="67"/>
      <c r="F287" s="68" t="str">
        <f t="shared" si="7"/>
        <v/>
      </c>
      <c r="G287" s="67" t="str">
        <f t="shared" si="8"/>
        <v/>
      </c>
      <c r="H287" s="69" t="str">
        <f t="shared" si="9"/>
        <v/>
      </c>
      <c r="I287" s="70" t="str">
        <f t="shared" si="10"/>
        <v/>
      </c>
      <c r="J287" s="67" t="str">
        <f t="shared" si="11"/>
        <v/>
      </c>
      <c r="K287" s="71" t="str">
        <f t="shared" si="12"/>
        <v/>
      </c>
      <c r="L287" s="71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58"/>
      <c r="N287" s="58"/>
      <c r="O287" s="5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72"/>
      <c r="B288" s="63"/>
      <c r="C288" s="63"/>
      <c r="D288" s="67"/>
      <c r="E288" s="67"/>
      <c r="F288" s="68" t="str">
        <f t="shared" si="7"/>
        <v/>
      </c>
      <c r="G288" s="67" t="str">
        <f t="shared" si="8"/>
        <v/>
      </c>
      <c r="H288" s="69" t="str">
        <f t="shared" si="9"/>
        <v/>
      </c>
      <c r="I288" s="70" t="str">
        <f t="shared" si="10"/>
        <v/>
      </c>
      <c r="J288" s="67" t="str">
        <f t="shared" si="11"/>
        <v/>
      </c>
      <c r="K288" s="71" t="str">
        <f t="shared" si="12"/>
        <v/>
      </c>
      <c r="L288" s="71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58"/>
      <c r="N288" s="58"/>
      <c r="O288" s="5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72"/>
      <c r="B289" s="63"/>
      <c r="C289" s="63"/>
      <c r="D289" s="67"/>
      <c r="E289" s="67"/>
      <c r="F289" s="68" t="str">
        <f t="shared" si="7"/>
        <v/>
      </c>
      <c r="G289" s="67" t="str">
        <f t="shared" si="8"/>
        <v/>
      </c>
      <c r="H289" s="69" t="str">
        <f t="shared" si="9"/>
        <v/>
      </c>
      <c r="I289" s="70" t="str">
        <f t="shared" si="10"/>
        <v/>
      </c>
      <c r="J289" s="67" t="str">
        <f t="shared" si="11"/>
        <v/>
      </c>
      <c r="K289" s="71" t="str">
        <f t="shared" si="12"/>
        <v/>
      </c>
      <c r="L289" s="71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58"/>
      <c r="N289" s="58"/>
      <c r="O289" s="5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72"/>
      <c r="B290" s="63"/>
      <c r="C290" s="63"/>
      <c r="D290" s="67"/>
      <c r="E290" s="67"/>
      <c r="F290" s="68" t="str">
        <f t="shared" si="7"/>
        <v/>
      </c>
      <c r="G290" s="67" t="str">
        <f t="shared" si="8"/>
        <v/>
      </c>
      <c r="H290" s="69" t="str">
        <f t="shared" si="9"/>
        <v/>
      </c>
      <c r="I290" s="70" t="str">
        <f t="shared" si="10"/>
        <v/>
      </c>
      <c r="J290" s="67" t="str">
        <f t="shared" si="11"/>
        <v/>
      </c>
      <c r="K290" s="71" t="str">
        <f t="shared" si="12"/>
        <v/>
      </c>
      <c r="L290" s="71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58"/>
      <c r="N290" s="58"/>
      <c r="O290" s="5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72"/>
      <c r="B291" s="63"/>
      <c r="C291" s="63"/>
      <c r="D291" s="67"/>
      <c r="E291" s="67"/>
      <c r="F291" s="68" t="str">
        <f t="shared" si="7"/>
        <v/>
      </c>
      <c r="G291" s="67" t="str">
        <f t="shared" si="8"/>
        <v/>
      </c>
      <c r="H291" s="69" t="str">
        <f t="shared" si="9"/>
        <v/>
      </c>
      <c r="I291" s="70" t="str">
        <f t="shared" si="10"/>
        <v/>
      </c>
      <c r="J291" s="67" t="str">
        <f t="shared" si="11"/>
        <v/>
      </c>
      <c r="K291" s="71" t="str">
        <f t="shared" si="12"/>
        <v/>
      </c>
      <c r="L291" s="71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58"/>
      <c r="N291" s="58"/>
      <c r="O291" s="5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72"/>
      <c r="B292" s="63"/>
      <c r="C292" s="63"/>
      <c r="D292" s="67"/>
      <c r="E292" s="67"/>
      <c r="F292" s="68" t="str">
        <f t="shared" si="7"/>
        <v/>
      </c>
      <c r="G292" s="67" t="str">
        <f t="shared" si="8"/>
        <v/>
      </c>
      <c r="H292" s="69" t="str">
        <f t="shared" si="9"/>
        <v/>
      </c>
      <c r="I292" s="70" t="str">
        <f t="shared" si="10"/>
        <v/>
      </c>
      <c r="J292" s="67" t="str">
        <f t="shared" si="11"/>
        <v/>
      </c>
      <c r="K292" s="71" t="str">
        <f t="shared" si="12"/>
        <v/>
      </c>
      <c r="L292" s="71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58"/>
      <c r="N292" s="58"/>
      <c r="O292" s="5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72"/>
      <c r="B293" s="63"/>
      <c r="C293" s="63"/>
      <c r="D293" s="67"/>
      <c r="E293" s="67"/>
      <c r="F293" s="68" t="str">
        <f t="shared" si="7"/>
        <v/>
      </c>
      <c r="G293" s="67" t="str">
        <f t="shared" si="8"/>
        <v/>
      </c>
      <c r="H293" s="69" t="str">
        <f t="shared" si="9"/>
        <v/>
      </c>
      <c r="I293" s="70" t="str">
        <f t="shared" si="10"/>
        <v/>
      </c>
      <c r="J293" s="67" t="str">
        <f t="shared" si="11"/>
        <v/>
      </c>
      <c r="K293" s="71" t="str">
        <f t="shared" si="12"/>
        <v/>
      </c>
      <c r="L293" s="71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58"/>
      <c r="N293" s="58"/>
      <c r="O293" s="5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73"/>
      <c r="B294" s="63"/>
      <c r="C294" s="63"/>
      <c r="D294" s="67"/>
      <c r="E294" s="67"/>
      <c r="F294" s="68" t="str">
        <f t="shared" si="7"/>
        <v/>
      </c>
      <c r="G294" s="67" t="str">
        <f t="shared" si="8"/>
        <v/>
      </c>
      <c r="H294" s="69" t="str">
        <f t="shared" si="9"/>
        <v/>
      </c>
      <c r="I294" s="70" t="str">
        <f t="shared" si="10"/>
        <v/>
      </c>
      <c r="J294" s="67" t="str">
        <f t="shared" si="11"/>
        <v/>
      </c>
      <c r="K294" s="71" t="str">
        <f t="shared" si="12"/>
        <v/>
      </c>
      <c r="L294" s="71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58"/>
      <c r="N294" s="58"/>
      <c r="O294" s="5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72"/>
      <c r="B295" s="63"/>
      <c r="C295" s="63"/>
      <c r="D295" s="67"/>
      <c r="E295" s="67"/>
      <c r="F295" s="68" t="str">
        <f t="shared" si="7"/>
        <v/>
      </c>
      <c r="G295" s="67" t="str">
        <f t="shared" si="8"/>
        <v/>
      </c>
      <c r="H295" s="69" t="str">
        <f t="shared" si="9"/>
        <v/>
      </c>
      <c r="I295" s="70" t="str">
        <f t="shared" si="10"/>
        <v/>
      </c>
      <c r="J295" s="67" t="str">
        <f t="shared" si="11"/>
        <v/>
      </c>
      <c r="K295" s="71" t="str">
        <f t="shared" si="12"/>
        <v/>
      </c>
      <c r="L295" s="71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58"/>
      <c r="N295" s="58"/>
      <c r="O295" s="5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72"/>
      <c r="B296" s="63"/>
      <c r="C296" s="63"/>
      <c r="D296" s="67"/>
      <c r="E296" s="67"/>
      <c r="F296" s="68" t="str">
        <f t="shared" si="7"/>
        <v/>
      </c>
      <c r="G296" s="67" t="str">
        <f t="shared" si="8"/>
        <v/>
      </c>
      <c r="H296" s="69" t="str">
        <f t="shared" si="9"/>
        <v/>
      </c>
      <c r="I296" s="70" t="str">
        <f t="shared" si="10"/>
        <v/>
      </c>
      <c r="J296" s="67" t="str">
        <f t="shared" si="11"/>
        <v/>
      </c>
      <c r="K296" s="71" t="str">
        <f t="shared" si="12"/>
        <v/>
      </c>
      <c r="L296" s="71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58"/>
      <c r="N296" s="58"/>
      <c r="O296" s="5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72"/>
      <c r="B297" s="63"/>
      <c r="C297" s="63"/>
      <c r="D297" s="67"/>
      <c r="E297" s="67"/>
      <c r="F297" s="68" t="str">
        <f t="shared" si="7"/>
        <v/>
      </c>
      <c r="G297" s="67" t="str">
        <f t="shared" si="8"/>
        <v/>
      </c>
      <c r="H297" s="69" t="str">
        <f t="shared" si="9"/>
        <v/>
      </c>
      <c r="I297" s="70" t="str">
        <f t="shared" si="10"/>
        <v/>
      </c>
      <c r="J297" s="67" t="str">
        <f t="shared" si="11"/>
        <v/>
      </c>
      <c r="K297" s="71" t="str">
        <f t="shared" si="12"/>
        <v/>
      </c>
      <c r="L297" s="71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58"/>
      <c r="N297" s="58"/>
      <c r="O297" s="5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72"/>
      <c r="B298" s="63"/>
      <c r="C298" s="63"/>
      <c r="D298" s="67"/>
      <c r="E298" s="67"/>
      <c r="F298" s="68" t="str">
        <f t="shared" si="7"/>
        <v/>
      </c>
      <c r="G298" s="67" t="str">
        <f t="shared" si="8"/>
        <v/>
      </c>
      <c r="H298" s="69" t="str">
        <f t="shared" si="9"/>
        <v/>
      </c>
      <c r="I298" s="70" t="str">
        <f t="shared" si="10"/>
        <v/>
      </c>
      <c r="J298" s="67" t="str">
        <f t="shared" si="11"/>
        <v/>
      </c>
      <c r="K298" s="71" t="str">
        <f t="shared" si="12"/>
        <v/>
      </c>
      <c r="L298" s="71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58"/>
      <c r="N298" s="58"/>
      <c r="O298" s="5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72"/>
      <c r="B299" s="63"/>
      <c r="C299" s="63"/>
      <c r="D299" s="67"/>
      <c r="E299" s="67"/>
      <c r="F299" s="68" t="str">
        <f t="shared" si="7"/>
        <v/>
      </c>
      <c r="G299" s="67" t="str">
        <f t="shared" si="8"/>
        <v/>
      </c>
      <c r="H299" s="69" t="str">
        <f t="shared" si="9"/>
        <v/>
      </c>
      <c r="I299" s="70" t="str">
        <f t="shared" si="10"/>
        <v/>
      </c>
      <c r="J299" s="67" t="str">
        <f t="shared" si="11"/>
        <v/>
      </c>
      <c r="K299" s="71" t="str">
        <f t="shared" si="12"/>
        <v/>
      </c>
      <c r="L299" s="71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58"/>
      <c r="N299" s="58"/>
      <c r="O299" s="5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72"/>
      <c r="B300" s="63"/>
      <c r="C300" s="63"/>
      <c r="D300" s="67"/>
      <c r="E300" s="67"/>
      <c r="F300" s="68" t="str">
        <f t="shared" si="7"/>
        <v/>
      </c>
      <c r="G300" s="67" t="str">
        <f t="shared" si="8"/>
        <v/>
      </c>
      <c r="H300" s="69" t="str">
        <f t="shared" si="9"/>
        <v/>
      </c>
      <c r="I300" s="70" t="str">
        <f t="shared" si="10"/>
        <v/>
      </c>
      <c r="J300" s="67" t="str">
        <f t="shared" si="11"/>
        <v/>
      </c>
      <c r="K300" s="71" t="str">
        <f t="shared" si="12"/>
        <v/>
      </c>
      <c r="L300" s="71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58"/>
      <c r="N300" s="58"/>
      <c r="O300" s="5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72"/>
      <c r="B301" s="63"/>
      <c r="C301" s="63"/>
      <c r="D301" s="67"/>
      <c r="E301" s="67"/>
      <c r="F301" s="68" t="str">
        <f t="shared" si="7"/>
        <v/>
      </c>
      <c r="G301" s="67" t="str">
        <f t="shared" si="8"/>
        <v/>
      </c>
      <c r="H301" s="69" t="str">
        <f t="shared" si="9"/>
        <v/>
      </c>
      <c r="I301" s="70" t="str">
        <f t="shared" si="10"/>
        <v/>
      </c>
      <c r="J301" s="67" t="str">
        <f t="shared" si="11"/>
        <v/>
      </c>
      <c r="K301" s="71" t="str">
        <f t="shared" si="12"/>
        <v/>
      </c>
      <c r="L301" s="71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58"/>
      <c r="N301" s="58"/>
      <c r="O301" s="5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72"/>
      <c r="B302" s="63"/>
      <c r="C302" s="63"/>
      <c r="D302" s="67"/>
      <c r="E302" s="67"/>
      <c r="F302" s="68" t="str">
        <f t="shared" si="7"/>
        <v/>
      </c>
      <c r="G302" s="67" t="str">
        <f t="shared" si="8"/>
        <v/>
      </c>
      <c r="H302" s="69" t="str">
        <f t="shared" si="9"/>
        <v/>
      </c>
      <c r="I302" s="70" t="str">
        <f t="shared" si="10"/>
        <v/>
      </c>
      <c r="J302" s="67" t="str">
        <f t="shared" si="11"/>
        <v/>
      </c>
      <c r="K302" s="71" t="str">
        <f t="shared" si="12"/>
        <v/>
      </c>
      <c r="L302" s="71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58"/>
      <c r="N302" s="58"/>
      <c r="O302" s="5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72"/>
      <c r="B303" s="63"/>
      <c r="C303" s="63"/>
      <c r="D303" s="67"/>
      <c r="E303" s="67"/>
      <c r="F303" s="68" t="str">
        <f t="shared" si="7"/>
        <v/>
      </c>
      <c r="G303" s="67" t="str">
        <f t="shared" si="8"/>
        <v/>
      </c>
      <c r="H303" s="69" t="str">
        <f t="shared" si="9"/>
        <v/>
      </c>
      <c r="I303" s="70" t="str">
        <f t="shared" si="10"/>
        <v/>
      </c>
      <c r="J303" s="67" t="str">
        <f t="shared" si="11"/>
        <v/>
      </c>
      <c r="K303" s="71" t="str">
        <f t="shared" si="12"/>
        <v/>
      </c>
      <c r="L303" s="71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58"/>
      <c r="N303" s="58"/>
      <c r="O303" s="5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73"/>
      <c r="B304" s="63"/>
      <c r="C304" s="63"/>
      <c r="D304" s="67"/>
      <c r="E304" s="67"/>
      <c r="F304" s="68" t="str">
        <f t="shared" si="7"/>
        <v/>
      </c>
      <c r="G304" s="67" t="str">
        <f t="shared" si="8"/>
        <v/>
      </c>
      <c r="H304" s="69" t="str">
        <f t="shared" si="9"/>
        <v/>
      </c>
      <c r="I304" s="70" t="str">
        <f t="shared" si="10"/>
        <v/>
      </c>
      <c r="J304" s="67" t="str">
        <f t="shared" si="11"/>
        <v/>
      </c>
      <c r="K304" s="71" t="str">
        <f t="shared" si="12"/>
        <v/>
      </c>
      <c r="L304" s="71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58"/>
      <c r="N304" s="58"/>
      <c r="O304" s="5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72"/>
      <c r="B305" s="63"/>
      <c r="C305" s="63"/>
      <c r="D305" s="67"/>
      <c r="E305" s="67"/>
      <c r="F305" s="68" t="str">
        <f t="shared" si="7"/>
        <v/>
      </c>
      <c r="G305" s="67" t="str">
        <f t="shared" si="8"/>
        <v/>
      </c>
      <c r="H305" s="69" t="str">
        <f t="shared" si="9"/>
        <v/>
      </c>
      <c r="I305" s="70" t="str">
        <f t="shared" si="10"/>
        <v/>
      </c>
      <c r="J305" s="67" t="str">
        <f t="shared" si="11"/>
        <v/>
      </c>
      <c r="K305" s="71" t="str">
        <f t="shared" si="12"/>
        <v/>
      </c>
      <c r="L305" s="71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58"/>
      <c r="N305" s="58"/>
      <c r="O305" s="5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72"/>
      <c r="B306" s="63"/>
      <c r="C306" s="63"/>
      <c r="D306" s="67"/>
      <c r="E306" s="67"/>
      <c r="F306" s="68" t="str">
        <f t="shared" si="7"/>
        <v/>
      </c>
      <c r="G306" s="67" t="str">
        <f t="shared" si="8"/>
        <v/>
      </c>
      <c r="H306" s="69" t="str">
        <f t="shared" si="9"/>
        <v/>
      </c>
      <c r="I306" s="70" t="str">
        <f t="shared" si="10"/>
        <v/>
      </c>
      <c r="J306" s="67" t="str">
        <f t="shared" si="11"/>
        <v/>
      </c>
      <c r="K306" s="71" t="str">
        <f t="shared" si="12"/>
        <v/>
      </c>
      <c r="L306" s="71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58"/>
      <c r="N306" s="58"/>
      <c r="O306" s="5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72"/>
      <c r="B307" s="63"/>
      <c r="C307" s="63"/>
      <c r="D307" s="67"/>
      <c r="E307" s="67"/>
      <c r="F307" s="68" t="str">
        <f t="shared" si="7"/>
        <v/>
      </c>
      <c r="G307" s="67" t="str">
        <f t="shared" si="8"/>
        <v/>
      </c>
      <c r="H307" s="69" t="str">
        <f t="shared" si="9"/>
        <v/>
      </c>
      <c r="I307" s="70" t="str">
        <f t="shared" si="10"/>
        <v/>
      </c>
      <c r="J307" s="67" t="str">
        <f t="shared" si="11"/>
        <v/>
      </c>
      <c r="K307" s="71" t="str">
        <f t="shared" si="12"/>
        <v/>
      </c>
      <c r="L307" s="71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58"/>
      <c r="N307" s="58"/>
      <c r="O307" s="5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72"/>
      <c r="B308" s="63"/>
      <c r="C308" s="63"/>
      <c r="D308" s="67"/>
      <c r="E308" s="67"/>
      <c r="F308" s="68" t="str">
        <f t="shared" si="7"/>
        <v/>
      </c>
      <c r="G308" s="67" t="str">
        <f t="shared" si="8"/>
        <v/>
      </c>
      <c r="H308" s="69" t="str">
        <f t="shared" si="9"/>
        <v/>
      </c>
      <c r="I308" s="70" t="str">
        <f t="shared" si="10"/>
        <v/>
      </c>
      <c r="J308" s="67" t="str">
        <f t="shared" si="11"/>
        <v/>
      </c>
      <c r="K308" s="71" t="str">
        <f t="shared" si="12"/>
        <v/>
      </c>
      <c r="L308" s="71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58"/>
      <c r="N308" s="58"/>
      <c r="O308" s="5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72"/>
      <c r="B309" s="63"/>
      <c r="C309" s="63"/>
      <c r="D309" s="67"/>
      <c r="E309" s="67"/>
      <c r="F309" s="68" t="str">
        <f t="shared" si="7"/>
        <v/>
      </c>
      <c r="G309" s="67" t="str">
        <f t="shared" si="8"/>
        <v/>
      </c>
      <c r="H309" s="69" t="str">
        <f t="shared" si="9"/>
        <v/>
      </c>
      <c r="I309" s="70" t="str">
        <f t="shared" si="10"/>
        <v/>
      </c>
      <c r="J309" s="67" t="str">
        <f t="shared" si="11"/>
        <v/>
      </c>
      <c r="K309" s="71" t="str">
        <f t="shared" si="12"/>
        <v/>
      </c>
      <c r="L309" s="71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58"/>
      <c r="N309" s="58"/>
      <c r="O309" s="5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72"/>
      <c r="B310" s="63"/>
      <c r="C310" s="63"/>
      <c r="D310" s="67"/>
      <c r="E310" s="67"/>
      <c r="F310" s="68" t="str">
        <f t="shared" si="7"/>
        <v/>
      </c>
      <c r="G310" s="67" t="str">
        <f t="shared" si="8"/>
        <v/>
      </c>
      <c r="H310" s="69" t="str">
        <f t="shared" si="9"/>
        <v/>
      </c>
      <c r="I310" s="70" t="str">
        <f t="shared" si="10"/>
        <v/>
      </c>
      <c r="J310" s="67" t="str">
        <f t="shared" si="11"/>
        <v/>
      </c>
      <c r="K310" s="71" t="str">
        <f t="shared" si="12"/>
        <v/>
      </c>
      <c r="L310" s="71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58"/>
      <c r="N310" s="58"/>
      <c r="O310" s="5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72"/>
      <c r="B311" s="63"/>
      <c r="C311" s="63"/>
      <c r="D311" s="67"/>
      <c r="E311" s="67"/>
      <c r="F311" s="68" t="str">
        <f t="shared" si="7"/>
        <v/>
      </c>
      <c r="G311" s="67" t="str">
        <f t="shared" si="8"/>
        <v/>
      </c>
      <c r="H311" s="69" t="str">
        <f t="shared" si="9"/>
        <v/>
      </c>
      <c r="I311" s="70" t="str">
        <f t="shared" si="10"/>
        <v/>
      </c>
      <c r="J311" s="67" t="str">
        <f t="shared" si="11"/>
        <v/>
      </c>
      <c r="K311" s="71" t="str">
        <f t="shared" si="12"/>
        <v/>
      </c>
      <c r="L311" s="71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58"/>
      <c r="N311" s="58"/>
      <c r="O311" s="5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73"/>
      <c r="B312" s="63"/>
      <c r="C312" s="63"/>
      <c r="D312" s="67"/>
      <c r="E312" s="67"/>
      <c r="F312" s="68" t="str">
        <f t="shared" si="7"/>
        <v/>
      </c>
      <c r="G312" s="67" t="str">
        <f t="shared" si="8"/>
        <v/>
      </c>
      <c r="H312" s="69" t="str">
        <f t="shared" si="9"/>
        <v/>
      </c>
      <c r="I312" s="70" t="str">
        <f t="shared" si="10"/>
        <v/>
      </c>
      <c r="J312" s="67" t="str">
        <f t="shared" si="11"/>
        <v/>
      </c>
      <c r="K312" s="71" t="str">
        <f t="shared" si="12"/>
        <v/>
      </c>
      <c r="L312" s="71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58"/>
      <c r="N312" s="58"/>
      <c r="O312" s="5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72"/>
      <c r="B313" s="63"/>
      <c r="C313" s="63"/>
      <c r="D313" s="67"/>
      <c r="E313" s="67"/>
      <c r="F313" s="68" t="str">
        <f t="shared" si="7"/>
        <v/>
      </c>
      <c r="G313" s="67" t="str">
        <f t="shared" si="8"/>
        <v/>
      </c>
      <c r="H313" s="69" t="str">
        <f t="shared" si="9"/>
        <v/>
      </c>
      <c r="I313" s="70" t="str">
        <f t="shared" si="10"/>
        <v/>
      </c>
      <c r="J313" s="67" t="str">
        <f t="shared" si="11"/>
        <v/>
      </c>
      <c r="K313" s="71" t="str">
        <f t="shared" si="12"/>
        <v/>
      </c>
      <c r="L313" s="71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58"/>
      <c r="N313" s="58"/>
      <c r="O313" s="5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72"/>
      <c r="B314" s="63"/>
      <c r="C314" s="63"/>
      <c r="D314" s="67"/>
      <c r="E314" s="67"/>
      <c r="F314" s="68" t="str">
        <f t="shared" si="7"/>
        <v/>
      </c>
      <c r="G314" s="67" t="str">
        <f t="shared" si="8"/>
        <v/>
      </c>
      <c r="H314" s="69" t="str">
        <f t="shared" si="9"/>
        <v/>
      </c>
      <c r="I314" s="70" t="str">
        <f t="shared" si="10"/>
        <v/>
      </c>
      <c r="J314" s="67" t="str">
        <f t="shared" si="11"/>
        <v/>
      </c>
      <c r="K314" s="71" t="str">
        <f t="shared" si="12"/>
        <v/>
      </c>
      <c r="L314" s="71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58"/>
      <c r="N314" s="58"/>
      <c r="O314" s="5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72"/>
      <c r="B315" s="63"/>
      <c r="C315" s="63"/>
      <c r="D315" s="67"/>
      <c r="E315" s="67"/>
      <c r="F315" s="68" t="str">
        <f t="shared" si="7"/>
        <v/>
      </c>
      <c r="G315" s="67" t="str">
        <f t="shared" si="8"/>
        <v/>
      </c>
      <c r="H315" s="69" t="str">
        <f t="shared" si="9"/>
        <v/>
      </c>
      <c r="I315" s="70" t="str">
        <f t="shared" si="10"/>
        <v/>
      </c>
      <c r="J315" s="67" t="str">
        <f t="shared" si="11"/>
        <v/>
      </c>
      <c r="K315" s="71" t="str">
        <f t="shared" si="12"/>
        <v/>
      </c>
      <c r="L315" s="71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58"/>
      <c r="N315" s="58"/>
      <c r="O315" s="5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72"/>
      <c r="B316" s="63"/>
      <c r="C316" s="63"/>
      <c r="D316" s="67"/>
      <c r="E316" s="67"/>
      <c r="F316" s="68" t="str">
        <f t="shared" si="7"/>
        <v/>
      </c>
      <c r="G316" s="67" t="str">
        <f t="shared" si="8"/>
        <v/>
      </c>
      <c r="H316" s="69" t="str">
        <f t="shared" si="9"/>
        <v/>
      </c>
      <c r="I316" s="70" t="str">
        <f t="shared" si="10"/>
        <v/>
      </c>
      <c r="J316" s="67" t="str">
        <f t="shared" si="11"/>
        <v/>
      </c>
      <c r="K316" s="71" t="str">
        <f t="shared" si="12"/>
        <v/>
      </c>
      <c r="L316" s="71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58"/>
      <c r="N316" s="58"/>
      <c r="O316" s="5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72"/>
      <c r="B317" s="63"/>
      <c r="C317" s="63"/>
      <c r="D317" s="67"/>
      <c r="E317" s="67"/>
      <c r="F317" s="68" t="str">
        <f t="shared" si="7"/>
        <v/>
      </c>
      <c r="G317" s="67" t="str">
        <f t="shared" si="8"/>
        <v/>
      </c>
      <c r="H317" s="69" t="str">
        <f t="shared" si="9"/>
        <v/>
      </c>
      <c r="I317" s="70" t="str">
        <f t="shared" si="10"/>
        <v/>
      </c>
      <c r="J317" s="67" t="str">
        <f t="shared" si="11"/>
        <v/>
      </c>
      <c r="K317" s="71" t="str">
        <f t="shared" si="12"/>
        <v/>
      </c>
      <c r="L317" s="71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58"/>
      <c r="N317" s="58"/>
      <c r="O317" s="5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72"/>
      <c r="B318" s="63"/>
      <c r="C318" s="63"/>
      <c r="D318" s="67"/>
      <c r="E318" s="67"/>
      <c r="F318" s="68" t="str">
        <f t="shared" si="7"/>
        <v/>
      </c>
      <c r="G318" s="67" t="str">
        <f t="shared" si="8"/>
        <v/>
      </c>
      <c r="H318" s="69" t="str">
        <f t="shared" si="9"/>
        <v/>
      </c>
      <c r="I318" s="70" t="str">
        <f t="shared" si="10"/>
        <v/>
      </c>
      <c r="J318" s="67" t="str">
        <f t="shared" si="11"/>
        <v/>
      </c>
      <c r="K318" s="71" t="str">
        <f t="shared" si="12"/>
        <v/>
      </c>
      <c r="L318" s="71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58"/>
      <c r="N318" s="58"/>
      <c r="O318" s="5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72"/>
      <c r="B319" s="63"/>
      <c r="C319" s="63"/>
      <c r="D319" s="67"/>
      <c r="E319" s="67"/>
      <c r="F319" s="68" t="str">
        <f t="shared" si="7"/>
        <v/>
      </c>
      <c r="G319" s="67" t="str">
        <f t="shared" si="8"/>
        <v/>
      </c>
      <c r="H319" s="69" t="str">
        <f t="shared" si="9"/>
        <v/>
      </c>
      <c r="I319" s="70" t="str">
        <f t="shared" si="10"/>
        <v/>
      </c>
      <c r="J319" s="67" t="str">
        <f t="shared" si="11"/>
        <v/>
      </c>
      <c r="K319" s="71" t="str">
        <f t="shared" si="12"/>
        <v/>
      </c>
      <c r="L319" s="71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58"/>
      <c r="N319" s="58"/>
      <c r="O319" s="5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73"/>
      <c r="B320" s="63"/>
      <c r="C320" s="63"/>
      <c r="D320" s="67"/>
      <c r="E320" s="67"/>
      <c r="F320" s="68" t="str">
        <f t="shared" si="7"/>
        <v/>
      </c>
      <c r="G320" s="67" t="str">
        <f t="shared" si="8"/>
        <v/>
      </c>
      <c r="H320" s="69" t="str">
        <f t="shared" si="9"/>
        <v/>
      </c>
      <c r="I320" s="70" t="str">
        <f t="shared" si="10"/>
        <v/>
      </c>
      <c r="J320" s="67" t="str">
        <f t="shared" si="11"/>
        <v/>
      </c>
      <c r="K320" s="71" t="str">
        <f t="shared" si="12"/>
        <v/>
      </c>
      <c r="L320" s="71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58"/>
      <c r="N320" s="58"/>
      <c r="O320" s="5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72"/>
      <c r="B321" s="63"/>
      <c r="C321" s="63"/>
      <c r="D321" s="67"/>
      <c r="E321" s="67"/>
      <c r="F321" s="68" t="str">
        <f t="shared" si="7"/>
        <v/>
      </c>
      <c r="G321" s="67" t="str">
        <f t="shared" si="8"/>
        <v/>
      </c>
      <c r="H321" s="69" t="str">
        <f t="shared" si="9"/>
        <v/>
      </c>
      <c r="I321" s="70" t="str">
        <f t="shared" si="10"/>
        <v/>
      </c>
      <c r="J321" s="67" t="str">
        <f t="shared" si="11"/>
        <v/>
      </c>
      <c r="K321" s="71" t="str">
        <f t="shared" si="12"/>
        <v/>
      </c>
      <c r="L321" s="71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58"/>
      <c r="N321" s="58"/>
      <c r="O321" s="5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72"/>
      <c r="B322" s="63"/>
      <c r="C322" s="63"/>
      <c r="D322" s="67"/>
      <c r="E322" s="67"/>
      <c r="F322" s="68" t="str">
        <f t="shared" si="7"/>
        <v/>
      </c>
      <c r="G322" s="67" t="str">
        <f t="shared" si="8"/>
        <v/>
      </c>
      <c r="H322" s="69" t="str">
        <f t="shared" si="9"/>
        <v/>
      </c>
      <c r="I322" s="70" t="str">
        <f t="shared" si="10"/>
        <v/>
      </c>
      <c r="J322" s="67" t="str">
        <f t="shared" si="11"/>
        <v/>
      </c>
      <c r="K322" s="71" t="str">
        <f t="shared" si="12"/>
        <v/>
      </c>
      <c r="L322" s="71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58"/>
      <c r="N322" s="58"/>
      <c r="O322" s="5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72"/>
      <c r="B323" s="63"/>
      <c r="C323" s="63"/>
      <c r="D323" s="67"/>
      <c r="E323" s="67"/>
      <c r="F323" s="68" t="str">
        <f t="shared" si="7"/>
        <v/>
      </c>
      <c r="G323" s="67" t="str">
        <f t="shared" si="8"/>
        <v/>
      </c>
      <c r="H323" s="69" t="str">
        <f t="shared" si="9"/>
        <v/>
      </c>
      <c r="I323" s="70" t="str">
        <f t="shared" si="10"/>
        <v/>
      </c>
      <c r="J323" s="67" t="str">
        <f t="shared" si="11"/>
        <v/>
      </c>
      <c r="K323" s="71" t="str">
        <f t="shared" si="12"/>
        <v/>
      </c>
      <c r="L323" s="71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58"/>
      <c r="N323" s="58"/>
      <c r="O323" s="5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72"/>
      <c r="B324" s="63"/>
      <c r="C324" s="63"/>
      <c r="D324" s="67"/>
      <c r="E324" s="67"/>
      <c r="F324" s="68" t="str">
        <f t="shared" si="7"/>
        <v/>
      </c>
      <c r="G324" s="67" t="str">
        <f t="shared" si="8"/>
        <v/>
      </c>
      <c r="H324" s="69" t="str">
        <f t="shared" si="9"/>
        <v/>
      </c>
      <c r="I324" s="70" t="str">
        <f t="shared" si="10"/>
        <v/>
      </c>
      <c r="J324" s="67" t="str">
        <f t="shared" si="11"/>
        <v/>
      </c>
      <c r="K324" s="71" t="str">
        <f t="shared" si="12"/>
        <v/>
      </c>
      <c r="L324" s="71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58"/>
      <c r="N324" s="58"/>
      <c r="O324" s="5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72"/>
      <c r="B325" s="63"/>
      <c r="C325" s="63"/>
      <c r="D325" s="67"/>
      <c r="E325" s="67"/>
      <c r="F325" s="68" t="str">
        <f t="shared" si="7"/>
        <v/>
      </c>
      <c r="G325" s="67" t="str">
        <f t="shared" si="8"/>
        <v/>
      </c>
      <c r="H325" s="69" t="str">
        <f t="shared" si="9"/>
        <v/>
      </c>
      <c r="I325" s="70" t="str">
        <f t="shared" si="10"/>
        <v/>
      </c>
      <c r="J325" s="67" t="str">
        <f t="shared" si="11"/>
        <v/>
      </c>
      <c r="K325" s="71" t="str">
        <f t="shared" si="12"/>
        <v/>
      </c>
      <c r="L325" s="71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58"/>
      <c r="N325" s="58"/>
      <c r="O325" s="5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72"/>
      <c r="B326" s="63"/>
      <c r="C326" s="63"/>
      <c r="D326" s="67"/>
      <c r="E326" s="67"/>
      <c r="F326" s="68" t="str">
        <f t="shared" si="7"/>
        <v/>
      </c>
      <c r="G326" s="67" t="str">
        <f t="shared" si="8"/>
        <v/>
      </c>
      <c r="H326" s="69" t="str">
        <f t="shared" si="9"/>
        <v/>
      </c>
      <c r="I326" s="70" t="str">
        <f t="shared" si="10"/>
        <v/>
      </c>
      <c r="J326" s="67" t="str">
        <f t="shared" si="11"/>
        <v/>
      </c>
      <c r="K326" s="71" t="str">
        <f t="shared" si="12"/>
        <v/>
      </c>
      <c r="L326" s="71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58"/>
      <c r="N326" s="58"/>
      <c r="O326" s="5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72"/>
      <c r="B327" s="63"/>
      <c r="C327" s="63"/>
      <c r="D327" s="67"/>
      <c r="E327" s="67"/>
      <c r="F327" s="68" t="str">
        <f t="shared" si="7"/>
        <v/>
      </c>
      <c r="G327" s="67" t="str">
        <f t="shared" si="8"/>
        <v/>
      </c>
      <c r="H327" s="69" t="str">
        <f t="shared" si="9"/>
        <v/>
      </c>
      <c r="I327" s="70" t="str">
        <f t="shared" si="10"/>
        <v/>
      </c>
      <c r="J327" s="67" t="str">
        <f t="shared" si="11"/>
        <v/>
      </c>
      <c r="K327" s="71" t="str">
        <f t="shared" si="12"/>
        <v/>
      </c>
      <c r="L327" s="71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58"/>
      <c r="N327" s="58"/>
      <c r="O327" s="5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73"/>
      <c r="B328" s="63"/>
      <c r="C328" s="63"/>
      <c r="D328" s="67"/>
      <c r="E328" s="67"/>
      <c r="F328" s="68" t="str">
        <f t="shared" si="7"/>
        <v/>
      </c>
      <c r="G328" s="67" t="str">
        <f t="shared" si="8"/>
        <v/>
      </c>
      <c r="H328" s="69" t="str">
        <f t="shared" si="9"/>
        <v/>
      </c>
      <c r="I328" s="70" t="str">
        <f t="shared" si="10"/>
        <v/>
      </c>
      <c r="J328" s="67" t="str">
        <f t="shared" si="11"/>
        <v/>
      </c>
      <c r="K328" s="71" t="str">
        <f t="shared" si="12"/>
        <v/>
      </c>
      <c r="L328" s="71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58"/>
      <c r="N328" s="58"/>
      <c r="O328" s="5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72"/>
      <c r="B329" s="63"/>
      <c r="C329" s="63"/>
      <c r="D329" s="67"/>
      <c r="E329" s="67"/>
      <c r="F329" s="68" t="str">
        <f t="shared" si="7"/>
        <v/>
      </c>
      <c r="G329" s="67" t="str">
        <f t="shared" si="8"/>
        <v/>
      </c>
      <c r="H329" s="69" t="str">
        <f t="shared" si="9"/>
        <v/>
      </c>
      <c r="I329" s="70" t="str">
        <f t="shared" si="10"/>
        <v/>
      </c>
      <c r="J329" s="67" t="str">
        <f t="shared" si="11"/>
        <v/>
      </c>
      <c r="K329" s="71" t="str">
        <f t="shared" si="12"/>
        <v/>
      </c>
      <c r="L329" s="71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58"/>
      <c r="N329" s="58"/>
      <c r="O329" s="5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72"/>
      <c r="B330" s="63"/>
      <c r="C330" s="63"/>
      <c r="D330" s="67"/>
      <c r="E330" s="67"/>
      <c r="F330" s="68" t="str">
        <f t="shared" si="7"/>
        <v/>
      </c>
      <c r="G330" s="67" t="str">
        <f t="shared" si="8"/>
        <v/>
      </c>
      <c r="H330" s="69" t="str">
        <f t="shared" si="9"/>
        <v/>
      </c>
      <c r="I330" s="70" t="str">
        <f t="shared" si="10"/>
        <v/>
      </c>
      <c r="J330" s="67" t="str">
        <f t="shared" si="11"/>
        <v/>
      </c>
      <c r="K330" s="71" t="str">
        <f t="shared" si="12"/>
        <v/>
      </c>
      <c r="L330" s="71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58"/>
      <c r="N330" s="58"/>
      <c r="O330" s="5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72"/>
      <c r="B331" s="63"/>
      <c r="C331" s="63"/>
      <c r="D331" s="67"/>
      <c r="E331" s="67"/>
      <c r="F331" s="68" t="str">
        <f t="shared" si="7"/>
        <v/>
      </c>
      <c r="G331" s="67" t="str">
        <f t="shared" si="8"/>
        <v/>
      </c>
      <c r="H331" s="69" t="str">
        <f t="shared" si="9"/>
        <v/>
      </c>
      <c r="I331" s="70" t="str">
        <f t="shared" si="10"/>
        <v/>
      </c>
      <c r="J331" s="67" t="str">
        <f t="shared" si="11"/>
        <v/>
      </c>
      <c r="K331" s="71" t="str">
        <f t="shared" si="12"/>
        <v/>
      </c>
      <c r="L331" s="71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58"/>
      <c r="N331" s="58"/>
      <c r="O331" s="5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72"/>
      <c r="B332" s="63"/>
      <c r="C332" s="63"/>
      <c r="D332" s="67"/>
      <c r="E332" s="67"/>
      <c r="F332" s="68" t="str">
        <f t="shared" si="7"/>
        <v/>
      </c>
      <c r="G332" s="67" t="str">
        <f t="shared" si="8"/>
        <v/>
      </c>
      <c r="H332" s="69" t="str">
        <f t="shared" si="9"/>
        <v/>
      </c>
      <c r="I332" s="70" t="str">
        <f t="shared" si="10"/>
        <v/>
      </c>
      <c r="J332" s="67" t="str">
        <f t="shared" si="11"/>
        <v/>
      </c>
      <c r="K332" s="71" t="str">
        <f t="shared" si="12"/>
        <v/>
      </c>
      <c r="L332" s="71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58"/>
      <c r="N332" s="58"/>
      <c r="O332" s="5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72"/>
      <c r="B333" s="63"/>
      <c r="C333" s="63"/>
      <c r="D333" s="67"/>
      <c r="E333" s="67"/>
      <c r="F333" s="68" t="str">
        <f t="shared" si="7"/>
        <v/>
      </c>
      <c r="G333" s="67" t="str">
        <f t="shared" si="8"/>
        <v/>
      </c>
      <c r="H333" s="69" t="str">
        <f t="shared" si="9"/>
        <v/>
      </c>
      <c r="I333" s="70" t="str">
        <f t="shared" si="10"/>
        <v/>
      </c>
      <c r="J333" s="67" t="str">
        <f t="shared" si="11"/>
        <v/>
      </c>
      <c r="K333" s="71" t="str">
        <f t="shared" si="12"/>
        <v/>
      </c>
      <c r="L333" s="71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58"/>
      <c r="N333" s="58"/>
      <c r="O333" s="5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72"/>
      <c r="B334" s="63"/>
      <c r="C334" s="63"/>
      <c r="D334" s="67"/>
      <c r="E334" s="67"/>
      <c r="F334" s="68" t="str">
        <f t="shared" si="7"/>
        <v/>
      </c>
      <c r="G334" s="67" t="str">
        <f t="shared" si="8"/>
        <v/>
      </c>
      <c r="H334" s="69" t="str">
        <f t="shared" si="9"/>
        <v/>
      </c>
      <c r="I334" s="70" t="str">
        <f t="shared" si="10"/>
        <v/>
      </c>
      <c r="J334" s="67" t="str">
        <f t="shared" si="11"/>
        <v/>
      </c>
      <c r="K334" s="71" t="str">
        <f t="shared" si="12"/>
        <v/>
      </c>
      <c r="L334" s="71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58"/>
      <c r="N334" s="58"/>
      <c r="O334" s="5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72"/>
      <c r="B335" s="63"/>
      <c r="C335" s="63"/>
      <c r="D335" s="67"/>
      <c r="E335" s="67"/>
      <c r="F335" s="68" t="str">
        <f t="shared" si="7"/>
        <v/>
      </c>
      <c r="G335" s="67" t="str">
        <f t="shared" si="8"/>
        <v/>
      </c>
      <c r="H335" s="69" t="str">
        <f t="shared" si="9"/>
        <v/>
      </c>
      <c r="I335" s="70" t="str">
        <f t="shared" si="10"/>
        <v/>
      </c>
      <c r="J335" s="67" t="str">
        <f t="shared" si="11"/>
        <v/>
      </c>
      <c r="K335" s="71" t="str">
        <f t="shared" si="12"/>
        <v/>
      </c>
      <c r="L335" s="71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58"/>
      <c r="N335" s="58"/>
      <c r="O335" s="5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73"/>
      <c r="B336" s="63"/>
      <c r="C336" s="63"/>
      <c r="D336" s="67"/>
      <c r="E336" s="67"/>
      <c r="F336" s="68" t="str">
        <f t="shared" si="7"/>
        <v/>
      </c>
      <c r="G336" s="67" t="str">
        <f t="shared" si="8"/>
        <v/>
      </c>
      <c r="H336" s="69" t="str">
        <f t="shared" si="9"/>
        <v/>
      </c>
      <c r="I336" s="70" t="str">
        <f t="shared" si="10"/>
        <v/>
      </c>
      <c r="J336" s="67" t="str">
        <f t="shared" si="11"/>
        <v/>
      </c>
      <c r="K336" s="71" t="str">
        <f t="shared" si="12"/>
        <v/>
      </c>
      <c r="L336" s="71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58"/>
      <c r="N336" s="58"/>
      <c r="O336" s="5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72"/>
      <c r="B337" s="63"/>
      <c r="C337" s="63"/>
      <c r="D337" s="67"/>
      <c r="E337" s="67"/>
      <c r="F337" s="68" t="str">
        <f t="shared" si="7"/>
        <v/>
      </c>
      <c r="G337" s="67" t="str">
        <f t="shared" si="8"/>
        <v/>
      </c>
      <c r="H337" s="69" t="str">
        <f t="shared" si="9"/>
        <v/>
      </c>
      <c r="I337" s="70" t="str">
        <f t="shared" si="10"/>
        <v/>
      </c>
      <c r="J337" s="67" t="str">
        <f t="shared" si="11"/>
        <v/>
      </c>
      <c r="K337" s="71" t="str">
        <f t="shared" si="12"/>
        <v/>
      </c>
      <c r="L337" s="71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58"/>
      <c r="N337" s="58"/>
      <c r="O337" s="5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72"/>
      <c r="B338" s="63"/>
      <c r="C338" s="63"/>
      <c r="D338" s="67"/>
      <c r="E338" s="67"/>
      <c r="F338" s="68" t="str">
        <f t="shared" si="7"/>
        <v/>
      </c>
      <c r="G338" s="67" t="str">
        <f t="shared" si="8"/>
        <v/>
      </c>
      <c r="H338" s="69" t="str">
        <f t="shared" si="9"/>
        <v/>
      </c>
      <c r="I338" s="70" t="str">
        <f t="shared" si="10"/>
        <v/>
      </c>
      <c r="J338" s="67" t="str">
        <f t="shared" si="11"/>
        <v/>
      </c>
      <c r="K338" s="71" t="str">
        <f t="shared" si="12"/>
        <v/>
      </c>
      <c r="L338" s="71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58"/>
      <c r="N338" s="58"/>
      <c r="O338" s="5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72"/>
      <c r="B339" s="63"/>
      <c r="C339" s="63"/>
      <c r="D339" s="67"/>
      <c r="E339" s="67"/>
      <c r="F339" s="68" t="str">
        <f t="shared" si="7"/>
        <v/>
      </c>
      <c r="G339" s="67" t="str">
        <f t="shared" si="8"/>
        <v/>
      </c>
      <c r="H339" s="69" t="str">
        <f t="shared" si="9"/>
        <v/>
      </c>
      <c r="I339" s="70" t="str">
        <f t="shared" si="10"/>
        <v/>
      </c>
      <c r="J339" s="67" t="str">
        <f t="shared" si="11"/>
        <v/>
      </c>
      <c r="K339" s="71" t="str">
        <f t="shared" si="12"/>
        <v/>
      </c>
      <c r="L339" s="71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58"/>
      <c r="N339" s="58"/>
      <c r="O339" s="5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72"/>
      <c r="B340" s="63"/>
      <c r="C340" s="63"/>
      <c r="D340" s="67"/>
      <c r="E340" s="67"/>
      <c r="F340" s="68" t="str">
        <f t="shared" si="7"/>
        <v/>
      </c>
      <c r="G340" s="67" t="str">
        <f t="shared" si="8"/>
        <v/>
      </c>
      <c r="H340" s="69" t="str">
        <f t="shared" si="9"/>
        <v/>
      </c>
      <c r="I340" s="70" t="str">
        <f t="shared" si="10"/>
        <v/>
      </c>
      <c r="J340" s="67" t="str">
        <f t="shared" si="11"/>
        <v/>
      </c>
      <c r="K340" s="71" t="str">
        <f t="shared" si="12"/>
        <v/>
      </c>
      <c r="L340" s="71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58"/>
      <c r="N340" s="58"/>
      <c r="O340" s="5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72"/>
      <c r="B341" s="63"/>
      <c r="C341" s="63"/>
      <c r="D341" s="67"/>
      <c r="E341" s="67"/>
      <c r="F341" s="68" t="str">
        <f t="shared" si="7"/>
        <v/>
      </c>
      <c r="G341" s="67" t="str">
        <f t="shared" si="8"/>
        <v/>
      </c>
      <c r="H341" s="69" t="str">
        <f t="shared" si="9"/>
        <v/>
      </c>
      <c r="I341" s="70" t="str">
        <f t="shared" si="10"/>
        <v/>
      </c>
      <c r="J341" s="67" t="str">
        <f t="shared" si="11"/>
        <v/>
      </c>
      <c r="K341" s="71" t="str">
        <f t="shared" si="12"/>
        <v/>
      </c>
      <c r="L341" s="71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58"/>
      <c r="N341" s="58"/>
      <c r="O341" s="5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72"/>
      <c r="B342" s="63"/>
      <c r="C342" s="63"/>
      <c r="D342" s="67"/>
      <c r="E342" s="67"/>
      <c r="F342" s="68" t="str">
        <f t="shared" si="7"/>
        <v/>
      </c>
      <c r="G342" s="67" t="str">
        <f t="shared" si="8"/>
        <v/>
      </c>
      <c r="H342" s="69" t="str">
        <f t="shared" si="9"/>
        <v/>
      </c>
      <c r="I342" s="70" t="str">
        <f t="shared" si="10"/>
        <v/>
      </c>
      <c r="J342" s="67" t="str">
        <f t="shared" si="11"/>
        <v/>
      </c>
      <c r="K342" s="71" t="str">
        <f t="shared" si="12"/>
        <v/>
      </c>
      <c r="L342" s="71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58"/>
      <c r="N342" s="58"/>
      <c r="O342" s="5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72"/>
      <c r="B343" s="63"/>
      <c r="C343" s="63"/>
      <c r="D343" s="67"/>
      <c r="E343" s="67"/>
      <c r="F343" s="68" t="str">
        <f t="shared" si="7"/>
        <v/>
      </c>
      <c r="G343" s="67" t="str">
        <f t="shared" si="8"/>
        <v/>
      </c>
      <c r="H343" s="69" t="str">
        <f t="shared" si="9"/>
        <v/>
      </c>
      <c r="I343" s="70" t="str">
        <f t="shared" si="10"/>
        <v/>
      </c>
      <c r="J343" s="67" t="str">
        <f t="shared" si="11"/>
        <v/>
      </c>
      <c r="K343" s="71" t="str">
        <f t="shared" si="12"/>
        <v/>
      </c>
      <c r="L343" s="71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58"/>
      <c r="N343" s="58"/>
      <c r="O343" s="5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72"/>
      <c r="B344" s="63"/>
      <c r="C344" s="63"/>
      <c r="D344" s="67"/>
      <c r="E344" s="67"/>
      <c r="F344" s="68" t="str">
        <f t="shared" si="7"/>
        <v/>
      </c>
      <c r="G344" s="67" t="str">
        <f t="shared" si="8"/>
        <v/>
      </c>
      <c r="H344" s="69" t="str">
        <f t="shared" si="9"/>
        <v/>
      </c>
      <c r="I344" s="70" t="str">
        <f t="shared" si="10"/>
        <v/>
      </c>
      <c r="J344" s="67" t="str">
        <f t="shared" si="11"/>
        <v/>
      </c>
      <c r="K344" s="71" t="str">
        <f t="shared" si="12"/>
        <v/>
      </c>
      <c r="L344" s="71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58"/>
      <c r="N344" s="58"/>
      <c r="O344" s="5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72"/>
      <c r="B345" s="63"/>
      <c r="C345" s="63"/>
      <c r="D345" s="67"/>
      <c r="E345" s="67"/>
      <c r="F345" s="68" t="str">
        <f t="shared" si="7"/>
        <v/>
      </c>
      <c r="G345" s="67" t="str">
        <f t="shared" si="8"/>
        <v/>
      </c>
      <c r="H345" s="69" t="str">
        <f t="shared" si="9"/>
        <v/>
      </c>
      <c r="I345" s="70" t="str">
        <f t="shared" si="10"/>
        <v/>
      </c>
      <c r="J345" s="67" t="str">
        <f t="shared" si="11"/>
        <v/>
      </c>
      <c r="K345" s="71" t="str">
        <f t="shared" si="12"/>
        <v/>
      </c>
      <c r="L345" s="71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58"/>
      <c r="N345" s="58"/>
      <c r="O345" s="5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73"/>
      <c r="B346" s="63"/>
      <c r="C346" s="63"/>
      <c r="D346" s="67"/>
      <c r="E346" s="67"/>
      <c r="F346" s="68" t="str">
        <f t="shared" si="7"/>
        <v/>
      </c>
      <c r="G346" s="67" t="str">
        <f t="shared" si="8"/>
        <v/>
      </c>
      <c r="H346" s="69" t="str">
        <f t="shared" si="9"/>
        <v/>
      </c>
      <c r="I346" s="70" t="str">
        <f t="shared" si="10"/>
        <v/>
      </c>
      <c r="J346" s="67" t="str">
        <f t="shared" si="11"/>
        <v/>
      </c>
      <c r="K346" s="71" t="str">
        <f t="shared" si="12"/>
        <v/>
      </c>
      <c r="L346" s="71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58"/>
      <c r="N346" s="58"/>
      <c r="O346" s="5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72"/>
      <c r="B347" s="63"/>
      <c r="C347" s="63"/>
      <c r="D347" s="67"/>
      <c r="E347" s="67"/>
      <c r="F347" s="68" t="str">
        <f t="shared" si="7"/>
        <v/>
      </c>
      <c r="G347" s="67" t="str">
        <f t="shared" si="8"/>
        <v/>
      </c>
      <c r="H347" s="69" t="str">
        <f t="shared" si="9"/>
        <v/>
      </c>
      <c r="I347" s="70" t="str">
        <f t="shared" si="10"/>
        <v/>
      </c>
      <c r="J347" s="67" t="str">
        <f t="shared" si="11"/>
        <v/>
      </c>
      <c r="K347" s="71" t="str">
        <f t="shared" si="12"/>
        <v/>
      </c>
      <c r="L347" s="71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58"/>
      <c r="N347" s="58"/>
      <c r="O347" s="5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72"/>
      <c r="B348" s="63"/>
      <c r="C348" s="63"/>
      <c r="D348" s="67"/>
      <c r="E348" s="67"/>
      <c r="F348" s="68" t="str">
        <f t="shared" si="7"/>
        <v/>
      </c>
      <c r="G348" s="67" t="str">
        <f t="shared" si="8"/>
        <v/>
      </c>
      <c r="H348" s="69" t="str">
        <f t="shared" si="9"/>
        <v/>
      </c>
      <c r="I348" s="70" t="str">
        <f t="shared" si="10"/>
        <v/>
      </c>
      <c r="J348" s="67" t="str">
        <f t="shared" si="11"/>
        <v/>
      </c>
      <c r="K348" s="71" t="str">
        <f t="shared" si="12"/>
        <v/>
      </c>
      <c r="L348" s="71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58"/>
      <c r="N348" s="58"/>
      <c r="O348" s="5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72"/>
      <c r="B349" s="63"/>
      <c r="C349" s="63"/>
      <c r="D349" s="67"/>
      <c r="E349" s="67"/>
      <c r="F349" s="68" t="str">
        <f t="shared" si="7"/>
        <v/>
      </c>
      <c r="G349" s="67" t="str">
        <f t="shared" si="8"/>
        <v/>
      </c>
      <c r="H349" s="69" t="str">
        <f t="shared" si="9"/>
        <v/>
      </c>
      <c r="I349" s="70" t="str">
        <f t="shared" si="10"/>
        <v/>
      </c>
      <c r="J349" s="67" t="str">
        <f t="shared" si="11"/>
        <v/>
      </c>
      <c r="K349" s="71" t="str">
        <f t="shared" si="12"/>
        <v/>
      </c>
      <c r="L349" s="71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58"/>
      <c r="N349" s="58"/>
      <c r="O349" s="5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73"/>
      <c r="B350" s="63"/>
      <c r="C350" s="63"/>
      <c r="D350" s="67"/>
      <c r="E350" s="67"/>
      <c r="F350" s="68" t="str">
        <f t="shared" si="7"/>
        <v/>
      </c>
      <c r="G350" s="67" t="str">
        <f t="shared" si="8"/>
        <v/>
      </c>
      <c r="H350" s="69" t="str">
        <f t="shared" si="9"/>
        <v/>
      </c>
      <c r="I350" s="70" t="str">
        <f t="shared" si="10"/>
        <v/>
      </c>
      <c r="J350" s="67" t="str">
        <f t="shared" si="11"/>
        <v/>
      </c>
      <c r="K350" s="71" t="str">
        <f t="shared" si="12"/>
        <v/>
      </c>
      <c r="L350" s="71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58"/>
      <c r="N350" s="58"/>
      <c r="O350" s="5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72"/>
      <c r="B351" s="63"/>
      <c r="C351" s="63"/>
      <c r="D351" s="67"/>
      <c r="E351" s="67"/>
      <c r="F351" s="68" t="str">
        <f t="shared" si="7"/>
        <v/>
      </c>
      <c r="G351" s="67" t="str">
        <f t="shared" si="8"/>
        <v/>
      </c>
      <c r="H351" s="69" t="str">
        <f t="shared" si="9"/>
        <v/>
      </c>
      <c r="I351" s="70" t="str">
        <f t="shared" si="10"/>
        <v/>
      </c>
      <c r="J351" s="67" t="str">
        <f t="shared" si="11"/>
        <v/>
      </c>
      <c r="K351" s="71" t="str">
        <f t="shared" si="12"/>
        <v/>
      </c>
      <c r="L351" s="71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58"/>
      <c r="N351" s="58"/>
      <c r="O351" s="5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72"/>
      <c r="B352" s="63"/>
      <c r="C352" s="63"/>
      <c r="D352" s="67"/>
      <c r="E352" s="67"/>
      <c r="F352" s="68" t="str">
        <f t="shared" si="7"/>
        <v/>
      </c>
      <c r="G352" s="67" t="str">
        <f t="shared" si="8"/>
        <v/>
      </c>
      <c r="H352" s="69" t="str">
        <f t="shared" si="9"/>
        <v/>
      </c>
      <c r="I352" s="70" t="str">
        <f t="shared" si="10"/>
        <v/>
      </c>
      <c r="J352" s="67" t="str">
        <f t="shared" si="11"/>
        <v/>
      </c>
      <c r="K352" s="71" t="str">
        <f t="shared" si="12"/>
        <v/>
      </c>
      <c r="L352" s="71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58"/>
      <c r="N352" s="58"/>
      <c r="O352" s="5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72"/>
      <c r="B353" s="63"/>
      <c r="C353" s="63"/>
      <c r="D353" s="67"/>
      <c r="E353" s="67"/>
      <c r="F353" s="68" t="str">
        <f t="shared" si="7"/>
        <v/>
      </c>
      <c r="G353" s="67" t="str">
        <f t="shared" si="8"/>
        <v/>
      </c>
      <c r="H353" s="69" t="str">
        <f t="shared" si="9"/>
        <v/>
      </c>
      <c r="I353" s="70" t="str">
        <f t="shared" si="10"/>
        <v/>
      </c>
      <c r="J353" s="67" t="str">
        <f t="shared" si="11"/>
        <v/>
      </c>
      <c r="K353" s="71" t="str">
        <f t="shared" si="12"/>
        <v/>
      </c>
      <c r="L353" s="71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58"/>
      <c r="N353" s="58"/>
      <c r="O353" s="5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72"/>
      <c r="B354" s="63"/>
      <c r="C354" s="63"/>
      <c r="D354" s="67"/>
      <c r="E354" s="67"/>
      <c r="F354" s="68" t="str">
        <f t="shared" si="7"/>
        <v/>
      </c>
      <c r="G354" s="67" t="str">
        <f t="shared" si="8"/>
        <v/>
      </c>
      <c r="H354" s="69" t="str">
        <f t="shared" si="9"/>
        <v/>
      </c>
      <c r="I354" s="70" t="str">
        <f t="shared" si="10"/>
        <v/>
      </c>
      <c r="J354" s="67" t="str">
        <f t="shared" si="11"/>
        <v/>
      </c>
      <c r="K354" s="71" t="str">
        <f t="shared" si="12"/>
        <v/>
      </c>
      <c r="L354" s="71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58"/>
      <c r="N354" s="58"/>
      <c r="O354" s="5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72"/>
      <c r="B355" s="63"/>
      <c r="C355" s="63"/>
      <c r="D355" s="67"/>
      <c r="E355" s="67"/>
      <c r="F355" s="68" t="str">
        <f t="shared" si="7"/>
        <v/>
      </c>
      <c r="G355" s="67" t="str">
        <f t="shared" si="8"/>
        <v/>
      </c>
      <c r="H355" s="69" t="str">
        <f t="shared" si="9"/>
        <v/>
      </c>
      <c r="I355" s="70" t="str">
        <f t="shared" si="10"/>
        <v/>
      </c>
      <c r="J355" s="67" t="str">
        <f t="shared" si="11"/>
        <v/>
      </c>
      <c r="K355" s="71" t="str">
        <f t="shared" si="12"/>
        <v/>
      </c>
      <c r="L355" s="71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58"/>
      <c r="N355" s="58"/>
      <c r="O355" s="5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72"/>
      <c r="B356" s="63"/>
      <c r="C356" s="63"/>
      <c r="D356" s="67"/>
      <c r="E356" s="67"/>
      <c r="F356" s="68" t="str">
        <f t="shared" si="7"/>
        <v/>
      </c>
      <c r="G356" s="67" t="str">
        <f t="shared" si="8"/>
        <v/>
      </c>
      <c r="H356" s="69" t="str">
        <f t="shared" si="9"/>
        <v/>
      </c>
      <c r="I356" s="70" t="str">
        <f t="shared" si="10"/>
        <v/>
      </c>
      <c r="J356" s="67" t="str">
        <f t="shared" si="11"/>
        <v/>
      </c>
      <c r="K356" s="71" t="str">
        <f t="shared" si="12"/>
        <v/>
      </c>
      <c r="L356" s="71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58"/>
      <c r="N356" s="58"/>
      <c r="O356" s="5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72"/>
      <c r="B357" s="63"/>
      <c r="C357" s="63"/>
      <c r="D357" s="67"/>
      <c r="E357" s="67"/>
      <c r="F357" s="68" t="str">
        <f t="shared" si="7"/>
        <v/>
      </c>
      <c r="G357" s="67" t="str">
        <f t="shared" si="8"/>
        <v/>
      </c>
      <c r="H357" s="69" t="str">
        <f t="shared" si="9"/>
        <v/>
      </c>
      <c r="I357" s="70" t="str">
        <f t="shared" si="10"/>
        <v/>
      </c>
      <c r="J357" s="67" t="str">
        <f t="shared" si="11"/>
        <v/>
      </c>
      <c r="K357" s="71" t="str">
        <f t="shared" si="12"/>
        <v/>
      </c>
      <c r="L357" s="71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58"/>
      <c r="N357" s="58"/>
      <c r="O357" s="5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72"/>
      <c r="B358" s="63"/>
      <c r="C358" s="63"/>
      <c r="D358" s="67"/>
      <c r="E358" s="67"/>
      <c r="F358" s="68" t="str">
        <f t="shared" si="7"/>
        <v/>
      </c>
      <c r="G358" s="67" t="str">
        <f t="shared" si="8"/>
        <v/>
      </c>
      <c r="H358" s="69" t="str">
        <f t="shared" si="9"/>
        <v/>
      </c>
      <c r="I358" s="70" t="str">
        <f t="shared" si="10"/>
        <v/>
      </c>
      <c r="J358" s="67" t="str">
        <f t="shared" si="11"/>
        <v/>
      </c>
      <c r="K358" s="71" t="str">
        <f t="shared" si="12"/>
        <v/>
      </c>
      <c r="L358" s="71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58"/>
      <c r="N358" s="58"/>
      <c r="O358" s="5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72"/>
      <c r="B359" s="63"/>
      <c r="C359" s="63"/>
      <c r="D359" s="67"/>
      <c r="E359" s="67"/>
      <c r="F359" s="68" t="str">
        <f t="shared" si="7"/>
        <v/>
      </c>
      <c r="G359" s="67" t="str">
        <f t="shared" si="8"/>
        <v/>
      </c>
      <c r="H359" s="69" t="str">
        <f t="shared" si="9"/>
        <v/>
      </c>
      <c r="I359" s="70" t="str">
        <f t="shared" si="10"/>
        <v/>
      </c>
      <c r="J359" s="67" t="str">
        <f t="shared" si="11"/>
        <v/>
      </c>
      <c r="K359" s="71" t="str">
        <f t="shared" si="12"/>
        <v/>
      </c>
      <c r="L359" s="71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58"/>
      <c r="N359" s="58"/>
      <c r="O359" s="5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72"/>
      <c r="B360" s="63"/>
      <c r="C360" s="63"/>
      <c r="D360" s="67"/>
      <c r="E360" s="67"/>
      <c r="F360" s="68" t="str">
        <f t="shared" si="7"/>
        <v/>
      </c>
      <c r="G360" s="67" t="str">
        <f t="shared" si="8"/>
        <v/>
      </c>
      <c r="H360" s="69" t="str">
        <f t="shared" si="9"/>
        <v/>
      </c>
      <c r="I360" s="70" t="str">
        <f t="shared" si="10"/>
        <v/>
      </c>
      <c r="J360" s="67" t="str">
        <f t="shared" si="11"/>
        <v/>
      </c>
      <c r="K360" s="71" t="str">
        <f t="shared" si="12"/>
        <v/>
      </c>
      <c r="L360" s="71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58"/>
      <c r="N360" s="58"/>
      <c r="O360" s="5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72"/>
      <c r="B361" s="63"/>
      <c r="C361" s="63"/>
      <c r="D361" s="67"/>
      <c r="E361" s="67"/>
      <c r="F361" s="68" t="str">
        <f t="shared" si="7"/>
        <v/>
      </c>
      <c r="G361" s="67" t="str">
        <f t="shared" si="8"/>
        <v/>
      </c>
      <c r="H361" s="69" t="str">
        <f t="shared" si="9"/>
        <v/>
      </c>
      <c r="I361" s="70" t="str">
        <f t="shared" si="10"/>
        <v/>
      </c>
      <c r="J361" s="67" t="str">
        <f t="shared" si="11"/>
        <v/>
      </c>
      <c r="K361" s="71" t="str">
        <f t="shared" si="12"/>
        <v/>
      </c>
      <c r="L361" s="71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58"/>
      <c r="N361" s="58"/>
      <c r="O361" s="5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72"/>
      <c r="B362" s="63"/>
      <c r="C362" s="63"/>
      <c r="D362" s="67"/>
      <c r="E362" s="67"/>
      <c r="F362" s="68" t="str">
        <f t="shared" si="7"/>
        <v/>
      </c>
      <c r="G362" s="67" t="str">
        <f t="shared" si="8"/>
        <v/>
      </c>
      <c r="H362" s="69" t="str">
        <f t="shared" si="9"/>
        <v/>
      </c>
      <c r="I362" s="70" t="str">
        <f t="shared" si="10"/>
        <v/>
      </c>
      <c r="J362" s="67" t="str">
        <f t="shared" si="11"/>
        <v/>
      </c>
      <c r="K362" s="71" t="str">
        <f t="shared" si="12"/>
        <v/>
      </c>
      <c r="L362" s="71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58"/>
      <c r="N362" s="58"/>
      <c r="O362" s="5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72"/>
      <c r="B363" s="63"/>
      <c r="C363" s="63"/>
      <c r="D363" s="67"/>
      <c r="E363" s="67"/>
      <c r="F363" s="68" t="str">
        <f t="shared" si="7"/>
        <v/>
      </c>
      <c r="G363" s="67" t="str">
        <f t="shared" si="8"/>
        <v/>
      </c>
      <c r="H363" s="69" t="str">
        <f t="shared" si="9"/>
        <v/>
      </c>
      <c r="I363" s="70" t="str">
        <f t="shared" si="10"/>
        <v/>
      </c>
      <c r="J363" s="67" t="str">
        <f t="shared" si="11"/>
        <v/>
      </c>
      <c r="K363" s="71" t="str">
        <f t="shared" si="12"/>
        <v/>
      </c>
      <c r="L363" s="71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58"/>
      <c r="N363" s="58"/>
      <c r="O363" s="5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72"/>
      <c r="B364" s="63"/>
      <c r="C364" s="63"/>
      <c r="D364" s="67"/>
      <c r="E364" s="67"/>
      <c r="F364" s="68" t="str">
        <f t="shared" si="7"/>
        <v/>
      </c>
      <c r="G364" s="67" t="str">
        <f t="shared" si="8"/>
        <v/>
      </c>
      <c r="H364" s="69" t="str">
        <f t="shared" si="9"/>
        <v/>
      </c>
      <c r="I364" s="70" t="str">
        <f t="shared" si="10"/>
        <v/>
      </c>
      <c r="J364" s="67" t="str">
        <f t="shared" si="11"/>
        <v/>
      </c>
      <c r="K364" s="71" t="str">
        <f t="shared" si="12"/>
        <v/>
      </c>
      <c r="L364" s="71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58"/>
      <c r="N364" s="58"/>
      <c r="O364" s="5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72"/>
      <c r="B365" s="63"/>
      <c r="C365" s="63"/>
      <c r="D365" s="67"/>
      <c r="E365" s="67"/>
      <c r="F365" s="68" t="str">
        <f t="shared" si="7"/>
        <v/>
      </c>
      <c r="G365" s="67" t="str">
        <f t="shared" si="8"/>
        <v/>
      </c>
      <c r="H365" s="69" t="str">
        <f t="shared" si="9"/>
        <v/>
      </c>
      <c r="I365" s="70" t="str">
        <f t="shared" si="10"/>
        <v/>
      </c>
      <c r="J365" s="67" t="str">
        <f t="shared" si="11"/>
        <v/>
      </c>
      <c r="K365" s="71" t="str">
        <f t="shared" si="12"/>
        <v/>
      </c>
      <c r="L365" s="71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58"/>
      <c r="N365" s="58"/>
      <c r="O365" s="5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72"/>
      <c r="B366" s="63"/>
      <c r="C366" s="63"/>
      <c r="D366" s="67"/>
      <c r="E366" s="67"/>
      <c r="F366" s="68" t="str">
        <f t="shared" si="7"/>
        <v/>
      </c>
      <c r="G366" s="67" t="str">
        <f t="shared" si="8"/>
        <v/>
      </c>
      <c r="H366" s="69" t="str">
        <f t="shared" si="9"/>
        <v/>
      </c>
      <c r="I366" s="70" t="str">
        <f t="shared" si="10"/>
        <v/>
      </c>
      <c r="J366" s="67" t="str">
        <f t="shared" si="11"/>
        <v/>
      </c>
      <c r="K366" s="71" t="str">
        <f t="shared" si="12"/>
        <v/>
      </c>
      <c r="L366" s="71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58"/>
      <c r="N366" s="58"/>
      <c r="O366" s="5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72"/>
      <c r="B367" s="63"/>
      <c r="C367" s="63"/>
      <c r="D367" s="67"/>
      <c r="E367" s="67"/>
      <c r="F367" s="68" t="str">
        <f t="shared" si="7"/>
        <v/>
      </c>
      <c r="G367" s="67" t="str">
        <f t="shared" si="8"/>
        <v/>
      </c>
      <c r="H367" s="69" t="str">
        <f t="shared" si="9"/>
        <v/>
      </c>
      <c r="I367" s="70" t="str">
        <f t="shared" si="10"/>
        <v/>
      </c>
      <c r="J367" s="67" t="str">
        <f t="shared" si="11"/>
        <v/>
      </c>
      <c r="K367" s="71" t="str">
        <f t="shared" si="12"/>
        <v/>
      </c>
      <c r="L367" s="71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58"/>
      <c r="N367" s="58"/>
      <c r="O367" s="5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72"/>
      <c r="B368" s="63"/>
      <c r="C368" s="63"/>
      <c r="D368" s="67"/>
      <c r="E368" s="67"/>
      <c r="F368" s="68" t="str">
        <f t="shared" si="7"/>
        <v/>
      </c>
      <c r="G368" s="67" t="str">
        <f t="shared" si="8"/>
        <v/>
      </c>
      <c r="H368" s="69" t="str">
        <f t="shared" si="9"/>
        <v/>
      </c>
      <c r="I368" s="70" t="str">
        <f t="shared" si="10"/>
        <v/>
      </c>
      <c r="J368" s="67" t="str">
        <f t="shared" si="11"/>
        <v/>
      </c>
      <c r="K368" s="71" t="str">
        <f t="shared" si="12"/>
        <v/>
      </c>
      <c r="L368" s="71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58"/>
      <c r="N368" s="58"/>
      <c r="O368" s="5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72"/>
      <c r="B369" s="63"/>
      <c r="C369" s="63"/>
      <c r="D369" s="67"/>
      <c r="E369" s="67"/>
      <c r="F369" s="68" t="str">
        <f t="shared" si="7"/>
        <v/>
      </c>
      <c r="G369" s="67" t="str">
        <f t="shared" si="8"/>
        <v/>
      </c>
      <c r="H369" s="69" t="str">
        <f t="shared" si="9"/>
        <v/>
      </c>
      <c r="I369" s="70" t="str">
        <f t="shared" si="10"/>
        <v/>
      </c>
      <c r="J369" s="67" t="str">
        <f t="shared" si="11"/>
        <v/>
      </c>
      <c r="K369" s="71" t="str">
        <f t="shared" si="12"/>
        <v/>
      </c>
      <c r="L369" s="71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58"/>
      <c r="N369" s="58"/>
      <c r="O369" s="5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73"/>
      <c r="B370" s="63"/>
      <c r="C370" s="63"/>
      <c r="D370" s="67"/>
      <c r="E370" s="67"/>
      <c r="F370" s="68" t="str">
        <f t="shared" si="7"/>
        <v/>
      </c>
      <c r="G370" s="67" t="str">
        <f t="shared" si="8"/>
        <v/>
      </c>
      <c r="H370" s="69" t="str">
        <f t="shared" si="9"/>
        <v/>
      </c>
      <c r="I370" s="70" t="str">
        <f t="shared" si="10"/>
        <v/>
      </c>
      <c r="J370" s="67" t="str">
        <f t="shared" si="11"/>
        <v/>
      </c>
      <c r="K370" s="71" t="str">
        <f t="shared" si="12"/>
        <v/>
      </c>
      <c r="L370" s="71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58"/>
      <c r="N370" s="58"/>
      <c r="O370" s="5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73"/>
      <c r="B371" s="63"/>
      <c r="C371" s="63"/>
      <c r="D371" s="67"/>
      <c r="E371" s="67"/>
      <c r="F371" s="68" t="str">
        <f t="shared" si="7"/>
        <v/>
      </c>
      <c r="G371" s="67" t="str">
        <f t="shared" si="8"/>
        <v/>
      </c>
      <c r="H371" s="69" t="str">
        <f t="shared" si="9"/>
        <v/>
      </c>
      <c r="I371" s="70" t="str">
        <f t="shared" si="10"/>
        <v/>
      </c>
      <c r="J371" s="67" t="str">
        <f t="shared" si="11"/>
        <v/>
      </c>
      <c r="K371" s="71" t="str">
        <f t="shared" si="12"/>
        <v/>
      </c>
      <c r="L371" s="71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58"/>
      <c r="N371" s="58"/>
      <c r="O371" s="5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72"/>
      <c r="B372" s="63"/>
      <c r="C372" s="63"/>
      <c r="D372" s="67"/>
      <c r="E372" s="67"/>
      <c r="F372" s="68" t="str">
        <f t="shared" si="7"/>
        <v/>
      </c>
      <c r="G372" s="67" t="str">
        <f t="shared" si="8"/>
        <v/>
      </c>
      <c r="H372" s="69" t="str">
        <f t="shared" si="9"/>
        <v/>
      </c>
      <c r="I372" s="70" t="str">
        <f t="shared" si="10"/>
        <v/>
      </c>
      <c r="J372" s="67" t="str">
        <f t="shared" si="11"/>
        <v/>
      </c>
      <c r="K372" s="71" t="str">
        <f t="shared" si="12"/>
        <v/>
      </c>
      <c r="L372" s="71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58"/>
      <c r="N372" s="58"/>
      <c r="O372" s="5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72"/>
      <c r="B373" s="63"/>
      <c r="C373" s="63"/>
      <c r="D373" s="67"/>
      <c r="E373" s="67"/>
      <c r="F373" s="68" t="str">
        <f t="shared" si="7"/>
        <v/>
      </c>
      <c r="G373" s="67" t="str">
        <f t="shared" si="8"/>
        <v/>
      </c>
      <c r="H373" s="69" t="str">
        <f t="shared" si="9"/>
        <v/>
      </c>
      <c r="I373" s="70" t="str">
        <f t="shared" si="10"/>
        <v/>
      </c>
      <c r="J373" s="67" t="str">
        <f t="shared" si="11"/>
        <v/>
      </c>
      <c r="K373" s="71" t="str">
        <f t="shared" si="12"/>
        <v/>
      </c>
      <c r="L373" s="71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58"/>
      <c r="N373" s="58"/>
      <c r="O373" s="5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72"/>
      <c r="B374" s="63"/>
      <c r="C374" s="63"/>
      <c r="D374" s="67"/>
      <c r="E374" s="67"/>
      <c r="F374" s="68" t="str">
        <f t="shared" si="7"/>
        <v/>
      </c>
      <c r="G374" s="67" t="str">
        <f t="shared" si="8"/>
        <v/>
      </c>
      <c r="H374" s="69" t="str">
        <f t="shared" si="9"/>
        <v/>
      </c>
      <c r="I374" s="70" t="str">
        <f t="shared" si="10"/>
        <v/>
      </c>
      <c r="J374" s="67" t="str">
        <f t="shared" si="11"/>
        <v/>
      </c>
      <c r="K374" s="71" t="str">
        <f t="shared" si="12"/>
        <v/>
      </c>
      <c r="L374" s="71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58"/>
      <c r="N374" s="58"/>
      <c r="O374" s="5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72"/>
      <c r="B375" s="63"/>
      <c r="C375" s="63"/>
      <c r="D375" s="67"/>
      <c r="E375" s="67"/>
      <c r="F375" s="68" t="str">
        <f t="shared" si="7"/>
        <v/>
      </c>
      <c r="G375" s="67" t="str">
        <f t="shared" si="8"/>
        <v/>
      </c>
      <c r="H375" s="69" t="str">
        <f t="shared" si="9"/>
        <v/>
      </c>
      <c r="I375" s="70" t="str">
        <f t="shared" si="10"/>
        <v/>
      </c>
      <c r="J375" s="67" t="str">
        <f t="shared" si="11"/>
        <v/>
      </c>
      <c r="K375" s="71" t="str">
        <f t="shared" si="12"/>
        <v/>
      </c>
      <c r="L375" s="71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58"/>
      <c r="N375" s="58"/>
      <c r="O375" s="5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72"/>
      <c r="B376" s="63"/>
      <c r="C376" s="63"/>
      <c r="D376" s="67"/>
      <c r="E376" s="67"/>
      <c r="F376" s="68" t="str">
        <f t="shared" si="7"/>
        <v/>
      </c>
      <c r="G376" s="67" t="str">
        <f t="shared" si="8"/>
        <v/>
      </c>
      <c r="H376" s="69" t="str">
        <f t="shared" si="9"/>
        <v/>
      </c>
      <c r="I376" s="70" t="str">
        <f t="shared" si="10"/>
        <v/>
      </c>
      <c r="J376" s="67" t="str">
        <f t="shared" si="11"/>
        <v/>
      </c>
      <c r="K376" s="71" t="str">
        <f t="shared" si="12"/>
        <v/>
      </c>
      <c r="L376" s="71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58"/>
      <c r="N376" s="58"/>
      <c r="O376" s="5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73"/>
      <c r="B377" s="63"/>
      <c r="C377" s="63"/>
      <c r="D377" s="67"/>
      <c r="E377" s="67"/>
      <c r="F377" s="68" t="str">
        <f t="shared" si="7"/>
        <v/>
      </c>
      <c r="G377" s="67" t="str">
        <f t="shared" si="8"/>
        <v/>
      </c>
      <c r="H377" s="69" t="str">
        <f t="shared" si="9"/>
        <v/>
      </c>
      <c r="I377" s="70" t="str">
        <f t="shared" si="10"/>
        <v/>
      </c>
      <c r="J377" s="67" t="str">
        <f t="shared" si="11"/>
        <v/>
      </c>
      <c r="K377" s="71" t="str">
        <f t="shared" si="12"/>
        <v/>
      </c>
      <c r="L377" s="71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58"/>
      <c r="N377" s="58"/>
      <c r="O377" s="5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72"/>
      <c r="B378" s="63"/>
      <c r="C378" s="63"/>
      <c r="D378" s="67"/>
      <c r="E378" s="67"/>
      <c r="F378" s="68" t="str">
        <f t="shared" si="7"/>
        <v/>
      </c>
      <c r="G378" s="67" t="str">
        <f t="shared" si="8"/>
        <v/>
      </c>
      <c r="H378" s="69" t="str">
        <f t="shared" si="9"/>
        <v/>
      </c>
      <c r="I378" s="70" t="str">
        <f t="shared" si="10"/>
        <v/>
      </c>
      <c r="J378" s="67" t="str">
        <f t="shared" si="11"/>
        <v/>
      </c>
      <c r="K378" s="71" t="str">
        <f t="shared" si="12"/>
        <v/>
      </c>
      <c r="L378" s="71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58"/>
      <c r="N378" s="58"/>
      <c r="O378" s="5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72"/>
      <c r="B379" s="63"/>
      <c r="C379" s="63"/>
      <c r="D379" s="67"/>
      <c r="E379" s="67"/>
      <c r="F379" s="68" t="str">
        <f t="shared" si="7"/>
        <v/>
      </c>
      <c r="G379" s="67" t="str">
        <f t="shared" si="8"/>
        <v/>
      </c>
      <c r="H379" s="69" t="str">
        <f t="shared" si="9"/>
        <v/>
      </c>
      <c r="I379" s="70" t="str">
        <f t="shared" si="10"/>
        <v/>
      </c>
      <c r="J379" s="67" t="str">
        <f t="shared" si="11"/>
        <v/>
      </c>
      <c r="K379" s="71" t="str">
        <f t="shared" si="12"/>
        <v/>
      </c>
      <c r="L379" s="71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58"/>
      <c r="N379" s="58"/>
      <c r="O379" s="5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72"/>
      <c r="B380" s="63"/>
      <c r="C380" s="63"/>
      <c r="D380" s="67"/>
      <c r="E380" s="67"/>
      <c r="F380" s="68" t="str">
        <f t="shared" si="7"/>
        <v/>
      </c>
      <c r="G380" s="67" t="str">
        <f t="shared" si="8"/>
        <v/>
      </c>
      <c r="H380" s="69" t="str">
        <f t="shared" si="9"/>
        <v/>
      </c>
      <c r="I380" s="70" t="str">
        <f t="shared" si="10"/>
        <v/>
      </c>
      <c r="J380" s="67" t="str">
        <f t="shared" si="11"/>
        <v/>
      </c>
      <c r="K380" s="71" t="str">
        <f t="shared" si="12"/>
        <v/>
      </c>
      <c r="L380" s="71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58"/>
      <c r="N380" s="58"/>
      <c r="O380" s="5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72"/>
      <c r="B381" s="63"/>
      <c r="C381" s="63"/>
      <c r="D381" s="67"/>
      <c r="E381" s="67"/>
      <c r="F381" s="68" t="str">
        <f t="shared" si="7"/>
        <v/>
      </c>
      <c r="G381" s="67" t="str">
        <f t="shared" si="8"/>
        <v/>
      </c>
      <c r="H381" s="69" t="str">
        <f t="shared" si="9"/>
        <v/>
      </c>
      <c r="I381" s="70" t="str">
        <f t="shared" si="10"/>
        <v/>
      </c>
      <c r="J381" s="67" t="str">
        <f t="shared" si="11"/>
        <v/>
      </c>
      <c r="K381" s="71" t="str">
        <f t="shared" si="12"/>
        <v/>
      </c>
      <c r="L381" s="71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58"/>
      <c r="N381" s="58"/>
      <c r="O381" s="5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72"/>
      <c r="B382" s="63"/>
      <c r="C382" s="63"/>
      <c r="D382" s="67"/>
      <c r="E382" s="67"/>
      <c r="F382" s="68" t="str">
        <f t="shared" si="7"/>
        <v/>
      </c>
      <c r="G382" s="67" t="str">
        <f t="shared" si="8"/>
        <v/>
      </c>
      <c r="H382" s="69" t="str">
        <f t="shared" si="9"/>
        <v/>
      </c>
      <c r="I382" s="70" t="str">
        <f t="shared" si="10"/>
        <v/>
      </c>
      <c r="J382" s="67" t="str">
        <f t="shared" si="11"/>
        <v/>
      </c>
      <c r="K382" s="71" t="str">
        <f t="shared" si="12"/>
        <v/>
      </c>
      <c r="L382" s="71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58"/>
      <c r="N382" s="58"/>
      <c r="O382" s="5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73"/>
      <c r="B383" s="63"/>
      <c r="C383" s="63"/>
      <c r="D383" s="67"/>
      <c r="E383" s="67"/>
      <c r="F383" s="68" t="str">
        <f t="shared" si="7"/>
        <v/>
      </c>
      <c r="G383" s="67" t="str">
        <f t="shared" si="8"/>
        <v/>
      </c>
      <c r="H383" s="69" t="str">
        <f t="shared" si="9"/>
        <v/>
      </c>
      <c r="I383" s="70" t="str">
        <f t="shared" si="10"/>
        <v/>
      </c>
      <c r="J383" s="67" t="str">
        <f t="shared" si="11"/>
        <v/>
      </c>
      <c r="K383" s="71" t="str">
        <f t="shared" si="12"/>
        <v/>
      </c>
      <c r="L383" s="71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58"/>
      <c r="N383" s="58"/>
      <c r="O383" s="5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72"/>
      <c r="B384" s="63"/>
      <c r="C384" s="63"/>
      <c r="D384" s="67"/>
      <c r="E384" s="67"/>
      <c r="F384" s="68" t="str">
        <f t="shared" si="7"/>
        <v/>
      </c>
      <c r="G384" s="67" t="str">
        <f t="shared" si="8"/>
        <v/>
      </c>
      <c r="H384" s="69" t="str">
        <f t="shared" si="9"/>
        <v/>
      </c>
      <c r="I384" s="70" t="str">
        <f t="shared" si="10"/>
        <v/>
      </c>
      <c r="J384" s="67" t="str">
        <f t="shared" si="11"/>
        <v/>
      </c>
      <c r="K384" s="71" t="str">
        <f t="shared" si="12"/>
        <v/>
      </c>
      <c r="L384" s="71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58"/>
      <c r="N384" s="58"/>
      <c r="O384" s="5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72"/>
      <c r="B385" s="63"/>
      <c r="C385" s="63"/>
      <c r="D385" s="67"/>
      <c r="E385" s="67"/>
      <c r="F385" s="68" t="str">
        <f t="shared" si="7"/>
        <v/>
      </c>
      <c r="G385" s="67" t="str">
        <f t="shared" si="8"/>
        <v/>
      </c>
      <c r="H385" s="69" t="str">
        <f t="shared" si="9"/>
        <v/>
      </c>
      <c r="I385" s="70" t="str">
        <f t="shared" si="10"/>
        <v/>
      </c>
      <c r="J385" s="67" t="str">
        <f t="shared" si="11"/>
        <v/>
      </c>
      <c r="K385" s="71" t="str">
        <f t="shared" si="12"/>
        <v/>
      </c>
      <c r="L385" s="71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58"/>
      <c r="N385" s="58"/>
      <c r="O385" s="5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72"/>
      <c r="B386" s="63"/>
      <c r="C386" s="63"/>
      <c r="D386" s="67"/>
      <c r="E386" s="67"/>
      <c r="F386" s="68" t="str">
        <f t="shared" si="7"/>
        <v/>
      </c>
      <c r="G386" s="67" t="str">
        <f t="shared" si="8"/>
        <v/>
      </c>
      <c r="H386" s="69" t="str">
        <f t="shared" si="9"/>
        <v/>
      </c>
      <c r="I386" s="70" t="str">
        <f t="shared" si="10"/>
        <v/>
      </c>
      <c r="J386" s="67" t="str">
        <f t="shared" si="11"/>
        <v/>
      </c>
      <c r="K386" s="71" t="str">
        <f t="shared" si="12"/>
        <v/>
      </c>
      <c r="L386" s="71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58"/>
      <c r="N386" s="58"/>
      <c r="O386" s="5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72"/>
      <c r="B387" s="63"/>
      <c r="C387" s="63"/>
      <c r="D387" s="67"/>
      <c r="E387" s="67"/>
      <c r="F387" s="68" t="str">
        <f t="shared" si="7"/>
        <v/>
      </c>
      <c r="G387" s="67" t="str">
        <f t="shared" si="8"/>
        <v/>
      </c>
      <c r="H387" s="69" t="str">
        <f t="shared" si="9"/>
        <v/>
      </c>
      <c r="I387" s="70" t="str">
        <f t="shared" si="10"/>
        <v/>
      </c>
      <c r="J387" s="67" t="str">
        <f t="shared" si="11"/>
        <v/>
      </c>
      <c r="K387" s="71" t="str">
        <f t="shared" si="12"/>
        <v/>
      </c>
      <c r="L387" s="71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58"/>
      <c r="N387" s="58"/>
      <c r="O387" s="5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72"/>
      <c r="B388" s="63"/>
      <c r="C388" s="63"/>
      <c r="D388" s="67"/>
      <c r="E388" s="67"/>
      <c r="F388" s="68" t="str">
        <f t="shared" si="7"/>
        <v/>
      </c>
      <c r="G388" s="67" t="str">
        <f t="shared" si="8"/>
        <v/>
      </c>
      <c r="H388" s="69" t="str">
        <f t="shared" si="9"/>
        <v/>
      </c>
      <c r="I388" s="70" t="str">
        <f t="shared" si="10"/>
        <v/>
      </c>
      <c r="J388" s="67" t="str">
        <f t="shared" si="11"/>
        <v/>
      </c>
      <c r="K388" s="71" t="str">
        <f t="shared" si="12"/>
        <v/>
      </c>
      <c r="L388" s="71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58"/>
      <c r="N388" s="58"/>
      <c r="O388" s="5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3.5" customHeight="1">
      <c r="A389" s="72"/>
      <c r="B389" s="63"/>
      <c r="C389" s="63"/>
      <c r="D389" s="67"/>
      <c r="E389" s="67"/>
      <c r="F389" s="68" t="str">
        <f t="shared" si="7"/>
        <v/>
      </c>
      <c r="G389" s="67" t="str">
        <f t="shared" si="8"/>
        <v/>
      </c>
      <c r="H389" s="69" t="str">
        <f t="shared" si="9"/>
        <v/>
      </c>
      <c r="I389" s="70" t="str">
        <f t="shared" si="10"/>
        <v/>
      </c>
      <c r="J389" s="67" t="str">
        <f t="shared" si="11"/>
        <v/>
      </c>
      <c r="K389" s="71" t="str">
        <f t="shared" si="12"/>
        <v/>
      </c>
      <c r="L389" s="71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58"/>
      <c r="N389" s="58"/>
      <c r="O389" s="5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72"/>
      <c r="B390" s="63"/>
      <c r="C390" s="63"/>
      <c r="D390" s="67"/>
      <c r="E390" s="67"/>
      <c r="F390" s="68" t="str">
        <f t="shared" si="7"/>
        <v/>
      </c>
      <c r="G390" s="67" t="str">
        <f t="shared" si="8"/>
        <v/>
      </c>
      <c r="H390" s="69" t="str">
        <f t="shared" si="9"/>
        <v/>
      </c>
      <c r="I390" s="70" t="str">
        <f t="shared" si="10"/>
        <v/>
      </c>
      <c r="J390" s="67" t="str">
        <f t="shared" si="11"/>
        <v/>
      </c>
      <c r="K390" s="71" t="str">
        <f t="shared" si="12"/>
        <v/>
      </c>
      <c r="L390" s="71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58"/>
      <c r="N390" s="58"/>
      <c r="O390" s="5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0" customHeight="1">
      <c r="A391" s="72"/>
      <c r="B391" s="63"/>
      <c r="C391" s="63"/>
      <c r="D391" s="67"/>
      <c r="E391" s="67"/>
      <c r="F391" s="68" t="str">
        <f t="shared" si="7"/>
        <v/>
      </c>
      <c r="G391" s="67" t="str">
        <f t="shared" si="8"/>
        <v/>
      </c>
      <c r="H391" s="69" t="str">
        <f t="shared" si="9"/>
        <v/>
      </c>
      <c r="I391" s="70" t="str">
        <f t="shared" si="10"/>
        <v/>
      </c>
      <c r="J391" s="67" t="str">
        <f t="shared" si="11"/>
        <v/>
      </c>
      <c r="K391" s="71" t="str">
        <f t="shared" si="12"/>
        <v/>
      </c>
      <c r="L391" s="71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58"/>
      <c r="N391" s="58"/>
      <c r="O391" s="5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72"/>
      <c r="B392" s="63"/>
      <c r="C392" s="63"/>
      <c r="D392" s="67"/>
      <c r="E392" s="67"/>
      <c r="F392" s="68" t="str">
        <f t="shared" si="7"/>
        <v/>
      </c>
      <c r="G392" s="67" t="str">
        <f t="shared" si="8"/>
        <v/>
      </c>
      <c r="H392" s="69" t="str">
        <f t="shared" si="9"/>
        <v/>
      </c>
      <c r="I392" s="70" t="str">
        <f t="shared" si="10"/>
        <v/>
      </c>
      <c r="J392" s="67" t="str">
        <f t="shared" si="11"/>
        <v/>
      </c>
      <c r="K392" s="71" t="str">
        <f t="shared" si="12"/>
        <v/>
      </c>
      <c r="L392" s="71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58"/>
      <c r="N392" s="58"/>
      <c r="O392" s="5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72"/>
      <c r="B393" s="63"/>
      <c r="C393" s="63"/>
      <c r="D393" s="67"/>
      <c r="E393" s="67"/>
      <c r="F393" s="68" t="str">
        <f t="shared" si="7"/>
        <v/>
      </c>
      <c r="G393" s="67" t="str">
        <f t="shared" si="8"/>
        <v/>
      </c>
      <c r="H393" s="69" t="str">
        <f t="shared" si="9"/>
        <v/>
      </c>
      <c r="I393" s="70" t="str">
        <f t="shared" si="10"/>
        <v/>
      </c>
      <c r="J393" s="67" t="str">
        <f t="shared" si="11"/>
        <v/>
      </c>
      <c r="K393" s="71" t="str">
        <f t="shared" si="12"/>
        <v/>
      </c>
      <c r="L393" s="71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58"/>
      <c r="N393" s="58"/>
      <c r="O393" s="5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72"/>
      <c r="B394" s="63"/>
      <c r="C394" s="63"/>
      <c r="D394" s="67"/>
      <c r="E394" s="67"/>
      <c r="F394" s="68" t="str">
        <f t="shared" si="7"/>
        <v/>
      </c>
      <c r="G394" s="67" t="str">
        <f t="shared" si="8"/>
        <v/>
      </c>
      <c r="H394" s="69" t="str">
        <f t="shared" si="9"/>
        <v/>
      </c>
      <c r="I394" s="70" t="str">
        <f t="shared" si="10"/>
        <v/>
      </c>
      <c r="J394" s="67" t="str">
        <f t="shared" si="11"/>
        <v/>
      </c>
      <c r="K394" s="71" t="str">
        <f t="shared" si="12"/>
        <v/>
      </c>
      <c r="L394" s="71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58"/>
      <c r="N394" s="58"/>
      <c r="O394" s="5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72"/>
      <c r="B395" s="63"/>
      <c r="C395" s="63"/>
      <c r="D395" s="67"/>
      <c r="E395" s="67"/>
      <c r="F395" s="68" t="str">
        <f t="shared" si="7"/>
        <v/>
      </c>
      <c r="G395" s="67" t="str">
        <f t="shared" si="8"/>
        <v/>
      </c>
      <c r="H395" s="69" t="str">
        <f t="shared" si="9"/>
        <v/>
      </c>
      <c r="I395" s="70" t="str">
        <f t="shared" si="10"/>
        <v/>
      </c>
      <c r="J395" s="67" t="str">
        <f t="shared" si="11"/>
        <v/>
      </c>
      <c r="K395" s="71" t="str">
        <f t="shared" si="12"/>
        <v/>
      </c>
      <c r="L395" s="71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58"/>
      <c r="N395" s="58"/>
      <c r="O395" s="5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72"/>
      <c r="B396" s="63"/>
      <c r="C396" s="63"/>
      <c r="D396" s="67"/>
      <c r="E396" s="67"/>
      <c r="F396" s="68" t="str">
        <f t="shared" si="7"/>
        <v/>
      </c>
      <c r="G396" s="67" t="str">
        <f t="shared" si="8"/>
        <v/>
      </c>
      <c r="H396" s="69" t="str">
        <f t="shared" si="9"/>
        <v/>
      </c>
      <c r="I396" s="70" t="str">
        <f t="shared" si="10"/>
        <v/>
      </c>
      <c r="J396" s="67" t="str">
        <f t="shared" si="11"/>
        <v/>
      </c>
      <c r="K396" s="71" t="str">
        <f t="shared" si="12"/>
        <v/>
      </c>
      <c r="L396" s="71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58"/>
      <c r="N396" s="58"/>
      <c r="O396" s="5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72"/>
      <c r="B397" s="63"/>
      <c r="C397" s="63"/>
      <c r="D397" s="67"/>
      <c r="E397" s="67"/>
      <c r="F397" s="68" t="str">
        <f t="shared" si="7"/>
        <v/>
      </c>
      <c r="G397" s="67" t="str">
        <f t="shared" si="8"/>
        <v/>
      </c>
      <c r="H397" s="69" t="str">
        <f t="shared" si="9"/>
        <v/>
      </c>
      <c r="I397" s="70" t="str">
        <f t="shared" si="10"/>
        <v/>
      </c>
      <c r="J397" s="67" t="str">
        <f t="shared" si="11"/>
        <v/>
      </c>
      <c r="K397" s="71" t="str">
        <f t="shared" si="12"/>
        <v/>
      </c>
      <c r="L397" s="71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58"/>
      <c r="N397" s="58"/>
      <c r="O397" s="5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72"/>
      <c r="B398" s="63"/>
      <c r="C398" s="63"/>
      <c r="D398" s="67"/>
      <c r="E398" s="67"/>
      <c r="F398" s="68" t="str">
        <f t="shared" si="7"/>
        <v/>
      </c>
      <c r="G398" s="67" t="str">
        <f t="shared" si="8"/>
        <v/>
      </c>
      <c r="H398" s="69" t="str">
        <f t="shared" si="9"/>
        <v/>
      </c>
      <c r="I398" s="70" t="str">
        <f t="shared" si="10"/>
        <v/>
      </c>
      <c r="J398" s="67" t="str">
        <f t="shared" si="11"/>
        <v/>
      </c>
      <c r="K398" s="71" t="str">
        <f t="shared" si="12"/>
        <v/>
      </c>
      <c r="L398" s="71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58"/>
      <c r="N398" s="58"/>
      <c r="O398" s="5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72"/>
      <c r="B399" s="63"/>
      <c r="C399" s="63"/>
      <c r="D399" s="67"/>
      <c r="E399" s="67"/>
      <c r="F399" s="68" t="str">
        <f t="shared" si="7"/>
        <v/>
      </c>
      <c r="G399" s="67" t="str">
        <f t="shared" si="8"/>
        <v/>
      </c>
      <c r="H399" s="69" t="str">
        <f t="shared" si="9"/>
        <v/>
      </c>
      <c r="I399" s="70" t="str">
        <f t="shared" si="10"/>
        <v/>
      </c>
      <c r="J399" s="67" t="str">
        <f t="shared" si="11"/>
        <v/>
      </c>
      <c r="K399" s="71" t="str">
        <f t="shared" si="12"/>
        <v/>
      </c>
      <c r="L399" s="71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58"/>
      <c r="N399" s="58"/>
      <c r="O399" s="5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74"/>
      <c r="B400" s="63"/>
      <c r="C400" s="63"/>
      <c r="D400" s="67"/>
      <c r="E400" s="67"/>
      <c r="F400" s="68" t="str">
        <f t="shared" si="7"/>
        <v/>
      </c>
      <c r="G400" s="67" t="str">
        <f t="shared" si="8"/>
        <v/>
      </c>
      <c r="H400" s="69" t="str">
        <f t="shared" si="9"/>
        <v/>
      </c>
      <c r="I400" s="70" t="str">
        <f t="shared" si="10"/>
        <v/>
      </c>
      <c r="J400" s="67" t="str">
        <f t="shared" si="11"/>
        <v/>
      </c>
      <c r="K400" s="71" t="str">
        <f t="shared" si="12"/>
        <v/>
      </c>
      <c r="L400" s="71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58"/>
      <c r="N400" s="58"/>
      <c r="O400" s="5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73"/>
      <c r="B401" s="63"/>
      <c r="C401" s="63"/>
      <c r="D401" s="67"/>
      <c r="E401" s="67"/>
      <c r="F401" s="68" t="str">
        <f t="shared" si="7"/>
        <v/>
      </c>
      <c r="G401" s="67" t="str">
        <f t="shared" si="8"/>
        <v/>
      </c>
      <c r="H401" s="69" t="str">
        <f t="shared" si="9"/>
        <v/>
      </c>
      <c r="I401" s="70" t="str">
        <f t="shared" si="10"/>
        <v/>
      </c>
      <c r="J401" s="67" t="str">
        <f t="shared" si="11"/>
        <v/>
      </c>
      <c r="K401" s="71" t="str">
        <f t="shared" si="12"/>
        <v/>
      </c>
      <c r="L401" s="71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58"/>
      <c r="N401" s="58"/>
      <c r="O401" s="5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72"/>
      <c r="B402" s="63"/>
      <c r="C402" s="63"/>
      <c r="D402" s="67"/>
      <c r="E402" s="67"/>
      <c r="F402" s="68" t="str">
        <f t="shared" si="7"/>
        <v/>
      </c>
      <c r="G402" s="67" t="str">
        <f t="shared" si="8"/>
        <v/>
      </c>
      <c r="H402" s="69" t="str">
        <f t="shared" si="9"/>
        <v/>
      </c>
      <c r="I402" s="70" t="str">
        <f t="shared" si="10"/>
        <v/>
      </c>
      <c r="J402" s="67" t="str">
        <f t="shared" si="11"/>
        <v/>
      </c>
      <c r="K402" s="71" t="str">
        <f t="shared" si="12"/>
        <v/>
      </c>
      <c r="L402" s="71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58"/>
      <c r="N402" s="58"/>
      <c r="O402" s="5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72"/>
      <c r="B403" s="63"/>
      <c r="C403" s="63"/>
      <c r="D403" s="67"/>
      <c r="E403" s="67"/>
      <c r="F403" s="68" t="str">
        <f t="shared" si="7"/>
        <v/>
      </c>
      <c r="G403" s="67" t="str">
        <f t="shared" si="8"/>
        <v/>
      </c>
      <c r="H403" s="69" t="str">
        <f t="shared" si="9"/>
        <v/>
      </c>
      <c r="I403" s="70" t="str">
        <f t="shared" si="10"/>
        <v/>
      </c>
      <c r="J403" s="67" t="str">
        <f t="shared" si="11"/>
        <v/>
      </c>
      <c r="K403" s="71" t="str">
        <f t="shared" si="12"/>
        <v/>
      </c>
      <c r="L403" s="71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58"/>
      <c r="N403" s="58"/>
      <c r="O403" s="5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72"/>
      <c r="B404" s="63"/>
      <c r="C404" s="63"/>
      <c r="D404" s="67"/>
      <c r="E404" s="67"/>
      <c r="F404" s="68" t="str">
        <f t="shared" si="7"/>
        <v/>
      </c>
      <c r="G404" s="67" t="str">
        <f t="shared" si="8"/>
        <v/>
      </c>
      <c r="H404" s="69" t="str">
        <f t="shared" si="9"/>
        <v/>
      </c>
      <c r="I404" s="70" t="str">
        <f t="shared" si="10"/>
        <v/>
      </c>
      <c r="J404" s="67" t="str">
        <f t="shared" si="11"/>
        <v/>
      </c>
      <c r="K404" s="71" t="str">
        <f t="shared" si="12"/>
        <v/>
      </c>
      <c r="L404" s="71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58"/>
      <c r="N404" s="58"/>
      <c r="O404" s="5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73"/>
      <c r="B405" s="63"/>
      <c r="C405" s="63"/>
      <c r="D405" s="67"/>
      <c r="E405" s="67"/>
      <c r="F405" s="68" t="str">
        <f t="shared" si="7"/>
        <v/>
      </c>
      <c r="G405" s="67" t="str">
        <f t="shared" si="8"/>
        <v/>
      </c>
      <c r="H405" s="69" t="str">
        <f t="shared" si="9"/>
        <v/>
      </c>
      <c r="I405" s="70" t="str">
        <f t="shared" si="10"/>
        <v/>
      </c>
      <c r="J405" s="67" t="str">
        <f t="shared" si="11"/>
        <v/>
      </c>
      <c r="K405" s="71" t="str">
        <f t="shared" si="12"/>
        <v/>
      </c>
      <c r="L405" s="71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58"/>
      <c r="N405" s="58"/>
      <c r="O405" s="5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72"/>
      <c r="B406" s="63"/>
      <c r="C406" s="63"/>
      <c r="D406" s="67"/>
      <c r="E406" s="67"/>
      <c r="F406" s="68" t="str">
        <f t="shared" si="7"/>
        <v/>
      </c>
      <c r="G406" s="67" t="str">
        <f t="shared" si="8"/>
        <v/>
      </c>
      <c r="H406" s="69" t="str">
        <f t="shared" si="9"/>
        <v/>
      </c>
      <c r="I406" s="70" t="str">
        <f t="shared" si="10"/>
        <v/>
      </c>
      <c r="J406" s="67" t="str">
        <f t="shared" si="11"/>
        <v/>
      </c>
      <c r="K406" s="71" t="str">
        <f t="shared" si="12"/>
        <v/>
      </c>
      <c r="L406" s="71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58"/>
      <c r="N406" s="58"/>
      <c r="O406" s="5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72"/>
      <c r="B407" s="63"/>
      <c r="C407" s="63"/>
      <c r="D407" s="67"/>
      <c r="E407" s="67"/>
      <c r="F407" s="68" t="str">
        <f t="shared" si="7"/>
        <v/>
      </c>
      <c r="G407" s="67" t="str">
        <f t="shared" si="8"/>
        <v/>
      </c>
      <c r="H407" s="69" t="str">
        <f t="shared" si="9"/>
        <v/>
      </c>
      <c r="I407" s="70" t="str">
        <f t="shared" si="10"/>
        <v/>
      </c>
      <c r="J407" s="67" t="str">
        <f t="shared" si="11"/>
        <v/>
      </c>
      <c r="K407" s="71" t="str">
        <f t="shared" si="12"/>
        <v/>
      </c>
      <c r="L407" s="71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58"/>
      <c r="N407" s="58"/>
      <c r="O407" s="5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72"/>
      <c r="B408" s="63"/>
      <c r="C408" s="63"/>
      <c r="D408" s="67"/>
      <c r="E408" s="67"/>
      <c r="F408" s="68" t="str">
        <f t="shared" si="7"/>
        <v/>
      </c>
      <c r="G408" s="67" t="str">
        <f t="shared" si="8"/>
        <v/>
      </c>
      <c r="H408" s="69" t="str">
        <f t="shared" si="9"/>
        <v/>
      </c>
      <c r="I408" s="70" t="str">
        <f t="shared" si="10"/>
        <v/>
      </c>
      <c r="J408" s="67" t="str">
        <f t="shared" si="11"/>
        <v/>
      </c>
      <c r="K408" s="71" t="str">
        <f t="shared" si="12"/>
        <v/>
      </c>
      <c r="L408" s="71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58"/>
      <c r="N408" s="58"/>
      <c r="O408" s="5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72"/>
      <c r="B409" s="63"/>
      <c r="C409" s="63"/>
      <c r="D409" s="67"/>
      <c r="E409" s="67"/>
      <c r="F409" s="68" t="str">
        <f t="shared" si="7"/>
        <v/>
      </c>
      <c r="G409" s="67" t="str">
        <f t="shared" si="8"/>
        <v/>
      </c>
      <c r="H409" s="69" t="str">
        <f t="shared" si="9"/>
        <v/>
      </c>
      <c r="I409" s="70" t="str">
        <f t="shared" si="10"/>
        <v/>
      </c>
      <c r="J409" s="67" t="str">
        <f t="shared" si="11"/>
        <v/>
      </c>
      <c r="K409" s="71" t="str">
        <f t="shared" si="12"/>
        <v/>
      </c>
      <c r="L409" s="71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58"/>
      <c r="N409" s="58"/>
      <c r="O409" s="5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72"/>
      <c r="B410" s="63"/>
      <c r="C410" s="63"/>
      <c r="D410" s="67"/>
      <c r="E410" s="67"/>
      <c r="F410" s="68" t="str">
        <f t="shared" si="7"/>
        <v/>
      </c>
      <c r="G410" s="67" t="str">
        <f t="shared" si="8"/>
        <v/>
      </c>
      <c r="H410" s="69" t="str">
        <f t="shared" si="9"/>
        <v/>
      </c>
      <c r="I410" s="70" t="str">
        <f t="shared" si="10"/>
        <v/>
      </c>
      <c r="J410" s="67" t="str">
        <f t="shared" si="11"/>
        <v/>
      </c>
      <c r="K410" s="71" t="str">
        <f t="shared" si="12"/>
        <v/>
      </c>
      <c r="L410" s="71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58"/>
      <c r="N410" s="58"/>
      <c r="O410" s="5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72"/>
      <c r="B411" s="63"/>
      <c r="C411" s="63"/>
      <c r="D411" s="67"/>
      <c r="E411" s="67"/>
      <c r="F411" s="68" t="str">
        <f t="shared" si="7"/>
        <v/>
      </c>
      <c r="G411" s="67" t="str">
        <f t="shared" si="8"/>
        <v/>
      </c>
      <c r="H411" s="69" t="str">
        <f t="shared" si="9"/>
        <v/>
      </c>
      <c r="I411" s="70" t="str">
        <f t="shared" si="10"/>
        <v/>
      </c>
      <c r="J411" s="67" t="str">
        <f t="shared" si="11"/>
        <v/>
      </c>
      <c r="K411" s="71" t="str">
        <f t="shared" si="12"/>
        <v/>
      </c>
      <c r="L411" s="71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58"/>
      <c r="N411" s="58"/>
      <c r="O411" s="5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72"/>
      <c r="B412" s="63"/>
      <c r="C412" s="63"/>
      <c r="D412" s="67"/>
      <c r="E412" s="67"/>
      <c r="F412" s="68" t="str">
        <f t="shared" si="7"/>
        <v/>
      </c>
      <c r="G412" s="67" t="str">
        <f t="shared" si="8"/>
        <v/>
      </c>
      <c r="H412" s="69" t="str">
        <f t="shared" si="9"/>
        <v/>
      </c>
      <c r="I412" s="70" t="str">
        <f t="shared" si="10"/>
        <v/>
      </c>
      <c r="J412" s="67" t="str">
        <f t="shared" si="11"/>
        <v/>
      </c>
      <c r="K412" s="71" t="str">
        <f t="shared" si="12"/>
        <v/>
      </c>
      <c r="L412" s="71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58"/>
      <c r="N412" s="58"/>
      <c r="O412" s="5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72"/>
      <c r="B413" s="63"/>
      <c r="C413" s="63"/>
      <c r="D413" s="67"/>
      <c r="E413" s="67"/>
      <c r="F413" s="68" t="str">
        <f t="shared" si="7"/>
        <v/>
      </c>
      <c r="G413" s="67" t="str">
        <f t="shared" si="8"/>
        <v/>
      </c>
      <c r="H413" s="69" t="str">
        <f t="shared" si="9"/>
        <v/>
      </c>
      <c r="I413" s="70" t="str">
        <f t="shared" si="10"/>
        <v/>
      </c>
      <c r="J413" s="67" t="str">
        <f t="shared" si="11"/>
        <v/>
      </c>
      <c r="K413" s="71" t="str">
        <f t="shared" si="12"/>
        <v/>
      </c>
      <c r="L413" s="71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58"/>
      <c r="N413" s="58"/>
      <c r="O413" s="5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72"/>
      <c r="B414" s="63"/>
      <c r="C414" s="63"/>
      <c r="D414" s="67"/>
      <c r="E414" s="67"/>
      <c r="F414" s="68" t="str">
        <f t="shared" si="7"/>
        <v/>
      </c>
      <c r="G414" s="67" t="str">
        <f t="shared" si="8"/>
        <v/>
      </c>
      <c r="H414" s="69" t="str">
        <f t="shared" si="9"/>
        <v/>
      </c>
      <c r="I414" s="70" t="str">
        <f t="shared" si="10"/>
        <v/>
      </c>
      <c r="J414" s="67" t="str">
        <f t="shared" si="11"/>
        <v/>
      </c>
      <c r="K414" s="71" t="str">
        <f t="shared" si="12"/>
        <v/>
      </c>
      <c r="L414" s="71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58"/>
      <c r="N414" s="58"/>
      <c r="O414" s="5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72"/>
      <c r="B415" s="63"/>
      <c r="C415" s="63"/>
      <c r="D415" s="67"/>
      <c r="E415" s="67"/>
      <c r="F415" s="68" t="str">
        <f t="shared" si="7"/>
        <v/>
      </c>
      <c r="G415" s="67" t="str">
        <f t="shared" si="8"/>
        <v/>
      </c>
      <c r="H415" s="69" t="str">
        <f t="shared" si="9"/>
        <v/>
      </c>
      <c r="I415" s="70" t="str">
        <f t="shared" si="10"/>
        <v/>
      </c>
      <c r="J415" s="67" t="str">
        <f t="shared" si="11"/>
        <v/>
      </c>
      <c r="K415" s="71" t="str">
        <f t="shared" si="12"/>
        <v/>
      </c>
      <c r="L415" s="71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58"/>
      <c r="N415" s="58"/>
      <c r="O415" s="5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72"/>
      <c r="B416" s="63"/>
      <c r="C416" s="63"/>
      <c r="D416" s="67"/>
      <c r="E416" s="67"/>
      <c r="F416" s="68" t="str">
        <f t="shared" si="7"/>
        <v/>
      </c>
      <c r="G416" s="67" t="str">
        <f t="shared" si="8"/>
        <v/>
      </c>
      <c r="H416" s="69" t="str">
        <f t="shared" si="9"/>
        <v/>
      </c>
      <c r="I416" s="70" t="str">
        <f t="shared" si="10"/>
        <v/>
      </c>
      <c r="J416" s="67" t="str">
        <f t="shared" si="11"/>
        <v/>
      </c>
      <c r="K416" s="71" t="str">
        <f t="shared" si="12"/>
        <v/>
      </c>
      <c r="L416" s="71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58"/>
      <c r="N416" s="58"/>
      <c r="O416" s="5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72"/>
      <c r="B417" s="63"/>
      <c r="C417" s="63"/>
      <c r="D417" s="67"/>
      <c r="E417" s="67"/>
      <c r="F417" s="68" t="str">
        <f t="shared" si="7"/>
        <v/>
      </c>
      <c r="G417" s="67" t="str">
        <f t="shared" si="8"/>
        <v/>
      </c>
      <c r="H417" s="69" t="str">
        <f t="shared" si="9"/>
        <v/>
      </c>
      <c r="I417" s="70" t="str">
        <f t="shared" si="10"/>
        <v/>
      </c>
      <c r="J417" s="67" t="str">
        <f t="shared" si="11"/>
        <v/>
      </c>
      <c r="K417" s="71" t="str">
        <f t="shared" si="12"/>
        <v/>
      </c>
      <c r="L417" s="71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58"/>
      <c r="N417" s="58"/>
      <c r="O417" s="5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72"/>
      <c r="B418" s="63"/>
      <c r="C418" s="63"/>
      <c r="D418" s="67"/>
      <c r="E418" s="67"/>
      <c r="F418" s="68" t="str">
        <f t="shared" si="7"/>
        <v/>
      </c>
      <c r="G418" s="67" t="str">
        <f t="shared" si="8"/>
        <v/>
      </c>
      <c r="H418" s="69" t="str">
        <f t="shared" si="9"/>
        <v/>
      </c>
      <c r="I418" s="70" t="str">
        <f t="shared" si="10"/>
        <v/>
      </c>
      <c r="J418" s="67" t="str">
        <f t="shared" si="11"/>
        <v/>
      </c>
      <c r="K418" s="71" t="str">
        <f t="shared" si="12"/>
        <v/>
      </c>
      <c r="L418" s="71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58"/>
      <c r="N418" s="58"/>
      <c r="O418" s="5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72"/>
      <c r="B419" s="63"/>
      <c r="C419" s="63"/>
      <c r="D419" s="67"/>
      <c r="E419" s="67"/>
      <c r="F419" s="68" t="str">
        <f t="shared" si="7"/>
        <v/>
      </c>
      <c r="G419" s="67" t="str">
        <f t="shared" si="8"/>
        <v/>
      </c>
      <c r="H419" s="69" t="str">
        <f t="shared" si="9"/>
        <v/>
      </c>
      <c r="I419" s="70" t="str">
        <f t="shared" si="10"/>
        <v/>
      </c>
      <c r="J419" s="67" t="str">
        <f t="shared" si="11"/>
        <v/>
      </c>
      <c r="K419" s="71" t="str">
        <f t="shared" si="12"/>
        <v/>
      </c>
      <c r="L419" s="71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58"/>
      <c r="N419" s="58"/>
      <c r="O419" s="5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72"/>
      <c r="B420" s="63"/>
      <c r="C420" s="63"/>
      <c r="D420" s="67"/>
      <c r="E420" s="67"/>
      <c r="F420" s="68" t="str">
        <f t="shared" si="7"/>
        <v/>
      </c>
      <c r="G420" s="67" t="str">
        <f t="shared" si="8"/>
        <v/>
      </c>
      <c r="H420" s="69" t="str">
        <f t="shared" si="9"/>
        <v/>
      </c>
      <c r="I420" s="70" t="str">
        <f t="shared" si="10"/>
        <v/>
      </c>
      <c r="J420" s="67" t="str">
        <f t="shared" si="11"/>
        <v/>
      </c>
      <c r="K420" s="71" t="str">
        <f t="shared" si="12"/>
        <v/>
      </c>
      <c r="L420" s="71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58"/>
      <c r="N420" s="58"/>
      <c r="O420" s="5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72"/>
      <c r="B421" s="63"/>
      <c r="C421" s="63"/>
      <c r="D421" s="67"/>
      <c r="E421" s="67"/>
      <c r="F421" s="68" t="str">
        <f t="shared" si="7"/>
        <v/>
      </c>
      <c r="G421" s="67" t="str">
        <f t="shared" si="8"/>
        <v/>
      </c>
      <c r="H421" s="69" t="str">
        <f t="shared" si="9"/>
        <v/>
      </c>
      <c r="I421" s="70" t="str">
        <f t="shared" si="10"/>
        <v/>
      </c>
      <c r="J421" s="67" t="str">
        <f t="shared" si="11"/>
        <v/>
      </c>
      <c r="K421" s="71" t="str">
        <f t="shared" si="12"/>
        <v/>
      </c>
      <c r="L421" s="71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58"/>
      <c r="N421" s="58"/>
      <c r="O421" s="5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72"/>
      <c r="B422" s="63"/>
      <c r="C422" s="63"/>
      <c r="D422" s="67"/>
      <c r="E422" s="67"/>
      <c r="F422" s="68" t="str">
        <f t="shared" si="7"/>
        <v/>
      </c>
      <c r="G422" s="67" t="str">
        <f t="shared" si="8"/>
        <v/>
      </c>
      <c r="H422" s="69" t="str">
        <f t="shared" si="9"/>
        <v/>
      </c>
      <c r="I422" s="70" t="str">
        <f t="shared" si="10"/>
        <v/>
      </c>
      <c r="J422" s="67" t="str">
        <f t="shared" si="11"/>
        <v/>
      </c>
      <c r="K422" s="71" t="str">
        <f t="shared" si="12"/>
        <v/>
      </c>
      <c r="L422" s="71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58"/>
      <c r="N422" s="58"/>
      <c r="O422" s="5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72"/>
      <c r="B423" s="63"/>
      <c r="C423" s="63"/>
      <c r="D423" s="67"/>
      <c r="E423" s="67"/>
      <c r="F423" s="68" t="str">
        <f t="shared" si="7"/>
        <v/>
      </c>
      <c r="G423" s="67" t="str">
        <f t="shared" si="8"/>
        <v/>
      </c>
      <c r="H423" s="69" t="str">
        <f t="shared" si="9"/>
        <v/>
      </c>
      <c r="I423" s="70" t="str">
        <f t="shared" si="10"/>
        <v/>
      </c>
      <c r="J423" s="67" t="str">
        <f t="shared" si="11"/>
        <v/>
      </c>
      <c r="K423" s="71" t="str">
        <f t="shared" si="12"/>
        <v/>
      </c>
      <c r="L423" s="71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58"/>
      <c r="N423" s="58"/>
      <c r="O423" s="5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72"/>
      <c r="B424" s="63"/>
      <c r="C424" s="63"/>
      <c r="D424" s="67"/>
      <c r="E424" s="67"/>
      <c r="F424" s="68" t="str">
        <f t="shared" si="7"/>
        <v/>
      </c>
      <c r="G424" s="67" t="str">
        <f t="shared" si="8"/>
        <v/>
      </c>
      <c r="H424" s="69" t="str">
        <f t="shared" si="9"/>
        <v/>
      </c>
      <c r="I424" s="70" t="str">
        <f t="shared" si="10"/>
        <v/>
      </c>
      <c r="J424" s="67" t="str">
        <f t="shared" si="11"/>
        <v/>
      </c>
      <c r="K424" s="71" t="str">
        <f t="shared" si="12"/>
        <v/>
      </c>
      <c r="L424" s="71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58"/>
      <c r="N424" s="58"/>
      <c r="O424" s="5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72"/>
      <c r="B425" s="63"/>
      <c r="C425" s="63"/>
      <c r="D425" s="67"/>
      <c r="E425" s="67"/>
      <c r="F425" s="68" t="str">
        <f t="shared" si="7"/>
        <v/>
      </c>
      <c r="G425" s="67" t="str">
        <f t="shared" si="8"/>
        <v/>
      </c>
      <c r="H425" s="69" t="str">
        <f t="shared" si="9"/>
        <v/>
      </c>
      <c r="I425" s="70" t="str">
        <f t="shared" si="10"/>
        <v/>
      </c>
      <c r="J425" s="67" t="str">
        <f t="shared" si="11"/>
        <v/>
      </c>
      <c r="K425" s="71" t="str">
        <f t="shared" si="12"/>
        <v/>
      </c>
      <c r="L425" s="71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58"/>
      <c r="N425" s="58"/>
      <c r="O425" s="5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72"/>
      <c r="B426" s="63"/>
      <c r="C426" s="63"/>
      <c r="D426" s="67"/>
      <c r="E426" s="67"/>
      <c r="F426" s="68" t="str">
        <f t="shared" si="7"/>
        <v/>
      </c>
      <c r="G426" s="67" t="str">
        <f t="shared" si="8"/>
        <v/>
      </c>
      <c r="H426" s="69" t="str">
        <f t="shared" si="9"/>
        <v/>
      </c>
      <c r="I426" s="70" t="str">
        <f t="shared" si="10"/>
        <v/>
      </c>
      <c r="J426" s="67" t="str">
        <f t="shared" si="11"/>
        <v/>
      </c>
      <c r="K426" s="71" t="str">
        <f t="shared" si="12"/>
        <v/>
      </c>
      <c r="L426" s="71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58"/>
      <c r="N426" s="58"/>
      <c r="O426" s="5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72"/>
      <c r="B427" s="63"/>
      <c r="C427" s="63"/>
      <c r="D427" s="67"/>
      <c r="E427" s="67"/>
      <c r="F427" s="68" t="str">
        <f t="shared" si="7"/>
        <v/>
      </c>
      <c r="G427" s="67" t="str">
        <f t="shared" si="8"/>
        <v/>
      </c>
      <c r="H427" s="69" t="str">
        <f t="shared" si="9"/>
        <v/>
      </c>
      <c r="I427" s="70" t="str">
        <f t="shared" si="10"/>
        <v/>
      </c>
      <c r="J427" s="67" t="str">
        <f t="shared" si="11"/>
        <v/>
      </c>
      <c r="K427" s="71" t="str">
        <f t="shared" si="12"/>
        <v/>
      </c>
      <c r="L427" s="71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58"/>
      <c r="N427" s="58"/>
      <c r="O427" s="5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72"/>
      <c r="B428" s="63"/>
      <c r="C428" s="63"/>
      <c r="D428" s="67"/>
      <c r="E428" s="67"/>
      <c r="F428" s="68" t="str">
        <f t="shared" si="7"/>
        <v/>
      </c>
      <c r="G428" s="67" t="str">
        <f t="shared" si="8"/>
        <v/>
      </c>
      <c r="H428" s="69" t="str">
        <f t="shared" si="9"/>
        <v/>
      </c>
      <c r="I428" s="70" t="str">
        <f t="shared" si="10"/>
        <v/>
      </c>
      <c r="J428" s="67" t="str">
        <f t="shared" si="11"/>
        <v/>
      </c>
      <c r="K428" s="71" t="str">
        <f t="shared" si="12"/>
        <v/>
      </c>
      <c r="L428" s="71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58"/>
      <c r="N428" s="58"/>
      <c r="O428" s="5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72"/>
      <c r="B429" s="63"/>
      <c r="C429" s="63"/>
      <c r="D429" s="67"/>
      <c r="E429" s="67"/>
      <c r="F429" s="68" t="str">
        <f t="shared" si="7"/>
        <v/>
      </c>
      <c r="G429" s="67" t="str">
        <f t="shared" si="8"/>
        <v/>
      </c>
      <c r="H429" s="69" t="str">
        <f t="shared" si="9"/>
        <v/>
      </c>
      <c r="I429" s="70" t="str">
        <f t="shared" si="10"/>
        <v/>
      </c>
      <c r="J429" s="67" t="str">
        <f t="shared" si="11"/>
        <v/>
      </c>
      <c r="K429" s="71" t="str">
        <f t="shared" si="12"/>
        <v/>
      </c>
      <c r="L429" s="71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58"/>
      <c r="N429" s="58"/>
      <c r="O429" s="5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72"/>
      <c r="B430" s="63"/>
      <c r="C430" s="63"/>
      <c r="D430" s="67"/>
      <c r="E430" s="67"/>
      <c r="F430" s="68" t="str">
        <f t="shared" si="7"/>
        <v/>
      </c>
      <c r="G430" s="67" t="str">
        <f t="shared" si="8"/>
        <v/>
      </c>
      <c r="H430" s="69" t="str">
        <f t="shared" si="9"/>
        <v/>
      </c>
      <c r="I430" s="70" t="str">
        <f t="shared" si="10"/>
        <v/>
      </c>
      <c r="J430" s="67" t="str">
        <f t="shared" si="11"/>
        <v/>
      </c>
      <c r="K430" s="71" t="str">
        <f t="shared" si="12"/>
        <v/>
      </c>
      <c r="L430" s="71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58"/>
      <c r="N430" s="58"/>
      <c r="O430" s="5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72"/>
      <c r="B431" s="63"/>
      <c r="C431" s="63"/>
      <c r="D431" s="67"/>
      <c r="E431" s="67"/>
      <c r="F431" s="68" t="str">
        <f t="shared" si="7"/>
        <v/>
      </c>
      <c r="G431" s="67" t="str">
        <f t="shared" si="8"/>
        <v/>
      </c>
      <c r="H431" s="69" t="str">
        <f t="shared" si="9"/>
        <v/>
      </c>
      <c r="I431" s="70" t="str">
        <f t="shared" si="10"/>
        <v/>
      </c>
      <c r="J431" s="67" t="str">
        <f t="shared" si="11"/>
        <v/>
      </c>
      <c r="K431" s="71" t="str">
        <f t="shared" si="12"/>
        <v/>
      </c>
      <c r="L431" s="71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58"/>
      <c r="N431" s="58"/>
      <c r="O431" s="5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72"/>
      <c r="B432" s="63"/>
      <c r="C432" s="63"/>
      <c r="D432" s="67"/>
      <c r="E432" s="67"/>
      <c r="F432" s="68" t="str">
        <f t="shared" si="7"/>
        <v/>
      </c>
      <c r="G432" s="67" t="str">
        <f t="shared" si="8"/>
        <v/>
      </c>
      <c r="H432" s="69" t="str">
        <f t="shared" si="9"/>
        <v/>
      </c>
      <c r="I432" s="70" t="str">
        <f t="shared" si="10"/>
        <v/>
      </c>
      <c r="J432" s="67" t="str">
        <f t="shared" si="11"/>
        <v/>
      </c>
      <c r="K432" s="71" t="str">
        <f t="shared" si="12"/>
        <v/>
      </c>
      <c r="L432" s="71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58"/>
      <c r="N432" s="58"/>
      <c r="O432" s="5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72"/>
      <c r="B433" s="63"/>
      <c r="C433" s="63"/>
      <c r="D433" s="67"/>
      <c r="E433" s="67"/>
      <c r="F433" s="68" t="str">
        <f t="shared" si="7"/>
        <v/>
      </c>
      <c r="G433" s="67" t="str">
        <f t="shared" si="8"/>
        <v/>
      </c>
      <c r="H433" s="69" t="str">
        <f t="shared" si="9"/>
        <v/>
      </c>
      <c r="I433" s="70" t="str">
        <f t="shared" si="10"/>
        <v/>
      </c>
      <c r="J433" s="67" t="str">
        <f t="shared" si="11"/>
        <v/>
      </c>
      <c r="K433" s="71" t="str">
        <f t="shared" si="12"/>
        <v/>
      </c>
      <c r="L433" s="71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58"/>
      <c r="N433" s="58"/>
      <c r="O433" s="5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72"/>
      <c r="B434" s="63"/>
      <c r="C434" s="63"/>
      <c r="D434" s="67"/>
      <c r="E434" s="67"/>
      <c r="F434" s="68" t="str">
        <f t="shared" si="7"/>
        <v/>
      </c>
      <c r="G434" s="67" t="str">
        <f t="shared" si="8"/>
        <v/>
      </c>
      <c r="H434" s="69" t="str">
        <f t="shared" si="9"/>
        <v/>
      </c>
      <c r="I434" s="70" t="str">
        <f t="shared" si="10"/>
        <v/>
      </c>
      <c r="J434" s="67" t="str">
        <f t="shared" si="11"/>
        <v/>
      </c>
      <c r="K434" s="71" t="str">
        <f t="shared" si="12"/>
        <v/>
      </c>
      <c r="L434" s="71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58"/>
      <c r="N434" s="58"/>
      <c r="O434" s="5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72"/>
      <c r="B435" s="63"/>
      <c r="C435" s="63"/>
      <c r="D435" s="67"/>
      <c r="E435" s="67"/>
      <c r="F435" s="68" t="str">
        <f t="shared" si="7"/>
        <v/>
      </c>
      <c r="G435" s="67" t="str">
        <f t="shared" si="8"/>
        <v/>
      </c>
      <c r="H435" s="69" t="str">
        <f t="shared" si="9"/>
        <v/>
      </c>
      <c r="I435" s="70" t="str">
        <f t="shared" si="10"/>
        <v/>
      </c>
      <c r="J435" s="67" t="str">
        <f t="shared" si="11"/>
        <v/>
      </c>
      <c r="K435" s="71" t="str">
        <f t="shared" si="12"/>
        <v/>
      </c>
      <c r="L435" s="71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58"/>
      <c r="N435" s="58"/>
      <c r="O435" s="5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72"/>
      <c r="B436" s="63"/>
      <c r="C436" s="63"/>
      <c r="D436" s="67"/>
      <c r="E436" s="67"/>
      <c r="F436" s="68" t="str">
        <f t="shared" si="7"/>
        <v/>
      </c>
      <c r="G436" s="67" t="str">
        <f t="shared" si="8"/>
        <v/>
      </c>
      <c r="H436" s="69" t="str">
        <f t="shared" si="9"/>
        <v/>
      </c>
      <c r="I436" s="70" t="str">
        <f t="shared" si="10"/>
        <v/>
      </c>
      <c r="J436" s="67" t="str">
        <f t="shared" si="11"/>
        <v/>
      </c>
      <c r="K436" s="71" t="str">
        <f t="shared" si="12"/>
        <v/>
      </c>
      <c r="L436" s="71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58"/>
      <c r="N436" s="58"/>
      <c r="O436" s="5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72"/>
      <c r="B437" s="63"/>
      <c r="C437" s="63"/>
      <c r="D437" s="67"/>
      <c r="E437" s="67"/>
      <c r="F437" s="68" t="str">
        <f t="shared" si="7"/>
        <v/>
      </c>
      <c r="G437" s="67" t="str">
        <f t="shared" si="8"/>
        <v/>
      </c>
      <c r="H437" s="69" t="str">
        <f t="shared" si="9"/>
        <v/>
      </c>
      <c r="I437" s="70" t="str">
        <f t="shared" si="10"/>
        <v/>
      </c>
      <c r="J437" s="67" t="str">
        <f t="shared" si="11"/>
        <v/>
      </c>
      <c r="K437" s="71" t="str">
        <f t="shared" si="12"/>
        <v/>
      </c>
      <c r="L437" s="71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58"/>
      <c r="N437" s="58"/>
      <c r="O437" s="5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72"/>
      <c r="B438" s="63"/>
      <c r="C438" s="63"/>
      <c r="D438" s="67"/>
      <c r="E438" s="67"/>
      <c r="F438" s="68" t="str">
        <f t="shared" si="7"/>
        <v/>
      </c>
      <c r="G438" s="67" t="str">
        <f t="shared" si="8"/>
        <v/>
      </c>
      <c r="H438" s="69" t="str">
        <f t="shared" si="9"/>
        <v/>
      </c>
      <c r="I438" s="70" t="str">
        <f t="shared" si="10"/>
        <v/>
      </c>
      <c r="J438" s="67" t="str">
        <f t="shared" si="11"/>
        <v/>
      </c>
      <c r="K438" s="71" t="str">
        <f t="shared" si="12"/>
        <v/>
      </c>
      <c r="L438" s="71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58"/>
      <c r="N438" s="58"/>
      <c r="O438" s="5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72"/>
      <c r="B439" s="63"/>
      <c r="C439" s="63"/>
      <c r="D439" s="67"/>
      <c r="E439" s="67"/>
      <c r="F439" s="68" t="str">
        <f t="shared" si="7"/>
        <v/>
      </c>
      <c r="G439" s="67" t="str">
        <f t="shared" si="8"/>
        <v/>
      </c>
      <c r="H439" s="69" t="str">
        <f t="shared" si="9"/>
        <v/>
      </c>
      <c r="I439" s="70" t="str">
        <f t="shared" si="10"/>
        <v/>
      </c>
      <c r="J439" s="67" t="str">
        <f t="shared" si="11"/>
        <v/>
      </c>
      <c r="K439" s="71" t="str">
        <f t="shared" si="12"/>
        <v/>
      </c>
      <c r="L439" s="71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58"/>
      <c r="N439" s="58"/>
      <c r="O439" s="5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72"/>
      <c r="B440" s="63"/>
      <c r="C440" s="63"/>
      <c r="D440" s="67"/>
      <c r="E440" s="67"/>
      <c r="F440" s="68" t="str">
        <f t="shared" si="7"/>
        <v/>
      </c>
      <c r="G440" s="67" t="str">
        <f t="shared" si="8"/>
        <v/>
      </c>
      <c r="H440" s="69" t="str">
        <f t="shared" si="9"/>
        <v/>
      </c>
      <c r="I440" s="70" t="str">
        <f t="shared" si="10"/>
        <v/>
      </c>
      <c r="J440" s="67" t="str">
        <f t="shared" si="11"/>
        <v/>
      </c>
      <c r="K440" s="71" t="str">
        <f t="shared" si="12"/>
        <v/>
      </c>
      <c r="L440" s="71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58"/>
      <c r="N440" s="58"/>
      <c r="O440" s="5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72"/>
      <c r="B441" s="63"/>
      <c r="C441" s="63"/>
      <c r="D441" s="67"/>
      <c r="E441" s="67"/>
      <c r="F441" s="68" t="str">
        <f t="shared" si="7"/>
        <v/>
      </c>
      <c r="G441" s="67" t="str">
        <f t="shared" si="8"/>
        <v/>
      </c>
      <c r="H441" s="69" t="str">
        <f t="shared" si="9"/>
        <v/>
      </c>
      <c r="I441" s="70" t="str">
        <f t="shared" si="10"/>
        <v/>
      </c>
      <c r="J441" s="67" t="str">
        <f t="shared" si="11"/>
        <v/>
      </c>
      <c r="K441" s="71" t="str">
        <f t="shared" si="12"/>
        <v/>
      </c>
      <c r="L441" s="71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58"/>
      <c r="N441" s="58"/>
      <c r="O441" s="5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72"/>
      <c r="B442" s="63"/>
      <c r="C442" s="63"/>
      <c r="D442" s="67"/>
      <c r="E442" s="67"/>
      <c r="F442" s="68" t="str">
        <f t="shared" si="7"/>
        <v/>
      </c>
      <c r="G442" s="67" t="str">
        <f t="shared" si="8"/>
        <v/>
      </c>
      <c r="H442" s="69" t="str">
        <f t="shared" si="9"/>
        <v/>
      </c>
      <c r="I442" s="70" t="str">
        <f t="shared" si="10"/>
        <v/>
      </c>
      <c r="J442" s="67" t="str">
        <f t="shared" si="11"/>
        <v/>
      </c>
      <c r="K442" s="71" t="str">
        <f t="shared" si="12"/>
        <v/>
      </c>
      <c r="L442" s="71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58"/>
      <c r="N442" s="58"/>
      <c r="O442" s="5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72"/>
      <c r="B443" s="63"/>
      <c r="C443" s="63"/>
      <c r="D443" s="67"/>
      <c r="E443" s="67"/>
      <c r="F443" s="68" t="str">
        <f t="shared" si="7"/>
        <v/>
      </c>
      <c r="G443" s="67" t="str">
        <f t="shared" si="8"/>
        <v/>
      </c>
      <c r="H443" s="69" t="str">
        <f t="shared" si="9"/>
        <v/>
      </c>
      <c r="I443" s="70" t="str">
        <f t="shared" si="10"/>
        <v/>
      </c>
      <c r="J443" s="67" t="str">
        <f t="shared" si="11"/>
        <v/>
      </c>
      <c r="K443" s="71" t="str">
        <f t="shared" si="12"/>
        <v/>
      </c>
      <c r="L443" s="71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58"/>
      <c r="N443" s="58"/>
      <c r="O443" s="5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72"/>
      <c r="B444" s="63"/>
      <c r="C444" s="63"/>
      <c r="D444" s="67"/>
      <c r="E444" s="67"/>
      <c r="F444" s="68" t="str">
        <f t="shared" si="7"/>
        <v/>
      </c>
      <c r="G444" s="67" t="str">
        <f t="shared" si="8"/>
        <v/>
      </c>
      <c r="H444" s="69" t="str">
        <f t="shared" si="9"/>
        <v/>
      </c>
      <c r="I444" s="70" t="str">
        <f t="shared" si="10"/>
        <v/>
      </c>
      <c r="J444" s="67" t="str">
        <f t="shared" si="11"/>
        <v/>
      </c>
      <c r="K444" s="71" t="str">
        <f t="shared" si="12"/>
        <v/>
      </c>
      <c r="L444" s="71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58"/>
      <c r="N444" s="58"/>
      <c r="O444" s="5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72"/>
      <c r="B445" s="63"/>
      <c r="C445" s="63"/>
      <c r="D445" s="67"/>
      <c r="E445" s="67"/>
      <c r="F445" s="68" t="str">
        <f t="shared" si="7"/>
        <v/>
      </c>
      <c r="G445" s="67" t="str">
        <f t="shared" si="8"/>
        <v/>
      </c>
      <c r="H445" s="69" t="str">
        <f t="shared" si="9"/>
        <v/>
      </c>
      <c r="I445" s="70" t="str">
        <f t="shared" si="10"/>
        <v/>
      </c>
      <c r="J445" s="67" t="str">
        <f t="shared" si="11"/>
        <v/>
      </c>
      <c r="K445" s="71" t="str">
        <f t="shared" si="12"/>
        <v/>
      </c>
      <c r="L445" s="71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58"/>
      <c r="N445" s="58"/>
      <c r="O445" s="5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72"/>
      <c r="B446" s="63"/>
      <c r="C446" s="63"/>
      <c r="D446" s="67"/>
      <c r="E446" s="67"/>
      <c r="F446" s="68" t="str">
        <f t="shared" si="7"/>
        <v/>
      </c>
      <c r="G446" s="67" t="str">
        <f t="shared" si="8"/>
        <v/>
      </c>
      <c r="H446" s="69" t="str">
        <f t="shared" si="9"/>
        <v/>
      </c>
      <c r="I446" s="70" t="str">
        <f t="shared" si="10"/>
        <v/>
      </c>
      <c r="J446" s="67" t="str">
        <f t="shared" si="11"/>
        <v/>
      </c>
      <c r="K446" s="71" t="str">
        <f t="shared" si="12"/>
        <v/>
      </c>
      <c r="L446" s="71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58"/>
      <c r="N446" s="58"/>
      <c r="O446" s="5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72"/>
      <c r="B447" s="63"/>
      <c r="C447" s="63"/>
      <c r="D447" s="67"/>
      <c r="E447" s="67"/>
      <c r="F447" s="68" t="str">
        <f t="shared" si="7"/>
        <v/>
      </c>
      <c r="G447" s="67" t="str">
        <f t="shared" si="8"/>
        <v/>
      </c>
      <c r="H447" s="69" t="str">
        <f t="shared" si="9"/>
        <v/>
      </c>
      <c r="I447" s="70" t="str">
        <f t="shared" si="10"/>
        <v/>
      </c>
      <c r="J447" s="67" t="str">
        <f t="shared" si="11"/>
        <v/>
      </c>
      <c r="K447" s="71" t="str">
        <f t="shared" si="12"/>
        <v/>
      </c>
      <c r="L447" s="71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58"/>
      <c r="N447" s="58"/>
      <c r="O447" s="5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72"/>
      <c r="B448" s="63"/>
      <c r="C448" s="63"/>
      <c r="D448" s="67"/>
      <c r="E448" s="67"/>
      <c r="F448" s="68" t="str">
        <f t="shared" si="7"/>
        <v/>
      </c>
      <c r="G448" s="67" t="str">
        <f t="shared" si="8"/>
        <v/>
      </c>
      <c r="H448" s="69" t="str">
        <f t="shared" si="9"/>
        <v/>
      </c>
      <c r="I448" s="70" t="str">
        <f t="shared" si="10"/>
        <v/>
      </c>
      <c r="J448" s="67" t="str">
        <f t="shared" si="11"/>
        <v/>
      </c>
      <c r="K448" s="71" t="str">
        <f t="shared" si="12"/>
        <v/>
      </c>
      <c r="L448" s="71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58"/>
      <c r="N448" s="58"/>
      <c r="O448" s="5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72"/>
      <c r="B449" s="63"/>
      <c r="C449" s="63"/>
      <c r="D449" s="67"/>
      <c r="E449" s="67"/>
      <c r="F449" s="68" t="str">
        <f t="shared" si="7"/>
        <v/>
      </c>
      <c r="G449" s="67" t="str">
        <f t="shared" si="8"/>
        <v/>
      </c>
      <c r="H449" s="69" t="str">
        <f t="shared" si="9"/>
        <v/>
      </c>
      <c r="I449" s="70" t="str">
        <f t="shared" si="10"/>
        <v/>
      </c>
      <c r="J449" s="67" t="str">
        <f t="shared" si="11"/>
        <v/>
      </c>
      <c r="K449" s="71" t="str">
        <f t="shared" si="12"/>
        <v/>
      </c>
      <c r="L449" s="71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58"/>
      <c r="N449" s="58"/>
      <c r="O449" s="5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72"/>
      <c r="B450" s="63"/>
      <c r="C450" s="63"/>
      <c r="D450" s="67"/>
      <c r="E450" s="67"/>
      <c r="F450" s="68" t="str">
        <f t="shared" si="7"/>
        <v/>
      </c>
      <c r="G450" s="67" t="str">
        <f t="shared" si="8"/>
        <v/>
      </c>
      <c r="H450" s="69" t="str">
        <f t="shared" si="9"/>
        <v/>
      </c>
      <c r="I450" s="70" t="str">
        <f t="shared" si="10"/>
        <v/>
      </c>
      <c r="J450" s="67" t="str">
        <f t="shared" si="11"/>
        <v/>
      </c>
      <c r="K450" s="71" t="str">
        <f t="shared" si="12"/>
        <v/>
      </c>
      <c r="L450" s="71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58"/>
      <c r="N450" s="58"/>
      <c r="O450" s="5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72"/>
      <c r="B451" s="63"/>
      <c r="C451" s="63"/>
      <c r="D451" s="67"/>
      <c r="E451" s="67"/>
      <c r="F451" s="68" t="str">
        <f t="shared" si="7"/>
        <v/>
      </c>
      <c r="G451" s="67" t="str">
        <f t="shared" si="8"/>
        <v/>
      </c>
      <c r="H451" s="69" t="str">
        <f t="shared" si="9"/>
        <v/>
      </c>
      <c r="I451" s="70" t="str">
        <f t="shared" si="10"/>
        <v/>
      </c>
      <c r="J451" s="67" t="str">
        <f t="shared" si="11"/>
        <v/>
      </c>
      <c r="K451" s="71" t="str">
        <f t="shared" si="12"/>
        <v/>
      </c>
      <c r="L451" s="71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58"/>
      <c r="N451" s="58"/>
      <c r="O451" s="5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72"/>
      <c r="B452" s="63"/>
      <c r="C452" s="63"/>
      <c r="D452" s="67"/>
      <c r="E452" s="67"/>
      <c r="F452" s="68" t="str">
        <f t="shared" si="7"/>
        <v/>
      </c>
      <c r="G452" s="67" t="str">
        <f t="shared" si="8"/>
        <v/>
      </c>
      <c r="H452" s="69" t="str">
        <f t="shared" si="9"/>
        <v/>
      </c>
      <c r="I452" s="70" t="str">
        <f t="shared" si="10"/>
        <v/>
      </c>
      <c r="J452" s="67" t="str">
        <f t="shared" si="11"/>
        <v/>
      </c>
      <c r="K452" s="71" t="str">
        <f t="shared" si="12"/>
        <v/>
      </c>
      <c r="L452" s="71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58"/>
      <c r="N452" s="58"/>
      <c r="O452" s="5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72"/>
      <c r="B453" s="63"/>
      <c r="C453" s="63"/>
      <c r="D453" s="67"/>
      <c r="E453" s="67"/>
      <c r="F453" s="68" t="str">
        <f t="shared" si="7"/>
        <v/>
      </c>
      <c r="G453" s="67" t="str">
        <f t="shared" si="8"/>
        <v/>
      </c>
      <c r="H453" s="69" t="str">
        <f t="shared" si="9"/>
        <v/>
      </c>
      <c r="I453" s="70" t="str">
        <f t="shared" si="10"/>
        <v/>
      </c>
      <c r="J453" s="67" t="str">
        <f t="shared" si="11"/>
        <v/>
      </c>
      <c r="K453" s="71" t="str">
        <f t="shared" si="12"/>
        <v/>
      </c>
      <c r="L453" s="71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58"/>
      <c r="N453" s="58"/>
      <c r="O453" s="5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72"/>
      <c r="B454" s="63"/>
      <c r="C454" s="63"/>
      <c r="D454" s="67"/>
      <c r="E454" s="67"/>
      <c r="F454" s="68" t="str">
        <f t="shared" si="7"/>
        <v/>
      </c>
      <c r="G454" s="67" t="str">
        <f t="shared" si="8"/>
        <v/>
      </c>
      <c r="H454" s="69" t="str">
        <f t="shared" si="9"/>
        <v/>
      </c>
      <c r="I454" s="70" t="str">
        <f t="shared" si="10"/>
        <v/>
      </c>
      <c r="J454" s="67" t="str">
        <f t="shared" si="11"/>
        <v/>
      </c>
      <c r="K454" s="71" t="str">
        <f t="shared" si="12"/>
        <v/>
      </c>
      <c r="L454" s="71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58"/>
      <c r="N454" s="58"/>
      <c r="O454" s="5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72"/>
      <c r="B455" s="63"/>
      <c r="C455" s="63"/>
      <c r="D455" s="67"/>
      <c r="E455" s="67"/>
      <c r="F455" s="68" t="str">
        <f t="shared" si="7"/>
        <v/>
      </c>
      <c r="G455" s="67" t="str">
        <f t="shared" si="8"/>
        <v/>
      </c>
      <c r="H455" s="69" t="str">
        <f t="shared" si="9"/>
        <v/>
      </c>
      <c r="I455" s="70" t="str">
        <f t="shared" si="10"/>
        <v/>
      </c>
      <c r="J455" s="67" t="str">
        <f t="shared" si="11"/>
        <v/>
      </c>
      <c r="K455" s="71" t="str">
        <f t="shared" si="12"/>
        <v/>
      </c>
      <c r="L455" s="71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58"/>
      <c r="N455" s="58"/>
      <c r="O455" s="5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72"/>
      <c r="B456" s="63"/>
      <c r="C456" s="63"/>
      <c r="D456" s="67"/>
      <c r="E456" s="67"/>
      <c r="F456" s="68" t="str">
        <f t="shared" si="7"/>
        <v/>
      </c>
      <c r="G456" s="67" t="str">
        <f t="shared" si="8"/>
        <v/>
      </c>
      <c r="H456" s="69" t="str">
        <f t="shared" si="9"/>
        <v/>
      </c>
      <c r="I456" s="70" t="str">
        <f t="shared" si="10"/>
        <v/>
      </c>
      <c r="J456" s="67" t="str">
        <f t="shared" si="11"/>
        <v/>
      </c>
      <c r="K456" s="71" t="str">
        <f t="shared" si="12"/>
        <v/>
      </c>
      <c r="L456" s="71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58"/>
      <c r="N456" s="58"/>
      <c r="O456" s="5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72"/>
      <c r="B457" s="63"/>
      <c r="C457" s="63"/>
      <c r="D457" s="67"/>
      <c r="E457" s="67"/>
      <c r="F457" s="68" t="str">
        <f t="shared" si="7"/>
        <v/>
      </c>
      <c r="G457" s="67" t="str">
        <f t="shared" si="8"/>
        <v/>
      </c>
      <c r="H457" s="69" t="str">
        <f t="shared" si="9"/>
        <v/>
      </c>
      <c r="I457" s="70" t="str">
        <f t="shared" si="10"/>
        <v/>
      </c>
      <c r="J457" s="67" t="str">
        <f t="shared" si="11"/>
        <v/>
      </c>
      <c r="K457" s="71" t="str">
        <f t="shared" si="12"/>
        <v/>
      </c>
      <c r="L457" s="71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58"/>
      <c r="N457" s="58"/>
      <c r="O457" s="5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72"/>
      <c r="B458" s="63"/>
      <c r="C458" s="63"/>
      <c r="D458" s="67"/>
      <c r="E458" s="67"/>
      <c r="F458" s="68" t="str">
        <f t="shared" si="7"/>
        <v/>
      </c>
      <c r="G458" s="67" t="str">
        <f t="shared" si="8"/>
        <v/>
      </c>
      <c r="H458" s="69" t="str">
        <f t="shared" si="9"/>
        <v/>
      </c>
      <c r="I458" s="70" t="str">
        <f t="shared" si="10"/>
        <v/>
      </c>
      <c r="J458" s="67" t="str">
        <f t="shared" si="11"/>
        <v/>
      </c>
      <c r="K458" s="71" t="str">
        <f t="shared" si="12"/>
        <v/>
      </c>
      <c r="L458" s="71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58"/>
      <c r="N458" s="58"/>
      <c r="O458" s="5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72"/>
      <c r="B459" s="63"/>
      <c r="C459" s="63"/>
      <c r="D459" s="67"/>
      <c r="E459" s="67"/>
      <c r="F459" s="68" t="str">
        <f t="shared" si="7"/>
        <v/>
      </c>
      <c r="G459" s="67" t="str">
        <f t="shared" si="8"/>
        <v/>
      </c>
      <c r="H459" s="69" t="str">
        <f t="shared" si="9"/>
        <v/>
      </c>
      <c r="I459" s="70" t="str">
        <f t="shared" si="10"/>
        <v/>
      </c>
      <c r="J459" s="67" t="str">
        <f t="shared" si="11"/>
        <v/>
      </c>
      <c r="K459" s="71" t="str">
        <f t="shared" si="12"/>
        <v/>
      </c>
      <c r="L459" s="71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58"/>
      <c r="N459" s="58"/>
      <c r="O459" s="5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72"/>
      <c r="B460" s="63"/>
      <c r="C460" s="63"/>
      <c r="D460" s="67"/>
      <c r="E460" s="67"/>
      <c r="F460" s="68" t="str">
        <f t="shared" si="7"/>
        <v/>
      </c>
      <c r="G460" s="67" t="str">
        <f t="shared" si="8"/>
        <v/>
      </c>
      <c r="H460" s="69" t="str">
        <f t="shared" si="9"/>
        <v/>
      </c>
      <c r="I460" s="70" t="str">
        <f t="shared" si="10"/>
        <v/>
      </c>
      <c r="J460" s="67" t="str">
        <f t="shared" si="11"/>
        <v/>
      </c>
      <c r="K460" s="71" t="str">
        <f t="shared" si="12"/>
        <v/>
      </c>
      <c r="L460" s="71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58"/>
      <c r="N460" s="58"/>
      <c r="O460" s="5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72"/>
      <c r="B461" s="63"/>
      <c r="C461" s="63"/>
      <c r="D461" s="67"/>
      <c r="E461" s="67"/>
      <c r="F461" s="68" t="str">
        <f t="shared" si="7"/>
        <v/>
      </c>
      <c r="G461" s="67" t="str">
        <f t="shared" si="8"/>
        <v/>
      </c>
      <c r="H461" s="69" t="str">
        <f t="shared" si="9"/>
        <v/>
      </c>
      <c r="I461" s="70" t="str">
        <f t="shared" si="10"/>
        <v/>
      </c>
      <c r="J461" s="67" t="str">
        <f t="shared" si="11"/>
        <v/>
      </c>
      <c r="K461" s="71" t="str">
        <f t="shared" si="12"/>
        <v/>
      </c>
      <c r="L461" s="71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58"/>
      <c r="N461" s="58"/>
      <c r="O461" s="5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72"/>
      <c r="B462" s="63"/>
      <c r="C462" s="63"/>
      <c r="D462" s="67"/>
      <c r="E462" s="67"/>
      <c r="F462" s="68" t="str">
        <f t="shared" si="7"/>
        <v/>
      </c>
      <c r="G462" s="67" t="str">
        <f t="shared" si="8"/>
        <v/>
      </c>
      <c r="H462" s="69" t="str">
        <f t="shared" si="9"/>
        <v/>
      </c>
      <c r="I462" s="70" t="str">
        <f t="shared" si="10"/>
        <v/>
      </c>
      <c r="J462" s="67" t="str">
        <f t="shared" si="11"/>
        <v/>
      </c>
      <c r="K462" s="71" t="str">
        <f t="shared" si="12"/>
        <v/>
      </c>
      <c r="L462" s="71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58"/>
      <c r="N462" s="58"/>
      <c r="O462" s="5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72"/>
      <c r="B463" s="63"/>
      <c r="C463" s="63"/>
      <c r="D463" s="67"/>
      <c r="E463" s="67"/>
      <c r="F463" s="68" t="str">
        <f t="shared" si="7"/>
        <v/>
      </c>
      <c r="G463" s="67" t="str">
        <f t="shared" si="8"/>
        <v/>
      </c>
      <c r="H463" s="69" t="str">
        <f t="shared" si="9"/>
        <v/>
      </c>
      <c r="I463" s="70" t="str">
        <f t="shared" si="10"/>
        <v/>
      </c>
      <c r="J463" s="67" t="str">
        <f t="shared" si="11"/>
        <v/>
      </c>
      <c r="K463" s="71" t="str">
        <f t="shared" si="12"/>
        <v/>
      </c>
      <c r="L463" s="71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58"/>
      <c r="N463" s="58"/>
      <c r="O463" s="5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72"/>
      <c r="B464" s="63"/>
      <c r="C464" s="63"/>
      <c r="D464" s="67"/>
      <c r="E464" s="67"/>
      <c r="F464" s="68" t="str">
        <f t="shared" si="7"/>
        <v/>
      </c>
      <c r="G464" s="67" t="str">
        <f t="shared" si="8"/>
        <v/>
      </c>
      <c r="H464" s="69" t="str">
        <f t="shared" si="9"/>
        <v/>
      </c>
      <c r="I464" s="70" t="str">
        <f t="shared" si="10"/>
        <v/>
      </c>
      <c r="J464" s="67" t="str">
        <f t="shared" si="11"/>
        <v/>
      </c>
      <c r="K464" s="71" t="str">
        <f t="shared" si="12"/>
        <v/>
      </c>
      <c r="L464" s="71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58"/>
      <c r="N464" s="58"/>
      <c r="O464" s="5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72"/>
      <c r="B465" s="63"/>
      <c r="C465" s="63"/>
      <c r="D465" s="67"/>
      <c r="E465" s="67"/>
      <c r="F465" s="68" t="str">
        <f t="shared" si="7"/>
        <v/>
      </c>
      <c r="G465" s="67" t="str">
        <f t="shared" si="8"/>
        <v/>
      </c>
      <c r="H465" s="69" t="str">
        <f t="shared" si="9"/>
        <v/>
      </c>
      <c r="I465" s="70" t="str">
        <f t="shared" si="10"/>
        <v/>
      </c>
      <c r="J465" s="67" t="str">
        <f t="shared" si="11"/>
        <v/>
      </c>
      <c r="K465" s="71" t="str">
        <f t="shared" si="12"/>
        <v/>
      </c>
      <c r="L465" s="71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58"/>
      <c r="N465" s="58"/>
      <c r="O465" s="5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72"/>
      <c r="B466" s="63"/>
      <c r="C466" s="63"/>
      <c r="D466" s="67"/>
      <c r="E466" s="67"/>
      <c r="F466" s="68" t="str">
        <f t="shared" si="7"/>
        <v/>
      </c>
      <c r="G466" s="67" t="str">
        <f t="shared" si="8"/>
        <v/>
      </c>
      <c r="H466" s="69" t="str">
        <f t="shared" si="9"/>
        <v/>
      </c>
      <c r="I466" s="70" t="str">
        <f t="shared" si="10"/>
        <v/>
      </c>
      <c r="J466" s="67" t="str">
        <f t="shared" si="11"/>
        <v/>
      </c>
      <c r="K466" s="71" t="str">
        <f t="shared" si="12"/>
        <v/>
      </c>
      <c r="L466" s="71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58"/>
      <c r="N466" s="58"/>
      <c r="O466" s="5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72"/>
      <c r="B467" s="63"/>
      <c r="C467" s="63"/>
      <c r="D467" s="67"/>
      <c r="E467" s="67"/>
      <c r="F467" s="68" t="str">
        <f t="shared" si="7"/>
        <v/>
      </c>
      <c r="G467" s="67" t="str">
        <f t="shared" si="8"/>
        <v/>
      </c>
      <c r="H467" s="69" t="str">
        <f t="shared" si="9"/>
        <v/>
      </c>
      <c r="I467" s="70" t="str">
        <f t="shared" si="10"/>
        <v/>
      </c>
      <c r="J467" s="67" t="str">
        <f t="shared" si="11"/>
        <v/>
      </c>
      <c r="K467" s="71" t="str">
        <f t="shared" si="12"/>
        <v/>
      </c>
      <c r="L467" s="71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58"/>
      <c r="N467" s="58"/>
      <c r="O467" s="5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72"/>
      <c r="B468" s="63"/>
      <c r="C468" s="63"/>
      <c r="D468" s="67"/>
      <c r="E468" s="67"/>
      <c r="F468" s="68" t="str">
        <f t="shared" si="7"/>
        <v/>
      </c>
      <c r="G468" s="67" t="str">
        <f t="shared" si="8"/>
        <v/>
      </c>
      <c r="H468" s="69" t="str">
        <f t="shared" si="9"/>
        <v/>
      </c>
      <c r="I468" s="70" t="str">
        <f t="shared" si="10"/>
        <v/>
      </c>
      <c r="J468" s="67" t="str">
        <f t="shared" si="11"/>
        <v/>
      </c>
      <c r="K468" s="71" t="str">
        <f t="shared" si="12"/>
        <v/>
      </c>
      <c r="L468" s="71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58"/>
      <c r="N468" s="58"/>
      <c r="O468" s="5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72"/>
      <c r="B469" s="63"/>
      <c r="C469" s="63"/>
      <c r="D469" s="67"/>
      <c r="E469" s="67"/>
      <c r="F469" s="68" t="str">
        <f t="shared" si="7"/>
        <v/>
      </c>
      <c r="G469" s="67" t="str">
        <f t="shared" si="8"/>
        <v/>
      </c>
      <c r="H469" s="69" t="str">
        <f t="shared" si="9"/>
        <v/>
      </c>
      <c r="I469" s="70" t="str">
        <f t="shared" si="10"/>
        <v/>
      </c>
      <c r="J469" s="67" t="str">
        <f t="shared" si="11"/>
        <v/>
      </c>
      <c r="K469" s="71" t="str">
        <f t="shared" si="12"/>
        <v/>
      </c>
      <c r="L469" s="71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58"/>
      <c r="N469" s="58"/>
      <c r="O469" s="5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72"/>
      <c r="B470" s="63"/>
      <c r="C470" s="63"/>
      <c r="D470" s="67"/>
      <c r="E470" s="67"/>
      <c r="F470" s="68" t="str">
        <f t="shared" si="7"/>
        <v/>
      </c>
      <c r="G470" s="67" t="str">
        <f t="shared" si="8"/>
        <v/>
      </c>
      <c r="H470" s="69" t="str">
        <f t="shared" si="9"/>
        <v/>
      </c>
      <c r="I470" s="70" t="str">
        <f t="shared" si="10"/>
        <v/>
      </c>
      <c r="J470" s="67" t="str">
        <f t="shared" si="11"/>
        <v/>
      </c>
      <c r="K470" s="71" t="str">
        <f t="shared" si="12"/>
        <v/>
      </c>
      <c r="L470" s="71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58"/>
      <c r="N470" s="58"/>
      <c r="O470" s="5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72"/>
      <c r="B471" s="63"/>
      <c r="C471" s="63"/>
      <c r="D471" s="67"/>
      <c r="E471" s="67"/>
      <c r="F471" s="68" t="str">
        <f t="shared" si="7"/>
        <v/>
      </c>
      <c r="G471" s="67" t="str">
        <f t="shared" si="8"/>
        <v/>
      </c>
      <c r="H471" s="69" t="str">
        <f t="shared" si="9"/>
        <v/>
      </c>
      <c r="I471" s="70" t="str">
        <f t="shared" si="10"/>
        <v/>
      </c>
      <c r="J471" s="67" t="str">
        <f t="shared" si="11"/>
        <v/>
      </c>
      <c r="K471" s="71" t="str">
        <f t="shared" si="12"/>
        <v/>
      </c>
      <c r="L471" s="71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58"/>
      <c r="N471" s="58"/>
      <c r="O471" s="5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72"/>
      <c r="B472" s="63"/>
      <c r="C472" s="63"/>
      <c r="D472" s="67"/>
      <c r="E472" s="67"/>
      <c r="F472" s="68" t="str">
        <f t="shared" si="7"/>
        <v/>
      </c>
      <c r="G472" s="67" t="str">
        <f t="shared" si="8"/>
        <v/>
      </c>
      <c r="H472" s="69" t="str">
        <f t="shared" si="9"/>
        <v/>
      </c>
      <c r="I472" s="70" t="str">
        <f t="shared" si="10"/>
        <v/>
      </c>
      <c r="J472" s="67" t="str">
        <f t="shared" si="11"/>
        <v/>
      </c>
      <c r="K472" s="71" t="str">
        <f t="shared" si="12"/>
        <v/>
      </c>
      <c r="L472" s="71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58"/>
      <c r="N472" s="58"/>
      <c r="O472" s="5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72"/>
      <c r="B473" s="63"/>
      <c r="C473" s="63"/>
      <c r="D473" s="67"/>
      <c r="E473" s="67"/>
      <c r="F473" s="68" t="str">
        <f t="shared" si="7"/>
        <v/>
      </c>
      <c r="G473" s="67" t="str">
        <f t="shared" si="8"/>
        <v/>
      </c>
      <c r="H473" s="69" t="str">
        <f t="shared" si="9"/>
        <v/>
      </c>
      <c r="I473" s="70" t="str">
        <f t="shared" si="10"/>
        <v/>
      </c>
      <c r="J473" s="67" t="str">
        <f t="shared" si="11"/>
        <v/>
      </c>
      <c r="K473" s="71" t="str">
        <f t="shared" si="12"/>
        <v/>
      </c>
      <c r="L473" s="71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58"/>
      <c r="N473" s="58"/>
      <c r="O473" s="5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72"/>
      <c r="B474" s="63"/>
      <c r="C474" s="63"/>
      <c r="D474" s="67"/>
      <c r="E474" s="67"/>
      <c r="F474" s="68" t="str">
        <f t="shared" si="7"/>
        <v/>
      </c>
      <c r="G474" s="67" t="str">
        <f t="shared" si="8"/>
        <v/>
      </c>
      <c r="H474" s="69" t="str">
        <f t="shared" si="9"/>
        <v/>
      </c>
      <c r="I474" s="70" t="str">
        <f t="shared" si="10"/>
        <v/>
      </c>
      <c r="J474" s="67" t="str">
        <f t="shared" si="11"/>
        <v/>
      </c>
      <c r="K474" s="71" t="str">
        <f t="shared" si="12"/>
        <v/>
      </c>
      <c r="L474" s="71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58"/>
      <c r="N474" s="58"/>
      <c r="O474" s="5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72"/>
      <c r="B475" s="63"/>
      <c r="C475" s="63"/>
      <c r="D475" s="67"/>
      <c r="E475" s="67"/>
      <c r="F475" s="68" t="str">
        <f t="shared" si="7"/>
        <v/>
      </c>
      <c r="G475" s="67" t="str">
        <f t="shared" si="8"/>
        <v/>
      </c>
      <c r="H475" s="69" t="str">
        <f t="shared" si="9"/>
        <v/>
      </c>
      <c r="I475" s="70" t="str">
        <f t="shared" si="10"/>
        <v/>
      </c>
      <c r="J475" s="67" t="str">
        <f t="shared" si="11"/>
        <v/>
      </c>
      <c r="K475" s="71" t="str">
        <f t="shared" si="12"/>
        <v/>
      </c>
      <c r="L475" s="71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58"/>
      <c r="N475" s="58"/>
      <c r="O475" s="5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72"/>
      <c r="B476" s="63"/>
      <c r="C476" s="63"/>
      <c r="D476" s="67"/>
      <c r="E476" s="67"/>
      <c r="F476" s="68" t="str">
        <f t="shared" si="7"/>
        <v/>
      </c>
      <c r="G476" s="67" t="str">
        <f t="shared" si="8"/>
        <v/>
      </c>
      <c r="H476" s="69" t="str">
        <f t="shared" si="9"/>
        <v/>
      </c>
      <c r="I476" s="70" t="str">
        <f t="shared" si="10"/>
        <v/>
      </c>
      <c r="J476" s="67" t="str">
        <f t="shared" si="11"/>
        <v/>
      </c>
      <c r="K476" s="71" t="str">
        <f t="shared" si="12"/>
        <v/>
      </c>
      <c r="L476" s="71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58"/>
      <c r="N476" s="58"/>
      <c r="O476" s="5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72"/>
      <c r="B477" s="63"/>
      <c r="C477" s="63"/>
      <c r="D477" s="67"/>
      <c r="E477" s="67"/>
      <c r="F477" s="68" t="str">
        <f t="shared" si="7"/>
        <v/>
      </c>
      <c r="G477" s="67" t="str">
        <f t="shared" si="8"/>
        <v/>
      </c>
      <c r="H477" s="69" t="str">
        <f t="shared" si="9"/>
        <v/>
      </c>
      <c r="I477" s="70" t="str">
        <f t="shared" si="10"/>
        <v/>
      </c>
      <c r="J477" s="67" t="str">
        <f t="shared" si="11"/>
        <v/>
      </c>
      <c r="K477" s="71" t="str">
        <f t="shared" si="12"/>
        <v/>
      </c>
      <c r="L477" s="71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58"/>
      <c r="N477" s="58"/>
      <c r="O477" s="5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72"/>
      <c r="B478" s="63"/>
      <c r="C478" s="63"/>
      <c r="D478" s="67"/>
      <c r="E478" s="67"/>
      <c r="F478" s="68" t="str">
        <f t="shared" si="7"/>
        <v/>
      </c>
      <c r="G478" s="67" t="str">
        <f t="shared" si="8"/>
        <v/>
      </c>
      <c r="H478" s="69" t="str">
        <f t="shared" si="9"/>
        <v/>
      </c>
      <c r="I478" s="70" t="str">
        <f t="shared" si="10"/>
        <v/>
      </c>
      <c r="J478" s="67" t="str">
        <f t="shared" si="11"/>
        <v/>
      </c>
      <c r="K478" s="71" t="str">
        <f t="shared" si="12"/>
        <v/>
      </c>
      <c r="L478" s="71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58"/>
      <c r="N478" s="58"/>
      <c r="O478" s="5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72"/>
      <c r="B479" s="63"/>
      <c r="C479" s="63"/>
      <c r="D479" s="67"/>
      <c r="E479" s="67"/>
      <c r="F479" s="68" t="str">
        <f t="shared" si="7"/>
        <v/>
      </c>
      <c r="G479" s="67" t="str">
        <f t="shared" si="8"/>
        <v/>
      </c>
      <c r="H479" s="69" t="str">
        <f t="shared" si="9"/>
        <v/>
      </c>
      <c r="I479" s="70" t="str">
        <f t="shared" si="10"/>
        <v/>
      </c>
      <c r="J479" s="67" t="str">
        <f t="shared" si="11"/>
        <v/>
      </c>
      <c r="K479" s="71" t="str">
        <f t="shared" si="12"/>
        <v/>
      </c>
      <c r="L479" s="71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58"/>
      <c r="N479" s="58"/>
      <c r="O479" s="5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72"/>
      <c r="B480" s="63"/>
      <c r="C480" s="63"/>
      <c r="D480" s="67"/>
      <c r="E480" s="67"/>
      <c r="F480" s="68" t="str">
        <f t="shared" si="7"/>
        <v/>
      </c>
      <c r="G480" s="67" t="str">
        <f t="shared" si="8"/>
        <v/>
      </c>
      <c r="H480" s="69" t="str">
        <f t="shared" si="9"/>
        <v/>
      </c>
      <c r="I480" s="70" t="str">
        <f t="shared" si="10"/>
        <v/>
      </c>
      <c r="J480" s="67" t="str">
        <f t="shared" si="11"/>
        <v/>
      </c>
      <c r="K480" s="71" t="str">
        <f t="shared" si="12"/>
        <v/>
      </c>
      <c r="L480" s="71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58"/>
      <c r="N480" s="58"/>
      <c r="O480" s="5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72"/>
      <c r="B481" s="63"/>
      <c r="C481" s="63"/>
      <c r="D481" s="67"/>
      <c r="E481" s="67"/>
      <c r="F481" s="68" t="str">
        <f t="shared" si="7"/>
        <v/>
      </c>
      <c r="G481" s="67" t="str">
        <f t="shared" si="8"/>
        <v/>
      </c>
      <c r="H481" s="69" t="str">
        <f t="shared" si="9"/>
        <v/>
      </c>
      <c r="I481" s="70" t="str">
        <f t="shared" si="10"/>
        <v/>
      </c>
      <c r="J481" s="67" t="str">
        <f t="shared" si="11"/>
        <v/>
      </c>
      <c r="K481" s="71" t="str">
        <f t="shared" si="12"/>
        <v/>
      </c>
      <c r="L481" s="71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58"/>
      <c r="N481" s="58"/>
      <c r="O481" s="5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72"/>
      <c r="B482" s="63"/>
      <c r="C482" s="63"/>
      <c r="D482" s="67"/>
      <c r="E482" s="67"/>
      <c r="F482" s="68" t="str">
        <f t="shared" si="7"/>
        <v/>
      </c>
      <c r="G482" s="67" t="str">
        <f t="shared" si="8"/>
        <v/>
      </c>
      <c r="H482" s="69" t="str">
        <f t="shared" si="9"/>
        <v/>
      </c>
      <c r="I482" s="70" t="str">
        <f t="shared" si="10"/>
        <v/>
      </c>
      <c r="J482" s="67" t="str">
        <f t="shared" si="11"/>
        <v/>
      </c>
      <c r="K482" s="71" t="str">
        <f t="shared" si="12"/>
        <v/>
      </c>
      <c r="L482" s="71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58"/>
      <c r="N482" s="58"/>
      <c r="O482" s="5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72"/>
      <c r="B483" s="63"/>
      <c r="C483" s="63"/>
      <c r="D483" s="67"/>
      <c r="E483" s="67"/>
      <c r="F483" s="68" t="str">
        <f t="shared" si="7"/>
        <v/>
      </c>
      <c r="G483" s="67" t="str">
        <f t="shared" si="8"/>
        <v/>
      </c>
      <c r="H483" s="69" t="str">
        <f t="shared" si="9"/>
        <v/>
      </c>
      <c r="I483" s="70" t="str">
        <f t="shared" si="10"/>
        <v/>
      </c>
      <c r="J483" s="67" t="str">
        <f t="shared" si="11"/>
        <v/>
      </c>
      <c r="K483" s="71" t="str">
        <f t="shared" si="12"/>
        <v/>
      </c>
      <c r="L483" s="71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58"/>
      <c r="N483" s="58"/>
      <c r="O483" s="5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72"/>
      <c r="B484" s="63"/>
      <c r="C484" s="63"/>
      <c r="D484" s="67"/>
      <c r="E484" s="67"/>
      <c r="F484" s="68" t="str">
        <f t="shared" si="7"/>
        <v/>
      </c>
      <c r="G484" s="67" t="str">
        <f t="shared" si="8"/>
        <v/>
      </c>
      <c r="H484" s="69" t="str">
        <f t="shared" si="9"/>
        <v/>
      </c>
      <c r="I484" s="70" t="str">
        <f t="shared" si="10"/>
        <v/>
      </c>
      <c r="J484" s="67" t="str">
        <f t="shared" si="11"/>
        <v/>
      </c>
      <c r="K484" s="71" t="str">
        <f t="shared" si="12"/>
        <v/>
      </c>
      <c r="L484" s="71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58"/>
      <c r="N484" s="58"/>
      <c r="O484" s="5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72"/>
      <c r="B485" s="63"/>
      <c r="C485" s="63"/>
      <c r="D485" s="67"/>
      <c r="E485" s="67"/>
      <c r="F485" s="68" t="str">
        <f t="shared" si="7"/>
        <v/>
      </c>
      <c r="G485" s="67" t="str">
        <f t="shared" si="8"/>
        <v/>
      </c>
      <c r="H485" s="69" t="str">
        <f t="shared" si="9"/>
        <v/>
      </c>
      <c r="I485" s="70" t="str">
        <f t="shared" si="10"/>
        <v/>
      </c>
      <c r="J485" s="67" t="str">
        <f t="shared" si="11"/>
        <v/>
      </c>
      <c r="K485" s="71" t="str">
        <f t="shared" si="12"/>
        <v/>
      </c>
      <c r="L485" s="71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58"/>
      <c r="N485" s="58"/>
      <c r="O485" s="5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72"/>
      <c r="B486" s="63"/>
      <c r="C486" s="63"/>
      <c r="D486" s="67"/>
      <c r="E486" s="67"/>
      <c r="F486" s="68" t="str">
        <f t="shared" si="7"/>
        <v/>
      </c>
      <c r="G486" s="67" t="str">
        <f t="shared" si="8"/>
        <v/>
      </c>
      <c r="H486" s="69" t="str">
        <f t="shared" si="9"/>
        <v/>
      </c>
      <c r="I486" s="70" t="str">
        <f t="shared" si="10"/>
        <v/>
      </c>
      <c r="J486" s="67" t="str">
        <f t="shared" si="11"/>
        <v/>
      </c>
      <c r="K486" s="71" t="str">
        <f t="shared" si="12"/>
        <v/>
      </c>
      <c r="L486" s="71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58"/>
      <c r="N486" s="58"/>
      <c r="O486" s="5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72"/>
      <c r="B487" s="63"/>
      <c r="C487" s="63"/>
      <c r="D487" s="67"/>
      <c r="E487" s="67"/>
      <c r="F487" s="68" t="str">
        <f t="shared" si="7"/>
        <v/>
      </c>
      <c r="G487" s="67" t="str">
        <f t="shared" si="8"/>
        <v/>
      </c>
      <c r="H487" s="69" t="str">
        <f t="shared" si="9"/>
        <v/>
      </c>
      <c r="I487" s="70" t="str">
        <f t="shared" si="10"/>
        <v/>
      </c>
      <c r="J487" s="67" t="str">
        <f t="shared" si="11"/>
        <v/>
      </c>
      <c r="K487" s="71" t="str">
        <f t="shared" si="12"/>
        <v/>
      </c>
      <c r="L487" s="71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58"/>
      <c r="N487" s="58"/>
      <c r="O487" s="5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72"/>
      <c r="B488" s="63"/>
      <c r="C488" s="63"/>
      <c r="D488" s="67"/>
      <c r="E488" s="67"/>
      <c r="F488" s="68" t="str">
        <f t="shared" si="7"/>
        <v/>
      </c>
      <c r="G488" s="67" t="str">
        <f t="shared" si="8"/>
        <v/>
      </c>
      <c r="H488" s="69" t="str">
        <f t="shared" si="9"/>
        <v/>
      </c>
      <c r="I488" s="70" t="str">
        <f t="shared" si="10"/>
        <v/>
      </c>
      <c r="J488" s="67" t="str">
        <f t="shared" si="11"/>
        <v/>
      </c>
      <c r="K488" s="71" t="str">
        <f t="shared" si="12"/>
        <v/>
      </c>
      <c r="L488" s="71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58"/>
      <c r="N488" s="58"/>
      <c r="O488" s="5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72"/>
      <c r="B489" s="63"/>
      <c r="C489" s="63"/>
      <c r="D489" s="67"/>
      <c r="E489" s="67"/>
      <c r="F489" s="68" t="str">
        <f t="shared" si="7"/>
        <v/>
      </c>
      <c r="G489" s="67" t="str">
        <f t="shared" si="8"/>
        <v/>
      </c>
      <c r="H489" s="69" t="str">
        <f t="shared" si="9"/>
        <v/>
      </c>
      <c r="I489" s="70" t="str">
        <f t="shared" si="10"/>
        <v/>
      </c>
      <c r="J489" s="67" t="str">
        <f t="shared" si="11"/>
        <v/>
      </c>
      <c r="K489" s="71" t="str">
        <f t="shared" si="12"/>
        <v/>
      </c>
      <c r="L489" s="71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58"/>
      <c r="N489" s="58"/>
      <c r="O489" s="5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72"/>
      <c r="B490" s="63"/>
      <c r="C490" s="63"/>
      <c r="D490" s="67"/>
      <c r="E490" s="67"/>
      <c r="F490" s="68" t="str">
        <f t="shared" si="7"/>
        <v/>
      </c>
      <c r="G490" s="67" t="str">
        <f t="shared" si="8"/>
        <v/>
      </c>
      <c r="H490" s="69" t="str">
        <f t="shared" si="9"/>
        <v/>
      </c>
      <c r="I490" s="70" t="str">
        <f t="shared" si="10"/>
        <v/>
      </c>
      <c r="J490" s="67" t="str">
        <f t="shared" si="11"/>
        <v/>
      </c>
      <c r="K490" s="71" t="str">
        <f t="shared" si="12"/>
        <v/>
      </c>
      <c r="L490" s="71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58"/>
      <c r="N490" s="58"/>
      <c r="O490" s="5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72"/>
      <c r="B491" s="63"/>
      <c r="C491" s="63"/>
      <c r="D491" s="67"/>
      <c r="E491" s="67"/>
      <c r="F491" s="68" t="str">
        <f t="shared" si="7"/>
        <v/>
      </c>
      <c r="G491" s="67" t="str">
        <f t="shared" si="8"/>
        <v/>
      </c>
      <c r="H491" s="69" t="str">
        <f t="shared" si="9"/>
        <v/>
      </c>
      <c r="I491" s="70" t="str">
        <f t="shared" si="10"/>
        <v/>
      </c>
      <c r="J491" s="67" t="str">
        <f t="shared" si="11"/>
        <v/>
      </c>
      <c r="K491" s="71" t="str">
        <f t="shared" si="12"/>
        <v/>
      </c>
      <c r="L491" s="71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58"/>
      <c r="N491" s="58"/>
      <c r="O491" s="5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72"/>
      <c r="B492" s="63"/>
      <c r="C492" s="63"/>
      <c r="D492" s="67"/>
      <c r="E492" s="67"/>
      <c r="F492" s="68" t="str">
        <f t="shared" si="7"/>
        <v/>
      </c>
      <c r="G492" s="67" t="str">
        <f t="shared" si="8"/>
        <v/>
      </c>
      <c r="H492" s="69" t="str">
        <f t="shared" si="9"/>
        <v/>
      </c>
      <c r="I492" s="70" t="str">
        <f t="shared" si="10"/>
        <v/>
      </c>
      <c r="J492" s="67" t="str">
        <f t="shared" si="11"/>
        <v/>
      </c>
      <c r="K492" s="71" t="str">
        <f t="shared" si="12"/>
        <v/>
      </c>
      <c r="L492" s="71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58"/>
      <c r="N492" s="58"/>
      <c r="O492" s="5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72"/>
      <c r="B493" s="63"/>
      <c r="C493" s="63"/>
      <c r="D493" s="67"/>
      <c r="E493" s="67"/>
      <c r="F493" s="68" t="str">
        <f t="shared" si="7"/>
        <v/>
      </c>
      <c r="G493" s="67" t="str">
        <f t="shared" si="8"/>
        <v/>
      </c>
      <c r="H493" s="69" t="str">
        <f t="shared" si="9"/>
        <v/>
      </c>
      <c r="I493" s="70" t="str">
        <f t="shared" si="10"/>
        <v/>
      </c>
      <c r="J493" s="67" t="str">
        <f t="shared" si="11"/>
        <v/>
      </c>
      <c r="K493" s="71" t="str">
        <f t="shared" si="12"/>
        <v/>
      </c>
      <c r="L493" s="71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58"/>
      <c r="N493" s="58"/>
      <c r="O493" s="5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72"/>
      <c r="B494" s="63"/>
      <c r="C494" s="63"/>
      <c r="D494" s="67"/>
      <c r="E494" s="67"/>
      <c r="F494" s="68" t="str">
        <f t="shared" si="7"/>
        <v/>
      </c>
      <c r="G494" s="67" t="str">
        <f t="shared" si="8"/>
        <v/>
      </c>
      <c r="H494" s="69" t="str">
        <f t="shared" si="9"/>
        <v/>
      </c>
      <c r="I494" s="70" t="str">
        <f t="shared" si="10"/>
        <v/>
      </c>
      <c r="J494" s="67" t="str">
        <f t="shared" si="11"/>
        <v/>
      </c>
      <c r="K494" s="71" t="str">
        <f t="shared" si="12"/>
        <v/>
      </c>
      <c r="L494" s="71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58"/>
      <c r="N494" s="58"/>
      <c r="O494" s="5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72"/>
      <c r="B495" s="63"/>
      <c r="C495" s="63"/>
      <c r="D495" s="67"/>
      <c r="E495" s="67"/>
      <c r="F495" s="68" t="str">
        <f t="shared" si="7"/>
        <v/>
      </c>
      <c r="G495" s="67" t="str">
        <f t="shared" si="8"/>
        <v/>
      </c>
      <c r="H495" s="69" t="str">
        <f t="shared" si="9"/>
        <v/>
      </c>
      <c r="I495" s="70" t="str">
        <f t="shared" si="10"/>
        <v/>
      </c>
      <c r="J495" s="67" t="str">
        <f t="shared" si="11"/>
        <v/>
      </c>
      <c r="K495" s="71" t="str">
        <f t="shared" si="12"/>
        <v/>
      </c>
      <c r="L495" s="71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58"/>
      <c r="N495" s="58"/>
      <c r="O495" s="5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72"/>
      <c r="B496" s="63"/>
      <c r="C496" s="63"/>
      <c r="D496" s="67"/>
      <c r="E496" s="67"/>
      <c r="F496" s="68" t="str">
        <f t="shared" si="7"/>
        <v/>
      </c>
      <c r="G496" s="67" t="str">
        <f t="shared" si="8"/>
        <v/>
      </c>
      <c r="H496" s="69" t="str">
        <f t="shared" si="9"/>
        <v/>
      </c>
      <c r="I496" s="70" t="str">
        <f t="shared" si="10"/>
        <v/>
      </c>
      <c r="J496" s="67" t="str">
        <f t="shared" si="11"/>
        <v/>
      </c>
      <c r="K496" s="71" t="str">
        <f t="shared" si="12"/>
        <v/>
      </c>
      <c r="L496" s="71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58"/>
      <c r="N496" s="58"/>
      <c r="O496" s="5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72"/>
      <c r="B497" s="63"/>
      <c r="C497" s="63"/>
      <c r="D497" s="67"/>
      <c r="E497" s="67"/>
      <c r="F497" s="68" t="str">
        <f t="shared" si="7"/>
        <v/>
      </c>
      <c r="G497" s="67" t="str">
        <f t="shared" si="8"/>
        <v/>
      </c>
      <c r="H497" s="69" t="str">
        <f t="shared" si="9"/>
        <v/>
      </c>
      <c r="I497" s="70" t="str">
        <f t="shared" si="10"/>
        <v/>
      </c>
      <c r="J497" s="67" t="str">
        <f t="shared" si="11"/>
        <v/>
      </c>
      <c r="K497" s="71" t="str">
        <f t="shared" si="12"/>
        <v/>
      </c>
      <c r="L497" s="71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58"/>
      <c r="N497" s="58"/>
      <c r="O497" s="5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72"/>
      <c r="B498" s="63"/>
      <c r="C498" s="63"/>
      <c r="D498" s="67"/>
      <c r="E498" s="67"/>
      <c r="F498" s="68" t="str">
        <f t="shared" si="7"/>
        <v/>
      </c>
      <c r="G498" s="67" t="str">
        <f t="shared" si="8"/>
        <v/>
      </c>
      <c r="H498" s="69" t="str">
        <f t="shared" si="9"/>
        <v/>
      </c>
      <c r="I498" s="70" t="str">
        <f t="shared" si="10"/>
        <v/>
      </c>
      <c r="J498" s="67" t="str">
        <f t="shared" si="11"/>
        <v/>
      </c>
      <c r="K498" s="71" t="str">
        <f t="shared" si="12"/>
        <v/>
      </c>
      <c r="L498" s="71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58"/>
      <c r="N498" s="58"/>
      <c r="O498" s="5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72"/>
      <c r="B499" s="63"/>
      <c r="C499" s="63"/>
      <c r="D499" s="67"/>
      <c r="E499" s="67"/>
      <c r="F499" s="68" t="str">
        <f t="shared" si="7"/>
        <v/>
      </c>
      <c r="G499" s="67" t="str">
        <f t="shared" si="8"/>
        <v/>
      </c>
      <c r="H499" s="69" t="str">
        <f t="shared" si="9"/>
        <v/>
      </c>
      <c r="I499" s="70" t="str">
        <f t="shared" si="10"/>
        <v/>
      </c>
      <c r="J499" s="67" t="str">
        <f t="shared" si="11"/>
        <v/>
      </c>
      <c r="K499" s="71" t="str">
        <f t="shared" si="12"/>
        <v/>
      </c>
      <c r="L499" s="71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58"/>
      <c r="N499" s="58"/>
      <c r="O499" s="5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72"/>
      <c r="B500" s="63"/>
      <c r="C500" s="63"/>
      <c r="D500" s="67"/>
      <c r="E500" s="67"/>
      <c r="F500" s="68" t="str">
        <f t="shared" si="7"/>
        <v/>
      </c>
      <c r="G500" s="67" t="str">
        <f t="shared" si="8"/>
        <v/>
      </c>
      <c r="H500" s="69" t="str">
        <f t="shared" si="9"/>
        <v/>
      </c>
      <c r="I500" s="70" t="str">
        <f t="shared" si="10"/>
        <v/>
      </c>
      <c r="J500" s="67" t="str">
        <f t="shared" si="11"/>
        <v/>
      </c>
      <c r="K500" s="71" t="str">
        <f t="shared" si="12"/>
        <v/>
      </c>
      <c r="L500" s="71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58"/>
      <c r="N500" s="58"/>
      <c r="O500" s="5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72"/>
      <c r="B501" s="63"/>
      <c r="C501" s="63"/>
      <c r="D501" s="67"/>
      <c r="E501" s="67"/>
      <c r="F501" s="68" t="str">
        <f t="shared" si="7"/>
        <v/>
      </c>
      <c r="G501" s="67" t="str">
        <f t="shared" si="8"/>
        <v/>
      </c>
      <c r="H501" s="69" t="str">
        <f t="shared" si="9"/>
        <v/>
      </c>
      <c r="I501" s="70" t="str">
        <f t="shared" si="10"/>
        <v/>
      </c>
      <c r="J501" s="67" t="str">
        <f t="shared" si="11"/>
        <v/>
      </c>
      <c r="K501" s="71" t="str">
        <f t="shared" si="12"/>
        <v/>
      </c>
      <c r="L501" s="71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58"/>
      <c r="N501" s="58"/>
      <c r="O501" s="5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72"/>
      <c r="B502" s="63"/>
      <c r="C502" s="63"/>
      <c r="D502" s="67"/>
      <c r="E502" s="67"/>
      <c r="F502" s="68" t="str">
        <f t="shared" si="7"/>
        <v/>
      </c>
      <c r="G502" s="67" t="str">
        <f t="shared" si="8"/>
        <v/>
      </c>
      <c r="H502" s="69" t="str">
        <f t="shared" si="9"/>
        <v/>
      </c>
      <c r="I502" s="70" t="str">
        <f t="shared" si="10"/>
        <v/>
      </c>
      <c r="J502" s="67" t="str">
        <f t="shared" si="11"/>
        <v/>
      </c>
      <c r="K502" s="71" t="str">
        <f t="shared" si="12"/>
        <v/>
      </c>
      <c r="L502" s="71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58"/>
      <c r="N502" s="58"/>
      <c r="O502" s="5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72"/>
      <c r="B503" s="63"/>
      <c r="C503" s="63"/>
      <c r="D503" s="67"/>
      <c r="E503" s="67"/>
      <c r="F503" s="68" t="str">
        <f t="shared" si="7"/>
        <v/>
      </c>
      <c r="G503" s="67" t="str">
        <f t="shared" si="8"/>
        <v/>
      </c>
      <c r="H503" s="69" t="str">
        <f t="shared" si="9"/>
        <v/>
      </c>
      <c r="I503" s="70" t="str">
        <f t="shared" si="10"/>
        <v/>
      </c>
      <c r="J503" s="67" t="str">
        <f t="shared" si="11"/>
        <v/>
      </c>
      <c r="K503" s="71" t="str">
        <f t="shared" si="12"/>
        <v/>
      </c>
      <c r="L503" s="71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58"/>
      <c r="N503" s="58"/>
      <c r="O503" s="5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72"/>
      <c r="B504" s="63"/>
      <c r="C504" s="63"/>
      <c r="D504" s="67"/>
      <c r="E504" s="67"/>
      <c r="F504" s="68" t="str">
        <f t="shared" si="7"/>
        <v/>
      </c>
      <c r="G504" s="67" t="str">
        <f t="shared" si="8"/>
        <v/>
      </c>
      <c r="H504" s="69" t="str">
        <f t="shared" si="9"/>
        <v/>
      </c>
      <c r="I504" s="70" t="str">
        <f t="shared" si="10"/>
        <v/>
      </c>
      <c r="J504" s="67" t="str">
        <f t="shared" si="11"/>
        <v/>
      </c>
      <c r="K504" s="71" t="str">
        <f t="shared" si="12"/>
        <v/>
      </c>
      <c r="L504" s="71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58"/>
      <c r="N504" s="58"/>
      <c r="O504" s="5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72"/>
      <c r="B505" s="63"/>
      <c r="C505" s="63"/>
      <c r="D505" s="67"/>
      <c r="E505" s="67"/>
      <c r="F505" s="68" t="str">
        <f t="shared" si="7"/>
        <v/>
      </c>
      <c r="G505" s="67" t="str">
        <f t="shared" si="8"/>
        <v/>
      </c>
      <c r="H505" s="69" t="str">
        <f t="shared" si="9"/>
        <v/>
      </c>
      <c r="I505" s="70" t="str">
        <f t="shared" si="10"/>
        <v/>
      </c>
      <c r="J505" s="67" t="str">
        <f t="shared" si="11"/>
        <v/>
      </c>
      <c r="K505" s="71" t="str">
        <f t="shared" si="12"/>
        <v/>
      </c>
      <c r="L505" s="71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58"/>
      <c r="N505" s="58"/>
      <c r="O505" s="5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72"/>
      <c r="B506" s="63"/>
      <c r="C506" s="63"/>
      <c r="D506" s="67"/>
      <c r="E506" s="67"/>
      <c r="F506" s="68" t="str">
        <f t="shared" si="7"/>
        <v/>
      </c>
      <c r="G506" s="67" t="str">
        <f t="shared" si="8"/>
        <v/>
      </c>
      <c r="H506" s="69" t="str">
        <f t="shared" si="9"/>
        <v/>
      </c>
      <c r="I506" s="70" t="str">
        <f t="shared" si="10"/>
        <v/>
      </c>
      <c r="J506" s="67" t="str">
        <f t="shared" si="11"/>
        <v/>
      </c>
      <c r="K506" s="71" t="str">
        <f t="shared" si="12"/>
        <v/>
      </c>
      <c r="L506" s="71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58"/>
      <c r="N506" s="58"/>
      <c r="O506" s="5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72"/>
      <c r="B507" s="63"/>
      <c r="C507" s="63"/>
      <c r="D507" s="67"/>
      <c r="E507" s="67"/>
      <c r="F507" s="68" t="str">
        <f t="shared" si="7"/>
        <v/>
      </c>
      <c r="G507" s="67" t="str">
        <f t="shared" si="8"/>
        <v/>
      </c>
      <c r="H507" s="69" t="str">
        <f t="shared" si="9"/>
        <v/>
      </c>
      <c r="I507" s="70" t="str">
        <f t="shared" si="10"/>
        <v/>
      </c>
      <c r="J507" s="67" t="str">
        <f t="shared" si="11"/>
        <v/>
      </c>
      <c r="K507" s="71" t="str">
        <f t="shared" si="12"/>
        <v/>
      </c>
      <c r="L507" s="71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58"/>
      <c r="N507" s="58"/>
      <c r="O507" s="5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72"/>
      <c r="B508" s="63"/>
      <c r="C508" s="63"/>
      <c r="D508" s="67"/>
      <c r="E508" s="67"/>
      <c r="F508" s="68" t="str">
        <f t="shared" si="7"/>
        <v/>
      </c>
      <c r="G508" s="67" t="str">
        <f t="shared" si="8"/>
        <v/>
      </c>
      <c r="H508" s="69" t="str">
        <f t="shared" si="9"/>
        <v/>
      </c>
      <c r="I508" s="70" t="str">
        <f t="shared" si="10"/>
        <v/>
      </c>
      <c r="J508" s="67" t="str">
        <f t="shared" si="11"/>
        <v/>
      </c>
      <c r="K508" s="71" t="str">
        <f t="shared" si="12"/>
        <v/>
      </c>
      <c r="L508" s="71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58"/>
      <c r="N508" s="58"/>
      <c r="O508" s="5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72"/>
      <c r="B509" s="63"/>
      <c r="C509" s="63"/>
      <c r="D509" s="67"/>
      <c r="E509" s="67"/>
      <c r="F509" s="68" t="str">
        <f t="shared" si="7"/>
        <v/>
      </c>
      <c r="G509" s="67" t="str">
        <f t="shared" si="8"/>
        <v/>
      </c>
      <c r="H509" s="69" t="str">
        <f t="shared" si="9"/>
        <v/>
      </c>
      <c r="I509" s="70" t="str">
        <f t="shared" si="10"/>
        <v/>
      </c>
      <c r="J509" s="67" t="str">
        <f t="shared" si="11"/>
        <v/>
      </c>
      <c r="K509" s="71" t="str">
        <f t="shared" si="12"/>
        <v/>
      </c>
      <c r="L509" s="71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58"/>
      <c r="N509" s="58"/>
      <c r="O509" s="5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72"/>
      <c r="B510" s="63"/>
      <c r="C510" s="63"/>
      <c r="D510" s="67"/>
      <c r="E510" s="67"/>
      <c r="F510" s="68" t="str">
        <f t="shared" si="7"/>
        <v/>
      </c>
      <c r="G510" s="67" t="str">
        <f t="shared" si="8"/>
        <v/>
      </c>
      <c r="H510" s="69" t="str">
        <f t="shared" si="9"/>
        <v/>
      </c>
      <c r="I510" s="70" t="str">
        <f t="shared" si="10"/>
        <v/>
      </c>
      <c r="J510" s="67" t="str">
        <f t="shared" si="11"/>
        <v/>
      </c>
      <c r="K510" s="71" t="str">
        <f t="shared" si="12"/>
        <v/>
      </c>
      <c r="L510" s="71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58"/>
      <c r="N510" s="58"/>
      <c r="O510" s="5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72"/>
      <c r="B511" s="63"/>
      <c r="C511" s="63"/>
      <c r="D511" s="67"/>
      <c r="E511" s="67"/>
      <c r="F511" s="68" t="str">
        <f t="shared" si="7"/>
        <v/>
      </c>
      <c r="G511" s="67" t="str">
        <f t="shared" si="8"/>
        <v/>
      </c>
      <c r="H511" s="69" t="str">
        <f t="shared" si="9"/>
        <v/>
      </c>
      <c r="I511" s="70" t="str">
        <f t="shared" si="10"/>
        <v/>
      </c>
      <c r="J511" s="67" t="str">
        <f t="shared" si="11"/>
        <v/>
      </c>
      <c r="K511" s="71" t="str">
        <f t="shared" si="12"/>
        <v/>
      </c>
      <c r="L511" s="71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58"/>
      <c r="N511" s="58"/>
      <c r="O511" s="5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72"/>
      <c r="B512" s="63"/>
      <c r="C512" s="63"/>
      <c r="D512" s="67"/>
      <c r="E512" s="67"/>
      <c r="F512" s="68" t="str">
        <f t="shared" si="7"/>
        <v/>
      </c>
      <c r="G512" s="67" t="str">
        <f t="shared" si="8"/>
        <v/>
      </c>
      <c r="H512" s="69" t="str">
        <f t="shared" si="9"/>
        <v/>
      </c>
      <c r="I512" s="70" t="str">
        <f t="shared" si="10"/>
        <v/>
      </c>
      <c r="J512" s="67" t="str">
        <f t="shared" si="11"/>
        <v/>
      </c>
      <c r="K512" s="71" t="str">
        <f t="shared" si="12"/>
        <v/>
      </c>
      <c r="L512" s="71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58"/>
      <c r="N512" s="58"/>
      <c r="O512" s="5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72"/>
      <c r="B513" s="63"/>
      <c r="C513" s="63"/>
      <c r="D513" s="67"/>
      <c r="E513" s="67"/>
      <c r="F513" s="68" t="str">
        <f t="shared" si="7"/>
        <v/>
      </c>
      <c r="G513" s="67" t="str">
        <f t="shared" si="8"/>
        <v/>
      </c>
      <c r="H513" s="69" t="str">
        <f t="shared" si="9"/>
        <v/>
      </c>
      <c r="I513" s="70" t="str">
        <f t="shared" si="10"/>
        <v/>
      </c>
      <c r="J513" s="67" t="str">
        <f t="shared" si="11"/>
        <v/>
      </c>
      <c r="K513" s="71" t="str">
        <f t="shared" si="12"/>
        <v/>
      </c>
      <c r="L513" s="71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58"/>
      <c r="N513" s="58"/>
      <c r="O513" s="5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72"/>
      <c r="B514" s="63"/>
      <c r="C514" s="63"/>
      <c r="D514" s="67"/>
      <c r="E514" s="67"/>
      <c r="F514" s="68" t="str">
        <f t="shared" si="7"/>
        <v/>
      </c>
      <c r="G514" s="67" t="str">
        <f t="shared" si="8"/>
        <v/>
      </c>
      <c r="H514" s="69" t="str">
        <f t="shared" si="9"/>
        <v/>
      </c>
      <c r="I514" s="70" t="str">
        <f t="shared" si="10"/>
        <v/>
      </c>
      <c r="J514" s="67" t="str">
        <f t="shared" si="11"/>
        <v/>
      </c>
      <c r="K514" s="71" t="str">
        <f t="shared" si="12"/>
        <v/>
      </c>
      <c r="L514" s="71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58"/>
      <c r="N514" s="58"/>
      <c r="O514" s="5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72"/>
      <c r="B515" s="63"/>
      <c r="C515" s="63"/>
      <c r="D515" s="67"/>
      <c r="E515" s="67"/>
      <c r="F515" s="68" t="str">
        <f t="shared" si="7"/>
        <v/>
      </c>
      <c r="G515" s="67" t="str">
        <f t="shared" si="8"/>
        <v/>
      </c>
      <c r="H515" s="69" t="str">
        <f t="shared" si="9"/>
        <v/>
      </c>
      <c r="I515" s="70" t="str">
        <f t="shared" si="10"/>
        <v/>
      </c>
      <c r="J515" s="67" t="str">
        <f t="shared" si="11"/>
        <v/>
      </c>
      <c r="K515" s="71" t="str">
        <f t="shared" si="12"/>
        <v/>
      </c>
      <c r="L515" s="71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58"/>
      <c r="N515" s="58"/>
      <c r="O515" s="5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72"/>
      <c r="B516" s="63"/>
      <c r="C516" s="63"/>
      <c r="D516" s="67"/>
      <c r="E516" s="67"/>
      <c r="F516" s="68" t="str">
        <f t="shared" si="7"/>
        <v/>
      </c>
      <c r="G516" s="67" t="str">
        <f t="shared" si="8"/>
        <v/>
      </c>
      <c r="H516" s="69" t="str">
        <f t="shared" si="9"/>
        <v/>
      </c>
      <c r="I516" s="70" t="str">
        <f t="shared" si="10"/>
        <v/>
      </c>
      <c r="J516" s="67" t="str">
        <f t="shared" si="11"/>
        <v/>
      </c>
      <c r="K516" s="71" t="str">
        <f t="shared" si="12"/>
        <v/>
      </c>
      <c r="L516" s="71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58"/>
      <c r="N516" s="58"/>
      <c r="O516" s="5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72"/>
      <c r="B517" s="63"/>
      <c r="C517" s="63"/>
      <c r="D517" s="67"/>
      <c r="E517" s="67"/>
      <c r="F517" s="68" t="str">
        <f t="shared" si="7"/>
        <v/>
      </c>
      <c r="G517" s="67" t="str">
        <f t="shared" si="8"/>
        <v/>
      </c>
      <c r="H517" s="69" t="str">
        <f t="shared" si="9"/>
        <v/>
      </c>
      <c r="I517" s="70" t="str">
        <f t="shared" si="10"/>
        <v/>
      </c>
      <c r="J517" s="67" t="str">
        <f t="shared" si="11"/>
        <v/>
      </c>
      <c r="K517" s="71" t="str">
        <f t="shared" si="12"/>
        <v/>
      </c>
      <c r="L517" s="71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58"/>
      <c r="N517" s="58"/>
      <c r="O517" s="5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72"/>
      <c r="B518" s="63"/>
      <c r="C518" s="63"/>
      <c r="D518" s="67"/>
      <c r="E518" s="67"/>
      <c r="F518" s="68" t="str">
        <f t="shared" si="7"/>
        <v/>
      </c>
      <c r="G518" s="67" t="str">
        <f t="shared" si="8"/>
        <v/>
      </c>
      <c r="H518" s="69" t="str">
        <f t="shared" si="9"/>
        <v/>
      </c>
      <c r="I518" s="70" t="str">
        <f t="shared" si="10"/>
        <v/>
      </c>
      <c r="J518" s="67" t="str">
        <f t="shared" si="11"/>
        <v/>
      </c>
      <c r="K518" s="71" t="str">
        <f t="shared" si="12"/>
        <v/>
      </c>
      <c r="L518" s="71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58"/>
      <c r="N518" s="58"/>
      <c r="O518" s="5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72"/>
      <c r="B519" s="63"/>
      <c r="C519" s="63"/>
      <c r="D519" s="67"/>
      <c r="E519" s="67"/>
      <c r="F519" s="68" t="str">
        <f t="shared" si="7"/>
        <v/>
      </c>
      <c r="G519" s="67" t="str">
        <f t="shared" si="8"/>
        <v/>
      </c>
      <c r="H519" s="69" t="str">
        <f t="shared" si="9"/>
        <v/>
      </c>
      <c r="I519" s="70" t="str">
        <f t="shared" si="10"/>
        <v/>
      </c>
      <c r="J519" s="67" t="str">
        <f t="shared" si="11"/>
        <v/>
      </c>
      <c r="K519" s="71" t="str">
        <f t="shared" si="12"/>
        <v/>
      </c>
      <c r="L519" s="71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58"/>
      <c r="N519" s="58"/>
      <c r="O519" s="5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72"/>
      <c r="B520" s="63"/>
      <c r="C520" s="63"/>
      <c r="D520" s="67"/>
      <c r="E520" s="67"/>
      <c r="F520" s="68" t="str">
        <f t="shared" si="7"/>
        <v/>
      </c>
      <c r="G520" s="67" t="str">
        <f t="shared" si="8"/>
        <v/>
      </c>
      <c r="H520" s="69" t="str">
        <f t="shared" si="9"/>
        <v/>
      </c>
      <c r="I520" s="70" t="str">
        <f t="shared" si="10"/>
        <v/>
      </c>
      <c r="J520" s="67" t="str">
        <f t="shared" si="11"/>
        <v/>
      </c>
      <c r="K520" s="71" t="str">
        <f t="shared" si="12"/>
        <v/>
      </c>
      <c r="L520" s="71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58"/>
      <c r="N520" s="58"/>
      <c r="O520" s="5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72"/>
      <c r="B521" s="63"/>
      <c r="C521" s="63"/>
      <c r="D521" s="67"/>
      <c r="E521" s="67"/>
      <c r="F521" s="68" t="str">
        <f t="shared" si="7"/>
        <v/>
      </c>
      <c r="G521" s="67" t="str">
        <f t="shared" si="8"/>
        <v/>
      </c>
      <c r="H521" s="69" t="str">
        <f t="shared" si="9"/>
        <v/>
      </c>
      <c r="I521" s="70" t="str">
        <f t="shared" si="10"/>
        <v/>
      </c>
      <c r="J521" s="67" t="str">
        <f t="shared" si="11"/>
        <v/>
      </c>
      <c r="K521" s="71" t="str">
        <f t="shared" si="12"/>
        <v/>
      </c>
      <c r="L521" s="71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58"/>
      <c r="N521" s="58"/>
      <c r="O521" s="5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72"/>
      <c r="B522" s="63"/>
      <c r="C522" s="63"/>
      <c r="D522" s="67"/>
      <c r="E522" s="67"/>
      <c r="F522" s="68" t="str">
        <f t="shared" si="7"/>
        <v/>
      </c>
      <c r="G522" s="67" t="str">
        <f t="shared" si="8"/>
        <v/>
      </c>
      <c r="H522" s="69" t="str">
        <f t="shared" si="9"/>
        <v/>
      </c>
      <c r="I522" s="70" t="str">
        <f t="shared" si="10"/>
        <v/>
      </c>
      <c r="J522" s="67" t="str">
        <f t="shared" si="11"/>
        <v/>
      </c>
      <c r="K522" s="71" t="str">
        <f t="shared" si="12"/>
        <v/>
      </c>
      <c r="L522" s="71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58"/>
      <c r="N522" s="58"/>
      <c r="O522" s="5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72"/>
      <c r="B523" s="63"/>
      <c r="C523" s="63"/>
      <c r="D523" s="67"/>
      <c r="E523" s="67"/>
      <c r="F523" s="68" t="str">
        <f t="shared" si="7"/>
        <v/>
      </c>
      <c r="G523" s="67" t="str">
        <f t="shared" si="8"/>
        <v/>
      </c>
      <c r="H523" s="69" t="str">
        <f t="shared" si="9"/>
        <v/>
      </c>
      <c r="I523" s="70" t="str">
        <f t="shared" si="10"/>
        <v/>
      </c>
      <c r="J523" s="67" t="str">
        <f t="shared" si="11"/>
        <v/>
      </c>
      <c r="K523" s="71" t="str">
        <f t="shared" si="12"/>
        <v/>
      </c>
      <c r="L523" s="71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58"/>
      <c r="N523" s="58"/>
      <c r="O523" s="5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72"/>
      <c r="B524" s="63"/>
      <c r="C524" s="63"/>
      <c r="D524" s="67"/>
      <c r="E524" s="67"/>
      <c r="F524" s="68" t="str">
        <f t="shared" si="7"/>
        <v/>
      </c>
      <c r="G524" s="67" t="str">
        <f t="shared" si="8"/>
        <v/>
      </c>
      <c r="H524" s="69" t="str">
        <f t="shared" si="9"/>
        <v/>
      </c>
      <c r="I524" s="70" t="str">
        <f t="shared" si="10"/>
        <v/>
      </c>
      <c r="J524" s="67" t="str">
        <f t="shared" si="11"/>
        <v/>
      </c>
      <c r="K524" s="71" t="str">
        <f t="shared" si="12"/>
        <v/>
      </c>
      <c r="L524" s="71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58"/>
      <c r="N524" s="58"/>
      <c r="O524" s="5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72"/>
      <c r="B525" s="63"/>
      <c r="C525" s="63"/>
      <c r="D525" s="67"/>
      <c r="E525" s="67"/>
      <c r="F525" s="68" t="str">
        <f t="shared" si="7"/>
        <v/>
      </c>
      <c r="G525" s="67" t="str">
        <f t="shared" si="8"/>
        <v/>
      </c>
      <c r="H525" s="69" t="str">
        <f t="shared" si="9"/>
        <v/>
      </c>
      <c r="I525" s="70" t="str">
        <f t="shared" si="10"/>
        <v/>
      </c>
      <c r="J525" s="67" t="str">
        <f t="shared" si="11"/>
        <v/>
      </c>
      <c r="K525" s="71" t="str">
        <f t="shared" si="12"/>
        <v/>
      </c>
      <c r="L525" s="71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58"/>
      <c r="N525" s="58"/>
      <c r="O525" s="5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72"/>
      <c r="B526" s="63"/>
      <c r="C526" s="63"/>
      <c r="D526" s="67"/>
      <c r="E526" s="67"/>
      <c r="F526" s="68" t="str">
        <f t="shared" si="7"/>
        <v/>
      </c>
      <c r="G526" s="67" t="str">
        <f t="shared" si="8"/>
        <v/>
      </c>
      <c r="H526" s="69" t="str">
        <f t="shared" si="9"/>
        <v/>
      </c>
      <c r="I526" s="70" t="str">
        <f t="shared" si="10"/>
        <v/>
      </c>
      <c r="J526" s="67" t="str">
        <f t="shared" si="11"/>
        <v/>
      </c>
      <c r="K526" s="71" t="str">
        <f t="shared" si="12"/>
        <v/>
      </c>
      <c r="L526" s="71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58"/>
      <c r="N526" s="58"/>
      <c r="O526" s="5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72"/>
      <c r="B527" s="63"/>
      <c r="C527" s="63"/>
      <c r="D527" s="67"/>
      <c r="E527" s="67"/>
      <c r="F527" s="68" t="str">
        <f t="shared" si="7"/>
        <v/>
      </c>
      <c r="G527" s="67" t="str">
        <f t="shared" si="8"/>
        <v/>
      </c>
      <c r="H527" s="69" t="str">
        <f t="shared" si="9"/>
        <v/>
      </c>
      <c r="I527" s="70" t="str">
        <f t="shared" si="10"/>
        <v/>
      </c>
      <c r="J527" s="67" t="str">
        <f t="shared" si="11"/>
        <v/>
      </c>
      <c r="K527" s="71" t="str">
        <f t="shared" si="12"/>
        <v/>
      </c>
      <c r="L527" s="71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58"/>
      <c r="N527" s="58"/>
      <c r="O527" s="5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72"/>
      <c r="B528" s="63"/>
      <c r="C528" s="63"/>
      <c r="D528" s="67"/>
      <c r="E528" s="67"/>
      <c r="F528" s="68" t="str">
        <f t="shared" si="7"/>
        <v/>
      </c>
      <c r="G528" s="67" t="str">
        <f t="shared" si="8"/>
        <v/>
      </c>
      <c r="H528" s="69" t="str">
        <f t="shared" si="9"/>
        <v/>
      </c>
      <c r="I528" s="70" t="str">
        <f t="shared" si="10"/>
        <v/>
      </c>
      <c r="J528" s="67" t="str">
        <f t="shared" si="11"/>
        <v/>
      </c>
      <c r="K528" s="71" t="str">
        <f t="shared" si="12"/>
        <v/>
      </c>
      <c r="L528" s="71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58"/>
      <c r="N528" s="58"/>
      <c r="O528" s="5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72"/>
      <c r="B529" s="63"/>
      <c r="C529" s="63"/>
      <c r="D529" s="67"/>
      <c r="E529" s="67"/>
      <c r="F529" s="68" t="str">
        <f t="shared" si="7"/>
        <v/>
      </c>
      <c r="G529" s="67" t="str">
        <f t="shared" si="8"/>
        <v/>
      </c>
      <c r="H529" s="69" t="str">
        <f t="shared" si="9"/>
        <v/>
      </c>
      <c r="I529" s="70" t="str">
        <f t="shared" si="10"/>
        <v/>
      </c>
      <c r="J529" s="67" t="str">
        <f t="shared" si="11"/>
        <v/>
      </c>
      <c r="K529" s="71" t="str">
        <f t="shared" si="12"/>
        <v/>
      </c>
      <c r="L529" s="71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58"/>
      <c r="N529" s="58"/>
      <c r="O529" s="5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72"/>
      <c r="B530" s="63"/>
      <c r="C530" s="63"/>
      <c r="D530" s="67"/>
      <c r="E530" s="67"/>
      <c r="F530" s="68" t="str">
        <f t="shared" si="7"/>
        <v/>
      </c>
      <c r="G530" s="67" t="str">
        <f t="shared" si="8"/>
        <v/>
      </c>
      <c r="H530" s="69" t="str">
        <f t="shared" si="9"/>
        <v/>
      </c>
      <c r="I530" s="70" t="str">
        <f t="shared" si="10"/>
        <v/>
      </c>
      <c r="J530" s="67" t="str">
        <f t="shared" si="11"/>
        <v/>
      </c>
      <c r="K530" s="71" t="str">
        <f t="shared" si="12"/>
        <v/>
      </c>
      <c r="L530" s="71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58"/>
      <c r="N530" s="58"/>
      <c r="O530" s="5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72"/>
      <c r="B531" s="63"/>
      <c r="C531" s="63"/>
      <c r="D531" s="67"/>
      <c r="E531" s="67"/>
      <c r="F531" s="68" t="str">
        <f t="shared" si="7"/>
        <v/>
      </c>
      <c r="G531" s="67" t="str">
        <f t="shared" si="8"/>
        <v/>
      </c>
      <c r="H531" s="69" t="str">
        <f t="shared" si="9"/>
        <v/>
      </c>
      <c r="I531" s="70" t="str">
        <f t="shared" si="10"/>
        <v/>
      </c>
      <c r="J531" s="67" t="str">
        <f t="shared" si="11"/>
        <v/>
      </c>
      <c r="K531" s="71" t="str">
        <f t="shared" si="12"/>
        <v/>
      </c>
      <c r="L531" s="71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58"/>
      <c r="N531" s="58"/>
      <c r="O531" s="5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72"/>
      <c r="B532" s="63"/>
      <c r="C532" s="63"/>
      <c r="D532" s="67"/>
      <c r="E532" s="67"/>
      <c r="F532" s="68" t="str">
        <f t="shared" si="7"/>
        <v/>
      </c>
      <c r="G532" s="67" t="str">
        <f t="shared" si="8"/>
        <v/>
      </c>
      <c r="H532" s="69" t="str">
        <f t="shared" si="9"/>
        <v/>
      </c>
      <c r="I532" s="70" t="str">
        <f t="shared" si="10"/>
        <v/>
      </c>
      <c r="J532" s="67" t="str">
        <f t="shared" si="11"/>
        <v/>
      </c>
      <c r="K532" s="71" t="str">
        <f t="shared" si="12"/>
        <v/>
      </c>
      <c r="L532" s="71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58"/>
      <c r="N532" s="58"/>
      <c r="O532" s="5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72"/>
      <c r="B533" s="63"/>
      <c r="C533" s="63"/>
      <c r="D533" s="67"/>
      <c r="E533" s="67"/>
      <c r="F533" s="68" t="str">
        <f t="shared" si="7"/>
        <v/>
      </c>
      <c r="G533" s="67" t="str">
        <f t="shared" si="8"/>
        <v/>
      </c>
      <c r="H533" s="69" t="str">
        <f t="shared" si="9"/>
        <v/>
      </c>
      <c r="I533" s="70" t="str">
        <f t="shared" si="10"/>
        <v/>
      </c>
      <c r="J533" s="67" t="str">
        <f t="shared" si="11"/>
        <v/>
      </c>
      <c r="K533" s="71" t="str">
        <f t="shared" si="12"/>
        <v/>
      </c>
      <c r="L533" s="71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58"/>
      <c r="N533" s="58"/>
      <c r="O533" s="5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72"/>
      <c r="B534" s="63"/>
      <c r="C534" s="63"/>
      <c r="D534" s="67"/>
      <c r="E534" s="67"/>
      <c r="F534" s="68" t="str">
        <f t="shared" si="7"/>
        <v/>
      </c>
      <c r="G534" s="67" t="str">
        <f t="shared" si="8"/>
        <v/>
      </c>
      <c r="H534" s="69" t="str">
        <f t="shared" si="9"/>
        <v/>
      </c>
      <c r="I534" s="70" t="str">
        <f t="shared" si="10"/>
        <v/>
      </c>
      <c r="J534" s="67" t="str">
        <f t="shared" si="11"/>
        <v/>
      </c>
      <c r="K534" s="71" t="str">
        <f t="shared" si="12"/>
        <v/>
      </c>
      <c r="L534" s="71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58"/>
      <c r="N534" s="58"/>
      <c r="O534" s="5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72"/>
      <c r="B535" s="63"/>
      <c r="C535" s="63"/>
      <c r="D535" s="67"/>
      <c r="E535" s="67"/>
      <c r="F535" s="68" t="str">
        <f t="shared" si="7"/>
        <v/>
      </c>
      <c r="G535" s="67" t="str">
        <f t="shared" si="8"/>
        <v/>
      </c>
      <c r="H535" s="69" t="str">
        <f t="shared" si="9"/>
        <v/>
      </c>
      <c r="I535" s="70" t="str">
        <f t="shared" si="10"/>
        <v/>
      </c>
      <c r="J535" s="67" t="str">
        <f t="shared" si="11"/>
        <v/>
      </c>
      <c r="K535" s="71" t="str">
        <f t="shared" si="12"/>
        <v/>
      </c>
      <c r="L535" s="71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58"/>
      <c r="N535" s="58"/>
      <c r="O535" s="5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72"/>
      <c r="B536" s="63"/>
      <c r="C536" s="63"/>
      <c r="D536" s="67"/>
      <c r="E536" s="67"/>
      <c r="F536" s="68" t="str">
        <f t="shared" si="7"/>
        <v/>
      </c>
      <c r="G536" s="67" t="str">
        <f t="shared" si="8"/>
        <v/>
      </c>
      <c r="H536" s="69" t="str">
        <f t="shared" si="9"/>
        <v/>
      </c>
      <c r="I536" s="70" t="str">
        <f t="shared" si="10"/>
        <v/>
      </c>
      <c r="J536" s="67" t="str">
        <f t="shared" si="11"/>
        <v/>
      </c>
      <c r="K536" s="71" t="str">
        <f t="shared" si="12"/>
        <v/>
      </c>
      <c r="L536" s="71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58"/>
      <c r="N536" s="58"/>
      <c r="O536" s="5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72"/>
      <c r="B537" s="63"/>
      <c r="C537" s="63"/>
      <c r="D537" s="67"/>
      <c r="E537" s="67"/>
      <c r="F537" s="68" t="str">
        <f t="shared" si="7"/>
        <v/>
      </c>
      <c r="G537" s="67" t="str">
        <f t="shared" si="8"/>
        <v/>
      </c>
      <c r="H537" s="69" t="str">
        <f t="shared" si="9"/>
        <v/>
      </c>
      <c r="I537" s="70" t="str">
        <f t="shared" si="10"/>
        <v/>
      </c>
      <c r="J537" s="67" t="str">
        <f t="shared" si="11"/>
        <v/>
      </c>
      <c r="K537" s="71" t="str">
        <f t="shared" si="12"/>
        <v/>
      </c>
      <c r="L537" s="71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58"/>
      <c r="N537" s="58"/>
      <c r="O537" s="5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72"/>
      <c r="B538" s="63"/>
      <c r="C538" s="63"/>
      <c r="D538" s="67"/>
      <c r="E538" s="67"/>
      <c r="F538" s="68" t="str">
        <f t="shared" si="7"/>
        <v/>
      </c>
      <c r="G538" s="67" t="str">
        <f t="shared" si="8"/>
        <v/>
      </c>
      <c r="H538" s="69" t="str">
        <f t="shared" si="9"/>
        <v/>
      </c>
      <c r="I538" s="70" t="str">
        <f t="shared" si="10"/>
        <v/>
      </c>
      <c r="J538" s="67" t="str">
        <f t="shared" si="11"/>
        <v/>
      </c>
      <c r="K538" s="71" t="str">
        <f t="shared" si="12"/>
        <v/>
      </c>
      <c r="L538" s="71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58"/>
      <c r="N538" s="58"/>
      <c r="O538" s="5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72"/>
      <c r="B539" s="63"/>
      <c r="C539" s="63"/>
      <c r="D539" s="67"/>
      <c r="E539" s="67"/>
      <c r="F539" s="68" t="str">
        <f t="shared" si="7"/>
        <v/>
      </c>
      <c r="G539" s="67" t="str">
        <f t="shared" si="8"/>
        <v/>
      </c>
      <c r="H539" s="69" t="str">
        <f t="shared" si="9"/>
        <v/>
      </c>
      <c r="I539" s="70" t="str">
        <f t="shared" si="10"/>
        <v/>
      </c>
      <c r="J539" s="67" t="str">
        <f t="shared" si="11"/>
        <v/>
      </c>
      <c r="K539" s="71" t="str">
        <f t="shared" si="12"/>
        <v/>
      </c>
      <c r="L539" s="71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58"/>
      <c r="N539" s="58"/>
      <c r="O539" s="5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72"/>
      <c r="B540" s="63"/>
      <c r="C540" s="63"/>
      <c r="D540" s="67"/>
      <c r="E540" s="67"/>
      <c r="F540" s="68" t="str">
        <f t="shared" si="7"/>
        <v/>
      </c>
      <c r="G540" s="67" t="str">
        <f t="shared" si="8"/>
        <v/>
      </c>
      <c r="H540" s="69" t="str">
        <f t="shared" si="9"/>
        <v/>
      </c>
      <c r="I540" s="70" t="str">
        <f t="shared" si="10"/>
        <v/>
      </c>
      <c r="J540" s="67" t="str">
        <f t="shared" si="11"/>
        <v/>
      </c>
      <c r="K540" s="71" t="str">
        <f t="shared" si="12"/>
        <v/>
      </c>
      <c r="L540" s="71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58"/>
      <c r="N540" s="58"/>
      <c r="O540" s="5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72"/>
      <c r="B541" s="63"/>
      <c r="C541" s="63"/>
      <c r="D541" s="67"/>
      <c r="E541" s="67"/>
      <c r="F541" s="68" t="str">
        <f t="shared" si="7"/>
        <v/>
      </c>
      <c r="G541" s="67" t="str">
        <f t="shared" si="8"/>
        <v/>
      </c>
      <c r="H541" s="69" t="str">
        <f t="shared" si="9"/>
        <v/>
      </c>
      <c r="I541" s="70" t="str">
        <f t="shared" si="10"/>
        <v/>
      </c>
      <c r="J541" s="67" t="str">
        <f t="shared" si="11"/>
        <v/>
      </c>
      <c r="K541" s="71" t="str">
        <f t="shared" si="12"/>
        <v/>
      </c>
      <c r="L541" s="71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58"/>
      <c r="N541" s="58"/>
      <c r="O541" s="5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72"/>
      <c r="B542" s="63"/>
      <c r="C542" s="63"/>
      <c r="D542" s="67"/>
      <c r="E542" s="67"/>
      <c r="F542" s="68" t="str">
        <f t="shared" si="7"/>
        <v/>
      </c>
      <c r="G542" s="67" t="str">
        <f t="shared" si="8"/>
        <v/>
      </c>
      <c r="H542" s="69" t="str">
        <f t="shared" si="9"/>
        <v/>
      </c>
      <c r="I542" s="70" t="str">
        <f t="shared" si="10"/>
        <v/>
      </c>
      <c r="J542" s="67" t="str">
        <f t="shared" si="11"/>
        <v/>
      </c>
      <c r="K542" s="71" t="str">
        <f t="shared" si="12"/>
        <v/>
      </c>
      <c r="L542" s="71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58"/>
      <c r="N542" s="58"/>
      <c r="O542" s="5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72"/>
      <c r="B543" s="63"/>
      <c r="C543" s="63"/>
      <c r="D543" s="67"/>
      <c r="E543" s="67"/>
      <c r="F543" s="68" t="str">
        <f t="shared" si="7"/>
        <v/>
      </c>
      <c r="G543" s="67" t="str">
        <f t="shared" si="8"/>
        <v/>
      </c>
      <c r="H543" s="69" t="str">
        <f t="shared" si="9"/>
        <v/>
      </c>
      <c r="I543" s="70" t="str">
        <f t="shared" si="10"/>
        <v/>
      </c>
      <c r="J543" s="67" t="str">
        <f t="shared" si="11"/>
        <v/>
      </c>
      <c r="K543" s="71" t="str">
        <f t="shared" si="12"/>
        <v/>
      </c>
      <c r="L543" s="71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58"/>
      <c r="N543" s="58"/>
      <c r="O543" s="5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72"/>
      <c r="B544" s="63"/>
      <c r="C544" s="63"/>
      <c r="D544" s="67"/>
      <c r="E544" s="67"/>
      <c r="F544" s="68" t="str">
        <f t="shared" si="7"/>
        <v/>
      </c>
      <c r="G544" s="67" t="str">
        <f t="shared" si="8"/>
        <v/>
      </c>
      <c r="H544" s="69" t="str">
        <f t="shared" si="9"/>
        <v/>
      </c>
      <c r="I544" s="70" t="str">
        <f t="shared" si="10"/>
        <v/>
      </c>
      <c r="J544" s="67" t="str">
        <f t="shared" si="11"/>
        <v/>
      </c>
      <c r="K544" s="71" t="str">
        <f t="shared" si="12"/>
        <v/>
      </c>
      <c r="L544" s="71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58"/>
      <c r="N544" s="58"/>
      <c r="O544" s="5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72"/>
      <c r="B545" s="63"/>
      <c r="C545" s="63"/>
      <c r="D545" s="67"/>
      <c r="E545" s="67"/>
      <c r="F545" s="68" t="str">
        <f t="shared" si="7"/>
        <v/>
      </c>
      <c r="G545" s="67" t="str">
        <f t="shared" si="8"/>
        <v/>
      </c>
      <c r="H545" s="69" t="str">
        <f t="shared" si="9"/>
        <v/>
      </c>
      <c r="I545" s="70" t="str">
        <f t="shared" si="10"/>
        <v/>
      </c>
      <c r="J545" s="67" t="str">
        <f t="shared" si="11"/>
        <v/>
      </c>
      <c r="K545" s="71" t="str">
        <f t="shared" si="12"/>
        <v/>
      </c>
      <c r="L545" s="71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58"/>
      <c r="N545" s="58"/>
      <c r="O545" s="5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72"/>
      <c r="B546" s="63"/>
      <c r="C546" s="63"/>
      <c r="D546" s="67"/>
      <c r="E546" s="67"/>
      <c r="F546" s="68" t="str">
        <f t="shared" si="7"/>
        <v/>
      </c>
      <c r="G546" s="67" t="str">
        <f t="shared" si="8"/>
        <v/>
      </c>
      <c r="H546" s="69" t="str">
        <f t="shared" si="9"/>
        <v/>
      </c>
      <c r="I546" s="70" t="str">
        <f t="shared" si="10"/>
        <v/>
      </c>
      <c r="J546" s="67" t="str">
        <f t="shared" si="11"/>
        <v/>
      </c>
      <c r="K546" s="71" t="str">
        <f t="shared" si="12"/>
        <v/>
      </c>
      <c r="L546" s="71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58"/>
      <c r="N546" s="58"/>
      <c r="O546" s="5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72"/>
      <c r="B547" s="63"/>
      <c r="C547" s="63"/>
      <c r="D547" s="67"/>
      <c r="E547" s="67"/>
      <c r="F547" s="68" t="str">
        <f t="shared" si="7"/>
        <v/>
      </c>
      <c r="G547" s="67" t="str">
        <f t="shared" si="8"/>
        <v/>
      </c>
      <c r="H547" s="69" t="str">
        <f t="shared" si="9"/>
        <v/>
      </c>
      <c r="I547" s="70" t="str">
        <f t="shared" si="10"/>
        <v/>
      </c>
      <c r="J547" s="67" t="str">
        <f t="shared" si="11"/>
        <v/>
      </c>
      <c r="K547" s="71" t="str">
        <f t="shared" si="12"/>
        <v/>
      </c>
      <c r="L547" s="71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58"/>
      <c r="N547" s="58"/>
      <c r="O547" s="5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72"/>
      <c r="B548" s="63"/>
      <c r="C548" s="63"/>
      <c r="D548" s="67"/>
      <c r="E548" s="67"/>
      <c r="F548" s="68" t="str">
        <f t="shared" si="7"/>
        <v/>
      </c>
      <c r="G548" s="67" t="str">
        <f t="shared" si="8"/>
        <v/>
      </c>
      <c r="H548" s="69" t="str">
        <f t="shared" si="9"/>
        <v/>
      </c>
      <c r="I548" s="70" t="str">
        <f t="shared" si="10"/>
        <v/>
      </c>
      <c r="J548" s="67" t="str">
        <f t="shared" si="11"/>
        <v/>
      </c>
      <c r="K548" s="71" t="str">
        <f t="shared" si="12"/>
        <v/>
      </c>
      <c r="L548" s="71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58"/>
      <c r="N548" s="58"/>
      <c r="O548" s="5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72"/>
      <c r="B549" s="63"/>
      <c r="C549" s="63"/>
      <c r="D549" s="67"/>
      <c r="E549" s="67"/>
      <c r="F549" s="68" t="str">
        <f t="shared" si="7"/>
        <v/>
      </c>
      <c r="G549" s="67" t="str">
        <f t="shared" si="8"/>
        <v/>
      </c>
      <c r="H549" s="69" t="str">
        <f t="shared" si="9"/>
        <v/>
      </c>
      <c r="I549" s="70" t="str">
        <f t="shared" si="10"/>
        <v/>
      </c>
      <c r="J549" s="67" t="str">
        <f t="shared" si="11"/>
        <v/>
      </c>
      <c r="K549" s="71" t="str">
        <f t="shared" si="12"/>
        <v/>
      </c>
      <c r="L549" s="71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58"/>
      <c r="N549" s="58"/>
      <c r="O549" s="5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72"/>
      <c r="B550" s="63"/>
      <c r="C550" s="63"/>
      <c r="D550" s="67"/>
      <c r="E550" s="67"/>
      <c r="F550" s="68" t="str">
        <f t="shared" si="7"/>
        <v/>
      </c>
      <c r="G550" s="67" t="str">
        <f t="shared" si="8"/>
        <v/>
      </c>
      <c r="H550" s="69" t="str">
        <f t="shared" si="9"/>
        <v/>
      </c>
      <c r="I550" s="70" t="str">
        <f t="shared" si="10"/>
        <v/>
      </c>
      <c r="J550" s="67" t="str">
        <f t="shared" si="11"/>
        <v/>
      </c>
      <c r="K550" s="71" t="str">
        <f t="shared" si="12"/>
        <v/>
      </c>
      <c r="L550" s="71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58"/>
      <c r="N550" s="58"/>
      <c r="O550" s="5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72"/>
      <c r="B551" s="63"/>
      <c r="C551" s="63"/>
      <c r="D551" s="67"/>
      <c r="E551" s="67"/>
      <c r="F551" s="68" t="str">
        <f t="shared" si="7"/>
        <v/>
      </c>
      <c r="G551" s="67" t="str">
        <f t="shared" si="8"/>
        <v/>
      </c>
      <c r="H551" s="69" t="str">
        <f t="shared" si="9"/>
        <v/>
      </c>
      <c r="I551" s="70" t="str">
        <f t="shared" si="10"/>
        <v/>
      </c>
      <c r="J551" s="67" t="str">
        <f t="shared" si="11"/>
        <v/>
      </c>
      <c r="K551" s="71" t="str">
        <f t="shared" si="12"/>
        <v/>
      </c>
      <c r="L551" s="71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58"/>
      <c r="N551" s="58"/>
      <c r="O551" s="5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72"/>
      <c r="B552" s="63"/>
      <c r="C552" s="63"/>
      <c r="D552" s="67"/>
      <c r="E552" s="67"/>
      <c r="F552" s="68" t="str">
        <f t="shared" si="7"/>
        <v/>
      </c>
      <c r="G552" s="67" t="str">
        <f t="shared" si="8"/>
        <v/>
      </c>
      <c r="H552" s="69" t="str">
        <f t="shared" si="9"/>
        <v/>
      </c>
      <c r="I552" s="70" t="str">
        <f t="shared" si="10"/>
        <v/>
      </c>
      <c r="J552" s="67" t="str">
        <f t="shared" si="11"/>
        <v/>
      </c>
      <c r="K552" s="71" t="str">
        <f t="shared" si="12"/>
        <v/>
      </c>
      <c r="L552" s="71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58"/>
      <c r="N552" s="58"/>
      <c r="O552" s="5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72"/>
      <c r="B553" s="63"/>
      <c r="C553" s="63"/>
      <c r="D553" s="67"/>
      <c r="E553" s="67"/>
      <c r="F553" s="68" t="str">
        <f t="shared" si="7"/>
        <v/>
      </c>
      <c r="G553" s="67" t="str">
        <f t="shared" si="8"/>
        <v/>
      </c>
      <c r="H553" s="69" t="str">
        <f t="shared" si="9"/>
        <v/>
      </c>
      <c r="I553" s="70" t="str">
        <f t="shared" si="10"/>
        <v/>
      </c>
      <c r="J553" s="67" t="str">
        <f t="shared" si="11"/>
        <v/>
      </c>
      <c r="K553" s="71" t="str">
        <f t="shared" si="12"/>
        <v/>
      </c>
      <c r="L553" s="71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58"/>
      <c r="N553" s="58"/>
      <c r="O553" s="5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72"/>
      <c r="B554" s="63"/>
      <c r="C554" s="63"/>
      <c r="D554" s="67"/>
      <c r="E554" s="67"/>
      <c r="F554" s="68" t="str">
        <f t="shared" si="7"/>
        <v/>
      </c>
      <c r="G554" s="67" t="str">
        <f t="shared" si="8"/>
        <v/>
      </c>
      <c r="H554" s="69" t="str">
        <f t="shared" si="9"/>
        <v/>
      </c>
      <c r="I554" s="70" t="str">
        <f t="shared" si="10"/>
        <v/>
      </c>
      <c r="J554" s="67" t="str">
        <f t="shared" si="11"/>
        <v/>
      </c>
      <c r="K554" s="71" t="str">
        <f t="shared" si="12"/>
        <v/>
      </c>
      <c r="L554" s="71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58"/>
      <c r="N554" s="58"/>
      <c r="O554" s="5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72"/>
      <c r="B555" s="63"/>
      <c r="C555" s="63"/>
      <c r="D555" s="67"/>
      <c r="E555" s="67"/>
      <c r="F555" s="68" t="str">
        <f t="shared" si="7"/>
        <v/>
      </c>
      <c r="G555" s="67" t="str">
        <f t="shared" si="8"/>
        <v/>
      </c>
      <c r="H555" s="69" t="str">
        <f t="shared" si="9"/>
        <v/>
      </c>
      <c r="I555" s="70" t="str">
        <f t="shared" si="10"/>
        <v/>
      </c>
      <c r="J555" s="67" t="str">
        <f t="shared" si="11"/>
        <v/>
      </c>
      <c r="K555" s="71" t="str">
        <f t="shared" si="12"/>
        <v/>
      </c>
      <c r="L555" s="71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58"/>
      <c r="N555" s="58"/>
      <c r="O555" s="5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72"/>
      <c r="B556" s="63"/>
      <c r="C556" s="63"/>
      <c r="D556" s="67"/>
      <c r="E556" s="67"/>
      <c r="F556" s="68" t="str">
        <f t="shared" si="7"/>
        <v/>
      </c>
      <c r="G556" s="67" t="str">
        <f t="shared" si="8"/>
        <v/>
      </c>
      <c r="H556" s="69" t="str">
        <f t="shared" si="9"/>
        <v/>
      </c>
      <c r="I556" s="70" t="str">
        <f t="shared" si="10"/>
        <v/>
      </c>
      <c r="J556" s="67" t="str">
        <f t="shared" si="11"/>
        <v/>
      </c>
      <c r="K556" s="71" t="str">
        <f t="shared" si="12"/>
        <v/>
      </c>
      <c r="L556" s="71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58"/>
      <c r="N556" s="58"/>
      <c r="O556" s="5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72"/>
      <c r="B557" s="63"/>
      <c r="C557" s="63"/>
      <c r="D557" s="67"/>
      <c r="E557" s="67"/>
      <c r="F557" s="68" t="str">
        <f t="shared" si="7"/>
        <v/>
      </c>
      <c r="G557" s="67" t="str">
        <f t="shared" si="8"/>
        <v/>
      </c>
      <c r="H557" s="69" t="str">
        <f t="shared" si="9"/>
        <v/>
      </c>
      <c r="I557" s="70" t="str">
        <f t="shared" si="10"/>
        <v/>
      </c>
      <c r="J557" s="67" t="str">
        <f t="shared" si="11"/>
        <v/>
      </c>
      <c r="K557" s="71" t="str">
        <f t="shared" si="12"/>
        <v/>
      </c>
      <c r="L557" s="71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58"/>
      <c r="N557" s="58"/>
      <c r="O557" s="5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72"/>
      <c r="B558" s="63"/>
      <c r="C558" s="63"/>
      <c r="D558" s="67"/>
      <c r="E558" s="67"/>
      <c r="F558" s="68" t="str">
        <f t="shared" si="7"/>
        <v/>
      </c>
      <c r="G558" s="67" t="str">
        <f t="shared" si="8"/>
        <v/>
      </c>
      <c r="H558" s="69" t="str">
        <f t="shared" si="9"/>
        <v/>
      </c>
      <c r="I558" s="70" t="str">
        <f t="shared" si="10"/>
        <v/>
      </c>
      <c r="J558" s="67" t="str">
        <f t="shared" si="11"/>
        <v/>
      </c>
      <c r="K558" s="71" t="str">
        <f t="shared" si="12"/>
        <v/>
      </c>
      <c r="L558" s="71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58"/>
      <c r="N558" s="58"/>
      <c r="O558" s="5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72"/>
      <c r="B559" s="63"/>
      <c r="C559" s="63"/>
      <c r="D559" s="67"/>
      <c r="E559" s="67"/>
      <c r="F559" s="68" t="str">
        <f t="shared" si="7"/>
        <v/>
      </c>
      <c r="G559" s="67" t="str">
        <f t="shared" si="8"/>
        <v/>
      </c>
      <c r="H559" s="69" t="str">
        <f t="shared" si="9"/>
        <v/>
      </c>
      <c r="I559" s="70" t="str">
        <f t="shared" si="10"/>
        <v/>
      </c>
      <c r="J559" s="67" t="str">
        <f t="shared" si="11"/>
        <v/>
      </c>
      <c r="K559" s="71" t="str">
        <f t="shared" si="12"/>
        <v/>
      </c>
      <c r="L559" s="71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58"/>
      <c r="N559" s="58"/>
      <c r="O559" s="5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72"/>
      <c r="B560" s="63"/>
      <c r="C560" s="63"/>
      <c r="D560" s="67"/>
      <c r="E560" s="67"/>
      <c r="F560" s="68" t="str">
        <f t="shared" si="7"/>
        <v/>
      </c>
      <c r="G560" s="67" t="str">
        <f t="shared" si="8"/>
        <v/>
      </c>
      <c r="H560" s="69" t="str">
        <f t="shared" si="9"/>
        <v/>
      </c>
      <c r="I560" s="70" t="str">
        <f t="shared" si="10"/>
        <v/>
      </c>
      <c r="J560" s="67" t="str">
        <f t="shared" si="11"/>
        <v/>
      </c>
      <c r="K560" s="71" t="str">
        <f t="shared" si="12"/>
        <v/>
      </c>
      <c r="L560" s="71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58"/>
      <c r="N560" s="58"/>
      <c r="O560" s="5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72"/>
      <c r="B561" s="63"/>
      <c r="C561" s="63"/>
      <c r="D561" s="67"/>
      <c r="E561" s="67"/>
      <c r="F561" s="68" t="str">
        <f t="shared" si="7"/>
        <v/>
      </c>
      <c r="G561" s="67" t="str">
        <f t="shared" si="8"/>
        <v/>
      </c>
      <c r="H561" s="69" t="str">
        <f t="shared" si="9"/>
        <v/>
      </c>
      <c r="I561" s="70" t="str">
        <f t="shared" si="10"/>
        <v/>
      </c>
      <c r="J561" s="67" t="str">
        <f t="shared" si="11"/>
        <v/>
      </c>
      <c r="K561" s="71" t="str">
        <f t="shared" si="12"/>
        <v/>
      </c>
      <c r="L561" s="71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58"/>
      <c r="N561" s="58"/>
      <c r="O561" s="5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72"/>
      <c r="B562" s="63"/>
      <c r="C562" s="63"/>
      <c r="D562" s="67"/>
      <c r="E562" s="67"/>
      <c r="F562" s="68" t="str">
        <f t="shared" si="7"/>
        <v/>
      </c>
      <c r="G562" s="67" t="str">
        <f t="shared" si="8"/>
        <v/>
      </c>
      <c r="H562" s="69" t="str">
        <f t="shared" si="9"/>
        <v/>
      </c>
      <c r="I562" s="70" t="str">
        <f t="shared" si="10"/>
        <v/>
      </c>
      <c r="J562" s="67" t="str">
        <f t="shared" si="11"/>
        <v/>
      </c>
      <c r="K562" s="71" t="str">
        <f t="shared" si="12"/>
        <v/>
      </c>
      <c r="L562" s="71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58"/>
      <c r="N562" s="58"/>
      <c r="O562" s="5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72"/>
      <c r="B563" s="63"/>
      <c r="C563" s="63"/>
      <c r="D563" s="67"/>
      <c r="E563" s="67"/>
      <c r="F563" s="68" t="str">
        <f t="shared" si="7"/>
        <v/>
      </c>
      <c r="G563" s="67" t="str">
        <f t="shared" si="8"/>
        <v/>
      </c>
      <c r="H563" s="69" t="str">
        <f t="shared" si="9"/>
        <v/>
      </c>
      <c r="I563" s="70" t="str">
        <f t="shared" si="10"/>
        <v/>
      </c>
      <c r="J563" s="67" t="str">
        <f t="shared" si="11"/>
        <v/>
      </c>
      <c r="K563" s="71" t="str">
        <f t="shared" si="12"/>
        <v/>
      </c>
      <c r="L563" s="71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58"/>
      <c r="N563" s="58"/>
      <c r="O563" s="5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72"/>
      <c r="B564" s="63"/>
      <c r="C564" s="63"/>
      <c r="D564" s="67"/>
      <c r="E564" s="67"/>
      <c r="F564" s="68" t="str">
        <f t="shared" si="7"/>
        <v/>
      </c>
      <c r="G564" s="67" t="str">
        <f t="shared" si="8"/>
        <v/>
      </c>
      <c r="H564" s="69" t="str">
        <f t="shared" si="9"/>
        <v/>
      </c>
      <c r="I564" s="70" t="str">
        <f t="shared" si="10"/>
        <v/>
      </c>
      <c r="J564" s="67" t="str">
        <f t="shared" si="11"/>
        <v/>
      </c>
      <c r="K564" s="71" t="str">
        <f t="shared" si="12"/>
        <v/>
      </c>
      <c r="L564" s="71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58"/>
      <c r="N564" s="58"/>
      <c r="O564" s="5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72"/>
      <c r="B565" s="63"/>
      <c r="C565" s="63"/>
      <c r="D565" s="67"/>
      <c r="E565" s="67"/>
      <c r="F565" s="68" t="str">
        <f t="shared" si="7"/>
        <v/>
      </c>
      <c r="G565" s="67" t="str">
        <f t="shared" si="8"/>
        <v/>
      </c>
      <c r="H565" s="69" t="str">
        <f t="shared" si="9"/>
        <v/>
      </c>
      <c r="I565" s="70" t="str">
        <f t="shared" si="10"/>
        <v/>
      </c>
      <c r="J565" s="67" t="str">
        <f t="shared" si="11"/>
        <v/>
      </c>
      <c r="K565" s="71" t="str">
        <f t="shared" si="12"/>
        <v/>
      </c>
      <c r="L565" s="71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58"/>
      <c r="N565" s="58"/>
      <c r="O565" s="5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72"/>
      <c r="B566" s="63"/>
      <c r="C566" s="63"/>
      <c r="D566" s="67"/>
      <c r="E566" s="67"/>
      <c r="F566" s="68" t="str">
        <f t="shared" si="7"/>
        <v/>
      </c>
      <c r="G566" s="67" t="str">
        <f t="shared" si="8"/>
        <v/>
      </c>
      <c r="H566" s="69" t="str">
        <f t="shared" si="9"/>
        <v/>
      </c>
      <c r="I566" s="70" t="str">
        <f t="shared" si="10"/>
        <v/>
      </c>
      <c r="J566" s="67" t="str">
        <f t="shared" si="11"/>
        <v/>
      </c>
      <c r="K566" s="71" t="str">
        <f t="shared" si="12"/>
        <v/>
      </c>
      <c r="L566" s="71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58"/>
      <c r="N566" s="58"/>
      <c r="O566" s="5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72"/>
      <c r="B567" s="63"/>
      <c r="C567" s="63"/>
      <c r="D567" s="67"/>
      <c r="E567" s="67"/>
      <c r="F567" s="68" t="str">
        <f t="shared" si="7"/>
        <v/>
      </c>
      <c r="G567" s="67" t="str">
        <f t="shared" si="8"/>
        <v/>
      </c>
      <c r="H567" s="69" t="str">
        <f t="shared" si="9"/>
        <v/>
      </c>
      <c r="I567" s="70" t="str">
        <f t="shared" si="10"/>
        <v/>
      </c>
      <c r="J567" s="67" t="str">
        <f t="shared" si="11"/>
        <v/>
      </c>
      <c r="K567" s="71" t="str">
        <f t="shared" si="12"/>
        <v/>
      </c>
      <c r="L567" s="71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58"/>
      <c r="N567" s="58"/>
      <c r="O567" s="5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72"/>
      <c r="B568" s="63"/>
      <c r="C568" s="63"/>
      <c r="D568" s="67"/>
      <c r="E568" s="67"/>
      <c r="F568" s="68" t="str">
        <f t="shared" si="7"/>
        <v/>
      </c>
      <c r="G568" s="67" t="str">
        <f t="shared" si="8"/>
        <v/>
      </c>
      <c r="H568" s="69" t="str">
        <f t="shared" si="9"/>
        <v/>
      </c>
      <c r="I568" s="70" t="str">
        <f t="shared" si="10"/>
        <v/>
      </c>
      <c r="J568" s="67" t="str">
        <f t="shared" si="11"/>
        <v/>
      </c>
      <c r="K568" s="71" t="str">
        <f t="shared" si="12"/>
        <v/>
      </c>
      <c r="L568" s="71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58"/>
      <c r="N568" s="58"/>
      <c r="O568" s="5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72"/>
      <c r="B569" s="63"/>
      <c r="C569" s="63"/>
      <c r="D569" s="67"/>
      <c r="E569" s="67"/>
      <c r="F569" s="68" t="str">
        <f t="shared" si="7"/>
        <v/>
      </c>
      <c r="G569" s="67" t="str">
        <f t="shared" si="8"/>
        <v/>
      </c>
      <c r="H569" s="69" t="str">
        <f t="shared" si="9"/>
        <v/>
      </c>
      <c r="I569" s="70" t="str">
        <f t="shared" si="10"/>
        <v/>
      </c>
      <c r="J569" s="67" t="str">
        <f t="shared" si="11"/>
        <v/>
      </c>
      <c r="K569" s="71" t="str">
        <f t="shared" si="12"/>
        <v/>
      </c>
      <c r="L569" s="71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58"/>
      <c r="N569" s="58"/>
      <c r="O569" s="5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72"/>
      <c r="B570" s="63"/>
      <c r="C570" s="63"/>
      <c r="D570" s="67"/>
      <c r="E570" s="67"/>
      <c r="F570" s="68" t="str">
        <f t="shared" si="7"/>
        <v/>
      </c>
      <c r="G570" s="67" t="str">
        <f t="shared" si="8"/>
        <v/>
      </c>
      <c r="H570" s="69" t="str">
        <f t="shared" si="9"/>
        <v/>
      </c>
      <c r="I570" s="70" t="str">
        <f t="shared" si="10"/>
        <v/>
      </c>
      <c r="J570" s="67" t="str">
        <f t="shared" si="11"/>
        <v/>
      </c>
      <c r="K570" s="71" t="str">
        <f t="shared" si="12"/>
        <v/>
      </c>
      <c r="L570" s="71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58"/>
      <c r="N570" s="58"/>
      <c r="O570" s="5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72"/>
      <c r="B571" s="63"/>
      <c r="C571" s="63"/>
      <c r="D571" s="67"/>
      <c r="E571" s="67"/>
      <c r="F571" s="68" t="str">
        <f t="shared" si="7"/>
        <v/>
      </c>
      <c r="G571" s="67" t="str">
        <f t="shared" si="8"/>
        <v/>
      </c>
      <c r="H571" s="69" t="str">
        <f t="shared" si="9"/>
        <v/>
      </c>
      <c r="I571" s="70" t="str">
        <f t="shared" si="10"/>
        <v/>
      </c>
      <c r="J571" s="67" t="str">
        <f t="shared" si="11"/>
        <v/>
      </c>
      <c r="K571" s="71" t="str">
        <f t="shared" si="12"/>
        <v/>
      </c>
      <c r="L571" s="71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58"/>
      <c r="N571" s="58"/>
      <c r="O571" s="5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72"/>
      <c r="B572" s="63"/>
      <c r="C572" s="63"/>
      <c r="D572" s="67"/>
      <c r="E572" s="67"/>
      <c r="F572" s="68" t="str">
        <f t="shared" si="7"/>
        <v/>
      </c>
      <c r="G572" s="67" t="str">
        <f t="shared" si="8"/>
        <v/>
      </c>
      <c r="H572" s="69" t="str">
        <f t="shared" si="9"/>
        <v/>
      </c>
      <c r="I572" s="70" t="str">
        <f t="shared" si="10"/>
        <v/>
      </c>
      <c r="J572" s="67" t="str">
        <f t="shared" si="11"/>
        <v/>
      </c>
      <c r="K572" s="71" t="str">
        <f t="shared" si="12"/>
        <v/>
      </c>
      <c r="L572" s="71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58"/>
      <c r="N572" s="58"/>
      <c r="O572" s="5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72"/>
      <c r="B573" s="63"/>
      <c r="C573" s="63"/>
      <c r="D573" s="67"/>
      <c r="E573" s="67"/>
      <c r="F573" s="68" t="str">
        <f t="shared" si="7"/>
        <v/>
      </c>
      <c r="G573" s="67" t="str">
        <f t="shared" si="8"/>
        <v/>
      </c>
      <c r="H573" s="69" t="str">
        <f t="shared" si="9"/>
        <v/>
      </c>
      <c r="I573" s="70" t="str">
        <f t="shared" si="10"/>
        <v/>
      </c>
      <c r="J573" s="67" t="str">
        <f t="shared" si="11"/>
        <v/>
      </c>
      <c r="K573" s="71" t="str">
        <f t="shared" si="12"/>
        <v/>
      </c>
      <c r="L573" s="71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58"/>
      <c r="N573" s="58"/>
      <c r="O573" s="5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72"/>
      <c r="B574" s="63"/>
      <c r="C574" s="63"/>
      <c r="D574" s="67"/>
      <c r="E574" s="67"/>
      <c r="F574" s="68" t="str">
        <f t="shared" si="7"/>
        <v/>
      </c>
      <c r="G574" s="67" t="str">
        <f t="shared" si="8"/>
        <v/>
      </c>
      <c r="H574" s="69" t="str">
        <f t="shared" si="9"/>
        <v/>
      </c>
      <c r="I574" s="70" t="str">
        <f t="shared" si="10"/>
        <v/>
      </c>
      <c r="J574" s="67" t="str">
        <f t="shared" si="11"/>
        <v/>
      </c>
      <c r="K574" s="71" t="str">
        <f t="shared" si="12"/>
        <v/>
      </c>
      <c r="L574" s="71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58"/>
      <c r="N574" s="58"/>
      <c r="O574" s="5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72"/>
      <c r="B575" s="63"/>
      <c r="C575" s="63"/>
      <c r="D575" s="67"/>
      <c r="E575" s="67"/>
      <c r="F575" s="68" t="str">
        <f t="shared" si="7"/>
        <v/>
      </c>
      <c r="G575" s="67" t="str">
        <f t="shared" si="8"/>
        <v/>
      </c>
      <c r="H575" s="69" t="str">
        <f t="shared" si="9"/>
        <v/>
      </c>
      <c r="I575" s="70" t="str">
        <f t="shared" si="10"/>
        <v/>
      </c>
      <c r="J575" s="67" t="str">
        <f t="shared" si="11"/>
        <v/>
      </c>
      <c r="K575" s="71" t="str">
        <f t="shared" si="12"/>
        <v/>
      </c>
      <c r="L575" s="71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58"/>
      <c r="N575" s="58"/>
      <c r="O575" s="5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72"/>
      <c r="B576" s="63"/>
      <c r="C576" s="63"/>
      <c r="D576" s="67"/>
      <c r="E576" s="67"/>
      <c r="F576" s="68" t="str">
        <f t="shared" si="7"/>
        <v/>
      </c>
      <c r="G576" s="67" t="str">
        <f t="shared" si="8"/>
        <v/>
      </c>
      <c r="H576" s="69" t="str">
        <f t="shared" si="9"/>
        <v/>
      </c>
      <c r="I576" s="70" t="str">
        <f t="shared" si="10"/>
        <v/>
      </c>
      <c r="J576" s="67" t="str">
        <f t="shared" si="11"/>
        <v/>
      </c>
      <c r="K576" s="71" t="str">
        <f t="shared" si="12"/>
        <v/>
      </c>
      <c r="L576" s="71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58"/>
      <c r="N576" s="58"/>
      <c r="O576" s="5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72"/>
      <c r="B577" s="63"/>
      <c r="C577" s="63"/>
      <c r="D577" s="67"/>
      <c r="E577" s="67"/>
      <c r="F577" s="68" t="str">
        <f t="shared" si="7"/>
        <v/>
      </c>
      <c r="G577" s="67" t="str">
        <f t="shared" si="8"/>
        <v/>
      </c>
      <c r="H577" s="69" t="str">
        <f t="shared" si="9"/>
        <v/>
      </c>
      <c r="I577" s="70" t="str">
        <f t="shared" si="10"/>
        <v/>
      </c>
      <c r="J577" s="67" t="str">
        <f t="shared" si="11"/>
        <v/>
      </c>
      <c r="K577" s="71" t="str">
        <f t="shared" si="12"/>
        <v/>
      </c>
      <c r="L577" s="71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58"/>
      <c r="N577" s="58"/>
      <c r="O577" s="5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72"/>
      <c r="B578" s="63"/>
      <c r="C578" s="63"/>
      <c r="D578" s="67"/>
      <c r="E578" s="67"/>
      <c r="F578" s="68" t="str">
        <f t="shared" si="7"/>
        <v/>
      </c>
      <c r="G578" s="67" t="str">
        <f t="shared" si="8"/>
        <v/>
      </c>
      <c r="H578" s="69" t="str">
        <f t="shared" si="9"/>
        <v/>
      </c>
      <c r="I578" s="70" t="str">
        <f t="shared" si="10"/>
        <v/>
      </c>
      <c r="J578" s="67" t="str">
        <f t="shared" si="11"/>
        <v/>
      </c>
      <c r="K578" s="71" t="str">
        <f t="shared" si="12"/>
        <v/>
      </c>
      <c r="L578" s="71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58"/>
      <c r="N578" s="58"/>
      <c r="O578" s="5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72"/>
      <c r="B579" s="63"/>
      <c r="C579" s="63"/>
      <c r="D579" s="67"/>
      <c r="E579" s="67"/>
      <c r="F579" s="68" t="str">
        <f t="shared" si="7"/>
        <v/>
      </c>
      <c r="G579" s="67" t="str">
        <f t="shared" si="8"/>
        <v/>
      </c>
      <c r="H579" s="69" t="str">
        <f t="shared" si="9"/>
        <v/>
      </c>
      <c r="I579" s="70" t="str">
        <f t="shared" si="10"/>
        <v/>
      </c>
      <c r="J579" s="67" t="str">
        <f t="shared" si="11"/>
        <v/>
      </c>
      <c r="K579" s="71" t="str">
        <f t="shared" si="12"/>
        <v/>
      </c>
      <c r="L579" s="71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58"/>
      <c r="N579" s="58"/>
      <c r="O579" s="5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72"/>
      <c r="B580" s="63"/>
      <c r="C580" s="63"/>
      <c r="D580" s="67"/>
      <c r="E580" s="67"/>
      <c r="F580" s="68" t="str">
        <f t="shared" si="7"/>
        <v/>
      </c>
      <c r="G580" s="67" t="str">
        <f t="shared" si="8"/>
        <v/>
      </c>
      <c r="H580" s="69" t="str">
        <f t="shared" si="9"/>
        <v/>
      </c>
      <c r="I580" s="70" t="str">
        <f t="shared" si="10"/>
        <v/>
      </c>
      <c r="J580" s="67" t="str">
        <f t="shared" si="11"/>
        <v/>
      </c>
      <c r="K580" s="71" t="str">
        <f t="shared" si="12"/>
        <v/>
      </c>
      <c r="L580" s="71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58"/>
      <c r="N580" s="58"/>
      <c r="O580" s="5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72"/>
      <c r="B581" s="63"/>
      <c r="C581" s="63"/>
      <c r="D581" s="67"/>
      <c r="E581" s="67"/>
      <c r="F581" s="68" t="str">
        <f t="shared" si="7"/>
        <v/>
      </c>
      <c r="G581" s="67" t="str">
        <f t="shared" si="8"/>
        <v/>
      </c>
      <c r="H581" s="69" t="str">
        <f t="shared" si="9"/>
        <v/>
      </c>
      <c r="I581" s="70" t="str">
        <f t="shared" si="10"/>
        <v/>
      </c>
      <c r="J581" s="67" t="str">
        <f t="shared" si="11"/>
        <v/>
      </c>
      <c r="K581" s="71" t="str">
        <f t="shared" si="12"/>
        <v/>
      </c>
      <c r="L581" s="71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58"/>
      <c r="N581" s="58"/>
      <c r="O581" s="5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72"/>
      <c r="B582" s="63"/>
      <c r="C582" s="63"/>
      <c r="D582" s="67"/>
      <c r="E582" s="67"/>
      <c r="F582" s="68" t="str">
        <f t="shared" si="7"/>
        <v/>
      </c>
      <c r="G582" s="67" t="str">
        <f t="shared" si="8"/>
        <v/>
      </c>
      <c r="H582" s="69" t="str">
        <f t="shared" si="9"/>
        <v/>
      </c>
      <c r="I582" s="70" t="str">
        <f t="shared" si="10"/>
        <v/>
      </c>
      <c r="J582" s="67" t="str">
        <f t="shared" si="11"/>
        <v/>
      </c>
      <c r="K582" s="71" t="str">
        <f t="shared" si="12"/>
        <v/>
      </c>
      <c r="L582" s="71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58"/>
      <c r="N582" s="58"/>
      <c r="O582" s="5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72"/>
      <c r="B583" s="63"/>
      <c r="C583" s="63"/>
      <c r="D583" s="67"/>
      <c r="E583" s="67"/>
      <c r="F583" s="68" t="str">
        <f t="shared" si="7"/>
        <v/>
      </c>
      <c r="G583" s="67" t="str">
        <f t="shared" si="8"/>
        <v/>
      </c>
      <c r="H583" s="69" t="str">
        <f t="shared" si="9"/>
        <v/>
      </c>
      <c r="I583" s="70" t="str">
        <f t="shared" si="10"/>
        <v/>
      </c>
      <c r="J583" s="67" t="str">
        <f t="shared" si="11"/>
        <v/>
      </c>
      <c r="K583" s="71" t="str">
        <f t="shared" si="12"/>
        <v/>
      </c>
      <c r="L583" s="71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58"/>
      <c r="N583" s="58"/>
      <c r="O583" s="5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72"/>
      <c r="B584" s="63"/>
      <c r="C584" s="63"/>
      <c r="D584" s="67"/>
      <c r="E584" s="67"/>
      <c r="F584" s="68" t="str">
        <f t="shared" si="7"/>
        <v/>
      </c>
      <c r="G584" s="67" t="str">
        <f t="shared" si="8"/>
        <v/>
      </c>
      <c r="H584" s="69" t="str">
        <f t="shared" si="9"/>
        <v/>
      </c>
      <c r="I584" s="70" t="str">
        <f t="shared" si="10"/>
        <v/>
      </c>
      <c r="J584" s="67" t="str">
        <f t="shared" si="11"/>
        <v/>
      </c>
      <c r="K584" s="71" t="str">
        <f t="shared" si="12"/>
        <v/>
      </c>
      <c r="L584" s="71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58"/>
      <c r="N584" s="58"/>
      <c r="O584" s="5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72"/>
      <c r="B585" s="63"/>
      <c r="C585" s="63"/>
      <c r="D585" s="67"/>
      <c r="E585" s="67"/>
      <c r="F585" s="68" t="str">
        <f t="shared" si="7"/>
        <v/>
      </c>
      <c r="G585" s="67" t="str">
        <f t="shared" si="8"/>
        <v/>
      </c>
      <c r="H585" s="69" t="str">
        <f t="shared" si="9"/>
        <v/>
      </c>
      <c r="I585" s="70" t="str">
        <f t="shared" si="10"/>
        <v/>
      </c>
      <c r="J585" s="67" t="str">
        <f t="shared" si="11"/>
        <v/>
      </c>
      <c r="K585" s="71" t="str">
        <f t="shared" si="12"/>
        <v/>
      </c>
      <c r="L585" s="71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58"/>
      <c r="N585" s="58"/>
      <c r="O585" s="5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72"/>
      <c r="B586" s="63"/>
      <c r="C586" s="63"/>
      <c r="D586" s="67"/>
      <c r="E586" s="67"/>
      <c r="F586" s="68" t="str">
        <f t="shared" si="7"/>
        <v/>
      </c>
      <c r="G586" s="67" t="str">
        <f t="shared" si="8"/>
        <v/>
      </c>
      <c r="H586" s="69" t="str">
        <f t="shared" si="9"/>
        <v/>
      </c>
      <c r="I586" s="70" t="str">
        <f t="shared" si="10"/>
        <v/>
      </c>
      <c r="J586" s="67" t="str">
        <f t="shared" si="11"/>
        <v/>
      </c>
      <c r="K586" s="71" t="str">
        <f t="shared" si="12"/>
        <v/>
      </c>
      <c r="L586" s="71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58"/>
      <c r="N586" s="58"/>
      <c r="O586" s="5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72"/>
      <c r="B587" s="63"/>
      <c r="C587" s="63"/>
      <c r="D587" s="67"/>
      <c r="E587" s="67"/>
      <c r="F587" s="68" t="str">
        <f t="shared" si="7"/>
        <v/>
      </c>
      <c r="G587" s="67" t="str">
        <f t="shared" si="8"/>
        <v/>
      </c>
      <c r="H587" s="69" t="str">
        <f t="shared" si="9"/>
        <v/>
      </c>
      <c r="I587" s="70" t="str">
        <f t="shared" si="10"/>
        <v/>
      </c>
      <c r="J587" s="67" t="str">
        <f t="shared" si="11"/>
        <v/>
      </c>
      <c r="K587" s="71" t="str">
        <f t="shared" si="12"/>
        <v/>
      </c>
      <c r="L587" s="71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58"/>
      <c r="N587" s="58"/>
      <c r="O587" s="5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72"/>
      <c r="B588" s="63"/>
      <c r="C588" s="63"/>
      <c r="D588" s="67"/>
      <c r="E588" s="67"/>
      <c r="F588" s="68" t="str">
        <f t="shared" si="7"/>
        <v/>
      </c>
      <c r="G588" s="67" t="str">
        <f t="shared" si="8"/>
        <v/>
      </c>
      <c r="H588" s="69" t="str">
        <f t="shared" si="9"/>
        <v/>
      </c>
      <c r="I588" s="70" t="str">
        <f t="shared" si="10"/>
        <v/>
      </c>
      <c r="J588" s="67" t="str">
        <f t="shared" si="11"/>
        <v/>
      </c>
      <c r="K588" s="71" t="str">
        <f t="shared" si="12"/>
        <v/>
      </c>
      <c r="L588" s="71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58"/>
      <c r="N588" s="58"/>
      <c r="O588" s="5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72"/>
      <c r="B589" s="63"/>
      <c r="C589" s="63"/>
      <c r="D589" s="67"/>
      <c r="E589" s="67"/>
      <c r="F589" s="68" t="str">
        <f t="shared" si="7"/>
        <v/>
      </c>
      <c r="G589" s="67" t="str">
        <f t="shared" si="8"/>
        <v/>
      </c>
      <c r="H589" s="69" t="str">
        <f t="shared" si="9"/>
        <v/>
      </c>
      <c r="I589" s="70" t="str">
        <f t="shared" si="10"/>
        <v/>
      </c>
      <c r="J589" s="67" t="str">
        <f t="shared" si="11"/>
        <v/>
      </c>
      <c r="K589" s="71" t="str">
        <f t="shared" si="12"/>
        <v/>
      </c>
      <c r="L589" s="71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58"/>
      <c r="N589" s="58"/>
      <c r="O589" s="5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72"/>
      <c r="B590" s="63"/>
      <c r="C590" s="63"/>
      <c r="D590" s="67"/>
      <c r="E590" s="67"/>
      <c r="F590" s="68" t="str">
        <f t="shared" si="7"/>
        <v/>
      </c>
      <c r="G590" s="67" t="str">
        <f t="shared" si="8"/>
        <v/>
      </c>
      <c r="H590" s="69" t="str">
        <f t="shared" si="9"/>
        <v/>
      </c>
      <c r="I590" s="70" t="str">
        <f t="shared" si="10"/>
        <v/>
      </c>
      <c r="J590" s="67" t="str">
        <f t="shared" si="11"/>
        <v/>
      </c>
      <c r="K590" s="71" t="str">
        <f t="shared" si="12"/>
        <v/>
      </c>
      <c r="L590" s="71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58"/>
      <c r="N590" s="58"/>
      <c r="O590" s="5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72"/>
      <c r="B591" s="63"/>
      <c r="C591" s="63"/>
      <c r="D591" s="67"/>
      <c r="E591" s="67"/>
      <c r="F591" s="68" t="str">
        <f t="shared" si="7"/>
        <v/>
      </c>
      <c r="G591" s="67" t="str">
        <f t="shared" si="8"/>
        <v/>
      </c>
      <c r="H591" s="69" t="str">
        <f t="shared" si="9"/>
        <v/>
      </c>
      <c r="I591" s="70" t="str">
        <f t="shared" si="10"/>
        <v/>
      </c>
      <c r="J591" s="67" t="str">
        <f t="shared" si="11"/>
        <v/>
      </c>
      <c r="K591" s="71" t="str">
        <f t="shared" si="12"/>
        <v/>
      </c>
      <c r="L591" s="71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58"/>
      <c r="N591" s="58"/>
      <c r="O591" s="5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72"/>
      <c r="B592" s="63"/>
      <c r="C592" s="63"/>
      <c r="D592" s="67"/>
      <c r="E592" s="67"/>
      <c r="F592" s="68" t="str">
        <f t="shared" si="7"/>
        <v/>
      </c>
      <c r="G592" s="67" t="str">
        <f t="shared" si="8"/>
        <v/>
      </c>
      <c r="H592" s="69" t="str">
        <f t="shared" si="9"/>
        <v/>
      </c>
      <c r="I592" s="70" t="str">
        <f t="shared" si="10"/>
        <v/>
      </c>
      <c r="J592" s="67" t="str">
        <f t="shared" si="11"/>
        <v/>
      </c>
      <c r="K592" s="71" t="str">
        <f t="shared" si="12"/>
        <v/>
      </c>
      <c r="L592" s="71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58"/>
      <c r="N592" s="58"/>
      <c r="O592" s="5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72"/>
      <c r="B593" s="63"/>
      <c r="C593" s="63"/>
      <c r="D593" s="67"/>
      <c r="E593" s="67"/>
      <c r="F593" s="68" t="str">
        <f t="shared" si="7"/>
        <v/>
      </c>
      <c r="G593" s="67" t="str">
        <f t="shared" si="8"/>
        <v/>
      </c>
      <c r="H593" s="69" t="str">
        <f t="shared" si="9"/>
        <v/>
      </c>
      <c r="I593" s="70" t="str">
        <f t="shared" si="10"/>
        <v/>
      </c>
      <c r="J593" s="67" t="str">
        <f t="shared" si="11"/>
        <v/>
      </c>
      <c r="K593" s="71" t="str">
        <f t="shared" si="12"/>
        <v/>
      </c>
      <c r="L593" s="71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58"/>
      <c r="N593" s="58"/>
      <c r="O593" s="5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72"/>
      <c r="B594" s="63"/>
      <c r="C594" s="63"/>
      <c r="D594" s="67"/>
      <c r="E594" s="67"/>
      <c r="F594" s="68" t="str">
        <f t="shared" si="7"/>
        <v/>
      </c>
      <c r="G594" s="67" t="str">
        <f t="shared" si="8"/>
        <v/>
      </c>
      <c r="H594" s="69" t="str">
        <f t="shared" si="9"/>
        <v/>
      </c>
      <c r="I594" s="70" t="str">
        <f t="shared" si="10"/>
        <v/>
      </c>
      <c r="J594" s="67" t="str">
        <f t="shared" si="11"/>
        <v/>
      </c>
      <c r="K594" s="71" t="str">
        <f t="shared" si="12"/>
        <v/>
      </c>
      <c r="L594" s="71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58"/>
      <c r="N594" s="58"/>
      <c r="O594" s="5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72"/>
      <c r="B595" s="63"/>
      <c r="C595" s="63"/>
      <c r="D595" s="67"/>
      <c r="E595" s="67"/>
      <c r="F595" s="68" t="str">
        <f t="shared" si="7"/>
        <v/>
      </c>
      <c r="G595" s="67" t="str">
        <f t="shared" si="8"/>
        <v/>
      </c>
      <c r="H595" s="69" t="str">
        <f t="shared" si="9"/>
        <v/>
      </c>
      <c r="I595" s="70" t="str">
        <f t="shared" si="10"/>
        <v/>
      </c>
      <c r="J595" s="67" t="str">
        <f t="shared" si="11"/>
        <v/>
      </c>
      <c r="K595" s="71" t="str">
        <f t="shared" si="12"/>
        <v/>
      </c>
      <c r="L595" s="71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58"/>
      <c r="N595" s="58"/>
      <c r="O595" s="5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72"/>
      <c r="B596" s="63"/>
      <c r="C596" s="63"/>
      <c r="D596" s="67"/>
      <c r="E596" s="67"/>
      <c r="F596" s="68" t="str">
        <f t="shared" si="7"/>
        <v/>
      </c>
      <c r="G596" s="67" t="str">
        <f t="shared" si="8"/>
        <v/>
      </c>
      <c r="H596" s="69" t="str">
        <f t="shared" si="9"/>
        <v/>
      </c>
      <c r="I596" s="70" t="str">
        <f t="shared" si="10"/>
        <v/>
      </c>
      <c r="J596" s="67" t="str">
        <f t="shared" si="11"/>
        <v/>
      </c>
      <c r="K596" s="71" t="str">
        <f t="shared" si="12"/>
        <v/>
      </c>
      <c r="L596" s="71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58"/>
      <c r="N596" s="58"/>
      <c r="O596" s="5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72"/>
      <c r="B597" s="63"/>
      <c r="C597" s="63"/>
      <c r="D597" s="67"/>
      <c r="E597" s="67"/>
      <c r="F597" s="68" t="str">
        <f t="shared" si="7"/>
        <v/>
      </c>
      <c r="G597" s="67" t="str">
        <f t="shared" si="8"/>
        <v/>
      </c>
      <c r="H597" s="69" t="str">
        <f t="shared" si="9"/>
        <v/>
      </c>
      <c r="I597" s="70" t="str">
        <f t="shared" si="10"/>
        <v/>
      </c>
      <c r="J597" s="67" t="str">
        <f t="shared" si="11"/>
        <v/>
      </c>
      <c r="K597" s="71" t="str">
        <f t="shared" si="12"/>
        <v/>
      </c>
      <c r="L597" s="71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58"/>
      <c r="N597" s="58"/>
      <c r="O597" s="5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72"/>
      <c r="B598" s="63"/>
      <c r="C598" s="63"/>
      <c r="D598" s="67"/>
      <c r="E598" s="67"/>
      <c r="F598" s="68" t="str">
        <f t="shared" si="7"/>
        <v/>
      </c>
      <c r="G598" s="67" t="str">
        <f t="shared" si="8"/>
        <v/>
      </c>
      <c r="H598" s="69" t="str">
        <f t="shared" si="9"/>
        <v/>
      </c>
      <c r="I598" s="70" t="str">
        <f t="shared" si="10"/>
        <v/>
      </c>
      <c r="J598" s="67" t="str">
        <f t="shared" si="11"/>
        <v/>
      </c>
      <c r="K598" s="71" t="str">
        <f t="shared" si="12"/>
        <v/>
      </c>
      <c r="L598" s="71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58"/>
      <c r="N598" s="58"/>
      <c r="O598" s="5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72"/>
      <c r="B599" s="63"/>
      <c r="C599" s="63"/>
      <c r="D599" s="67"/>
      <c r="E599" s="67"/>
      <c r="F599" s="68" t="str">
        <f t="shared" si="7"/>
        <v/>
      </c>
      <c r="G599" s="67" t="str">
        <f t="shared" si="8"/>
        <v/>
      </c>
      <c r="H599" s="69" t="str">
        <f t="shared" si="9"/>
        <v/>
      </c>
      <c r="I599" s="70" t="str">
        <f t="shared" si="10"/>
        <v/>
      </c>
      <c r="J599" s="67" t="str">
        <f t="shared" si="11"/>
        <v/>
      </c>
      <c r="K599" s="71" t="str">
        <f t="shared" si="12"/>
        <v/>
      </c>
      <c r="L599" s="71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58"/>
      <c r="N599" s="58"/>
      <c r="O599" s="5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72"/>
      <c r="B600" s="63"/>
      <c r="C600" s="63"/>
      <c r="D600" s="67"/>
      <c r="E600" s="67"/>
      <c r="F600" s="68" t="str">
        <f t="shared" si="7"/>
        <v/>
      </c>
      <c r="G600" s="67" t="str">
        <f t="shared" si="8"/>
        <v/>
      </c>
      <c r="H600" s="69" t="str">
        <f t="shared" si="9"/>
        <v/>
      </c>
      <c r="I600" s="70" t="str">
        <f t="shared" si="10"/>
        <v/>
      </c>
      <c r="J600" s="67" t="str">
        <f t="shared" si="11"/>
        <v/>
      </c>
      <c r="K600" s="71" t="str">
        <f t="shared" si="12"/>
        <v/>
      </c>
      <c r="L600" s="71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58"/>
      <c r="N600" s="58"/>
      <c r="O600" s="5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72"/>
      <c r="B601" s="63"/>
      <c r="C601" s="63"/>
      <c r="D601" s="67"/>
      <c r="E601" s="67"/>
      <c r="F601" s="68" t="str">
        <f t="shared" si="7"/>
        <v/>
      </c>
      <c r="G601" s="67" t="str">
        <f t="shared" si="8"/>
        <v/>
      </c>
      <c r="H601" s="69" t="str">
        <f t="shared" si="9"/>
        <v/>
      </c>
      <c r="I601" s="70" t="str">
        <f t="shared" si="10"/>
        <v/>
      </c>
      <c r="J601" s="67" t="str">
        <f t="shared" si="11"/>
        <v/>
      </c>
      <c r="K601" s="71" t="str">
        <f t="shared" si="12"/>
        <v/>
      </c>
      <c r="L601" s="71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58"/>
      <c r="N601" s="58"/>
      <c r="O601" s="5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72"/>
      <c r="B602" s="63"/>
      <c r="C602" s="63"/>
      <c r="D602" s="67"/>
      <c r="E602" s="67"/>
      <c r="F602" s="68" t="str">
        <f t="shared" si="7"/>
        <v/>
      </c>
      <c r="G602" s="67" t="str">
        <f t="shared" si="8"/>
        <v/>
      </c>
      <c r="H602" s="69" t="str">
        <f t="shared" si="9"/>
        <v/>
      </c>
      <c r="I602" s="70" t="str">
        <f t="shared" si="10"/>
        <v/>
      </c>
      <c r="J602" s="67" t="str">
        <f t="shared" si="11"/>
        <v/>
      </c>
      <c r="K602" s="71" t="str">
        <f t="shared" si="12"/>
        <v/>
      </c>
      <c r="L602" s="71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58"/>
      <c r="N602" s="58"/>
      <c r="O602" s="5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72"/>
      <c r="B603" s="63"/>
      <c r="C603" s="63"/>
      <c r="D603" s="67"/>
      <c r="E603" s="67"/>
      <c r="F603" s="68" t="str">
        <f t="shared" si="7"/>
        <v/>
      </c>
      <c r="G603" s="67" t="str">
        <f t="shared" si="8"/>
        <v/>
      </c>
      <c r="H603" s="69" t="str">
        <f t="shared" si="9"/>
        <v/>
      </c>
      <c r="I603" s="70" t="str">
        <f t="shared" si="10"/>
        <v/>
      </c>
      <c r="J603" s="67" t="str">
        <f t="shared" si="11"/>
        <v/>
      </c>
      <c r="K603" s="71" t="str">
        <f t="shared" si="12"/>
        <v/>
      </c>
      <c r="L603" s="71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58"/>
      <c r="N603" s="58"/>
      <c r="O603" s="5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72"/>
      <c r="B604" s="63"/>
      <c r="C604" s="63"/>
      <c r="D604" s="67"/>
      <c r="E604" s="67"/>
      <c r="F604" s="68" t="str">
        <f t="shared" si="7"/>
        <v/>
      </c>
      <c r="G604" s="67" t="str">
        <f t="shared" si="8"/>
        <v/>
      </c>
      <c r="H604" s="69" t="str">
        <f t="shared" si="9"/>
        <v/>
      </c>
      <c r="I604" s="70" t="str">
        <f t="shared" si="10"/>
        <v/>
      </c>
      <c r="J604" s="67" t="str">
        <f t="shared" si="11"/>
        <v/>
      </c>
      <c r="K604" s="71" t="str">
        <f t="shared" si="12"/>
        <v/>
      </c>
      <c r="L604" s="71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58"/>
      <c r="N604" s="58"/>
      <c r="O604" s="5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72"/>
      <c r="B605" s="63"/>
      <c r="C605" s="63"/>
      <c r="D605" s="67"/>
      <c r="E605" s="67"/>
      <c r="F605" s="68" t="str">
        <f t="shared" si="7"/>
        <v/>
      </c>
      <c r="G605" s="67" t="str">
        <f t="shared" si="8"/>
        <v/>
      </c>
      <c r="H605" s="69" t="str">
        <f t="shared" si="9"/>
        <v/>
      </c>
      <c r="I605" s="70" t="str">
        <f t="shared" si="10"/>
        <v/>
      </c>
      <c r="J605" s="67" t="str">
        <f t="shared" si="11"/>
        <v/>
      </c>
      <c r="K605" s="71" t="str">
        <f t="shared" si="12"/>
        <v/>
      </c>
      <c r="L605" s="71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58"/>
      <c r="N605" s="58"/>
      <c r="O605" s="5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72"/>
      <c r="B606" s="63"/>
      <c r="C606" s="63"/>
      <c r="D606" s="67"/>
      <c r="E606" s="67"/>
      <c r="F606" s="68" t="str">
        <f t="shared" si="7"/>
        <v/>
      </c>
      <c r="G606" s="67" t="str">
        <f t="shared" si="8"/>
        <v/>
      </c>
      <c r="H606" s="69" t="str">
        <f t="shared" si="9"/>
        <v/>
      </c>
      <c r="I606" s="70" t="str">
        <f t="shared" si="10"/>
        <v/>
      </c>
      <c r="J606" s="67" t="str">
        <f t="shared" si="11"/>
        <v/>
      </c>
      <c r="K606" s="71" t="str">
        <f t="shared" si="12"/>
        <v/>
      </c>
      <c r="L606" s="71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58"/>
      <c r="N606" s="58"/>
      <c r="O606" s="5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72"/>
      <c r="B607" s="63"/>
      <c r="C607" s="63"/>
      <c r="D607" s="67"/>
      <c r="E607" s="67"/>
      <c r="F607" s="68" t="str">
        <f t="shared" si="7"/>
        <v/>
      </c>
      <c r="G607" s="67" t="str">
        <f t="shared" si="8"/>
        <v/>
      </c>
      <c r="H607" s="69" t="str">
        <f t="shared" si="9"/>
        <v/>
      </c>
      <c r="I607" s="70" t="str">
        <f t="shared" si="10"/>
        <v/>
      </c>
      <c r="J607" s="67" t="str">
        <f t="shared" si="11"/>
        <v/>
      </c>
      <c r="K607" s="71" t="str">
        <f t="shared" si="12"/>
        <v/>
      </c>
      <c r="L607" s="71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58"/>
      <c r="N607" s="58"/>
      <c r="O607" s="5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72"/>
      <c r="B608" s="63"/>
      <c r="C608" s="63"/>
      <c r="D608" s="67"/>
      <c r="E608" s="67"/>
      <c r="F608" s="68" t="str">
        <f t="shared" si="7"/>
        <v/>
      </c>
      <c r="G608" s="67" t="str">
        <f t="shared" si="8"/>
        <v/>
      </c>
      <c r="H608" s="69" t="str">
        <f t="shared" si="9"/>
        <v/>
      </c>
      <c r="I608" s="70" t="str">
        <f t="shared" si="10"/>
        <v/>
      </c>
      <c r="J608" s="67" t="str">
        <f t="shared" si="11"/>
        <v/>
      </c>
      <c r="K608" s="71" t="str">
        <f t="shared" si="12"/>
        <v/>
      </c>
      <c r="L608" s="71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58"/>
      <c r="N608" s="58"/>
      <c r="O608" s="5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72"/>
      <c r="B609" s="63"/>
      <c r="C609" s="63"/>
      <c r="D609" s="67"/>
      <c r="E609" s="67"/>
      <c r="F609" s="68" t="str">
        <f t="shared" si="7"/>
        <v/>
      </c>
      <c r="G609" s="67" t="str">
        <f t="shared" si="8"/>
        <v/>
      </c>
      <c r="H609" s="69" t="str">
        <f t="shared" si="9"/>
        <v/>
      </c>
      <c r="I609" s="70" t="str">
        <f t="shared" si="10"/>
        <v/>
      </c>
      <c r="J609" s="67" t="str">
        <f t="shared" si="11"/>
        <v/>
      </c>
      <c r="K609" s="71" t="str">
        <f t="shared" si="12"/>
        <v/>
      </c>
      <c r="L609" s="71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58"/>
      <c r="N609" s="58"/>
      <c r="O609" s="5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72"/>
      <c r="B610" s="63"/>
      <c r="C610" s="63"/>
      <c r="D610" s="67"/>
      <c r="E610" s="67"/>
      <c r="F610" s="68" t="str">
        <f t="shared" si="7"/>
        <v/>
      </c>
      <c r="G610" s="67" t="str">
        <f t="shared" si="8"/>
        <v/>
      </c>
      <c r="H610" s="69" t="str">
        <f t="shared" si="9"/>
        <v/>
      </c>
      <c r="I610" s="70" t="str">
        <f t="shared" si="10"/>
        <v/>
      </c>
      <c r="J610" s="67" t="str">
        <f t="shared" si="11"/>
        <v/>
      </c>
      <c r="K610" s="71" t="str">
        <f t="shared" si="12"/>
        <v/>
      </c>
      <c r="L610" s="71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58"/>
      <c r="N610" s="58"/>
      <c r="O610" s="5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72"/>
      <c r="B611" s="63"/>
      <c r="C611" s="63"/>
      <c r="D611" s="67"/>
      <c r="E611" s="67"/>
      <c r="F611" s="68" t="str">
        <f t="shared" si="7"/>
        <v/>
      </c>
      <c r="G611" s="67" t="str">
        <f t="shared" si="8"/>
        <v/>
      </c>
      <c r="H611" s="69" t="str">
        <f t="shared" si="9"/>
        <v/>
      </c>
      <c r="I611" s="70" t="str">
        <f t="shared" si="10"/>
        <v/>
      </c>
      <c r="J611" s="67" t="str">
        <f t="shared" si="11"/>
        <v/>
      </c>
      <c r="K611" s="71" t="str">
        <f t="shared" si="12"/>
        <v/>
      </c>
      <c r="L611" s="71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58"/>
      <c r="N611" s="58"/>
      <c r="O611" s="5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72"/>
      <c r="B612" s="63"/>
      <c r="C612" s="63"/>
      <c r="D612" s="67"/>
      <c r="E612" s="67"/>
      <c r="F612" s="68" t="str">
        <f t="shared" si="7"/>
        <v/>
      </c>
      <c r="G612" s="67" t="str">
        <f t="shared" si="8"/>
        <v/>
      </c>
      <c r="H612" s="69" t="str">
        <f t="shared" si="9"/>
        <v/>
      </c>
      <c r="I612" s="70" t="str">
        <f t="shared" si="10"/>
        <v/>
      </c>
      <c r="J612" s="67" t="str">
        <f t="shared" si="11"/>
        <v/>
      </c>
      <c r="K612" s="71" t="str">
        <f t="shared" si="12"/>
        <v/>
      </c>
      <c r="L612" s="71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58"/>
      <c r="N612" s="58"/>
      <c r="O612" s="5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72"/>
      <c r="B613" s="63"/>
      <c r="C613" s="63"/>
      <c r="D613" s="67"/>
      <c r="E613" s="67"/>
      <c r="F613" s="68" t="str">
        <f t="shared" si="7"/>
        <v/>
      </c>
      <c r="G613" s="67" t="str">
        <f t="shared" si="8"/>
        <v/>
      </c>
      <c r="H613" s="69" t="str">
        <f t="shared" si="9"/>
        <v/>
      </c>
      <c r="I613" s="70" t="str">
        <f t="shared" si="10"/>
        <v/>
      </c>
      <c r="J613" s="67" t="str">
        <f t="shared" si="11"/>
        <v/>
      </c>
      <c r="K613" s="71" t="str">
        <f t="shared" si="12"/>
        <v/>
      </c>
      <c r="L613" s="71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58"/>
      <c r="N613" s="58"/>
      <c r="O613" s="5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72"/>
      <c r="B614" s="63"/>
      <c r="C614" s="63"/>
      <c r="D614" s="67"/>
      <c r="E614" s="67"/>
      <c r="F614" s="68" t="str">
        <f t="shared" si="7"/>
        <v/>
      </c>
      <c r="G614" s="67" t="str">
        <f t="shared" si="8"/>
        <v/>
      </c>
      <c r="H614" s="69" t="str">
        <f t="shared" si="9"/>
        <v/>
      </c>
      <c r="I614" s="70" t="str">
        <f t="shared" si="10"/>
        <v/>
      </c>
      <c r="J614" s="67" t="str">
        <f t="shared" si="11"/>
        <v/>
      </c>
      <c r="K614" s="71" t="str">
        <f t="shared" si="12"/>
        <v/>
      </c>
      <c r="L614" s="71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58"/>
      <c r="N614" s="58"/>
      <c r="O614" s="5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72"/>
      <c r="B615" s="63"/>
      <c r="C615" s="63"/>
      <c r="D615" s="67"/>
      <c r="E615" s="67"/>
      <c r="F615" s="68" t="str">
        <f t="shared" si="7"/>
        <v/>
      </c>
      <c r="G615" s="67" t="str">
        <f t="shared" si="8"/>
        <v/>
      </c>
      <c r="H615" s="69" t="str">
        <f t="shared" si="9"/>
        <v/>
      </c>
      <c r="I615" s="70" t="str">
        <f t="shared" si="10"/>
        <v/>
      </c>
      <c r="J615" s="67" t="str">
        <f t="shared" si="11"/>
        <v/>
      </c>
      <c r="K615" s="71" t="str">
        <f t="shared" si="12"/>
        <v/>
      </c>
      <c r="L615" s="71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58"/>
      <c r="N615" s="58"/>
      <c r="O615" s="5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72"/>
      <c r="B616" s="63"/>
      <c r="C616" s="63"/>
      <c r="D616" s="67"/>
      <c r="E616" s="67"/>
      <c r="F616" s="68" t="str">
        <f t="shared" si="7"/>
        <v/>
      </c>
      <c r="G616" s="67" t="str">
        <f t="shared" si="8"/>
        <v/>
      </c>
      <c r="H616" s="69" t="str">
        <f t="shared" si="9"/>
        <v/>
      </c>
      <c r="I616" s="70" t="str">
        <f t="shared" si="10"/>
        <v/>
      </c>
      <c r="J616" s="67" t="str">
        <f t="shared" si="11"/>
        <v/>
      </c>
      <c r="K616" s="71" t="str">
        <f t="shared" si="12"/>
        <v/>
      </c>
      <c r="L616" s="71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58"/>
      <c r="N616" s="58"/>
      <c r="O616" s="5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72"/>
      <c r="B617" s="63"/>
      <c r="C617" s="63"/>
      <c r="D617" s="67"/>
      <c r="E617" s="67"/>
      <c r="F617" s="68" t="str">
        <f t="shared" si="7"/>
        <v/>
      </c>
      <c r="G617" s="67" t="str">
        <f t="shared" si="8"/>
        <v/>
      </c>
      <c r="H617" s="69" t="str">
        <f t="shared" si="9"/>
        <v/>
      </c>
      <c r="I617" s="70" t="str">
        <f t="shared" si="10"/>
        <v/>
      </c>
      <c r="J617" s="67" t="str">
        <f t="shared" si="11"/>
        <v/>
      </c>
      <c r="K617" s="71" t="str">
        <f t="shared" si="12"/>
        <v/>
      </c>
      <c r="L617" s="71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58"/>
      <c r="N617" s="58"/>
      <c r="O617" s="5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72"/>
      <c r="B618" s="63"/>
      <c r="C618" s="63"/>
      <c r="D618" s="67"/>
      <c r="E618" s="67"/>
      <c r="F618" s="68" t="str">
        <f t="shared" si="7"/>
        <v/>
      </c>
      <c r="G618" s="67" t="str">
        <f t="shared" si="8"/>
        <v/>
      </c>
      <c r="H618" s="69" t="str">
        <f t="shared" si="9"/>
        <v/>
      </c>
      <c r="I618" s="70" t="str">
        <f t="shared" si="10"/>
        <v/>
      </c>
      <c r="J618" s="67" t="str">
        <f t="shared" si="11"/>
        <v/>
      </c>
      <c r="K618" s="71" t="str">
        <f t="shared" si="12"/>
        <v/>
      </c>
      <c r="L618" s="71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58"/>
      <c r="N618" s="58"/>
      <c r="O618" s="5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72"/>
      <c r="B619" s="63"/>
      <c r="C619" s="63"/>
      <c r="D619" s="67"/>
      <c r="E619" s="67"/>
      <c r="F619" s="68" t="str">
        <f t="shared" si="7"/>
        <v/>
      </c>
      <c r="G619" s="67" t="str">
        <f t="shared" si="8"/>
        <v/>
      </c>
      <c r="H619" s="69" t="str">
        <f t="shared" si="9"/>
        <v/>
      </c>
      <c r="I619" s="70" t="str">
        <f t="shared" si="10"/>
        <v/>
      </c>
      <c r="J619" s="67" t="str">
        <f t="shared" si="11"/>
        <v/>
      </c>
      <c r="K619" s="71" t="str">
        <f t="shared" si="12"/>
        <v/>
      </c>
      <c r="L619" s="71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58"/>
      <c r="N619" s="58"/>
      <c r="O619" s="5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72"/>
      <c r="B620" s="63"/>
      <c r="C620" s="63"/>
      <c r="D620" s="67"/>
      <c r="E620" s="67"/>
      <c r="F620" s="68" t="str">
        <f t="shared" si="7"/>
        <v/>
      </c>
      <c r="G620" s="67" t="str">
        <f t="shared" si="8"/>
        <v/>
      </c>
      <c r="H620" s="69" t="str">
        <f t="shared" si="9"/>
        <v/>
      </c>
      <c r="I620" s="70" t="str">
        <f t="shared" si="10"/>
        <v/>
      </c>
      <c r="J620" s="67" t="str">
        <f t="shared" si="11"/>
        <v/>
      </c>
      <c r="K620" s="71" t="str">
        <f t="shared" si="12"/>
        <v/>
      </c>
      <c r="L620" s="71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58"/>
      <c r="N620" s="58"/>
      <c r="O620" s="5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72"/>
      <c r="B621" s="63"/>
      <c r="C621" s="63"/>
      <c r="D621" s="67"/>
      <c r="E621" s="67"/>
      <c r="F621" s="68" t="str">
        <f t="shared" si="7"/>
        <v/>
      </c>
      <c r="G621" s="67" t="str">
        <f t="shared" si="8"/>
        <v/>
      </c>
      <c r="H621" s="69" t="str">
        <f t="shared" si="9"/>
        <v/>
      </c>
      <c r="I621" s="70" t="str">
        <f t="shared" si="10"/>
        <v/>
      </c>
      <c r="J621" s="67" t="str">
        <f t="shared" si="11"/>
        <v/>
      </c>
      <c r="K621" s="71" t="str">
        <f t="shared" si="12"/>
        <v/>
      </c>
      <c r="L621" s="71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58"/>
      <c r="N621" s="58"/>
      <c r="O621" s="5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72"/>
      <c r="B622" s="63"/>
      <c r="C622" s="63"/>
      <c r="D622" s="67"/>
      <c r="E622" s="67"/>
      <c r="F622" s="68" t="str">
        <f t="shared" si="7"/>
        <v/>
      </c>
      <c r="G622" s="67" t="str">
        <f t="shared" si="8"/>
        <v/>
      </c>
      <c r="H622" s="69" t="str">
        <f t="shared" si="9"/>
        <v/>
      </c>
      <c r="I622" s="70" t="str">
        <f t="shared" si="10"/>
        <v/>
      </c>
      <c r="J622" s="67" t="str">
        <f t="shared" si="11"/>
        <v/>
      </c>
      <c r="K622" s="71" t="str">
        <f t="shared" si="12"/>
        <v/>
      </c>
      <c r="L622" s="71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58"/>
      <c r="N622" s="58"/>
      <c r="O622" s="5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72"/>
      <c r="B623" s="63"/>
      <c r="C623" s="63"/>
      <c r="D623" s="67"/>
      <c r="E623" s="67"/>
      <c r="F623" s="68" t="str">
        <f t="shared" si="7"/>
        <v/>
      </c>
      <c r="G623" s="67" t="str">
        <f t="shared" si="8"/>
        <v/>
      </c>
      <c r="H623" s="69" t="str">
        <f t="shared" si="9"/>
        <v/>
      </c>
      <c r="I623" s="70" t="str">
        <f t="shared" si="10"/>
        <v/>
      </c>
      <c r="J623" s="67" t="str">
        <f t="shared" si="11"/>
        <v/>
      </c>
      <c r="K623" s="71" t="str">
        <f t="shared" si="12"/>
        <v/>
      </c>
      <c r="L623" s="71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58"/>
      <c r="N623" s="58"/>
      <c r="O623" s="5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72"/>
      <c r="B624" s="63"/>
      <c r="C624" s="63"/>
      <c r="D624" s="67"/>
      <c r="E624" s="67"/>
      <c r="F624" s="68" t="str">
        <f t="shared" si="7"/>
        <v/>
      </c>
      <c r="G624" s="67" t="str">
        <f t="shared" si="8"/>
        <v/>
      </c>
      <c r="H624" s="69" t="str">
        <f t="shared" si="9"/>
        <v/>
      </c>
      <c r="I624" s="70" t="str">
        <f t="shared" si="10"/>
        <v/>
      </c>
      <c r="J624" s="67" t="str">
        <f t="shared" si="11"/>
        <v/>
      </c>
      <c r="K624" s="71" t="str">
        <f t="shared" si="12"/>
        <v/>
      </c>
      <c r="L624" s="71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58"/>
      <c r="N624" s="58"/>
      <c r="O624" s="5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72"/>
      <c r="B625" s="63"/>
      <c r="C625" s="63"/>
      <c r="D625" s="67"/>
      <c r="E625" s="67"/>
      <c r="F625" s="68" t="str">
        <f t="shared" si="7"/>
        <v/>
      </c>
      <c r="G625" s="67" t="str">
        <f t="shared" si="8"/>
        <v/>
      </c>
      <c r="H625" s="69" t="str">
        <f t="shared" si="9"/>
        <v/>
      </c>
      <c r="I625" s="70" t="str">
        <f t="shared" si="10"/>
        <v/>
      </c>
      <c r="J625" s="67" t="str">
        <f t="shared" si="11"/>
        <v/>
      </c>
      <c r="K625" s="71" t="str">
        <f t="shared" si="12"/>
        <v/>
      </c>
      <c r="L625" s="71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58"/>
      <c r="N625" s="58"/>
      <c r="O625" s="5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72"/>
      <c r="B626" s="63"/>
      <c r="C626" s="63"/>
      <c r="D626" s="67"/>
      <c r="E626" s="67"/>
      <c r="F626" s="68" t="str">
        <f t="shared" si="7"/>
        <v/>
      </c>
      <c r="G626" s="67" t="str">
        <f t="shared" si="8"/>
        <v/>
      </c>
      <c r="H626" s="69" t="str">
        <f t="shared" si="9"/>
        <v/>
      </c>
      <c r="I626" s="70" t="str">
        <f t="shared" si="10"/>
        <v/>
      </c>
      <c r="J626" s="67" t="str">
        <f t="shared" si="11"/>
        <v/>
      </c>
      <c r="K626" s="71" t="str">
        <f t="shared" si="12"/>
        <v/>
      </c>
      <c r="L626" s="71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58"/>
      <c r="N626" s="58"/>
      <c r="O626" s="5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72"/>
      <c r="B627" s="63"/>
      <c r="C627" s="63"/>
      <c r="D627" s="67"/>
      <c r="E627" s="67"/>
      <c r="F627" s="68" t="str">
        <f t="shared" si="7"/>
        <v/>
      </c>
      <c r="G627" s="67" t="str">
        <f t="shared" si="8"/>
        <v/>
      </c>
      <c r="H627" s="69" t="str">
        <f t="shared" si="9"/>
        <v/>
      </c>
      <c r="I627" s="70" t="str">
        <f t="shared" si="10"/>
        <v/>
      </c>
      <c r="J627" s="67" t="str">
        <f t="shared" si="11"/>
        <v/>
      </c>
      <c r="K627" s="71" t="str">
        <f t="shared" si="12"/>
        <v/>
      </c>
      <c r="L627" s="71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58"/>
      <c r="N627" s="58"/>
      <c r="O627" s="5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72"/>
      <c r="B628" s="63"/>
      <c r="C628" s="63"/>
      <c r="D628" s="67"/>
      <c r="E628" s="67"/>
      <c r="F628" s="68" t="str">
        <f t="shared" si="7"/>
        <v/>
      </c>
      <c r="G628" s="67" t="str">
        <f t="shared" si="8"/>
        <v/>
      </c>
      <c r="H628" s="69" t="str">
        <f t="shared" si="9"/>
        <v/>
      </c>
      <c r="I628" s="70" t="str">
        <f t="shared" si="10"/>
        <v/>
      </c>
      <c r="J628" s="67" t="str">
        <f t="shared" si="11"/>
        <v/>
      </c>
      <c r="K628" s="71" t="str">
        <f t="shared" si="12"/>
        <v/>
      </c>
      <c r="L628" s="71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58"/>
      <c r="N628" s="58"/>
      <c r="O628" s="5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72"/>
      <c r="B629" s="63"/>
      <c r="C629" s="63"/>
      <c r="D629" s="67"/>
      <c r="E629" s="67"/>
      <c r="F629" s="68" t="str">
        <f t="shared" si="7"/>
        <v/>
      </c>
      <c r="G629" s="67" t="str">
        <f t="shared" si="8"/>
        <v/>
      </c>
      <c r="H629" s="69" t="str">
        <f t="shared" si="9"/>
        <v/>
      </c>
      <c r="I629" s="70" t="str">
        <f t="shared" si="10"/>
        <v/>
      </c>
      <c r="J629" s="67" t="str">
        <f t="shared" si="11"/>
        <v/>
      </c>
      <c r="K629" s="71" t="str">
        <f t="shared" si="12"/>
        <v/>
      </c>
      <c r="L629" s="71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58"/>
      <c r="N629" s="58"/>
      <c r="O629" s="5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72"/>
      <c r="B630" s="63"/>
      <c r="C630" s="63"/>
      <c r="D630" s="67"/>
      <c r="E630" s="67"/>
      <c r="F630" s="68" t="str">
        <f t="shared" si="7"/>
        <v/>
      </c>
      <c r="G630" s="67" t="str">
        <f t="shared" si="8"/>
        <v/>
      </c>
      <c r="H630" s="69" t="str">
        <f t="shared" si="9"/>
        <v/>
      </c>
      <c r="I630" s="70" t="str">
        <f t="shared" si="10"/>
        <v/>
      </c>
      <c r="J630" s="67" t="str">
        <f t="shared" si="11"/>
        <v/>
      </c>
      <c r="K630" s="71" t="str">
        <f t="shared" si="12"/>
        <v/>
      </c>
      <c r="L630" s="71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58"/>
      <c r="N630" s="58"/>
      <c r="O630" s="5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72"/>
      <c r="B631" s="63"/>
      <c r="C631" s="63"/>
      <c r="D631" s="67"/>
      <c r="E631" s="67"/>
      <c r="F631" s="68" t="str">
        <f t="shared" si="7"/>
        <v/>
      </c>
      <c r="G631" s="67" t="str">
        <f t="shared" si="8"/>
        <v/>
      </c>
      <c r="H631" s="69" t="str">
        <f t="shared" si="9"/>
        <v/>
      </c>
      <c r="I631" s="70" t="str">
        <f t="shared" si="10"/>
        <v/>
      </c>
      <c r="J631" s="67" t="str">
        <f t="shared" si="11"/>
        <v/>
      </c>
      <c r="K631" s="71" t="str">
        <f t="shared" si="12"/>
        <v/>
      </c>
      <c r="L631" s="71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58"/>
      <c r="N631" s="58"/>
      <c r="O631" s="5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72"/>
      <c r="B632" s="63"/>
      <c r="C632" s="63"/>
      <c r="D632" s="67"/>
      <c r="E632" s="67"/>
      <c r="F632" s="68" t="str">
        <f t="shared" si="7"/>
        <v/>
      </c>
      <c r="G632" s="67" t="str">
        <f t="shared" si="8"/>
        <v/>
      </c>
      <c r="H632" s="69" t="str">
        <f t="shared" si="9"/>
        <v/>
      </c>
      <c r="I632" s="70" t="str">
        <f t="shared" si="10"/>
        <v/>
      </c>
      <c r="J632" s="67" t="str">
        <f t="shared" si="11"/>
        <v/>
      </c>
      <c r="K632" s="71" t="str">
        <f t="shared" si="12"/>
        <v/>
      </c>
      <c r="L632" s="71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58"/>
      <c r="N632" s="58"/>
      <c r="O632" s="5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72"/>
      <c r="B633" s="63"/>
      <c r="C633" s="63"/>
      <c r="D633" s="67"/>
      <c r="E633" s="67"/>
      <c r="F633" s="68" t="str">
        <f t="shared" si="7"/>
        <v/>
      </c>
      <c r="G633" s="67" t="str">
        <f t="shared" si="8"/>
        <v/>
      </c>
      <c r="H633" s="69" t="str">
        <f t="shared" si="9"/>
        <v/>
      </c>
      <c r="I633" s="70" t="str">
        <f t="shared" si="10"/>
        <v/>
      </c>
      <c r="J633" s="67" t="str">
        <f t="shared" si="11"/>
        <v/>
      </c>
      <c r="K633" s="71" t="str">
        <f t="shared" si="12"/>
        <v/>
      </c>
      <c r="L633" s="71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58"/>
      <c r="N633" s="58"/>
      <c r="O633" s="5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72"/>
      <c r="B634" s="63"/>
      <c r="C634" s="63"/>
      <c r="D634" s="67"/>
      <c r="E634" s="67"/>
      <c r="F634" s="68" t="str">
        <f t="shared" si="7"/>
        <v/>
      </c>
      <c r="G634" s="67" t="str">
        <f t="shared" si="8"/>
        <v/>
      </c>
      <c r="H634" s="69" t="str">
        <f t="shared" si="9"/>
        <v/>
      </c>
      <c r="I634" s="70" t="str">
        <f t="shared" si="10"/>
        <v/>
      </c>
      <c r="J634" s="67" t="str">
        <f t="shared" si="11"/>
        <v/>
      </c>
      <c r="K634" s="71" t="str">
        <f t="shared" si="12"/>
        <v/>
      </c>
      <c r="L634" s="71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58"/>
      <c r="N634" s="58"/>
      <c r="O634" s="5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72"/>
      <c r="B635" s="63"/>
      <c r="C635" s="63"/>
      <c r="D635" s="67"/>
      <c r="E635" s="67"/>
      <c r="F635" s="68" t="str">
        <f t="shared" si="7"/>
        <v/>
      </c>
      <c r="G635" s="67" t="str">
        <f t="shared" si="8"/>
        <v/>
      </c>
      <c r="H635" s="69" t="str">
        <f t="shared" si="9"/>
        <v/>
      </c>
      <c r="I635" s="70" t="str">
        <f t="shared" si="10"/>
        <v/>
      </c>
      <c r="J635" s="67" t="str">
        <f t="shared" si="11"/>
        <v/>
      </c>
      <c r="K635" s="71" t="str">
        <f t="shared" si="12"/>
        <v/>
      </c>
      <c r="L635" s="71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58"/>
      <c r="N635" s="58"/>
      <c r="O635" s="5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72"/>
      <c r="B636" s="63"/>
      <c r="C636" s="63"/>
      <c r="D636" s="67"/>
      <c r="E636" s="67"/>
      <c r="F636" s="68" t="str">
        <f t="shared" si="7"/>
        <v/>
      </c>
      <c r="G636" s="67" t="str">
        <f t="shared" si="8"/>
        <v/>
      </c>
      <c r="H636" s="69" t="str">
        <f t="shared" si="9"/>
        <v/>
      </c>
      <c r="I636" s="70" t="str">
        <f t="shared" si="10"/>
        <v/>
      </c>
      <c r="J636" s="67" t="str">
        <f t="shared" si="11"/>
        <v/>
      </c>
      <c r="K636" s="71" t="str">
        <f t="shared" si="12"/>
        <v/>
      </c>
      <c r="L636" s="71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58"/>
      <c r="N636" s="58"/>
      <c r="O636" s="5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72"/>
      <c r="B637" s="63"/>
      <c r="C637" s="63"/>
      <c r="D637" s="67"/>
      <c r="E637" s="67"/>
      <c r="F637" s="68" t="str">
        <f t="shared" si="7"/>
        <v/>
      </c>
      <c r="G637" s="67" t="str">
        <f t="shared" si="8"/>
        <v/>
      </c>
      <c r="H637" s="69" t="str">
        <f t="shared" si="9"/>
        <v/>
      </c>
      <c r="I637" s="70" t="str">
        <f t="shared" si="10"/>
        <v/>
      </c>
      <c r="J637" s="67" t="str">
        <f t="shared" si="11"/>
        <v/>
      </c>
      <c r="K637" s="71" t="str">
        <f t="shared" si="12"/>
        <v/>
      </c>
      <c r="L637" s="71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58"/>
      <c r="N637" s="58"/>
      <c r="O637" s="5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72"/>
      <c r="B638" s="63"/>
      <c r="C638" s="63"/>
      <c r="D638" s="67"/>
      <c r="E638" s="67"/>
      <c r="F638" s="68" t="str">
        <f t="shared" si="7"/>
        <v/>
      </c>
      <c r="G638" s="67" t="str">
        <f t="shared" si="8"/>
        <v/>
      </c>
      <c r="H638" s="69" t="str">
        <f t="shared" si="9"/>
        <v/>
      </c>
      <c r="I638" s="70" t="str">
        <f t="shared" si="10"/>
        <v/>
      </c>
      <c r="J638" s="67" t="str">
        <f t="shared" si="11"/>
        <v/>
      </c>
      <c r="K638" s="71" t="str">
        <f t="shared" si="12"/>
        <v/>
      </c>
      <c r="L638" s="71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58"/>
      <c r="N638" s="58"/>
      <c r="O638" s="5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72"/>
      <c r="B639" s="63"/>
      <c r="C639" s="63"/>
      <c r="D639" s="67"/>
      <c r="E639" s="67"/>
      <c r="F639" s="68" t="str">
        <f t="shared" si="7"/>
        <v/>
      </c>
      <c r="G639" s="67" t="str">
        <f t="shared" si="8"/>
        <v/>
      </c>
      <c r="H639" s="69" t="str">
        <f t="shared" si="9"/>
        <v/>
      </c>
      <c r="I639" s="70" t="str">
        <f t="shared" si="10"/>
        <v/>
      </c>
      <c r="J639" s="67" t="str">
        <f t="shared" si="11"/>
        <v/>
      </c>
      <c r="K639" s="71" t="str">
        <f t="shared" si="12"/>
        <v/>
      </c>
      <c r="L639" s="71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58"/>
      <c r="N639" s="58"/>
      <c r="O639" s="5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72"/>
      <c r="B640" s="63"/>
      <c r="C640" s="63"/>
      <c r="D640" s="67"/>
      <c r="E640" s="67"/>
      <c r="F640" s="68" t="str">
        <f t="shared" si="7"/>
        <v/>
      </c>
      <c r="G640" s="67" t="str">
        <f t="shared" si="8"/>
        <v/>
      </c>
      <c r="H640" s="69" t="str">
        <f t="shared" si="9"/>
        <v/>
      </c>
      <c r="I640" s="70" t="str">
        <f t="shared" si="10"/>
        <v/>
      </c>
      <c r="J640" s="67" t="str">
        <f t="shared" si="11"/>
        <v/>
      </c>
      <c r="K640" s="71" t="str">
        <f t="shared" si="12"/>
        <v/>
      </c>
      <c r="L640" s="71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58"/>
      <c r="N640" s="58"/>
      <c r="O640" s="5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72"/>
      <c r="B641" s="63"/>
      <c r="C641" s="63"/>
      <c r="D641" s="67"/>
      <c r="E641" s="67"/>
      <c r="F641" s="68" t="str">
        <f t="shared" si="7"/>
        <v/>
      </c>
      <c r="G641" s="67" t="str">
        <f t="shared" si="8"/>
        <v/>
      </c>
      <c r="H641" s="69" t="str">
        <f t="shared" si="9"/>
        <v/>
      </c>
      <c r="I641" s="70" t="str">
        <f t="shared" si="10"/>
        <v/>
      </c>
      <c r="J641" s="67" t="str">
        <f t="shared" si="11"/>
        <v/>
      </c>
      <c r="K641" s="71" t="str">
        <f t="shared" si="12"/>
        <v/>
      </c>
      <c r="L641" s="71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58"/>
      <c r="N641" s="58"/>
      <c r="O641" s="5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72"/>
      <c r="B642" s="63"/>
      <c r="C642" s="63"/>
      <c r="D642" s="67"/>
      <c r="E642" s="67"/>
      <c r="F642" s="68" t="str">
        <f t="shared" si="7"/>
        <v/>
      </c>
      <c r="G642" s="67" t="str">
        <f t="shared" si="8"/>
        <v/>
      </c>
      <c r="H642" s="69" t="str">
        <f t="shared" si="9"/>
        <v/>
      </c>
      <c r="I642" s="70" t="str">
        <f t="shared" si="10"/>
        <v/>
      </c>
      <c r="J642" s="67" t="str">
        <f t="shared" si="11"/>
        <v/>
      </c>
      <c r="K642" s="71" t="str">
        <f t="shared" si="12"/>
        <v/>
      </c>
      <c r="L642" s="71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58"/>
      <c r="N642" s="58"/>
      <c r="O642" s="5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72"/>
      <c r="B643" s="63"/>
      <c r="C643" s="63"/>
      <c r="D643" s="67"/>
      <c r="E643" s="67"/>
      <c r="F643" s="68" t="str">
        <f t="shared" si="7"/>
        <v/>
      </c>
      <c r="G643" s="67" t="str">
        <f t="shared" si="8"/>
        <v/>
      </c>
      <c r="H643" s="69" t="str">
        <f t="shared" si="9"/>
        <v/>
      </c>
      <c r="I643" s="70" t="str">
        <f t="shared" si="10"/>
        <v/>
      </c>
      <c r="J643" s="67" t="str">
        <f t="shared" si="11"/>
        <v/>
      </c>
      <c r="K643" s="71" t="str">
        <f t="shared" si="12"/>
        <v/>
      </c>
      <c r="L643" s="71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58"/>
      <c r="N643" s="58"/>
      <c r="O643" s="5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72"/>
      <c r="B644" s="63"/>
      <c r="C644" s="63"/>
      <c r="D644" s="67"/>
      <c r="E644" s="67"/>
      <c r="F644" s="68" t="str">
        <f t="shared" si="7"/>
        <v/>
      </c>
      <c r="G644" s="67" t="str">
        <f t="shared" si="8"/>
        <v/>
      </c>
      <c r="H644" s="69" t="str">
        <f t="shared" si="9"/>
        <v/>
      </c>
      <c r="I644" s="70" t="str">
        <f t="shared" si="10"/>
        <v/>
      </c>
      <c r="J644" s="67" t="str">
        <f t="shared" si="11"/>
        <v/>
      </c>
      <c r="K644" s="71" t="str">
        <f t="shared" si="12"/>
        <v/>
      </c>
      <c r="L644" s="71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58"/>
      <c r="N644" s="58"/>
      <c r="O644" s="5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72"/>
      <c r="B645" s="63"/>
      <c r="C645" s="63"/>
      <c r="D645" s="67"/>
      <c r="E645" s="67"/>
      <c r="F645" s="68" t="str">
        <f t="shared" si="7"/>
        <v/>
      </c>
      <c r="G645" s="67" t="str">
        <f t="shared" si="8"/>
        <v/>
      </c>
      <c r="H645" s="69" t="str">
        <f t="shared" si="9"/>
        <v/>
      </c>
      <c r="I645" s="70" t="str">
        <f t="shared" si="10"/>
        <v/>
      </c>
      <c r="J645" s="67" t="str">
        <f t="shared" si="11"/>
        <v/>
      </c>
      <c r="K645" s="71" t="str">
        <f t="shared" si="12"/>
        <v/>
      </c>
      <c r="L645" s="71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58"/>
      <c r="N645" s="58"/>
      <c r="O645" s="5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72"/>
      <c r="B646" s="63"/>
      <c r="C646" s="63"/>
      <c r="D646" s="67"/>
      <c r="E646" s="67"/>
      <c r="F646" s="68" t="str">
        <f t="shared" si="7"/>
        <v/>
      </c>
      <c r="G646" s="67" t="str">
        <f t="shared" si="8"/>
        <v/>
      </c>
      <c r="H646" s="69" t="str">
        <f t="shared" si="9"/>
        <v/>
      </c>
      <c r="I646" s="70" t="str">
        <f t="shared" si="10"/>
        <v/>
      </c>
      <c r="J646" s="67" t="str">
        <f t="shared" si="11"/>
        <v/>
      </c>
      <c r="K646" s="71" t="str">
        <f t="shared" si="12"/>
        <v/>
      </c>
      <c r="L646" s="71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58"/>
      <c r="N646" s="58"/>
      <c r="O646" s="5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72"/>
      <c r="B647" s="63"/>
      <c r="C647" s="63"/>
      <c r="D647" s="67"/>
      <c r="E647" s="67"/>
      <c r="F647" s="68" t="str">
        <f t="shared" si="7"/>
        <v/>
      </c>
      <c r="G647" s="67" t="str">
        <f t="shared" si="8"/>
        <v/>
      </c>
      <c r="H647" s="69" t="str">
        <f t="shared" si="9"/>
        <v/>
      </c>
      <c r="I647" s="70" t="str">
        <f t="shared" si="10"/>
        <v/>
      </c>
      <c r="J647" s="67" t="str">
        <f t="shared" si="11"/>
        <v/>
      </c>
      <c r="K647" s="71" t="str">
        <f t="shared" si="12"/>
        <v/>
      </c>
      <c r="L647" s="71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58"/>
      <c r="N647" s="58"/>
      <c r="O647" s="5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72"/>
      <c r="B648" s="63"/>
      <c r="C648" s="63"/>
      <c r="D648" s="67"/>
      <c r="E648" s="67"/>
      <c r="F648" s="68" t="str">
        <f t="shared" si="7"/>
        <v/>
      </c>
      <c r="G648" s="67" t="str">
        <f t="shared" si="8"/>
        <v/>
      </c>
      <c r="H648" s="69" t="str">
        <f t="shared" si="9"/>
        <v/>
      </c>
      <c r="I648" s="70" t="str">
        <f t="shared" si="10"/>
        <v/>
      </c>
      <c r="J648" s="67" t="str">
        <f t="shared" si="11"/>
        <v/>
      </c>
      <c r="K648" s="71" t="str">
        <f t="shared" si="12"/>
        <v/>
      </c>
      <c r="L648" s="71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58"/>
      <c r="N648" s="58"/>
      <c r="O648" s="5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72"/>
      <c r="B649" s="63"/>
      <c r="C649" s="63"/>
      <c r="D649" s="67"/>
      <c r="E649" s="67"/>
      <c r="F649" s="68" t="str">
        <f t="shared" si="7"/>
        <v/>
      </c>
      <c r="G649" s="67" t="str">
        <f t="shared" si="8"/>
        <v/>
      </c>
      <c r="H649" s="69" t="str">
        <f t="shared" si="9"/>
        <v/>
      </c>
      <c r="I649" s="70" t="str">
        <f t="shared" si="10"/>
        <v/>
      </c>
      <c r="J649" s="67" t="str">
        <f t="shared" si="11"/>
        <v/>
      </c>
      <c r="K649" s="71" t="str">
        <f t="shared" si="12"/>
        <v/>
      </c>
      <c r="L649" s="71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58"/>
      <c r="N649" s="58"/>
      <c r="O649" s="5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72"/>
      <c r="B650" s="63"/>
      <c r="C650" s="63"/>
      <c r="D650" s="67"/>
      <c r="E650" s="67"/>
      <c r="F650" s="68" t="str">
        <f t="shared" si="7"/>
        <v/>
      </c>
      <c r="G650" s="67" t="str">
        <f t="shared" si="8"/>
        <v/>
      </c>
      <c r="H650" s="69" t="str">
        <f t="shared" si="9"/>
        <v/>
      </c>
      <c r="I650" s="70" t="str">
        <f t="shared" si="10"/>
        <v/>
      </c>
      <c r="J650" s="67" t="str">
        <f t="shared" si="11"/>
        <v/>
      </c>
      <c r="K650" s="71" t="str">
        <f t="shared" si="12"/>
        <v/>
      </c>
      <c r="L650" s="71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58"/>
      <c r="N650" s="58"/>
      <c r="O650" s="5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72"/>
      <c r="B651" s="63"/>
      <c r="C651" s="63"/>
      <c r="D651" s="67"/>
      <c r="E651" s="67"/>
      <c r="F651" s="68" t="str">
        <f t="shared" si="7"/>
        <v/>
      </c>
      <c r="G651" s="67" t="str">
        <f t="shared" si="8"/>
        <v/>
      </c>
      <c r="H651" s="69" t="str">
        <f t="shared" si="9"/>
        <v/>
      </c>
      <c r="I651" s="70" t="str">
        <f t="shared" si="10"/>
        <v/>
      </c>
      <c r="J651" s="67" t="str">
        <f t="shared" si="11"/>
        <v/>
      </c>
      <c r="K651" s="71" t="str">
        <f t="shared" si="12"/>
        <v/>
      </c>
      <c r="L651" s="71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58"/>
      <c r="N651" s="58"/>
      <c r="O651" s="5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72"/>
      <c r="B652" s="63"/>
      <c r="C652" s="63"/>
      <c r="D652" s="67"/>
      <c r="E652" s="67"/>
      <c r="F652" s="68" t="str">
        <f t="shared" si="7"/>
        <v/>
      </c>
      <c r="G652" s="67" t="str">
        <f t="shared" si="8"/>
        <v/>
      </c>
      <c r="H652" s="69" t="str">
        <f t="shared" si="9"/>
        <v/>
      </c>
      <c r="I652" s="70" t="str">
        <f t="shared" si="10"/>
        <v/>
      </c>
      <c r="J652" s="67" t="str">
        <f t="shared" si="11"/>
        <v/>
      </c>
      <c r="K652" s="71" t="str">
        <f t="shared" si="12"/>
        <v/>
      </c>
      <c r="L652" s="71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58"/>
      <c r="N652" s="58"/>
      <c r="O652" s="5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72"/>
      <c r="B653" s="63"/>
      <c r="C653" s="63"/>
      <c r="D653" s="67"/>
      <c r="E653" s="67"/>
      <c r="F653" s="68" t="str">
        <f t="shared" si="7"/>
        <v/>
      </c>
      <c r="G653" s="67" t="str">
        <f t="shared" si="8"/>
        <v/>
      </c>
      <c r="H653" s="69" t="str">
        <f t="shared" si="9"/>
        <v/>
      </c>
      <c r="I653" s="70" t="str">
        <f t="shared" si="10"/>
        <v/>
      </c>
      <c r="J653" s="67" t="str">
        <f t="shared" si="11"/>
        <v/>
      </c>
      <c r="K653" s="71" t="str">
        <f t="shared" si="12"/>
        <v/>
      </c>
      <c r="L653" s="71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58"/>
      <c r="N653" s="58"/>
      <c r="O653" s="5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72"/>
      <c r="B654" s="63"/>
      <c r="C654" s="63"/>
      <c r="D654" s="67"/>
      <c r="E654" s="67"/>
      <c r="F654" s="68" t="str">
        <f t="shared" si="7"/>
        <v/>
      </c>
      <c r="G654" s="67" t="str">
        <f t="shared" si="8"/>
        <v/>
      </c>
      <c r="H654" s="69" t="str">
        <f t="shared" si="9"/>
        <v/>
      </c>
      <c r="I654" s="70" t="str">
        <f t="shared" si="10"/>
        <v/>
      </c>
      <c r="J654" s="67" t="str">
        <f t="shared" si="11"/>
        <v/>
      </c>
      <c r="K654" s="71" t="str">
        <f t="shared" si="12"/>
        <v/>
      </c>
      <c r="L654" s="71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58"/>
      <c r="N654" s="58"/>
      <c r="O654" s="5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72"/>
      <c r="B655" s="63"/>
      <c r="C655" s="63"/>
      <c r="D655" s="67"/>
      <c r="E655" s="67"/>
      <c r="F655" s="68" t="str">
        <f t="shared" si="7"/>
        <v/>
      </c>
      <c r="G655" s="67" t="str">
        <f t="shared" si="8"/>
        <v/>
      </c>
      <c r="H655" s="69" t="str">
        <f t="shared" si="9"/>
        <v/>
      </c>
      <c r="I655" s="70" t="str">
        <f t="shared" si="10"/>
        <v/>
      </c>
      <c r="J655" s="67" t="str">
        <f t="shared" si="11"/>
        <v/>
      </c>
      <c r="K655" s="71" t="str">
        <f t="shared" si="12"/>
        <v/>
      </c>
      <c r="L655" s="71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58"/>
      <c r="N655" s="58"/>
      <c r="O655" s="5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72"/>
      <c r="B656" s="63"/>
      <c r="C656" s="63"/>
      <c r="D656" s="67"/>
      <c r="E656" s="67"/>
      <c r="F656" s="68" t="str">
        <f t="shared" si="7"/>
        <v/>
      </c>
      <c r="G656" s="67" t="str">
        <f t="shared" si="8"/>
        <v/>
      </c>
      <c r="H656" s="69" t="str">
        <f t="shared" si="9"/>
        <v/>
      </c>
      <c r="I656" s="70" t="str">
        <f t="shared" si="10"/>
        <v/>
      </c>
      <c r="J656" s="67" t="str">
        <f t="shared" si="11"/>
        <v/>
      </c>
      <c r="K656" s="71" t="str">
        <f t="shared" si="12"/>
        <v/>
      </c>
      <c r="L656" s="71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58"/>
      <c r="N656" s="58"/>
      <c r="O656" s="5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72"/>
      <c r="B657" s="63"/>
      <c r="C657" s="63"/>
      <c r="D657" s="67"/>
      <c r="E657" s="67"/>
      <c r="F657" s="68" t="str">
        <f t="shared" si="7"/>
        <v/>
      </c>
      <c r="G657" s="67" t="str">
        <f t="shared" si="8"/>
        <v/>
      </c>
      <c r="H657" s="69" t="str">
        <f t="shared" si="9"/>
        <v/>
      </c>
      <c r="I657" s="70" t="str">
        <f t="shared" si="10"/>
        <v/>
      </c>
      <c r="J657" s="67" t="str">
        <f t="shared" si="11"/>
        <v/>
      </c>
      <c r="K657" s="71" t="str">
        <f t="shared" si="12"/>
        <v/>
      </c>
      <c r="L657" s="71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58"/>
      <c r="N657" s="58"/>
      <c r="O657" s="5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72"/>
      <c r="B658" s="63"/>
      <c r="C658" s="63"/>
      <c r="D658" s="67"/>
      <c r="E658" s="67"/>
      <c r="F658" s="68" t="str">
        <f t="shared" si="7"/>
        <v/>
      </c>
      <c r="G658" s="67" t="str">
        <f t="shared" si="8"/>
        <v/>
      </c>
      <c r="H658" s="69" t="str">
        <f t="shared" si="9"/>
        <v/>
      </c>
      <c r="I658" s="70" t="str">
        <f t="shared" si="10"/>
        <v/>
      </c>
      <c r="J658" s="67" t="str">
        <f t="shared" si="11"/>
        <v/>
      </c>
      <c r="K658" s="71" t="str">
        <f t="shared" si="12"/>
        <v/>
      </c>
      <c r="L658" s="71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58"/>
      <c r="N658" s="58"/>
      <c r="O658" s="5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72"/>
      <c r="B659" s="63"/>
      <c r="C659" s="63"/>
      <c r="D659" s="67"/>
      <c r="E659" s="67"/>
      <c r="F659" s="68" t="str">
        <f t="shared" si="7"/>
        <v/>
      </c>
      <c r="G659" s="67" t="str">
        <f t="shared" si="8"/>
        <v/>
      </c>
      <c r="H659" s="69" t="str">
        <f t="shared" si="9"/>
        <v/>
      </c>
      <c r="I659" s="70" t="str">
        <f t="shared" si="10"/>
        <v/>
      </c>
      <c r="J659" s="67" t="str">
        <f t="shared" si="11"/>
        <v/>
      </c>
      <c r="K659" s="71" t="str">
        <f t="shared" si="12"/>
        <v/>
      </c>
      <c r="L659" s="71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58"/>
      <c r="N659" s="58"/>
      <c r="O659" s="5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72"/>
      <c r="B660" s="63"/>
      <c r="C660" s="63"/>
      <c r="D660" s="67"/>
      <c r="E660" s="67"/>
      <c r="F660" s="68" t="str">
        <f t="shared" si="7"/>
        <v/>
      </c>
      <c r="G660" s="67" t="str">
        <f t="shared" si="8"/>
        <v/>
      </c>
      <c r="H660" s="69" t="str">
        <f t="shared" si="9"/>
        <v/>
      </c>
      <c r="I660" s="70" t="str">
        <f t="shared" si="10"/>
        <v/>
      </c>
      <c r="J660" s="67" t="str">
        <f t="shared" si="11"/>
        <v/>
      </c>
      <c r="K660" s="71" t="str">
        <f t="shared" si="12"/>
        <v/>
      </c>
      <c r="L660" s="71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58"/>
      <c r="N660" s="58"/>
      <c r="O660" s="5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72"/>
      <c r="B661" s="63"/>
      <c r="C661" s="63"/>
      <c r="D661" s="67"/>
      <c r="E661" s="67"/>
      <c r="F661" s="68" t="str">
        <f t="shared" si="7"/>
        <v/>
      </c>
      <c r="G661" s="67" t="str">
        <f t="shared" si="8"/>
        <v/>
      </c>
      <c r="H661" s="69" t="str">
        <f t="shared" si="9"/>
        <v/>
      </c>
      <c r="I661" s="70" t="str">
        <f t="shared" si="10"/>
        <v/>
      </c>
      <c r="J661" s="67" t="str">
        <f t="shared" si="11"/>
        <v/>
      </c>
      <c r="K661" s="71" t="str">
        <f t="shared" si="12"/>
        <v/>
      </c>
      <c r="L661" s="71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58"/>
      <c r="N661" s="58"/>
      <c r="O661" s="5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72"/>
      <c r="B662" s="63"/>
      <c r="C662" s="63"/>
      <c r="D662" s="67"/>
      <c r="E662" s="67"/>
      <c r="F662" s="68" t="str">
        <f t="shared" si="7"/>
        <v/>
      </c>
      <c r="G662" s="67" t="str">
        <f t="shared" si="8"/>
        <v/>
      </c>
      <c r="H662" s="69" t="str">
        <f t="shared" si="9"/>
        <v/>
      </c>
      <c r="I662" s="70" t="str">
        <f t="shared" si="10"/>
        <v/>
      </c>
      <c r="J662" s="67" t="str">
        <f t="shared" si="11"/>
        <v/>
      </c>
      <c r="K662" s="71" t="str">
        <f t="shared" si="12"/>
        <v/>
      </c>
      <c r="L662" s="71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58"/>
      <c r="N662" s="58"/>
      <c r="O662" s="5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72"/>
      <c r="B663" s="63"/>
      <c r="C663" s="63"/>
      <c r="D663" s="67"/>
      <c r="E663" s="67"/>
      <c r="F663" s="68" t="str">
        <f t="shared" si="7"/>
        <v/>
      </c>
      <c r="G663" s="67" t="str">
        <f t="shared" si="8"/>
        <v/>
      </c>
      <c r="H663" s="69" t="str">
        <f t="shared" si="9"/>
        <v/>
      </c>
      <c r="I663" s="70" t="str">
        <f t="shared" si="10"/>
        <v/>
      </c>
      <c r="J663" s="67" t="str">
        <f t="shared" si="11"/>
        <v/>
      </c>
      <c r="K663" s="71" t="str">
        <f t="shared" si="12"/>
        <v/>
      </c>
      <c r="L663" s="71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58"/>
      <c r="N663" s="58"/>
      <c r="O663" s="5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72"/>
      <c r="B664" s="63"/>
      <c r="C664" s="63"/>
      <c r="D664" s="67"/>
      <c r="E664" s="67"/>
      <c r="F664" s="68" t="str">
        <f t="shared" si="7"/>
        <v/>
      </c>
      <c r="G664" s="67" t="str">
        <f t="shared" si="8"/>
        <v/>
      </c>
      <c r="H664" s="69" t="str">
        <f t="shared" si="9"/>
        <v/>
      </c>
      <c r="I664" s="70" t="str">
        <f t="shared" si="10"/>
        <v/>
      </c>
      <c r="J664" s="67" t="str">
        <f t="shared" si="11"/>
        <v/>
      </c>
      <c r="K664" s="71" t="str">
        <f t="shared" si="12"/>
        <v/>
      </c>
      <c r="L664" s="71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58"/>
      <c r="N664" s="58"/>
      <c r="O664" s="5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72"/>
      <c r="B665" s="63"/>
      <c r="C665" s="63"/>
      <c r="D665" s="67"/>
      <c r="E665" s="67"/>
      <c r="F665" s="68" t="str">
        <f t="shared" si="7"/>
        <v/>
      </c>
      <c r="G665" s="67" t="str">
        <f t="shared" si="8"/>
        <v/>
      </c>
      <c r="H665" s="69" t="str">
        <f t="shared" si="9"/>
        <v/>
      </c>
      <c r="I665" s="70" t="str">
        <f t="shared" si="10"/>
        <v/>
      </c>
      <c r="J665" s="67" t="str">
        <f t="shared" si="11"/>
        <v/>
      </c>
      <c r="K665" s="71" t="str">
        <f t="shared" si="12"/>
        <v/>
      </c>
      <c r="L665" s="71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58"/>
      <c r="N665" s="58"/>
      <c r="O665" s="5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72"/>
      <c r="B666" s="63"/>
      <c r="C666" s="63"/>
      <c r="D666" s="67"/>
      <c r="E666" s="67"/>
      <c r="F666" s="68" t="str">
        <f t="shared" si="7"/>
        <v/>
      </c>
      <c r="G666" s="67" t="str">
        <f t="shared" si="8"/>
        <v/>
      </c>
      <c r="H666" s="69" t="str">
        <f t="shared" si="9"/>
        <v/>
      </c>
      <c r="I666" s="70" t="str">
        <f t="shared" si="10"/>
        <v/>
      </c>
      <c r="J666" s="67" t="str">
        <f t="shared" si="11"/>
        <v/>
      </c>
      <c r="K666" s="71" t="str">
        <f t="shared" si="12"/>
        <v/>
      </c>
      <c r="L666" s="71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58"/>
      <c r="N666" s="58"/>
      <c r="O666" s="5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72"/>
      <c r="B667" s="63"/>
      <c r="C667" s="63"/>
      <c r="D667" s="67"/>
      <c r="E667" s="67"/>
      <c r="F667" s="68" t="str">
        <f t="shared" si="7"/>
        <v/>
      </c>
      <c r="G667" s="67" t="str">
        <f t="shared" si="8"/>
        <v/>
      </c>
      <c r="H667" s="69" t="str">
        <f t="shared" si="9"/>
        <v/>
      </c>
      <c r="I667" s="70" t="str">
        <f t="shared" si="10"/>
        <v/>
      </c>
      <c r="J667" s="67" t="str">
        <f t="shared" si="11"/>
        <v/>
      </c>
      <c r="K667" s="71" t="str">
        <f t="shared" si="12"/>
        <v/>
      </c>
      <c r="L667" s="71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58"/>
      <c r="N667" s="58"/>
      <c r="O667" s="5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72"/>
      <c r="B668" s="63"/>
      <c r="C668" s="63"/>
      <c r="D668" s="67"/>
      <c r="E668" s="67"/>
      <c r="F668" s="68" t="str">
        <f t="shared" si="7"/>
        <v/>
      </c>
      <c r="G668" s="67" t="str">
        <f t="shared" si="8"/>
        <v/>
      </c>
      <c r="H668" s="69" t="str">
        <f t="shared" si="9"/>
        <v/>
      </c>
      <c r="I668" s="70" t="str">
        <f t="shared" si="10"/>
        <v/>
      </c>
      <c r="J668" s="67" t="str">
        <f t="shared" si="11"/>
        <v/>
      </c>
      <c r="K668" s="71" t="str">
        <f t="shared" si="12"/>
        <v/>
      </c>
      <c r="L668" s="71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58"/>
      <c r="N668" s="58"/>
      <c r="O668" s="5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72"/>
      <c r="B669" s="63"/>
      <c r="C669" s="63"/>
      <c r="D669" s="67"/>
      <c r="E669" s="67"/>
      <c r="F669" s="68" t="str">
        <f t="shared" si="7"/>
        <v/>
      </c>
      <c r="G669" s="67" t="str">
        <f t="shared" si="8"/>
        <v/>
      </c>
      <c r="H669" s="69" t="str">
        <f t="shared" si="9"/>
        <v/>
      </c>
      <c r="I669" s="70" t="str">
        <f t="shared" si="10"/>
        <v/>
      </c>
      <c r="J669" s="67" t="str">
        <f t="shared" si="11"/>
        <v/>
      </c>
      <c r="K669" s="71" t="str">
        <f t="shared" si="12"/>
        <v/>
      </c>
      <c r="L669" s="71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58"/>
      <c r="N669" s="58"/>
      <c r="O669" s="5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72"/>
      <c r="B670" s="63"/>
      <c r="C670" s="63"/>
      <c r="D670" s="67"/>
      <c r="E670" s="67"/>
      <c r="F670" s="68" t="str">
        <f t="shared" si="7"/>
        <v/>
      </c>
      <c r="G670" s="67" t="str">
        <f t="shared" si="8"/>
        <v/>
      </c>
      <c r="H670" s="69" t="str">
        <f t="shared" si="9"/>
        <v/>
      </c>
      <c r="I670" s="70" t="str">
        <f t="shared" si="10"/>
        <v/>
      </c>
      <c r="J670" s="67" t="str">
        <f t="shared" si="11"/>
        <v/>
      </c>
      <c r="K670" s="71" t="str">
        <f t="shared" si="12"/>
        <v/>
      </c>
      <c r="L670" s="71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58"/>
      <c r="N670" s="58"/>
      <c r="O670" s="5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72"/>
      <c r="B671" s="63"/>
      <c r="C671" s="63"/>
      <c r="D671" s="67"/>
      <c r="E671" s="67"/>
      <c r="F671" s="68" t="str">
        <f t="shared" si="7"/>
        <v/>
      </c>
      <c r="G671" s="67" t="str">
        <f t="shared" si="8"/>
        <v/>
      </c>
      <c r="H671" s="69" t="str">
        <f t="shared" si="9"/>
        <v/>
      </c>
      <c r="I671" s="70" t="str">
        <f t="shared" si="10"/>
        <v/>
      </c>
      <c r="J671" s="67" t="str">
        <f t="shared" si="11"/>
        <v/>
      </c>
      <c r="K671" s="71" t="str">
        <f t="shared" si="12"/>
        <v/>
      </c>
      <c r="L671" s="71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58"/>
      <c r="N671" s="58"/>
      <c r="O671" s="5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72"/>
      <c r="B672" s="63"/>
      <c r="C672" s="63"/>
      <c r="D672" s="67"/>
      <c r="E672" s="67"/>
      <c r="F672" s="68" t="str">
        <f t="shared" si="7"/>
        <v/>
      </c>
      <c r="G672" s="67" t="str">
        <f t="shared" si="8"/>
        <v/>
      </c>
      <c r="H672" s="69" t="str">
        <f t="shared" si="9"/>
        <v/>
      </c>
      <c r="I672" s="70" t="str">
        <f t="shared" si="10"/>
        <v/>
      </c>
      <c r="J672" s="67" t="str">
        <f t="shared" si="11"/>
        <v/>
      </c>
      <c r="K672" s="71" t="str">
        <f t="shared" si="12"/>
        <v/>
      </c>
      <c r="L672" s="71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58"/>
      <c r="N672" s="58"/>
      <c r="O672" s="5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72"/>
      <c r="B673" s="63"/>
      <c r="C673" s="63"/>
      <c r="D673" s="67"/>
      <c r="E673" s="67"/>
      <c r="F673" s="68" t="str">
        <f t="shared" si="7"/>
        <v/>
      </c>
      <c r="G673" s="67" t="str">
        <f t="shared" si="8"/>
        <v/>
      </c>
      <c r="H673" s="69" t="str">
        <f t="shared" si="9"/>
        <v/>
      </c>
      <c r="I673" s="70" t="str">
        <f t="shared" si="10"/>
        <v/>
      </c>
      <c r="J673" s="67" t="str">
        <f t="shared" si="11"/>
        <v/>
      </c>
      <c r="K673" s="71" t="str">
        <f t="shared" si="12"/>
        <v/>
      </c>
      <c r="L673" s="71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58"/>
      <c r="N673" s="58"/>
      <c r="O673" s="5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72"/>
      <c r="B674" s="63"/>
      <c r="C674" s="63"/>
      <c r="D674" s="67"/>
      <c r="E674" s="67"/>
      <c r="F674" s="68" t="str">
        <f t="shared" si="7"/>
        <v/>
      </c>
      <c r="G674" s="67" t="str">
        <f t="shared" si="8"/>
        <v/>
      </c>
      <c r="H674" s="69" t="str">
        <f t="shared" si="9"/>
        <v/>
      </c>
      <c r="I674" s="70" t="str">
        <f t="shared" si="10"/>
        <v/>
      </c>
      <c r="J674" s="67" t="str">
        <f t="shared" si="11"/>
        <v/>
      </c>
      <c r="K674" s="71" t="str">
        <f t="shared" si="12"/>
        <v/>
      </c>
      <c r="L674" s="71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58"/>
      <c r="N674" s="58"/>
      <c r="O674" s="5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72"/>
      <c r="B675" s="63"/>
      <c r="C675" s="63"/>
      <c r="D675" s="67"/>
      <c r="E675" s="67"/>
      <c r="F675" s="68" t="str">
        <f t="shared" si="7"/>
        <v/>
      </c>
      <c r="G675" s="67" t="str">
        <f t="shared" si="8"/>
        <v/>
      </c>
      <c r="H675" s="69" t="str">
        <f t="shared" si="9"/>
        <v/>
      </c>
      <c r="I675" s="70" t="str">
        <f t="shared" si="10"/>
        <v/>
      </c>
      <c r="J675" s="67" t="str">
        <f t="shared" si="11"/>
        <v/>
      </c>
      <c r="K675" s="71" t="str">
        <f t="shared" si="12"/>
        <v/>
      </c>
      <c r="L675" s="71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58"/>
      <c r="N675" s="58"/>
      <c r="O675" s="5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72"/>
      <c r="B676" s="63"/>
      <c r="C676" s="63"/>
      <c r="D676" s="67"/>
      <c r="E676" s="67"/>
      <c r="F676" s="68" t="str">
        <f t="shared" si="7"/>
        <v/>
      </c>
      <c r="G676" s="67" t="str">
        <f t="shared" si="8"/>
        <v/>
      </c>
      <c r="H676" s="69" t="str">
        <f t="shared" si="9"/>
        <v/>
      </c>
      <c r="I676" s="70" t="str">
        <f t="shared" si="10"/>
        <v/>
      </c>
      <c r="J676" s="67" t="str">
        <f t="shared" si="11"/>
        <v/>
      </c>
      <c r="K676" s="71" t="str">
        <f t="shared" si="12"/>
        <v/>
      </c>
      <c r="L676" s="71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58"/>
      <c r="N676" s="58"/>
      <c r="O676" s="5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72"/>
      <c r="B677" s="63"/>
      <c r="C677" s="63"/>
      <c r="D677" s="67"/>
      <c r="E677" s="67"/>
      <c r="F677" s="68" t="str">
        <f t="shared" si="7"/>
        <v/>
      </c>
      <c r="G677" s="67" t="str">
        <f t="shared" si="8"/>
        <v/>
      </c>
      <c r="H677" s="69" t="str">
        <f t="shared" si="9"/>
        <v/>
      </c>
      <c r="I677" s="70" t="str">
        <f t="shared" si="10"/>
        <v/>
      </c>
      <c r="J677" s="67" t="str">
        <f t="shared" si="11"/>
        <v/>
      </c>
      <c r="K677" s="71" t="str">
        <f t="shared" si="12"/>
        <v/>
      </c>
      <c r="L677" s="71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58"/>
      <c r="N677" s="58"/>
      <c r="O677" s="5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72"/>
      <c r="B678" s="63"/>
      <c r="C678" s="63"/>
      <c r="D678" s="67"/>
      <c r="E678" s="67"/>
      <c r="F678" s="68" t="str">
        <f t="shared" si="7"/>
        <v/>
      </c>
      <c r="G678" s="67" t="str">
        <f t="shared" si="8"/>
        <v/>
      </c>
      <c r="H678" s="69" t="str">
        <f t="shared" si="9"/>
        <v/>
      </c>
      <c r="I678" s="70" t="str">
        <f t="shared" si="10"/>
        <v/>
      </c>
      <c r="J678" s="67" t="str">
        <f t="shared" si="11"/>
        <v/>
      </c>
      <c r="K678" s="71" t="str">
        <f t="shared" si="12"/>
        <v/>
      </c>
      <c r="L678" s="71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58"/>
      <c r="N678" s="58"/>
      <c r="O678" s="5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72"/>
      <c r="B679" s="63"/>
      <c r="C679" s="63"/>
      <c r="D679" s="67"/>
      <c r="E679" s="67"/>
      <c r="F679" s="68" t="str">
        <f t="shared" si="7"/>
        <v/>
      </c>
      <c r="G679" s="67" t="str">
        <f t="shared" si="8"/>
        <v/>
      </c>
      <c r="H679" s="69" t="str">
        <f t="shared" si="9"/>
        <v/>
      </c>
      <c r="I679" s="70" t="str">
        <f t="shared" si="10"/>
        <v/>
      </c>
      <c r="J679" s="67" t="str">
        <f t="shared" si="11"/>
        <v/>
      </c>
      <c r="K679" s="71" t="str">
        <f t="shared" si="12"/>
        <v/>
      </c>
      <c r="L679" s="71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58"/>
      <c r="N679" s="58"/>
      <c r="O679" s="5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72"/>
      <c r="B680" s="63"/>
      <c r="C680" s="63"/>
      <c r="D680" s="67"/>
      <c r="E680" s="67"/>
      <c r="F680" s="68" t="str">
        <f t="shared" si="7"/>
        <v/>
      </c>
      <c r="G680" s="67" t="str">
        <f t="shared" si="8"/>
        <v/>
      </c>
      <c r="H680" s="69" t="str">
        <f t="shared" si="9"/>
        <v/>
      </c>
      <c r="I680" s="70" t="str">
        <f t="shared" si="10"/>
        <v/>
      </c>
      <c r="J680" s="67" t="str">
        <f t="shared" si="11"/>
        <v/>
      </c>
      <c r="K680" s="71" t="str">
        <f t="shared" si="12"/>
        <v/>
      </c>
      <c r="L680" s="71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58"/>
      <c r="N680" s="58"/>
      <c r="O680" s="5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72"/>
      <c r="B681" s="63"/>
      <c r="C681" s="63"/>
      <c r="D681" s="67"/>
      <c r="E681" s="67"/>
      <c r="F681" s="68" t="str">
        <f t="shared" si="7"/>
        <v/>
      </c>
      <c r="G681" s="67" t="str">
        <f t="shared" si="8"/>
        <v/>
      </c>
      <c r="H681" s="69" t="str">
        <f t="shared" si="9"/>
        <v/>
      </c>
      <c r="I681" s="70" t="str">
        <f t="shared" si="10"/>
        <v/>
      </c>
      <c r="J681" s="67" t="str">
        <f t="shared" si="11"/>
        <v/>
      </c>
      <c r="K681" s="71" t="str">
        <f t="shared" si="12"/>
        <v/>
      </c>
      <c r="L681" s="71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58"/>
      <c r="N681" s="58"/>
      <c r="O681" s="5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72"/>
      <c r="B682" s="63"/>
      <c r="C682" s="63"/>
      <c r="D682" s="67"/>
      <c r="E682" s="67"/>
      <c r="F682" s="68" t="str">
        <f t="shared" si="7"/>
        <v/>
      </c>
      <c r="G682" s="67" t="str">
        <f t="shared" si="8"/>
        <v/>
      </c>
      <c r="H682" s="69" t="str">
        <f t="shared" si="9"/>
        <v/>
      </c>
      <c r="I682" s="70" t="str">
        <f t="shared" si="10"/>
        <v/>
      </c>
      <c r="J682" s="67" t="str">
        <f t="shared" si="11"/>
        <v/>
      </c>
      <c r="K682" s="71" t="str">
        <f t="shared" si="12"/>
        <v/>
      </c>
      <c r="L682" s="71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58"/>
      <c r="N682" s="58"/>
      <c r="O682" s="5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72"/>
      <c r="B683" s="63"/>
      <c r="C683" s="63"/>
      <c r="D683" s="67"/>
      <c r="E683" s="67"/>
      <c r="F683" s="68" t="str">
        <f t="shared" si="7"/>
        <v/>
      </c>
      <c r="G683" s="67" t="str">
        <f t="shared" si="8"/>
        <v/>
      </c>
      <c r="H683" s="69" t="str">
        <f t="shared" si="9"/>
        <v/>
      </c>
      <c r="I683" s="70" t="str">
        <f t="shared" si="10"/>
        <v/>
      </c>
      <c r="J683" s="67" t="str">
        <f t="shared" si="11"/>
        <v/>
      </c>
      <c r="K683" s="71" t="str">
        <f t="shared" si="12"/>
        <v/>
      </c>
      <c r="L683" s="71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58"/>
      <c r="N683" s="58"/>
      <c r="O683" s="5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72"/>
      <c r="B684" s="63"/>
      <c r="C684" s="63"/>
      <c r="D684" s="67"/>
      <c r="E684" s="67"/>
      <c r="F684" s="68" t="str">
        <f t="shared" si="7"/>
        <v/>
      </c>
      <c r="G684" s="67" t="str">
        <f t="shared" si="8"/>
        <v/>
      </c>
      <c r="H684" s="69" t="str">
        <f t="shared" si="9"/>
        <v/>
      </c>
      <c r="I684" s="70" t="str">
        <f t="shared" si="10"/>
        <v/>
      </c>
      <c r="J684" s="67" t="str">
        <f t="shared" si="11"/>
        <v/>
      </c>
      <c r="K684" s="71" t="str">
        <f t="shared" si="12"/>
        <v/>
      </c>
      <c r="L684" s="71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58"/>
      <c r="N684" s="58"/>
      <c r="O684" s="5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72"/>
      <c r="B685" s="63"/>
      <c r="C685" s="63"/>
      <c r="D685" s="67"/>
      <c r="E685" s="67"/>
      <c r="F685" s="68" t="str">
        <f t="shared" si="7"/>
        <v/>
      </c>
      <c r="G685" s="67" t="str">
        <f t="shared" si="8"/>
        <v/>
      </c>
      <c r="H685" s="69" t="str">
        <f t="shared" si="9"/>
        <v/>
      </c>
      <c r="I685" s="70" t="str">
        <f t="shared" si="10"/>
        <v/>
      </c>
      <c r="J685" s="67" t="str">
        <f t="shared" si="11"/>
        <v/>
      </c>
      <c r="K685" s="71" t="str">
        <f t="shared" si="12"/>
        <v/>
      </c>
      <c r="L685" s="71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58"/>
      <c r="N685" s="58"/>
      <c r="O685" s="5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72"/>
      <c r="B686" s="63"/>
      <c r="C686" s="63"/>
      <c r="D686" s="67"/>
      <c r="E686" s="67"/>
      <c r="F686" s="68" t="str">
        <f t="shared" si="7"/>
        <v/>
      </c>
      <c r="G686" s="67" t="str">
        <f t="shared" si="8"/>
        <v/>
      </c>
      <c r="H686" s="69" t="str">
        <f t="shared" si="9"/>
        <v/>
      </c>
      <c r="I686" s="70" t="str">
        <f t="shared" si="10"/>
        <v/>
      </c>
      <c r="J686" s="67" t="str">
        <f t="shared" si="11"/>
        <v/>
      </c>
      <c r="K686" s="71" t="str">
        <f t="shared" si="12"/>
        <v/>
      </c>
      <c r="L686" s="71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58"/>
      <c r="N686" s="58"/>
      <c r="O686" s="5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72"/>
      <c r="B687" s="63"/>
      <c r="C687" s="63"/>
      <c r="D687" s="67"/>
      <c r="E687" s="67"/>
      <c r="F687" s="68" t="str">
        <f t="shared" si="7"/>
        <v/>
      </c>
      <c r="G687" s="67" t="str">
        <f t="shared" si="8"/>
        <v/>
      </c>
      <c r="H687" s="69" t="str">
        <f t="shared" si="9"/>
        <v/>
      </c>
      <c r="I687" s="70" t="str">
        <f t="shared" si="10"/>
        <v/>
      </c>
      <c r="J687" s="67" t="str">
        <f t="shared" si="11"/>
        <v/>
      </c>
      <c r="K687" s="71" t="str">
        <f t="shared" si="12"/>
        <v/>
      </c>
      <c r="L687" s="71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58"/>
      <c r="N687" s="58"/>
      <c r="O687" s="5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72"/>
      <c r="B688" s="63"/>
      <c r="C688" s="63"/>
      <c r="D688" s="67"/>
      <c r="E688" s="67"/>
      <c r="F688" s="68" t="str">
        <f t="shared" si="7"/>
        <v/>
      </c>
      <c r="G688" s="67" t="str">
        <f t="shared" si="8"/>
        <v/>
      </c>
      <c r="H688" s="69" t="str">
        <f t="shared" si="9"/>
        <v/>
      </c>
      <c r="I688" s="70" t="str">
        <f t="shared" si="10"/>
        <v/>
      </c>
      <c r="J688" s="67" t="str">
        <f t="shared" si="11"/>
        <v/>
      </c>
      <c r="K688" s="71" t="str">
        <f t="shared" si="12"/>
        <v/>
      </c>
      <c r="L688" s="71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58"/>
      <c r="N688" s="58"/>
      <c r="O688" s="5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72"/>
      <c r="B689" s="63"/>
      <c r="C689" s="63"/>
      <c r="D689" s="67"/>
      <c r="E689" s="67"/>
      <c r="F689" s="68" t="str">
        <f t="shared" si="7"/>
        <v/>
      </c>
      <c r="G689" s="67" t="str">
        <f t="shared" si="8"/>
        <v/>
      </c>
      <c r="H689" s="69" t="str">
        <f t="shared" si="9"/>
        <v/>
      </c>
      <c r="I689" s="70" t="str">
        <f t="shared" si="10"/>
        <v/>
      </c>
      <c r="J689" s="67" t="str">
        <f t="shared" si="11"/>
        <v/>
      </c>
      <c r="K689" s="71" t="str">
        <f t="shared" si="12"/>
        <v/>
      </c>
      <c r="L689" s="71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58"/>
      <c r="N689" s="58"/>
      <c r="O689" s="5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72"/>
      <c r="B690" s="63"/>
      <c r="C690" s="63"/>
      <c r="D690" s="67"/>
      <c r="E690" s="67"/>
      <c r="F690" s="68" t="str">
        <f t="shared" si="7"/>
        <v/>
      </c>
      <c r="G690" s="67" t="str">
        <f t="shared" si="8"/>
        <v/>
      </c>
      <c r="H690" s="69" t="str">
        <f t="shared" si="9"/>
        <v/>
      </c>
      <c r="I690" s="70" t="str">
        <f t="shared" si="10"/>
        <v/>
      </c>
      <c r="J690" s="67" t="str">
        <f t="shared" si="11"/>
        <v/>
      </c>
      <c r="K690" s="71" t="str">
        <f t="shared" si="12"/>
        <v/>
      </c>
      <c r="L690" s="71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58"/>
      <c r="N690" s="58"/>
      <c r="O690" s="5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72"/>
      <c r="B691" s="63"/>
      <c r="C691" s="63"/>
      <c r="D691" s="67"/>
      <c r="E691" s="67"/>
      <c r="F691" s="68" t="str">
        <f t="shared" si="7"/>
        <v/>
      </c>
      <c r="G691" s="67" t="str">
        <f t="shared" si="8"/>
        <v/>
      </c>
      <c r="H691" s="69" t="str">
        <f t="shared" si="9"/>
        <v/>
      </c>
      <c r="I691" s="70" t="str">
        <f t="shared" si="10"/>
        <v/>
      </c>
      <c r="J691" s="67" t="str">
        <f t="shared" si="11"/>
        <v/>
      </c>
      <c r="K691" s="71" t="str">
        <f t="shared" si="12"/>
        <v/>
      </c>
      <c r="L691" s="71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58"/>
      <c r="N691" s="58"/>
      <c r="O691" s="5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72"/>
      <c r="B692" s="63"/>
      <c r="C692" s="63"/>
      <c r="D692" s="67"/>
      <c r="E692" s="67"/>
      <c r="F692" s="68" t="str">
        <f t="shared" si="7"/>
        <v/>
      </c>
      <c r="G692" s="67" t="str">
        <f t="shared" si="8"/>
        <v/>
      </c>
      <c r="H692" s="69" t="str">
        <f t="shared" si="9"/>
        <v/>
      </c>
      <c r="I692" s="70" t="str">
        <f t="shared" si="10"/>
        <v/>
      </c>
      <c r="J692" s="67" t="str">
        <f t="shared" si="11"/>
        <v/>
      </c>
      <c r="K692" s="71" t="str">
        <f t="shared" si="12"/>
        <v/>
      </c>
      <c r="L692" s="71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58"/>
      <c r="N692" s="58"/>
      <c r="O692" s="5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72"/>
      <c r="B693" s="63"/>
      <c r="C693" s="63"/>
      <c r="D693" s="67"/>
      <c r="E693" s="67"/>
      <c r="F693" s="68" t="str">
        <f t="shared" si="7"/>
        <v/>
      </c>
      <c r="G693" s="67" t="str">
        <f t="shared" si="8"/>
        <v/>
      </c>
      <c r="H693" s="69" t="str">
        <f t="shared" si="9"/>
        <v/>
      </c>
      <c r="I693" s="70" t="str">
        <f t="shared" si="10"/>
        <v/>
      </c>
      <c r="J693" s="67" t="str">
        <f t="shared" si="11"/>
        <v/>
      </c>
      <c r="K693" s="71" t="str">
        <f t="shared" si="12"/>
        <v/>
      </c>
      <c r="L693" s="71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58"/>
      <c r="N693" s="58"/>
      <c r="O693" s="5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72"/>
      <c r="B694" s="63"/>
      <c r="C694" s="63"/>
      <c r="D694" s="67"/>
      <c r="E694" s="67"/>
      <c r="F694" s="68" t="str">
        <f t="shared" si="7"/>
        <v/>
      </c>
      <c r="G694" s="67" t="str">
        <f t="shared" si="8"/>
        <v/>
      </c>
      <c r="H694" s="69" t="str">
        <f t="shared" si="9"/>
        <v/>
      </c>
      <c r="I694" s="70" t="str">
        <f t="shared" si="10"/>
        <v/>
      </c>
      <c r="J694" s="67" t="str">
        <f t="shared" si="11"/>
        <v/>
      </c>
      <c r="K694" s="71" t="str">
        <f t="shared" si="12"/>
        <v/>
      </c>
      <c r="L694" s="71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58"/>
      <c r="N694" s="58"/>
      <c r="O694" s="5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72"/>
      <c r="B695" s="63"/>
      <c r="C695" s="63"/>
      <c r="D695" s="67"/>
      <c r="E695" s="67"/>
      <c r="F695" s="68" t="str">
        <f t="shared" si="7"/>
        <v/>
      </c>
      <c r="G695" s="67" t="str">
        <f t="shared" si="8"/>
        <v/>
      </c>
      <c r="H695" s="69" t="str">
        <f t="shared" si="9"/>
        <v/>
      </c>
      <c r="I695" s="70" t="str">
        <f t="shared" si="10"/>
        <v/>
      </c>
      <c r="J695" s="67" t="str">
        <f t="shared" si="11"/>
        <v/>
      </c>
      <c r="K695" s="71" t="str">
        <f t="shared" si="12"/>
        <v/>
      </c>
      <c r="L695" s="71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58"/>
      <c r="N695" s="58"/>
      <c r="O695" s="5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72"/>
      <c r="B696" s="63"/>
      <c r="C696" s="63"/>
      <c r="D696" s="67"/>
      <c r="E696" s="67"/>
      <c r="F696" s="68" t="str">
        <f t="shared" si="7"/>
        <v/>
      </c>
      <c r="G696" s="67" t="str">
        <f t="shared" si="8"/>
        <v/>
      </c>
      <c r="H696" s="69" t="str">
        <f t="shared" si="9"/>
        <v/>
      </c>
      <c r="I696" s="70" t="str">
        <f t="shared" si="10"/>
        <v/>
      </c>
      <c r="J696" s="67" t="str">
        <f t="shared" si="11"/>
        <v/>
      </c>
      <c r="K696" s="71" t="str">
        <f t="shared" si="12"/>
        <v/>
      </c>
      <c r="L696" s="71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58"/>
      <c r="N696" s="58"/>
      <c r="O696" s="5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72"/>
      <c r="B697" s="63"/>
      <c r="C697" s="63"/>
      <c r="D697" s="67"/>
      <c r="E697" s="67"/>
      <c r="F697" s="68" t="str">
        <f t="shared" si="7"/>
        <v/>
      </c>
      <c r="G697" s="67" t="str">
        <f t="shared" si="8"/>
        <v/>
      </c>
      <c r="H697" s="69" t="str">
        <f t="shared" si="9"/>
        <v/>
      </c>
      <c r="I697" s="70" t="str">
        <f t="shared" si="10"/>
        <v/>
      </c>
      <c r="J697" s="67" t="str">
        <f t="shared" si="11"/>
        <v/>
      </c>
      <c r="K697" s="71" t="str">
        <f t="shared" si="12"/>
        <v/>
      </c>
      <c r="L697" s="71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58"/>
      <c r="N697" s="58"/>
      <c r="O697" s="5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72"/>
      <c r="B698" s="63"/>
      <c r="C698" s="63"/>
      <c r="D698" s="67"/>
      <c r="E698" s="67"/>
      <c r="F698" s="68" t="str">
        <f t="shared" si="7"/>
        <v/>
      </c>
      <c r="G698" s="67" t="str">
        <f t="shared" si="8"/>
        <v/>
      </c>
      <c r="H698" s="69" t="str">
        <f t="shared" si="9"/>
        <v/>
      </c>
      <c r="I698" s="70" t="str">
        <f t="shared" si="10"/>
        <v/>
      </c>
      <c r="J698" s="67" t="str">
        <f t="shared" si="11"/>
        <v/>
      </c>
      <c r="K698" s="71" t="str">
        <f t="shared" si="12"/>
        <v/>
      </c>
      <c r="L698" s="71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58"/>
      <c r="N698" s="58"/>
      <c r="O698" s="5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72"/>
      <c r="B699" s="63"/>
      <c r="C699" s="63"/>
      <c r="D699" s="67"/>
      <c r="E699" s="67"/>
      <c r="F699" s="68" t="str">
        <f t="shared" si="7"/>
        <v/>
      </c>
      <c r="G699" s="67" t="str">
        <f t="shared" si="8"/>
        <v/>
      </c>
      <c r="H699" s="69" t="str">
        <f t="shared" si="9"/>
        <v/>
      </c>
      <c r="I699" s="70" t="str">
        <f t="shared" si="10"/>
        <v/>
      </c>
      <c r="J699" s="67" t="str">
        <f t="shared" si="11"/>
        <v/>
      </c>
      <c r="K699" s="71" t="str">
        <f t="shared" si="12"/>
        <v/>
      </c>
      <c r="L699" s="71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58"/>
      <c r="N699" s="58"/>
      <c r="O699" s="5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72"/>
      <c r="B700" s="63"/>
      <c r="C700" s="63"/>
      <c r="D700" s="67"/>
      <c r="E700" s="67"/>
      <c r="F700" s="68" t="str">
        <f t="shared" si="7"/>
        <v/>
      </c>
      <c r="G700" s="67" t="str">
        <f t="shared" si="8"/>
        <v/>
      </c>
      <c r="H700" s="69" t="str">
        <f t="shared" si="9"/>
        <v/>
      </c>
      <c r="I700" s="70" t="str">
        <f t="shared" si="10"/>
        <v/>
      </c>
      <c r="J700" s="67" t="str">
        <f t="shared" si="11"/>
        <v/>
      </c>
      <c r="K700" s="71" t="str">
        <f t="shared" si="12"/>
        <v/>
      </c>
      <c r="L700" s="71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58"/>
      <c r="N700" s="58"/>
      <c r="O700" s="5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72"/>
      <c r="B701" s="63"/>
      <c r="C701" s="63"/>
      <c r="D701" s="67"/>
      <c r="E701" s="67"/>
      <c r="F701" s="68" t="str">
        <f t="shared" si="7"/>
        <v/>
      </c>
      <c r="G701" s="67" t="str">
        <f t="shared" si="8"/>
        <v/>
      </c>
      <c r="H701" s="69" t="str">
        <f t="shared" si="9"/>
        <v/>
      </c>
      <c r="I701" s="70" t="str">
        <f t="shared" si="10"/>
        <v/>
      </c>
      <c r="J701" s="67" t="str">
        <f t="shared" si="11"/>
        <v/>
      </c>
      <c r="K701" s="71" t="str">
        <f t="shared" si="12"/>
        <v/>
      </c>
      <c r="L701" s="71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58"/>
      <c r="N701" s="58"/>
      <c r="O701" s="5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72"/>
      <c r="B702" s="63"/>
      <c r="C702" s="63"/>
      <c r="D702" s="67"/>
      <c r="E702" s="67"/>
      <c r="F702" s="68" t="str">
        <f t="shared" si="7"/>
        <v/>
      </c>
      <c r="G702" s="67" t="str">
        <f t="shared" si="8"/>
        <v/>
      </c>
      <c r="H702" s="69" t="str">
        <f t="shared" si="9"/>
        <v/>
      </c>
      <c r="I702" s="70" t="str">
        <f t="shared" si="10"/>
        <v/>
      </c>
      <c r="J702" s="67" t="str">
        <f t="shared" si="11"/>
        <v/>
      </c>
      <c r="K702" s="71" t="str">
        <f t="shared" si="12"/>
        <v/>
      </c>
      <c r="L702" s="71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58"/>
      <c r="N702" s="58"/>
      <c r="O702" s="5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72"/>
      <c r="B703" s="63"/>
      <c r="C703" s="63"/>
      <c r="D703" s="67"/>
      <c r="E703" s="67"/>
      <c r="F703" s="68" t="str">
        <f t="shared" si="7"/>
        <v/>
      </c>
      <c r="G703" s="67" t="str">
        <f t="shared" si="8"/>
        <v/>
      </c>
      <c r="H703" s="69" t="str">
        <f t="shared" si="9"/>
        <v/>
      </c>
      <c r="I703" s="70" t="str">
        <f t="shared" si="10"/>
        <v/>
      </c>
      <c r="J703" s="67" t="str">
        <f t="shared" si="11"/>
        <v/>
      </c>
      <c r="K703" s="71" t="str">
        <f t="shared" si="12"/>
        <v/>
      </c>
      <c r="L703" s="71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58"/>
      <c r="N703" s="58"/>
      <c r="O703" s="5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72"/>
      <c r="B704" s="63"/>
      <c r="C704" s="63"/>
      <c r="D704" s="67"/>
      <c r="E704" s="67"/>
      <c r="F704" s="68" t="str">
        <f t="shared" si="7"/>
        <v/>
      </c>
      <c r="G704" s="67" t="str">
        <f t="shared" si="8"/>
        <v/>
      </c>
      <c r="H704" s="69" t="str">
        <f t="shared" si="9"/>
        <v/>
      </c>
      <c r="I704" s="70" t="str">
        <f t="shared" si="10"/>
        <v/>
      </c>
      <c r="J704" s="67" t="str">
        <f t="shared" si="11"/>
        <v/>
      </c>
      <c r="K704" s="71" t="str">
        <f t="shared" si="12"/>
        <v/>
      </c>
      <c r="L704" s="71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58"/>
      <c r="N704" s="58"/>
      <c r="O704" s="5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72"/>
      <c r="B705" s="63"/>
      <c r="C705" s="63"/>
      <c r="D705" s="67"/>
      <c r="E705" s="67"/>
      <c r="F705" s="68" t="str">
        <f t="shared" si="7"/>
        <v/>
      </c>
      <c r="G705" s="67" t="str">
        <f t="shared" si="8"/>
        <v/>
      </c>
      <c r="H705" s="69" t="str">
        <f t="shared" si="9"/>
        <v/>
      </c>
      <c r="I705" s="70" t="str">
        <f t="shared" si="10"/>
        <v/>
      </c>
      <c r="J705" s="67" t="str">
        <f t="shared" si="11"/>
        <v/>
      </c>
      <c r="K705" s="71" t="str">
        <f t="shared" si="12"/>
        <v/>
      </c>
      <c r="L705" s="71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58"/>
      <c r="N705" s="58"/>
      <c r="O705" s="5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72"/>
      <c r="B706" s="63"/>
      <c r="C706" s="63"/>
      <c r="D706" s="67"/>
      <c r="E706" s="67"/>
      <c r="F706" s="68" t="str">
        <f t="shared" si="7"/>
        <v/>
      </c>
      <c r="G706" s="67" t="str">
        <f t="shared" si="8"/>
        <v/>
      </c>
      <c r="H706" s="69" t="str">
        <f t="shared" si="9"/>
        <v/>
      </c>
      <c r="I706" s="70" t="str">
        <f t="shared" si="10"/>
        <v/>
      </c>
      <c r="J706" s="67" t="str">
        <f t="shared" si="11"/>
        <v/>
      </c>
      <c r="K706" s="71" t="str">
        <f t="shared" si="12"/>
        <v/>
      </c>
      <c r="L706" s="71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58"/>
      <c r="N706" s="58"/>
      <c r="O706" s="5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72"/>
      <c r="B707" s="63"/>
      <c r="C707" s="63"/>
      <c r="D707" s="67"/>
      <c r="E707" s="67"/>
      <c r="F707" s="68" t="str">
        <f t="shared" si="7"/>
        <v/>
      </c>
      <c r="G707" s="67" t="str">
        <f t="shared" si="8"/>
        <v/>
      </c>
      <c r="H707" s="69" t="str">
        <f t="shared" si="9"/>
        <v/>
      </c>
      <c r="I707" s="70" t="str">
        <f t="shared" si="10"/>
        <v/>
      </c>
      <c r="J707" s="67" t="str">
        <f t="shared" si="11"/>
        <v/>
      </c>
      <c r="K707" s="71" t="str">
        <f t="shared" si="12"/>
        <v/>
      </c>
      <c r="L707" s="71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58"/>
      <c r="N707" s="58"/>
      <c r="O707" s="5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72"/>
      <c r="B708" s="63"/>
      <c r="C708" s="63"/>
      <c r="D708" s="67"/>
      <c r="E708" s="67"/>
      <c r="F708" s="68" t="str">
        <f t="shared" si="7"/>
        <v/>
      </c>
      <c r="G708" s="67" t="str">
        <f t="shared" si="8"/>
        <v/>
      </c>
      <c r="H708" s="69" t="str">
        <f t="shared" si="9"/>
        <v/>
      </c>
      <c r="I708" s="70" t="str">
        <f t="shared" si="10"/>
        <v/>
      </c>
      <c r="J708" s="67" t="str">
        <f t="shared" si="11"/>
        <v/>
      </c>
      <c r="K708" s="71" t="str">
        <f t="shared" si="12"/>
        <v/>
      </c>
      <c r="L708" s="71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58"/>
      <c r="N708" s="58"/>
      <c r="O708" s="5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72"/>
      <c r="B709" s="63"/>
      <c r="C709" s="63"/>
      <c r="D709" s="67"/>
      <c r="E709" s="67"/>
      <c r="F709" s="68" t="str">
        <f t="shared" si="7"/>
        <v/>
      </c>
      <c r="G709" s="67" t="str">
        <f t="shared" si="8"/>
        <v/>
      </c>
      <c r="H709" s="69" t="str">
        <f t="shared" si="9"/>
        <v/>
      </c>
      <c r="I709" s="70" t="str">
        <f t="shared" si="10"/>
        <v/>
      </c>
      <c r="J709" s="67" t="str">
        <f t="shared" si="11"/>
        <v/>
      </c>
      <c r="K709" s="71" t="str">
        <f t="shared" si="12"/>
        <v/>
      </c>
      <c r="L709" s="71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58"/>
      <c r="N709" s="58"/>
      <c r="O709" s="5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72"/>
      <c r="B710" s="63"/>
      <c r="C710" s="63"/>
      <c r="D710" s="67"/>
      <c r="E710" s="67"/>
      <c r="F710" s="68" t="str">
        <f t="shared" si="7"/>
        <v/>
      </c>
      <c r="G710" s="67" t="str">
        <f t="shared" si="8"/>
        <v/>
      </c>
      <c r="H710" s="69" t="str">
        <f t="shared" si="9"/>
        <v/>
      </c>
      <c r="I710" s="70" t="str">
        <f t="shared" si="10"/>
        <v/>
      </c>
      <c r="J710" s="67" t="str">
        <f t="shared" si="11"/>
        <v/>
      </c>
      <c r="K710" s="71" t="str">
        <f t="shared" si="12"/>
        <v/>
      </c>
      <c r="L710" s="71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58"/>
      <c r="N710" s="58"/>
      <c r="O710" s="5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72"/>
      <c r="B711" s="63"/>
      <c r="C711" s="63"/>
      <c r="D711" s="67"/>
      <c r="E711" s="67"/>
      <c r="F711" s="68" t="str">
        <f t="shared" si="7"/>
        <v/>
      </c>
      <c r="G711" s="67" t="str">
        <f t="shared" si="8"/>
        <v/>
      </c>
      <c r="H711" s="69" t="str">
        <f t="shared" si="9"/>
        <v/>
      </c>
      <c r="I711" s="70" t="str">
        <f t="shared" si="10"/>
        <v/>
      </c>
      <c r="J711" s="67" t="str">
        <f t="shared" si="11"/>
        <v/>
      </c>
      <c r="K711" s="71" t="str">
        <f t="shared" si="12"/>
        <v/>
      </c>
      <c r="L711" s="71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58"/>
      <c r="N711" s="58"/>
      <c r="O711" s="5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72"/>
      <c r="B712" s="63"/>
      <c r="C712" s="63"/>
      <c r="D712" s="67"/>
      <c r="E712" s="67"/>
      <c r="F712" s="68" t="str">
        <f t="shared" si="7"/>
        <v/>
      </c>
      <c r="G712" s="67" t="str">
        <f t="shared" si="8"/>
        <v/>
      </c>
      <c r="H712" s="69" t="str">
        <f t="shared" si="9"/>
        <v/>
      </c>
      <c r="I712" s="70" t="str">
        <f t="shared" si="10"/>
        <v/>
      </c>
      <c r="J712" s="67" t="str">
        <f t="shared" si="11"/>
        <v/>
      </c>
      <c r="K712" s="71" t="str">
        <f t="shared" si="12"/>
        <v/>
      </c>
      <c r="L712" s="71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58"/>
      <c r="N712" s="58"/>
      <c r="O712" s="5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72"/>
      <c r="B713" s="63"/>
      <c r="C713" s="63"/>
      <c r="D713" s="67"/>
      <c r="E713" s="67"/>
      <c r="F713" s="68" t="str">
        <f t="shared" si="7"/>
        <v/>
      </c>
      <c r="G713" s="67" t="str">
        <f t="shared" si="8"/>
        <v/>
      </c>
      <c r="H713" s="69" t="str">
        <f t="shared" si="9"/>
        <v/>
      </c>
      <c r="I713" s="70" t="str">
        <f t="shared" si="10"/>
        <v/>
      </c>
      <c r="J713" s="67" t="str">
        <f t="shared" si="11"/>
        <v/>
      </c>
      <c r="K713" s="71" t="str">
        <f t="shared" si="12"/>
        <v/>
      </c>
      <c r="L713" s="71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58"/>
      <c r="N713" s="58"/>
      <c r="O713" s="5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72"/>
      <c r="B714" s="63"/>
      <c r="C714" s="63"/>
      <c r="D714" s="67"/>
      <c r="E714" s="67"/>
      <c r="F714" s="68" t="str">
        <f t="shared" si="7"/>
        <v/>
      </c>
      <c r="G714" s="67" t="str">
        <f t="shared" si="8"/>
        <v/>
      </c>
      <c r="H714" s="69" t="str">
        <f t="shared" si="9"/>
        <v/>
      </c>
      <c r="I714" s="70" t="str">
        <f t="shared" si="10"/>
        <v/>
      </c>
      <c r="J714" s="67" t="str">
        <f t="shared" si="11"/>
        <v/>
      </c>
      <c r="K714" s="71" t="str">
        <f t="shared" si="12"/>
        <v/>
      </c>
      <c r="L714" s="71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58"/>
      <c r="N714" s="58"/>
      <c r="O714" s="5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72"/>
      <c r="B715" s="63"/>
      <c r="C715" s="63"/>
      <c r="D715" s="67"/>
      <c r="E715" s="67"/>
      <c r="F715" s="68" t="str">
        <f t="shared" si="7"/>
        <v/>
      </c>
      <c r="G715" s="67" t="str">
        <f t="shared" si="8"/>
        <v/>
      </c>
      <c r="H715" s="69" t="str">
        <f t="shared" si="9"/>
        <v/>
      </c>
      <c r="I715" s="70" t="str">
        <f t="shared" si="10"/>
        <v/>
      </c>
      <c r="J715" s="67" t="str">
        <f t="shared" si="11"/>
        <v/>
      </c>
      <c r="K715" s="71" t="str">
        <f t="shared" si="12"/>
        <v/>
      </c>
      <c r="L715" s="71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58"/>
      <c r="N715" s="58"/>
      <c r="O715" s="5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72"/>
      <c r="B716" s="63"/>
      <c r="C716" s="63"/>
      <c r="D716" s="67"/>
      <c r="E716" s="67"/>
      <c r="F716" s="68" t="str">
        <f t="shared" si="7"/>
        <v/>
      </c>
      <c r="G716" s="67" t="str">
        <f t="shared" si="8"/>
        <v/>
      </c>
      <c r="H716" s="69" t="str">
        <f t="shared" si="9"/>
        <v/>
      </c>
      <c r="I716" s="70" t="str">
        <f t="shared" si="10"/>
        <v/>
      </c>
      <c r="J716" s="67" t="str">
        <f t="shared" si="11"/>
        <v/>
      </c>
      <c r="K716" s="71" t="str">
        <f t="shared" si="12"/>
        <v/>
      </c>
      <c r="L716" s="71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58"/>
      <c r="N716" s="58"/>
      <c r="O716" s="5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72"/>
      <c r="B717" s="63"/>
      <c r="C717" s="63"/>
      <c r="D717" s="67"/>
      <c r="E717" s="67"/>
      <c r="F717" s="68" t="str">
        <f t="shared" si="7"/>
        <v/>
      </c>
      <c r="G717" s="67" t="str">
        <f t="shared" si="8"/>
        <v/>
      </c>
      <c r="H717" s="69" t="str">
        <f t="shared" si="9"/>
        <v/>
      </c>
      <c r="I717" s="70" t="str">
        <f t="shared" si="10"/>
        <v/>
      </c>
      <c r="J717" s="67" t="str">
        <f t="shared" si="11"/>
        <v/>
      </c>
      <c r="K717" s="71" t="str">
        <f t="shared" si="12"/>
        <v/>
      </c>
      <c r="L717" s="71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58"/>
      <c r="N717" s="58"/>
      <c r="O717" s="5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72"/>
      <c r="B718" s="63"/>
      <c r="C718" s="63"/>
      <c r="D718" s="67"/>
      <c r="E718" s="67"/>
      <c r="F718" s="68" t="str">
        <f t="shared" si="7"/>
        <v/>
      </c>
      <c r="G718" s="67" t="str">
        <f t="shared" si="8"/>
        <v/>
      </c>
      <c r="H718" s="69" t="str">
        <f t="shared" si="9"/>
        <v/>
      </c>
      <c r="I718" s="70" t="str">
        <f t="shared" si="10"/>
        <v/>
      </c>
      <c r="J718" s="67" t="str">
        <f t="shared" si="11"/>
        <v/>
      </c>
      <c r="K718" s="71" t="str">
        <f t="shared" si="12"/>
        <v/>
      </c>
      <c r="L718" s="71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58"/>
      <c r="N718" s="58"/>
      <c r="O718" s="5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72"/>
      <c r="B719" s="63"/>
      <c r="C719" s="63"/>
      <c r="D719" s="67"/>
      <c r="E719" s="67"/>
      <c r="F719" s="68" t="str">
        <f t="shared" si="7"/>
        <v/>
      </c>
      <c r="G719" s="67" t="str">
        <f t="shared" si="8"/>
        <v/>
      </c>
      <c r="H719" s="69" t="str">
        <f t="shared" si="9"/>
        <v/>
      </c>
      <c r="I719" s="70" t="str">
        <f t="shared" si="10"/>
        <v/>
      </c>
      <c r="J719" s="67" t="str">
        <f t="shared" si="11"/>
        <v/>
      </c>
      <c r="K719" s="71" t="str">
        <f t="shared" si="12"/>
        <v/>
      </c>
      <c r="L719" s="71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58"/>
      <c r="N719" s="58"/>
      <c r="O719" s="5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72"/>
      <c r="B720" s="63"/>
      <c r="C720" s="63"/>
      <c r="D720" s="67"/>
      <c r="E720" s="67"/>
      <c r="F720" s="68" t="str">
        <f t="shared" si="7"/>
        <v/>
      </c>
      <c r="G720" s="67" t="str">
        <f t="shared" si="8"/>
        <v/>
      </c>
      <c r="H720" s="69" t="str">
        <f t="shared" si="9"/>
        <v/>
      </c>
      <c r="I720" s="70" t="str">
        <f t="shared" si="10"/>
        <v/>
      </c>
      <c r="J720" s="67" t="str">
        <f t="shared" si="11"/>
        <v/>
      </c>
      <c r="K720" s="71" t="str">
        <f t="shared" si="12"/>
        <v/>
      </c>
      <c r="L720" s="71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58"/>
      <c r="N720" s="58"/>
      <c r="O720" s="5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72"/>
      <c r="B721" s="63"/>
      <c r="C721" s="63"/>
      <c r="D721" s="67"/>
      <c r="E721" s="67"/>
      <c r="F721" s="68" t="str">
        <f t="shared" si="7"/>
        <v/>
      </c>
      <c r="G721" s="67" t="str">
        <f t="shared" si="8"/>
        <v/>
      </c>
      <c r="H721" s="69" t="str">
        <f t="shared" si="9"/>
        <v/>
      </c>
      <c r="I721" s="70" t="str">
        <f t="shared" si="10"/>
        <v/>
      </c>
      <c r="J721" s="67" t="str">
        <f t="shared" si="11"/>
        <v/>
      </c>
      <c r="K721" s="71" t="str">
        <f t="shared" si="12"/>
        <v/>
      </c>
      <c r="L721" s="71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58"/>
      <c r="N721" s="58"/>
      <c r="O721" s="5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72"/>
      <c r="B722" s="63"/>
      <c r="C722" s="63"/>
      <c r="D722" s="67"/>
      <c r="E722" s="67"/>
      <c r="F722" s="68" t="str">
        <f t="shared" si="7"/>
        <v/>
      </c>
      <c r="G722" s="67" t="str">
        <f t="shared" si="8"/>
        <v/>
      </c>
      <c r="H722" s="69" t="str">
        <f t="shared" si="9"/>
        <v/>
      </c>
      <c r="I722" s="70" t="str">
        <f t="shared" si="10"/>
        <v/>
      </c>
      <c r="J722" s="67" t="str">
        <f t="shared" si="11"/>
        <v/>
      </c>
      <c r="K722" s="71" t="str">
        <f t="shared" si="12"/>
        <v/>
      </c>
      <c r="L722" s="71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58"/>
      <c r="N722" s="58"/>
      <c r="O722" s="5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72"/>
      <c r="B723" s="63"/>
      <c r="C723" s="63"/>
      <c r="D723" s="67"/>
      <c r="E723" s="67"/>
      <c r="F723" s="68" t="str">
        <f t="shared" si="7"/>
        <v/>
      </c>
      <c r="G723" s="67" t="str">
        <f t="shared" si="8"/>
        <v/>
      </c>
      <c r="H723" s="69" t="str">
        <f t="shared" si="9"/>
        <v/>
      </c>
      <c r="I723" s="70" t="str">
        <f t="shared" si="10"/>
        <v/>
      </c>
      <c r="J723" s="67" t="str">
        <f t="shared" si="11"/>
        <v/>
      </c>
      <c r="K723" s="71" t="str">
        <f t="shared" si="12"/>
        <v/>
      </c>
      <c r="L723" s="71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58"/>
      <c r="N723" s="58"/>
      <c r="O723" s="5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72"/>
      <c r="B724" s="63"/>
      <c r="C724" s="63"/>
      <c r="D724" s="67"/>
      <c r="E724" s="67"/>
      <c r="F724" s="68" t="str">
        <f t="shared" si="7"/>
        <v/>
      </c>
      <c r="G724" s="67" t="str">
        <f t="shared" si="8"/>
        <v/>
      </c>
      <c r="H724" s="69" t="str">
        <f t="shared" si="9"/>
        <v/>
      </c>
      <c r="I724" s="70" t="str">
        <f t="shared" si="10"/>
        <v/>
      </c>
      <c r="J724" s="67" t="str">
        <f t="shared" si="11"/>
        <v/>
      </c>
      <c r="K724" s="71" t="str">
        <f t="shared" si="12"/>
        <v/>
      </c>
      <c r="L724" s="71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58"/>
      <c r="N724" s="58"/>
      <c r="O724" s="5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72"/>
      <c r="B725" s="63"/>
      <c r="C725" s="63"/>
      <c r="D725" s="67"/>
      <c r="E725" s="67"/>
      <c r="F725" s="68" t="str">
        <f t="shared" si="7"/>
        <v/>
      </c>
      <c r="G725" s="67" t="str">
        <f t="shared" si="8"/>
        <v/>
      </c>
      <c r="H725" s="69" t="str">
        <f t="shared" si="9"/>
        <v/>
      </c>
      <c r="I725" s="70" t="str">
        <f t="shared" si="10"/>
        <v/>
      </c>
      <c r="J725" s="67" t="str">
        <f t="shared" si="11"/>
        <v/>
      </c>
      <c r="K725" s="71" t="str">
        <f t="shared" si="12"/>
        <v/>
      </c>
      <c r="L725" s="71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58"/>
      <c r="N725" s="58"/>
      <c r="O725" s="5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72"/>
      <c r="B726" s="63"/>
      <c r="C726" s="63"/>
      <c r="D726" s="67"/>
      <c r="E726" s="67"/>
      <c r="F726" s="68" t="str">
        <f t="shared" si="7"/>
        <v/>
      </c>
      <c r="G726" s="67" t="str">
        <f t="shared" si="8"/>
        <v/>
      </c>
      <c r="H726" s="69" t="str">
        <f t="shared" si="9"/>
        <v/>
      </c>
      <c r="I726" s="70" t="str">
        <f t="shared" si="10"/>
        <v/>
      </c>
      <c r="J726" s="67" t="str">
        <f t="shared" si="11"/>
        <v/>
      </c>
      <c r="K726" s="71" t="str">
        <f t="shared" si="12"/>
        <v/>
      </c>
      <c r="L726" s="71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58"/>
      <c r="N726" s="58"/>
      <c r="O726" s="5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72"/>
      <c r="B727" s="63"/>
      <c r="C727" s="63"/>
      <c r="D727" s="67"/>
      <c r="E727" s="67"/>
      <c r="F727" s="68" t="str">
        <f t="shared" si="7"/>
        <v/>
      </c>
      <c r="G727" s="67" t="str">
        <f t="shared" si="8"/>
        <v/>
      </c>
      <c r="H727" s="69" t="str">
        <f t="shared" si="9"/>
        <v/>
      </c>
      <c r="I727" s="70" t="str">
        <f t="shared" si="10"/>
        <v/>
      </c>
      <c r="J727" s="67" t="str">
        <f t="shared" si="11"/>
        <v/>
      </c>
      <c r="K727" s="71" t="str">
        <f t="shared" si="12"/>
        <v/>
      </c>
      <c r="L727" s="71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58"/>
      <c r="N727" s="58"/>
      <c r="O727" s="5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72"/>
      <c r="B728" s="63"/>
      <c r="C728" s="63"/>
      <c r="D728" s="67"/>
      <c r="E728" s="67"/>
      <c r="F728" s="68" t="str">
        <f t="shared" si="7"/>
        <v/>
      </c>
      <c r="G728" s="67" t="str">
        <f t="shared" si="8"/>
        <v/>
      </c>
      <c r="H728" s="69" t="str">
        <f t="shared" si="9"/>
        <v/>
      </c>
      <c r="I728" s="70" t="str">
        <f t="shared" si="10"/>
        <v/>
      </c>
      <c r="J728" s="67" t="str">
        <f t="shared" si="11"/>
        <v/>
      </c>
      <c r="K728" s="71" t="str">
        <f t="shared" si="12"/>
        <v/>
      </c>
      <c r="L728" s="71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58"/>
      <c r="N728" s="58"/>
      <c r="O728" s="5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72"/>
      <c r="B729" s="63"/>
      <c r="C729" s="63"/>
      <c r="D729" s="67"/>
      <c r="E729" s="67"/>
      <c r="F729" s="68" t="str">
        <f t="shared" si="7"/>
        <v/>
      </c>
      <c r="G729" s="67" t="str">
        <f t="shared" si="8"/>
        <v/>
      </c>
      <c r="H729" s="69" t="str">
        <f t="shared" si="9"/>
        <v/>
      </c>
      <c r="I729" s="70" t="str">
        <f t="shared" si="10"/>
        <v/>
      </c>
      <c r="J729" s="67" t="str">
        <f t="shared" si="11"/>
        <v/>
      </c>
      <c r="K729" s="71" t="str">
        <f t="shared" si="12"/>
        <v/>
      </c>
      <c r="L729" s="71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58"/>
      <c r="N729" s="58"/>
      <c r="O729" s="5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72"/>
      <c r="B730" s="63"/>
      <c r="C730" s="63"/>
      <c r="D730" s="67"/>
      <c r="E730" s="67"/>
      <c r="F730" s="68" t="str">
        <f t="shared" si="7"/>
        <v/>
      </c>
      <c r="G730" s="67" t="str">
        <f t="shared" si="8"/>
        <v/>
      </c>
      <c r="H730" s="69" t="str">
        <f t="shared" si="9"/>
        <v/>
      </c>
      <c r="I730" s="70" t="str">
        <f t="shared" si="10"/>
        <v/>
      </c>
      <c r="J730" s="67" t="str">
        <f t="shared" si="11"/>
        <v/>
      </c>
      <c r="K730" s="71" t="str">
        <f t="shared" si="12"/>
        <v/>
      </c>
      <c r="L730" s="71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58"/>
      <c r="N730" s="58"/>
      <c r="O730" s="5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72"/>
      <c r="B731" s="63"/>
      <c r="C731" s="63"/>
      <c r="D731" s="67"/>
      <c r="E731" s="67"/>
      <c r="F731" s="68" t="str">
        <f t="shared" si="7"/>
        <v/>
      </c>
      <c r="G731" s="67" t="str">
        <f t="shared" si="8"/>
        <v/>
      </c>
      <c r="H731" s="69" t="str">
        <f t="shared" si="9"/>
        <v/>
      </c>
      <c r="I731" s="70" t="str">
        <f t="shared" si="10"/>
        <v/>
      </c>
      <c r="J731" s="67" t="str">
        <f t="shared" si="11"/>
        <v/>
      </c>
      <c r="K731" s="71" t="str">
        <f t="shared" si="12"/>
        <v/>
      </c>
      <c r="L731" s="71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58"/>
      <c r="N731" s="58"/>
      <c r="O731" s="5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72"/>
      <c r="B732" s="63"/>
      <c r="C732" s="63"/>
      <c r="D732" s="67"/>
      <c r="E732" s="67"/>
      <c r="F732" s="68" t="str">
        <f t="shared" si="7"/>
        <v/>
      </c>
      <c r="G732" s="67" t="str">
        <f t="shared" si="8"/>
        <v/>
      </c>
      <c r="H732" s="69" t="str">
        <f t="shared" si="9"/>
        <v/>
      </c>
      <c r="I732" s="70" t="str">
        <f t="shared" si="10"/>
        <v/>
      </c>
      <c r="J732" s="67" t="str">
        <f t="shared" si="11"/>
        <v/>
      </c>
      <c r="K732" s="71" t="str">
        <f t="shared" si="12"/>
        <v/>
      </c>
      <c r="L732" s="71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58"/>
      <c r="N732" s="58"/>
      <c r="O732" s="5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72"/>
      <c r="B733" s="63"/>
      <c r="C733" s="63"/>
      <c r="D733" s="67"/>
      <c r="E733" s="67"/>
      <c r="F733" s="68" t="str">
        <f t="shared" si="7"/>
        <v/>
      </c>
      <c r="G733" s="67" t="str">
        <f t="shared" si="8"/>
        <v/>
      </c>
      <c r="H733" s="69" t="str">
        <f t="shared" si="9"/>
        <v/>
      </c>
      <c r="I733" s="70" t="str">
        <f t="shared" si="10"/>
        <v/>
      </c>
      <c r="J733" s="67" t="str">
        <f t="shared" si="11"/>
        <v/>
      </c>
      <c r="K733" s="71" t="str">
        <f t="shared" si="12"/>
        <v/>
      </c>
      <c r="L733" s="71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58"/>
      <c r="N733" s="58"/>
      <c r="O733" s="5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72"/>
      <c r="B734" s="63"/>
      <c r="C734" s="63"/>
      <c r="D734" s="67"/>
      <c r="E734" s="67"/>
      <c r="F734" s="68" t="str">
        <f t="shared" si="7"/>
        <v/>
      </c>
      <c r="G734" s="67" t="str">
        <f t="shared" si="8"/>
        <v/>
      </c>
      <c r="H734" s="69" t="str">
        <f t="shared" si="9"/>
        <v/>
      </c>
      <c r="I734" s="70" t="str">
        <f t="shared" si="10"/>
        <v/>
      </c>
      <c r="J734" s="67" t="str">
        <f t="shared" si="11"/>
        <v/>
      </c>
      <c r="K734" s="71" t="str">
        <f t="shared" si="12"/>
        <v/>
      </c>
      <c r="L734" s="71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58"/>
      <c r="N734" s="58"/>
      <c r="O734" s="5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72"/>
      <c r="B735" s="63"/>
      <c r="C735" s="63"/>
      <c r="D735" s="67"/>
      <c r="E735" s="67"/>
      <c r="F735" s="68" t="str">
        <f t="shared" si="7"/>
        <v/>
      </c>
      <c r="G735" s="67" t="str">
        <f t="shared" si="8"/>
        <v/>
      </c>
      <c r="H735" s="69" t="str">
        <f t="shared" si="9"/>
        <v/>
      </c>
      <c r="I735" s="70" t="str">
        <f t="shared" si="10"/>
        <v/>
      </c>
      <c r="J735" s="67" t="str">
        <f t="shared" si="11"/>
        <v/>
      </c>
      <c r="K735" s="71" t="str">
        <f t="shared" si="12"/>
        <v/>
      </c>
      <c r="L735" s="71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58"/>
      <c r="N735" s="58"/>
      <c r="O735" s="5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72"/>
      <c r="B736" s="63"/>
      <c r="C736" s="63"/>
      <c r="D736" s="67"/>
      <c r="E736" s="67"/>
      <c r="F736" s="68" t="str">
        <f t="shared" si="7"/>
        <v/>
      </c>
      <c r="G736" s="67" t="str">
        <f t="shared" si="8"/>
        <v/>
      </c>
      <c r="H736" s="69" t="str">
        <f t="shared" si="9"/>
        <v/>
      </c>
      <c r="I736" s="70" t="str">
        <f t="shared" si="10"/>
        <v/>
      </c>
      <c r="J736" s="67" t="str">
        <f t="shared" si="11"/>
        <v/>
      </c>
      <c r="K736" s="71" t="str">
        <f t="shared" si="12"/>
        <v/>
      </c>
      <c r="L736" s="71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58"/>
      <c r="N736" s="58"/>
      <c r="O736" s="5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72"/>
      <c r="B737" s="63"/>
      <c r="C737" s="63"/>
      <c r="D737" s="67"/>
      <c r="E737" s="67"/>
      <c r="F737" s="68" t="str">
        <f t="shared" si="7"/>
        <v/>
      </c>
      <c r="G737" s="67" t="str">
        <f t="shared" si="8"/>
        <v/>
      </c>
      <c r="H737" s="69" t="str">
        <f t="shared" si="9"/>
        <v/>
      </c>
      <c r="I737" s="70" t="str">
        <f t="shared" si="10"/>
        <v/>
      </c>
      <c r="J737" s="67" t="str">
        <f t="shared" si="11"/>
        <v/>
      </c>
      <c r="K737" s="71" t="str">
        <f t="shared" si="12"/>
        <v/>
      </c>
      <c r="L737" s="71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58"/>
      <c r="N737" s="58"/>
      <c r="O737" s="5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72"/>
      <c r="B738" s="63"/>
      <c r="C738" s="63"/>
      <c r="D738" s="67"/>
      <c r="E738" s="67"/>
      <c r="F738" s="68" t="str">
        <f t="shared" si="7"/>
        <v/>
      </c>
      <c r="G738" s="67" t="str">
        <f t="shared" si="8"/>
        <v/>
      </c>
      <c r="H738" s="69" t="str">
        <f t="shared" si="9"/>
        <v/>
      </c>
      <c r="I738" s="70" t="str">
        <f t="shared" si="10"/>
        <v/>
      </c>
      <c r="J738" s="67" t="str">
        <f t="shared" si="11"/>
        <v/>
      </c>
      <c r="K738" s="71" t="str">
        <f t="shared" si="12"/>
        <v/>
      </c>
      <c r="L738" s="71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58"/>
      <c r="N738" s="58"/>
      <c r="O738" s="5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72"/>
      <c r="B739" s="63"/>
      <c r="C739" s="63"/>
      <c r="D739" s="67"/>
      <c r="E739" s="67"/>
      <c r="F739" s="68" t="str">
        <f t="shared" si="7"/>
        <v/>
      </c>
      <c r="G739" s="67" t="str">
        <f t="shared" si="8"/>
        <v/>
      </c>
      <c r="H739" s="69" t="str">
        <f t="shared" si="9"/>
        <v/>
      </c>
      <c r="I739" s="70" t="str">
        <f t="shared" si="10"/>
        <v/>
      </c>
      <c r="J739" s="67" t="str">
        <f t="shared" si="11"/>
        <v/>
      </c>
      <c r="K739" s="71" t="str">
        <f t="shared" si="12"/>
        <v/>
      </c>
      <c r="L739" s="71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58"/>
      <c r="N739" s="58"/>
      <c r="O739" s="5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72"/>
      <c r="B740" s="63"/>
      <c r="C740" s="63"/>
      <c r="D740" s="67"/>
      <c r="E740" s="67"/>
      <c r="F740" s="68" t="str">
        <f t="shared" si="7"/>
        <v/>
      </c>
      <c r="G740" s="67" t="str">
        <f t="shared" si="8"/>
        <v/>
      </c>
      <c r="H740" s="69" t="str">
        <f t="shared" si="9"/>
        <v/>
      </c>
      <c r="I740" s="70" t="str">
        <f t="shared" si="10"/>
        <v/>
      </c>
      <c r="J740" s="67" t="str">
        <f t="shared" si="11"/>
        <v/>
      </c>
      <c r="K740" s="71" t="str">
        <f t="shared" si="12"/>
        <v/>
      </c>
      <c r="L740" s="71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58"/>
      <c r="N740" s="58"/>
      <c r="O740" s="5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72"/>
      <c r="B741" s="63"/>
      <c r="C741" s="63"/>
      <c r="D741" s="67"/>
      <c r="E741" s="67"/>
      <c r="F741" s="68" t="str">
        <f t="shared" si="7"/>
        <v/>
      </c>
      <c r="G741" s="67" t="str">
        <f t="shared" si="8"/>
        <v/>
      </c>
      <c r="H741" s="69" t="str">
        <f t="shared" si="9"/>
        <v/>
      </c>
      <c r="I741" s="70" t="str">
        <f t="shared" si="10"/>
        <v/>
      </c>
      <c r="J741" s="67" t="str">
        <f t="shared" si="11"/>
        <v/>
      </c>
      <c r="K741" s="71" t="str">
        <f t="shared" si="12"/>
        <v/>
      </c>
      <c r="L741" s="71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58"/>
      <c r="N741" s="58"/>
      <c r="O741" s="5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72"/>
      <c r="B742" s="63"/>
      <c r="C742" s="63"/>
      <c r="D742" s="67"/>
      <c r="E742" s="67"/>
      <c r="F742" s="68" t="str">
        <f t="shared" si="7"/>
        <v/>
      </c>
      <c r="G742" s="67" t="str">
        <f t="shared" si="8"/>
        <v/>
      </c>
      <c r="H742" s="69" t="str">
        <f t="shared" si="9"/>
        <v/>
      </c>
      <c r="I742" s="70" t="str">
        <f t="shared" si="10"/>
        <v/>
      </c>
      <c r="J742" s="67" t="str">
        <f t="shared" si="11"/>
        <v/>
      </c>
      <c r="K742" s="71" t="str">
        <f t="shared" si="12"/>
        <v/>
      </c>
      <c r="L742" s="71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58"/>
      <c r="N742" s="58"/>
      <c r="O742" s="5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72"/>
      <c r="B743" s="63"/>
      <c r="C743" s="63"/>
      <c r="D743" s="67"/>
      <c r="E743" s="67"/>
      <c r="F743" s="68" t="str">
        <f t="shared" si="7"/>
        <v/>
      </c>
      <c r="G743" s="67" t="str">
        <f t="shared" si="8"/>
        <v/>
      </c>
      <c r="H743" s="69" t="str">
        <f t="shared" si="9"/>
        <v/>
      </c>
      <c r="I743" s="70" t="str">
        <f t="shared" si="10"/>
        <v/>
      </c>
      <c r="J743" s="67" t="str">
        <f t="shared" si="11"/>
        <v/>
      </c>
      <c r="K743" s="71" t="str">
        <f t="shared" si="12"/>
        <v/>
      </c>
      <c r="L743" s="71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58"/>
      <c r="N743" s="58"/>
      <c r="O743" s="5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72"/>
      <c r="B744" s="63"/>
      <c r="C744" s="63"/>
      <c r="D744" s="67"/>
      <c r="E744" s="67"/>
      <c r="F744" s="68" t="str">
        <f t="shared" si="7"/>
        <v/>
      </c>
      <c r="G744" s="67" t="str">
        <f t="shared" si="8"/>
        <v/>
      </c>
      <c r="H744" s="69" t="str">
        <f t="shared" si="9"/>
        <v/>
      </c>
      <c r="I744" s="70" t="str">
        <f t="shared" si="10"/>
        <v/>
      </c>
      <c r="J744" s="67" t="str">
        <f t="shared" si="11"/>
        <v/>
      </c>
      <c r="K744" s="71" t="str">
        <f t="shared" si="12"/>
        <v/>
      </c>
      <c r="L744" s="71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58"/>
      <c r="N744" s="58"/>
      <c r="O744" s="5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72"/>
      <c r="B745" s="63"/>
      <c r="C745" s="63"/>
      <c r="D745" s="67"/>
      <c r="E745" s="67"/>
      <c r="F745" s="68" t="str">
        <f t="shared" si="7"/>
        <v/>
      </c>
      <c r="G745" s="67" t="str">
        <f t="shared" si="8"/>
        <v/>
      </c>
      <c r="H745" s="69" t="str">
        <f t="shared" si="9"/>
        <v/>
      </c>
      <c r="I745" s="70" t="str">
        <f t="shared" si="10"/>
        <v/>
      </c>
      <c r="J745" s="67" t="str">
        <f t="shared" si="11"/>
        <v/>
      </c>
      <c r="K745" s="71" t="str">
        <f t="shared" si="12"/>
        <v/>
      </c>
      <c r="L745" s="71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58"/>
      <c r="N745" s="58"/>
      <c r="O745" s="5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72"/>
      <c r="B746" s="63"/>
      <c r="C746" s="63"/>
      <c r="D746" s="67"/>
      <c r="E746" s="67"/>
      <c r="F746" s="68" t="str">
        <f t="shared" si="7"/>
        <v/>
      </c>
      <c r="G746" s="67" t="str">
        <f t="shared" si="8"/>
        <v/>
      </c>
      <c r="H746" s="69" t="str">
        <f t="shared" si="9"/>
        <v/>
      </c>
      <c r="I746" s="70" t="str">
        <f t="shared" si="10"/>
        <v/>
      </c>
      <c r="J746" s="67" t="str">
        <f t="shared" si="11"/>
        <v/>
      </c>
      <c r="K746" s="71" t="str">
        <f t="shared" si="12"/>
        <v/>
      </c>
      <c r="L746" s="71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58"/>
      <c r="N746" s="58"/>
      <c r="O746" s="5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72"/>
      <c r="B747" s="63"/>
      <c r="C747" s="63"/>
      <c r="D747" s="67"/>
      <c r="E747" s="67"/>
      <c r="F747" s="68" t="str">
        <f t="shared" si="7"/>
        <v/>
      </c>
      <c r="G747" s="67" t="str">
        <f t="shared" si="8"/>
        <v/>
      </c>
      <c r="H747" s="69" t="str">
        <f t="shared" si="9"/>
        <v/>
      </c>
      <c r="I747" s="70" t="str">
        <f t="shared" si="10"/>
        <v/>
      </c>
      <c r="J747" s="67" t="str">
        <f t="shared" si="11"/>
        <v/>
      </c>
      <c r="K747" s="71" t="str">
        <f t="shared" si="12"/>
        <v/>
      </c>
      <c r="L747" s="71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58"/>
      <c r="N747" s="58"/>
      <c r="O747" s="5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72"/>
      <c r="B748" s="63"/>
      <c r="C748" s="63"/>
      <c r="D748" s="67"/>
      <c r="E748" s="67"/>
      <c r="F748" s="68" t="str">
        <f t="shared" si="7"/>
        <v/>
      </c>
      <c r="G748" s="67" t="str">
        <f t="shared" si="8"/>
        <v/>
      </c>
      <c r="H748" s="69" t="str">
        <f t="shared" si="9"/>
        <v/>
      </c>
      <c r="I748" s="70" t="str">
        <f t="shared" si="10"/>
        <v/>
      </c>
      <c r="J748" s="67" t="str">
        <f t="shared" si="11"/>
        <v/>
      </c>
      <c r="K748" s="71" t="str">
        <f t="shared" si="12"/>
        <v/>
      </c>
      <c r="L748" s="71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58"/>
      <c r="N748" s="58"/>
      <c r="O748" s="5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72"/>
      <c r="B749" s="63"/>
      <c r="C749" s="63"/>
      <c r="D749" s="67"/>
      <c r="E749" s="67"/>
      <c r="F749" s="68" t="str">
        <f t="shared" si="7"/>
        <v/>
      </c>
      <c r="G749" s="67" t="str">
        <f t="shared" si="8"/>
        <v/>
      </c>
      <c r="H749" s="69" t="str">
        <f t="shared" si="9"/>
        <v/>
      </c>
      <c r="I749" s="70" t="str">
        <f t="shared" si="10"/>
        <v/>
      </c>
      <c r="J749" s="67" t="str">
        <f t="shared" si="11"/>
        <v/>
      </c>
      <c r="K749" s="71" t="str">
        <f t="shared" si="12"/>
        <v/>
      </c>
      <c r="L749" s="71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58"/>
      <c r="N749" s="58"/>
      <c r="O749" s="5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72"/>
      <c r="B750" s="63"/>
      <c r="C750" s="63"/>
      <c r="D750" s="67"/>
      <c r="E750" s="67"/>
      <c r="F750" s="68" t="str">
        <f t="shared" si="7"/>
        <v/>
      </c>
      <c r="G750" s="67" t="str">
        <f t="shared" si="8"/>
        <v/>
      </c>
      <c r="H750" s="69" t="str">
        <f t="shared" si="9"/>
        <v/>
      </c>
      <c r="I750" s="70" t="str">
        <f t="shared" si="10"/>
        <v/>
      </c>
      <c r="J750" s="67" t="str">
        <f t="shared" si="11"/>
        <v/>
      </c>
      <c r="K750" s="71" t="str">
        <f t="shared" si="12"/>
        <v/>
      </c>
      <c r="L750" s="71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58"/>
      <c r="N750" s="58"/>
      <c r="O750" s="5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72"/>
      <c r="B751" s="63"/>
      <c r="C751" s="63"/>
      <c r="D751" s="67"/>
      <c r="E751" s="67"/>
      <c r="F751" s="68" t="str">
        <f t="shared" si="7"/>
        <v/>
      </c>
      <c r="G751" s="67" t="str">
        <f t="shared" si="8"/>
        <v/>
      </c>
      <c r="H751" s="69" t="str">
        <f t="shared" si="9"/>
        <v/>
      </c>
      <c r="I751" s="70" t="str">
        <f t="shared" si="10"/>
        <v/>
      </c>
      <c r="J751" s="67" t="str">
        <f t="shared" si="11"/>
        <v/>
      </c>
      <c r="K751" s="71" t="str">
        <f t="shared" si="12"/>
        <v/>
      </c>
      <c r="L751" s="71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58"/>
      <c r="N751" s="58"/>
      <c r="O751" s="5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72"/>
      <c r="B752" s="63"/>
      <c r="C752" s="63"/>
      <c r="D752" s="67"/>
      <c r="E752" s="67"/>
      <c r="F752" s="68" t="str">
        <f t="shared" si="7"/>
        <v/>
      </c>
      <c r="G752" s="67" t="str">
        <f t="shared" si="8"/>
        <v/>
      </c>
      <c r="H752" s="69" t="str">
        <f t="shared" si="9"/>
        <v/>
      </c>
      <c r="I752" s="70" t="str">
        <f t="shared" si="10"/>
        <v/>
      </c>
      <c r="J752" s="67" t="str">
        <f t="shared" si="11"/>
        <v/>
      </c>
      <c r="K752" s="71" t="str">
        <f t="shared" si="12"/>
        <v/>
      </c>
      <c r="L752" s="71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58"/>
      <c r="N752" s="58"/>
      <c r="O752" s="5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72"/>
      <c r="B753" s="63"/>
      <c r="C753" s="63"/>
      <c r="D753" s="67"/>
      <c r="E753" s="67"/>
      <c r="F753" s="68" t="str">
        <f t="shared" si="7"/>
        <v/>
      </c>
      <c r="G753" s="67" t="str">
        <f t="shared" si="8"/>
        <v/>
      </c>
      <c r="H753" s="69" t="str">
        <f t="shared" si="9"/>
        <v/>
      </c>
      <c r="I753" s="70" t="str">
        <f t="shared" si="10"/>
        <v/>
      </c>
      <c r="J753" s="67" t="str">
        <f t="shared" si="11"/>
        <v/>
      </c>
      <c r="K753" s="71" t="str">
        <f t="shared" si="12"/>
        <v/>
      </c>
      <c r="L753" s="71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58"/>
      <c r="N753" s="58"/>
      <c r="O753" s="5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72"/>
      <c r="B754" s="63"/>
      <c r="C754" s="63"/>
      <c r="D754" s="67"/>
      <c r="E754" s="67"/>
      <c r="F754" s="68" t="str">
        <f t="shared" si="7"/>
        <v/>
      </c>
      <c r="G754" s="67" t="str">
        <f t="shared" si="8"/>
        <v/>
      </c>
      <c r="H754" s="69" t="str">
        <f t="shared" si="9"/>
        <v/>
      </c>
      <c r="I754" s="70" t="str">
        <f t="shared" si="10"/>
        <v/>
      </c>
      <c r="J754" s="67" t="str">
        <f t="shared" si="11"/>
        <v/>
      </c>
      <c r="K754" s="71" t="str">
        <f t="shared" si="12"/>
        <v/>
      </c>
      <c r="L754" s="71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58"/>
      <c r="N754" s="58"/>
      <c r="O754" s="5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72"/>
      <c r="B755" s="63"/>
      <c r="C755" s="63"/>
      <c r="D755" s="67"/>
      <c r="E755" s="67"/>
      <c r="F755" s="68" t="str">
        <f t="shared" si="7"/>
        <v/>
      </c>
      <c r="G755" s="67" t="str">
        <f t="shared" si="8"/>
        <v/>
      </c>
      <c r="H755" s="69" t="str">
        <f t="shared" si="9"/>
        <v/>
      </c>
      <c r="I755" s="70" t="str">
        <f t="shared" si="10"/>
        <v/>
      </c>
      <c r="J755" s="67" t="str">
        <f t="shared" si="11"/>
        <v/>
      </c>
      <c r="K755" s="71" t="str">
        <f t="shared" si="12"/>
        <v/>
      </c>
      <c r="L755" s="71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58"/>
      <c r="N755" s="58"/>
      <c r="O755" s="5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72"/>
      <c r="B756" s="63"/>
      <c r="C756" s="63"/>
      <c r="D756" s="67"/>
      <c r="E756" s="67"/>
      <c r="F756" s="68" t="str">
        <f t="shared" si="7"/>
        <v/>
      </c>
      <c r="G756" s="67" t="str">
        <f t="shared" si="8"/>
        <v/>
      </c>
      <c r="H756" s="69" t="str">
        <f t="shared" si="9"/>
        <v/>
      </c>
      <c r="I756" s="70" t="str">
        <f t="shared" si="10"/>
        <v/>
      </c>
      <c r="J756" s="67" t="str">
        <f t="shared" si="11"/>
        <v/>
      </c>
      <c r="K756" s="71" t="str">
        <f t="shared" si="12"/>
        <v/>
      </c>
      <c r="L756" s="71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58"/>
      <c r="N756" s="58"/>
      <c r="O756" s="5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72"/>
      <c r="B757" s="63"/>
      <c r="C757" s="63"/>
      <c r="D757" s="67"/>
      <c r="E757" s="67"/>
      <c r="F757" s="68" t="str">
        <f t="shared" si="7"/>
        <v/>
      </c>
      <c r="G757" s="67" t="str">
        <f t="shared" si="8"/>
        <v/>
      </c>
      <c r="H757" s="69" t="str">
        <f t="shared" si="9"/>
        <v/>
      </c>
      <c r="I757" s="70" t="str">
        <f t="shared" si="10"/>
        <v/>
      </c>
      <c r="J757" s="67" t="str">
        <f t="shared" si="11"/>
        <v/>
      </c>
      <c r="K757" s="71" t="str">
        <f t="shared" si="12"/>
        <v/>
      </c>
      <c r="L757" s="71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58"/>
      <c r="N757" s="58"/>
      <c r="O757" s="5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72"/>
      <c r="B758" s="63"/>
      <c r="C758" s="63"/>
      <c r="D758" s="67"/>
      <c r="E758" s="67"/>
      <c r="F758" s="68" t="str">
        <f t="shared" si="7"/>
        <v/>
      </c>
      <c r="G758" s="67" t="str">
        <f t="shared" si="8"/>
        <v/>
      </c>
      <c r="H758" s="69" t="str">
        <f t="shared" si="9"/>
        <v/>
      </c>
      <c r="I758" s="70" t="str">
        <f t="shared" si="10"/>
        <v/>
      </c>
      <c r="J758" s="67" t="str">
        <f t="shared" si="11"/>
        <v/>
      </c>
      <c r="K758" s="71" t="str">
        <f t="shared" si="12"/>
        <v/>
      </c>
      <c r="L758" s="71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58"/>
      <c r="N758" s="58"/>
      <c r="O758" s="5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72"/>
      <c r="B759" s="63"/>
      <c r="C759" s="63"/>
      <c r="D759" s="67"/>
      <c r="E759" s="67"/>
      <c r="F759" s="68" t="str">
        <f t="shared" si="7"/>
        <v/>
      </c>
      <c r="G759" s="67" t="str">
        <f t="shared" si="8"/>
        <v/>
      </c>
      <c r="H759" s="69" t="str">
        <f t="shared" si="9"/>
        <v/>
      </c>
      <c r="I759" s="70" t="str">
        <f t="shared" si="10"/>
        <v/>
      </c>
      <c r="J759" s="67" t="str">
        <f t="shared" si="11"/>
        <v/>
      </c>
      <c r="K759" s="71" t="str">
        <f t="shared" si="12"/>
        <v/>
      </c>
      <c r="L759" s="71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58"/>
      <c r="N759" s="58"/>
      <c r="O759" s="5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72"/>
      <c r="B760" s="63"/>
      <c r="C760" s="63"/>
      <c r="D760" s="67"/>
      <c r="E760" s="67"/>
      <c r="F760" s="68" t="str">
        <f t="shared" si="7"/>
        <v/>
      </c>
      <c r="G760" s="67" t="str">
        <f t="shared" si="8"/>
        <v/>
      </c>
      <c r="H760" s="69" t="str">
        <f t="shared" si="9"/>
        <v/>
      </c>
      <c r="I760" s="70" t="str">
        <f t="shared" si="10"/>
        <v/>
      </c>
      <c r="J760" s="67" t="str">
        <f t="shared" si="11"/>
        <v/>
      </c>
      <c r="K760" s="71" t="str">
        <f t="shared" si="12"/>
        <v/>
      </c>
      <c r="L760" s="71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58"/>
      <c r="N760" s="58"/>
      <c r="O760" s="5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72"/>
      <c r="B761" s="63"/>
      <c r="C761" s="63"/>
      <c r="D761" s="67"/>
      <c r="E761" s="67"/>
      <c r="F761" s="68" t="str">
        <f t="shared" si="7"/>
        <v/>
      </c>
      <c r="G761" s="67" t="str">
        <f t="shared" si="8"/>
        <v/>
      </c>
      <c r="H761" s="69" t="str">
        <f t="shared" si="9"/>
        <v/>
      </c>
      <c r="I761" s="70" t="str">
        <f t="shared" si="10"/>
        <v/>
      </c>
      <c r="J761" s="67" t="str">
        <f t="shared" si="11"/>
        <v/>
      </c>
      <c r="K761" s="71" t="str">
        <f t="shared" si="12"/>
        <v/>
      </c>
      <c r="L761" s="71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58"/>
      <c r="N761" s="58"/>
      <c r="O761" s="5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72"/>
      <c r="B762" s="63"/>
      <c r="C762" s="63"/>
      <c r="D762" s="67"/>
      <c r="E762" s="67"/>
      <c r="F762" s="68" t="str">
        <f t="shared" si="7"/>
        <v/>
      </c>
      <c r="G762" s="67" t="str">
        <f t="shared" si="8"/>
        <v/>
      </c>
      <c r="H762" s="69" t="str">
        <f t="shared" si="9"/>
        <v/>
      </c>
      <c r="I762" s="70" t="str">
        <f t="shared" si="10"/>
        <v/>
      </c>
      <c r="J762" s="67" t="str">
        <f t="shared" si="11"/>
        <v/>
      </c>
      <c r="K762" s="71" t="str">
        <f t="shared" si="12"/>
        <v/>
      </c>
      <c r="L762" s="71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58"/>
      <c r="N762" s="58"/>
      <c r="O762" s="5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72"/>
      <c r="B763" s="63"/>
      <c r="C763" s="63"/>
      <c r="D763" s="67"/>
      <c r="E763" s="67"/>
      <c r="F763" s="68" t="str">
        <f t="shared" si="7"/>
        <v/>
      </c>
      <c r="G763" s="67" t="str">
        <f t="shared" si="8"/>
        <v/>
      </c>
      <c r="H763" s="69" t="str">
        <f t="shared" si="9"/>
        <v/>
      </c>
      <c r="I763" s="70" t="str">
        <f t="shared" si="10"/>
        <v/>
      </c>
      <c r="J763" s="67" t="str">
        <f t="shared" si="11"/>
        <v/>
      </c>
      <c r="K763" s="71" t="str">
        <f t="shared" si="12"/>
        <v/>
      </c>
      <c r="L763" s="71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58"/>
      <c r="N763" s="58"/>
      <c r="O763" s="5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72"/>
      <c r="B764" s="63"/>
      <c r="C764" s="63"/>
      <c r="D764" s="67"/>
      <c r="E764" s="67"/>
      <c r="F764" s="68" t="str">
        <f t="shared" si="7"/>
        <v/>
      </c>
      <c r="G764" s="67" t="str">
        <f t="shared" si="8"/>
        <v/>
      </c>
      <c r="H764" s="69" t="str">
        <f t="shared" si="9"/>
        <v/>
      </c>
      <c r="I764" s="70" t="str">
        <f t="shared" si="10"/>
        <v/>
      </c>
      <c r="J764" s="67" t="str">
        <f t="shared" si="11"/>
        <v/>
      </c>
      <c r="K764" s="71" t="str">
        <f t="shared" si="12"/>
        <v/>
      </c>
      <c r="L764" s="71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58"/>
      <c r="N764" s="58"/>
      <c r="O764" s="5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72"/>
      <c r="B765" s="63"/>
      <c r="C765" s="63"/>
      <c r="D765" s="67"/>
      <c r="E765" s="67"/>
      <c r="F765" s="68" t="str">
        <f t="shared" si="7"/>
        <v/>
      </c>
      <c r="G765" s="67" t="str">
        <f t="shared" si="8"/>
        <v/>
      </c>
      <c r="H765" s="69" t="str">
        <f t="shared" si="9"/>
        <v/>
      </c>
      <c r="I765" s="70" t="str">
        <f t="shared" si="10"/>
        <v/>
      </c>
      <c r="J765" s="67" t="str">
        <f t="shared" si="11"/>
        <v/>
      </c>
      <c r="K765" s="71" t="str">
        <f t="shared" si="12"/>
        <v/>
      </c>
      <c r="L765" s="71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58"/>
      <c r="N765" s="58"/>
      <c r="O765" s="5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72"/>
      <c r="B766" s="63"/>
      <c r="C766" s="63"/>
      <c r="D766" s="67"/>
      <c r="E766" s="67"/>
      <c r="F766" s="68" t="str">
        <f t="shared" si="7"/>
        <v/>
      </c>
      <c r="G766" s="67" t="str">
        <f t="shared" si="8"/>
        <v/>
      </c>
      <c r="H766" s="69" t="str">
        <f t="shared" si="9"/>
        <v/>
      </c>
      <c r="I766" s="70" t="str">
        <f t="shared" si="10"/>
        <v/>
      </c>
      <c r="J766" s="67" t="str">
        <f t="shared" si="11"/>
        <v/>
      </c>
      <c r="K766" s="71" t="str">
        <f t="shared" si="12"/>
        <v/>
      </c>
      <c r="L766" s="71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58"/>
      <c r="N766" s="58"/>
      <c r="O766" s="5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72"/>
      <c r="B767" s="63"/>
      <c r="C767" s="63"/>
      <c r="D767" s="67"/>
      <c r="E767" s="67"/>
      <c r="F767" s="68" t="str">
        <f t="shared" si="7"/>
        <v/>
      </c>
      <c r="G767" s="67" t="str">
        <f t="shared" si="8"/>
        <v/>
      </c>
      <c r="H767" s="69" t="str">
        <f t="shared" si="9"/>
        <v/>
      </c>
      <c r="I767" s="70" t="str">
        <f t="shared" si="10"/>
        <v/>
      </c>
      <c r="J767" s="67" t="str">
        <f t="shared" si="11"/>
        <v/>
      </c>
      <c r="K767" s="71" t="str">
        <f t="shared" si="12"/>
        <v/>
      </c>
      <c r="L767" s="71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58"/>
      <c r="N767" s="58"/>
      <c r="O767" s="5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72"/>
      <c r="B768" s="63"/>
      <c r="C768" s="63"/>
      <c r="D768" s="67"/>
      <c r="E768" s="67"/>
      <c r="F768" s="68" t="str">
        <f t="shared" si="7"/>
        <v/>
      </c>
      <c r="G768" s="67" t="str">
        <f t="shared" si="8"/>
        <v/>
      </c>
      <c r="H768" s="69" t="str">
        <f t="shared" si="9"/>
        <v/>
      </c>
      <c r="I768" s="70" t="str">
        <f t="shared" si="10"/>
        <v/>
      </c>
      <c r="J768" s="67" t="str">
        <f t="shared" si="11"/>
        <v/>
      </c>
      <c r="K768" s="71" t="str">
        <f t="shared" si="12"/>
        <v/>
      </c>
      <c r="L768" s="71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58"/>
      <c r="N768" s="58"/>
      <c r="O768" s="5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72"/>
      <c r="B769" s="63"/>
      <c r="C769" s="63"/>
      <c r="D769" s="67"/>
      <c r="E769" s="67"/>
      <c r="F769" s="68" t="str">
        <f t="shared" si="7"/>
        <v/>
      </c>
      <c r="G769" s="67" t="str">
        <f t="shared" si="8"/>
        <v/>
      </c>
      <c r="H769" s="69" t="str">
        <f t="shared" si="9"/>
        <v/>
      </c>
      <c r="I769" s="70" t="str">
        <f t="shared" si="10"/>
        <v/>
      </c>
      <c r="J769" s="67" t="str">
        <f t="shared" si="11"/>
        <v/>
      </c>
      <c r="K769" s="71" t="str">
        <f t="shared" si="12"/>
        <v/>
      </c>
      <c r="L769" s="71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58"/>
      <c r="N769" s="58"/>
      <c r="O769" s="5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72"/>
      <c r="B770" s="63"/>
      <c r="C770" s="63"/>
      <c r="D770" s="67"/>
      <c r="E770" s="67"/>
      <c r="F770" s="68" t="str">
        <f t="shared" si="7"/>
        <v/>
      </c>
      <c r="G770" s="67" t="str">
        <f t="shared" si="8"/>
        <v/>
      </c>
      <c r="H770" s="69" t="str">
        <f t="shared" si="9"/>
        <v/>
      </c>
      <c r="I770" s="70" t="str">
        <f t="shared" si="10"/>
        <v/>
      </c>
      <c r="J770" s="67" t="str">
        <f t="shared" si="11"/>
        <v/>
      </c>
      <c r="K770" s="71" t="str">
        <f t="shared" si="12"/>
        <v/>
      </c>
      <c r="L770" s="71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58"/>
      <c r="N770" s="58"/>
      <c r="O770" s="5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72"/>
      <c r="B771" s="63"/>
      <c r="C771" s="63"/>
      <c r="D771" s="67"/>
      <c r="E771" s="67"/>
      <c r="F771" s="68" t="str">
        <f t="shared" si="7"/>
        <v/>
      </c>
      <c r="G771" s="67" t="str">
        <f t="shared" si="8"/>
        <v/>
      </c>
      <c r="H771" s="69" t="str">
        <f t="shared" si="9"/>
        <v/>
      </c>
      <c r="I771" s="70" t="str">
        <f t="shared" si="10"/>
        <v/>
      </c>
      <c r="J771" s="67" t="str">
        <f t="shared" si="11"/>
        <v/>
      </c>
      <c r="K771" s="71" t="str">
        <f t="shared" si="12"/>
        <v/>
      </c>
      <c r="L771" s="71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58"/>
      <c r="N771" s="58"/>
      <c r="O771" s="5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72"/>
      <c r="B772" s="63"/>
      <c r="C772" s="63"/>
      <c r="D772" s="67"/>
      <c r="E772" s="67"/>
      <c r="F772" s="68" t="str">
        <f t="shared" si="7"/>
        <v/>
      </c>
      <c r="G772" s="67" t="str">
        <f t="shared" si="8"/>
        <v/>
      </c>
      <c r="H772" s="69" t="str">
        <f t="shared" si="9"/>
        <v/>
      </c>
      <c r="I772" s="70" t="str">
        <f t="shared" si="10"/>
        <v/>
      </c>
      <c r="J772" s="67" t="str">
        <f t="shared" si="11"/>
        <v/>
      </c>
      <c r="K772" s="71" t="str">
        <f t="shared" si="12"/>
        <v/>
      </c>
      <c r="L772" s="71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58"/>
      <c r="N772" s="58"/>
      <c r="O772" s="5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72"/>
      <c r="B773" s="63"/>
      <c r="C773" s="63"/>
      <c r="D773" s="67"/>
      <c r="E773" s="67"/>
      <c r="F773" s="68" t="str">
        <f t="shared" si="7"/>
        <v/>
      </c>
      <c r="G773" s="67" t="str">
        <f t="shared" si="8"/>
        <v/>
      </c>
      <c r="H773" s="69" t="str">
        <f t="shared" si="9"/>
        <v/>
      </c>
      <c r="I773" s="70" t="str">
        <f t="shared" si="10"/>
        <v/>
      </c>
      <c r="J773" s="67" t="str">
        <f t="shared" si="11"/>
        <v/>
      </c>
      <c r="K773" s="71" t="str">
        <f t="shared" si="12"/>
        <v/>
      </c>
      <c r="L773" s="71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58"/>
      <c r="N773" s="58"/>
      <c r="O773" s="5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72"/>
      <c r="B774" s="63"/>
      <c r="C774" s="63"/>
      <c r="D774" s="67"/>
      <c r="E774" s="67"/>
      <c r="F774" s="68" t="str">
        <f t="shared" si="7"/>
        <v/>
      </c>
      <c r="G774" s="67" t="str">
        <f t="shared" si="8"/>
        <v/>
      </c>
      <c r="H774" s="69" t="str">
        <f t="shared" si="9"/>
        <v/>
      </c>
      <c r="I774" s="70" t="str">
        <f t="shared" si="10"/>
        <v/>
      </c>
      <c r="J774" s="67" t="str">
        <f t="shared" si="11"/>
        <v/>
      </c>
      <c r="K774" s="71" t="str">
        <f t="shared" si="12"/>
        <v/>
      </c>
      <c r="L774" s="71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58"/>
      <c r="N774" s="58"/>
      <c r="O774" s="5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72"/>
      <c r="B775" s="63"/>
      <c r="C775" s="63"/>
      <c r="D775" s="67"/>
      <c r="E775" s="67"/>
      <c r="F775" s="68" t="str">
        <f t="shared" si="7"/>
        <v/>
      </c>
      <c r="G775" s="67" t="str">
        <f t="shared" si="8"/>
        <v/>
      </c>
      <c r="H775" s="69" t="str">
        <f t="shared" si="9"/>
        <v/>
      </c>
      <c r="I775" s="70" t="str">
        <f t="shared" si="10"/>
        <v/>
      </c>
      <c r="J775" s="67" t="str">
        <f t="shared" si="11"/>
        <v/>
      </c>
      <c r="K775" s="71" t="str">
        <f t="shared" si="12"/>
        <v/>
      </c>
      <c r="L775" s="71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58"/>
      <c r="N775" s="58"/>
      <c r="O775" s="5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72"/>
      <c r="B776" s="63"/>
      <c r="C776" s="63"/>
      <c r="D776" s="67"/>
      <c r="E776" s="67"/>
      <c r="F776" s="68" t="str">
        <f t="shared" si="7"/>
        <v/>
      </c>
      <c r="G776" s="67" t="str">
        <f t="shared" si="8"/>
        <v/>
      </c>
      <c r="H776" s="69" t="str">
        <f t="shared" si="9"/>
        <v/>
      </c>
      <c r="I776" s="70" t="str">
        <f t="shared" si="10"/>
        <v/>
      </c>
      <c r="J776" s="67" t="str">
        <f t="shared" si="11"/>
        <v/>
      </c>
      <c r="K776" s="71" t="str">
        <f t="shared" si="12"/>
        <v/>
      </c>
      <c r="L776" s="71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58"/>
      <c r="N776" s="58"/>
      <c r="O776" s="5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72"/>
      <c r="B777" s="63"/>
      <c r="C777" s="63"/>
      <c r="D777" s="67"/>
      <c r="E777" s="67"/>
      <c r="F777" s="68" t="str">
        <f t="shared" si="7"/>
        <v/>
      </c>
      <c r="G777" s="67" t="str">
        <f t="shared" si="8"/>
        <v/>
      </c>
      <c r="H777" s="69" t="str">
        <f t="shared" si="9"/>
        <v/>
      </c>
      <c r="I777" s="70" t="str">
        <f t="shared" si="10"/>
        <v/>
      </c>
      <c r="J777" s="67" t="str">
        <f t="shared" si="11"/>
        <v/>
      </c>
      <c r="K777" s="71" t="str">
        <f t="shared" si="12"/>
        <v/>
      </c>
      <c r="L777" s="71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58"/>
      <c r="N777" s="58"/>
      <c r="O777" s="5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72"/>
      <c r="B778" s="63"/>
      <c r="C778" s="63"/>
      <c r="D778" s="67"/>
      <c r="E778" s="67"/>
      <c r="F778" s="68" t="str">
        <f t="shared" si="7"/>
        <v/>
      </c>
      <c r="G778" s="67" t="str">
        <f t="shared" si="8"/>
        <v/>
      </c>
      <c r="H778" s="69" t="str">
        <f t="shared" si="9"/>
        <v/>
      </c>
      <c r="I778" s="70" t="str">
        <f t="shared" si="10"/>
        <v/>
      </c>
      <c r="J778" s="67" t="str">
        <f t="shared" si="11"/>
        <v/>
      </c>
      <c r="K778" s="71" t="str">
        <f t="shared" si="12"/>
        <v/>
      </c>
      <c r="L778" s="71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58"/>
      <c r="N778" s="58"/>
      <c r="O778" s="5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72"/>
      <c r="B779" s="63"/>
      <c r="C779" s="63"/>
      <c r="D779" s="67"/>
      <c r="E779" s="67"/>
      <c r="F779" s="68" t="str">
        <f t="shared" si="7"/>
        <v/>
      </c>
      <c r="G779" s="67" t="str">
        <f t="shared" si="8"/>
        <v/>
      </c>
      <c r="H779" s="69" t="str">
        <f t="shared" si="9"/>
        <v/>
      </c>
      <c r="I779" s="70" t="str">
        <f t="shared" si="10"/>
        <v/>
      </c>
      <c r="J779" s="67" t="str">
        <f t="shared" si="11"/>
        <v/>
      </c>
      <c r="K779" s="71" t="str">
        <f t="shared" si="12"/>
        <v/>
      </c>
      <c r="L779" s="71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58"/>
      <c r="N779" s="58"/>
      <c r="O779" s="5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72"/>
      <c r="B780" s="63"/>
      <c r="C780" s="63"/>
      <c r="D780" s="67"/>
      <c r="E780" s="67"/>
      <c r="F780" s="68" t="str">
        <f t="shared" si="7"/>
        <v/>
      </c>
      <c r="G780" s="67" t="str">
        <f t="shared" si="8"/>
        <v/>
      </c>
      <c r="H780" s="69" t="str">
        <f t="shared" si="9"/>
        <v/>
      </c>
      <c r="I780" s="70" t="str">
        <f t="shared" si="10"/>
        <v/>
      </c>
      <c r="J780" s="67" t="str">
        <f t="shared" si="11"/>
        <v/>
      </c>
      <c r="K780" s="71" t="str">
        <f t="shared" si="12"/>
        <v/>
      </c>
      <c r="L780" s="71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58"/>
      <c r="N780" s="58"/>
      <c r="O780" s="5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72"/>
      <c r="B781" s="63"/>
      <c r="C781" s="63"/>
      <c r="D781" s="67"/>
      <c r="E781" s="67"/>
      <c r="F781" s="68" t="str">
        <f t="shared" si="7"/>
        <v/>
      </c>
      <c r="G781" s="67" t="str">
        <f t="shared" si="8"/>
        <v/>
      </c>
      <c r="H781" s="69" t="str">
        <f t="shared" si="9"/>
        <v/>
      </c>
      <c r="I781" s="70" t="str">
        <f t="shared" si="10"/>
        <v/>
      </c>
      <c r="J781" s="67" t="str">
        <f t="shared" si="11"/>
        <v/>
      </c>
      <c r="K781" s="71" t="str">
        <f t="shared" si="12"/>
        <v/>
      </c>
      <c r="L781" s="71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58"/>
      <c r="N781" s="58"/>
      <c r="O781" s="5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72"/>
      <c r="B782" s="63"/>
      <c r="C782" s="63"/>
      <c r="D782" s="67"/>
      <c r="E782" s="67"/>
      <c r="F782" s="68" t="str">
        <f t="shared" si="7"/>
        <v/>
      </c>
      <c r="G782" s="67" t="str">
        <f t="shared" si="8"/>
        <v/>
      </c>
      <c r="H782" s="69" t="str">
        <f t="shared" si="9"/>
        <v/>
      </c>
      <c r="I782" s="70" t="str">
        <f t="shared" si="10"/>
        <v/>
      </c>
      <c r="J782" s="67" t="str">
        <f t="shared" si="11"/>
        <v/>
      </c>
      <c r="K782" s="71" t="str">
        <f t="shared" si="12"/>
        <v/>
      </c>
      <c r="L782" s="71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58"/>
      <c r="N782" s="58"/>
      <c r="O782" s="5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72"/>
      <c r="B783" s="63"/>
      <c r="C783" s="63"/>
      <c r="D783" s="67"/>
      <c r="E783" s="67"/>
      <c r="F783" s="68" t="str">
        <f t="shared" si="7"/>
        <v/>
      </c>
      <c r="G783" s="67" t="str">
        <f t="shared" si="8"/>
        <v/>
      </c>
      <c r="H783" s="69" t="str">
        <f t="shared" si="9"/>
        <v/>
      </c>
      <c r="I783" s="70" t="str">
        <f t="shared" si="10"/>
        <v/>
      </c>
      <c r="J783" s="67" t="str">
        <f t="shared" si="11"/>
        <v/>
      </c>
      <c r="K783" s="71" t="str">
        <f t="shared" si="12"/>
        <v/>
      </c>
      <c r="L783" s="71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58"/>
      <c r="N783" s="58"/>
      <c r="O783" s="5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72"/>
      <c r="B784" s="63"/>
      <c r="C784" s="63"/>
      <c r="D784" s="67"/>
      <c r="E784" s="67"/>
      <c r="F784" s="68" t="str">
        <f t="shared" si="7"/>
        <v/>
      </c>
      <c r="G784" s="67" t="str">
        <f t="shared" si="8"/>
        <v/>
      </c>
      <c r="H784" s="69" t="str">
        <f t="shared" si="9"/>
        <v/>
      </c>
      <c r="I784" s="70" t="str">
        <f t="shared" si="10"/>
        <v/>
      </c>
      <c r="J784" s="67" t="str">
        <f t="shared" si="11"/>
        <v/>
      </c>
      <c r="K784" s="71" t="str">
        <f t="shared" si="12"/>
        <v/>
      </c>
      <c r="L784" s="71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58"/>
      <c r="N784" s="58"/>
      <c r="O784" s="5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72"/>
      <c r="B785" s="63"/>
      <c r="C785" s="63"/>
      <c r="D785" s="67"/>
      <c r="E785" s="67"/>
      <c r="F785" s="68" t="str">
        <f t="shared" si="7"/>
        <v/>
      </c>
      <c r="G785" s="67" t="str">
        <f t="shared" si="8"/>
        <v/>
      </c>
      <c r="H785" s="69" t="str">
        <f t="shared" si="9"/>
        <v/>
      </c>
      <c r="I785" s="70" t="str">
        <f t="shared" si="10"/>
        <v/>
      </c>
      <c r="J785" s="67" t="str">
        <f t="shared" si="11"/>
        <v/>
      </c>
      <c r="K785" s="71" t="str">
        <f t="shared" si="12"/>
        <v/>
      </c>
      <c r="L785" s="71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58"/>
      <c r="N785" s="58"/>
      <c r="O785" s="5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72"/>
      <c r="B786" s="63"/>
      <c r="C786" s="63"/>
      <c r="D786" s="67"/>
      <c r="E786" s="67"/>
      <c r="F786" s="68" t="str">
        <f t="shared" si="7"/>
        <v/>
      </c>
      <c r="G786" s="67" t="str">
        <f t="shared" si="8"/>
        <v/>
      </c>
      <c r="H786" s="69" t="str">
        <f t="shared" si="9"/>
        <v/>
      </c>
      <c r="I786" s="70" t="str">
        <f t="shared" si="10"/>
        <v/>
      </c>
      <c r="J786" s="67" t="str">
        <f t="shared" si="11"/>
        <v/>
      </c>
      <c r="K786" s="71" t="str">
        <f t="shared" si="12"/>
        <v/>
      </c>
      <c r="L786" s="71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58"/>
      <c r="N786" s="58"/>
      <c r="O786" s="5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72"/>
      <c r="B787" s="63"/>
      <c r="C787" s="63"/>
      <c r="D787" s="67"/>
      <c r="E787" s="67"/>
      <c r="F787" s="68" t="str">
        <f t="shared" si="7"/>
        <v/>
      </c>
      <c r="G787" s="67" t="str">
        <f t="shared" si="8"/>
        <v/>
      </c>
      <c r="H787" s="69" t="str">
        <f t="shared" si="9"/>
        <v/>
      </c>
      <c r="I787" s="70" t="str">
        <f t="shared" si="10"/>
        <v/>
      </c>
      <c r="J787" s="67" t="str">
        <f t="shared" si="11"/>
        <v/>
      </c>
      <c r="K787" s="71" t="str">
        <f t="shared" si="12"/>
        <v/>
      </c>
      <c r="L787" s="71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58"/>
      <c r="N787" s="58"/>
      <c r="O787" s="5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72"/>
      <c r="B788" s="63"/>
      <c r="C788" s="63"/>
      <c r="D788" s="67"/>
      <c r="E788" s="67"/>
      <c r="F788" s="68" t="str">
        <f t="shared" si="7"/>
        <v/>
      </c>
      <c r="G788" s="67" t="str">
        <f t="shared" si="8"/>
        <v/>
      </c>
      <c r="H788" s="69" t="str">
        <f t="shared" si="9"/>
        <v/>
      </c>
      <c r="I788" s="70" t="str">
        <f t="shared" si="10"/>
        <v/>
      </c>
      <c r="J788" s="67" t="str">
        <f t="shared" si="11"/>
        <v/>
      </c>
      <c r="K788" s="71" t="str">
        <f t="shared" si="12"/>
        <v/>
      </c>
      <c r="L788" s="71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58"/>
      <c r="N788" s="58"/>
      <c r="O788" s="5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72"/>
      <c r="B789" s="63"/>
      <c r="C789" s="63"/>
      <c r="D789" s="67"/>
      <c r="E789" s="67"/>
      <c r="F789" s="68" t="str">
        <f t="shared" si="7"/>
        <v/>
      </c>
      <c r="G789" s="67" t="str">
        <f t="shared" si="8"/>
        <v/>
      </c>
      <c r="H789" s="69" t="str">
        <f t="shared" si="9"/>
        <v/>
      </c>
      <c r="I789" s="70" t="str">
        <f t="shared" si="10"/>
        <v/>
      </c>
      <c r="J789" s="67" t="str">
        <f t="shared" si="11"/>
        <v/>
      </c>
      <c r="K789" s="71" t="str">
        <f t="shared" si="12"/>
        <v/>
      </c>
      <c r="L789" s="71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58"/>
      <c r="N789" s="58"/>
      <c r="O789" s="5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72"/>
      <c r="B790" s="63"/>
      <c r="C790" s="63"/>
      <c r="D790" s="67"/>
      <c r="E790" s="67"/>
      <c r="F790" s="68" t="str">
        <f t="shared" si="7"/>
        <v/>
      </c>
      <c r="G790" s="67" t="str">
        <f t="shared" si="8"/>
        <v/>
      </c>
      <c r="H790" s="69" t="str">
        <f t="shared" si="9"/>
        <v/>
      </c>
      <c r="I790" s="70" t="str">
        <f t="shared" si="10"/>
        <v/>
      </c>
      <c r="J790" s="67" t="str">
        <f t="shared" si="11"/>
        <v/>
      </c>
      <c r="K790" s="71" t="str">
        <f t="shared" si="12"/>
        <v/>
      </c>
      <c r="L790" s="71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58"/>
      <c r="N790" s="58"/>
      <c r="O790" s="5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72"/>
      <c r="B791" s="63"/>
      <c r="C791" s="63"/>
      <c r="D791" s="67"/>
      <c r="E791" s="67"/>
      <c r="F791" s="68" t="str">
        <f t="shared" si="7"/>
        <v/>
      </c>
      <c r="G791" s="67" t="str">
        <f t="shared" si="8"/>
        <v/>
      </c>
      <c r="H791" s="69" t="str">
        <f t="shared" si="9"/>
        <v/>
      </c>
      <c r="I791" s="70" t="str">
        <f t="shared" si="10"/>
        <v/>
      </c>
      <c r="J791" s="67" t="str">
        <f t="shared" si="11"/>
        <v/>
      </c>
      <c r="K791" s="71" t="str">
        <f t="shared" si="12"/>
        <v/>
      </c>
      <c r="L791" s="71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58"/>
      <c r="N791" s="58"/>
      <c r="O791" s="5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72"/>
      <c r="B792" s="63"/>
      <c r="C792" s="63"/>
      <c r="D792" s="67"/>
      <c r="E792" s="67"/>
      <c r="F792" s="68" t="str">
        <f t="shared" si="7"/>
        <v/>
      </c>
      <c r="G792" s="67" t="str">
        <f t="shared" si="8"/>
        <v/>
      </c>
      <c r="H792" s="69" t="str">
        <f t="shared" si="9"/>
        <v/>
      </c>
      <c r="I792" s="70" t="str">
        <f t="shared" si="10"/>
        <v/>
      </c>
      <c r="J792" s="67" t="str">
        <f t="shared" si="11"/>
        <v/>
      </c>
      <c r="K792" s="71" t="str">
        <f t="shared" si="12"/>
        <v/>
      </c>
      <c r="L792" s="71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58"/>
      <c r="N792" s="58"/>
      <c r="O792" s="5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72"/>
      <c r="B793" s="63"/>
      <c r="C793" s="63"/>
      <c r="D793" s="67"/>
      <c r="E793" s="67"/>
      <c r="F793" s="68" t="str">
        <f t="shared" si="7"/>
        <v/>
      </c>
      <c r="G793" s="67" t="str">
        <f t="shared" si="8"/>
        <v/>
      </c>
      <c r="H793" s="69" t="str">
        <f t="shared" si="9"/>
        <v/>
      </c>
      <c r="I793" s="70" t="str">
        <f t="shared" si="10"/>
        <v/>
      </c>
      <c r="J793" s="67" t="str">
        <f t="shared" si="11"/>
        <v/>
      </c>
      <c r="K793" s="71" t="str">
        <f t="shared" si="12"/>
        <v/>
      </c>
      <c r="L793" s="71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58"/>
      <c r="N793" s="58"/>
      <c r="O793" s="5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72"/>
      <c r="B794" s="63"/>
      <c r="C794" s="63"/>
      <c r="D794" s="67"/>
      <c r="E794" s="67"/>
      <c r="F794" s="68" t="str">
        <f t="shared" si="7"/>
        <v/>
      </c>
      <c r="G794" s="67" t="str">
        <f t="shared" si="8"/>
        <v/>
      </c>
      <c r="H794" s="69" t="str">
        <f t="shared" si="9"/>
        <v/>
      </c>
      <c r="I794" s="70" t="str">
        <f t="shared" si="10"/>
        <v/>
      </c>
      <c r="J794" s="67" t="str">
        <f t="shared" si="11"/>
        <v/>
      </c>
      <c r="K794" s="71" t="str">
        <f t="shared" si="12"/>
        <v/>
      </c>
      <c r="L794" s="71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58"/>
      <c r="N794" s="58"/>
      <c r="O794" s="5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72"/>
      <c r="B795" s="63"/>
      <c r="C795" s="63"/>
      <c r="D795" s="67"/>
      <c r="E795" s="67"/>
      <c r="F795" s="68" t="str">
        <f t="shared" si="7"/>
        <v/>
      </c>
      <c r="G795" s="67" t="str">
        <f t="shared" si="8"/>
        <v/>
      </c>
      <c r="H795" s="69" t="str">
        <f t="shared" si="9"/>
        <v/>
      </c>
      <c r="I795" s="70" t="str">
        <f t="shared" si="10"/>
        <v/>
      </c>
      <c r="J795" s="67" t="str">
        <f t="shared" si="11"/>
        <v/>
      </c>
      <c r="K795" s="71" t="str">
        <f t="shared" si="12"/>
        <v/>
      </c>
      <c r="L795" s="71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58"/>
      <c r="N795" s="58"/>
      <c r="O795" s="5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72"/>
      <c r="B796" s="63"/>
      <c r="C796" s="63"/>
      <c r="D796" s="67"/>
      <c r="E796" s="67"/>
      <c r="F796" s="68" t="str">
        <f t="shared" si="7"/>
        <v/>
      </c>
      <c r="G796" s="67" t="str">
        <f t="shared" si="8"/>
        <v/>
      </c>
      <c r="H796" s="69" t="str">
        <f t="shared" si="9"/>
        <v/>
      </c>
      <c r="I796" s="70" t="str">
        <f t="shared" si="10"/>
        <v/>
      </c>
      <c r="J796" s="67" t="str">
        <f t="shared" si="11"/>
        <v/>
      </c>
      <c r="K796" s="71" t="str">
        <f t="shared" si="12"/>
        <v/>
      </c>
      <c r="L796" s="71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58"/>
      <c r="N796" s="58"/>
      <c r="O796" s="5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72"/>
      <c r="B797" s="63"/>
      <c r="C797" s="63"/>
      <c r="D797" s="67"/>
      <c r="E797" s="67"/>
      <c r="F797" s="68" t="str">
        <f t="shared" si="7"/>
        <v/>
      </c>
      <c r="G797" s="67" t="str">
        <f t="shared" si="8"/>
        <v/>
      </c>
      <c r="H797" s="69" t="str">
        <f t="shared" si="9"/>
        <v/>
      </c>
      <c r="I797" s="70" t="str">
        <f t="shared" si="10"/>
        <v/>
      </c>
      <c r="J797" s="67" t="str">
        <f t="shared" si="11"/>
        <v/>
      </c>
      <c r="K797" s="71" t="str">
        <f t="shared" si="12"/>
        <v/>
      </c>
      <c r="L797" s="71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58"/>
      <c r="N797" s="58"/>
      <c r="O797" s="5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72"/>
      <c r="B798" s="63"/>
      <c r="C798" s="63"/>
      <c r="D798" s="67"/>
      <c r="E798" s="67"/>
      <c r="F798" s="68" t="str">
        <f t="shared" si="7"/>
        <v/>
      </c>
      <c r="G798" s="67" t="str">
        <f t="shared" si="8"/>
        <v/>
      </c>
      <c r="H798" s="69" t="str">
        <f t="shared" si="9"/>
        <v/>
      </c>
      <c r="I798" s="70" t="str">
        <f t="shared" si="10"/>
        <v/>
      </c>
      <c r="J798" s="67" t="str">
        <f t="shared" si="11"/>
        <v/>
      </c>
      <c r="K798" s="71" t="str">
        <f t="shared" si="12"/>
        <v/>
      </c>
      <c r="L798" s="71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58"/>
      <c r="N798" s="58"/>
      <c r="O798" s="5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72"/>
      <c r="B799" s="63"/>
      <c r="C799" s="63"/>
      <c r="D799" s="67"/>
      <c r="E799" s="67"/>
      <c r="F799" s="68" t="str">
        <f t="shared" si="7"/>
        <v/>
      </c>
      <c r="G799" s="67" t="str">
        <f t="shared" si="8"/>
        <v/>
      </c>
      <c r="H799" s="69" t="str">
        <f t="shared" si="9"/>
        <v/>
      </c>
      <c r="I799" s="70" t="str">
        <f t="shared" si="10"/>
        <v/>
      </c>
      <c r="J799" s="67" t="str">
        <f t="shared" si="11"/>
        <v/>
      </c>
      <c r="K799" s="71" t="str">
        <f t="shared" si="12"/>
        <v/>
      </c>
      <c r="L799" s="71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58"/>
      <c r="N799" s="58"/>
      <c r="O799" s="5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72"/>
      <c r="B800" s="63"/>
      <c r="C800" s="63"/>
      <c r="D800" s="67"/>
      <c r="E800" s="67"/>
      <c r="F800" s="68" t="str">
        <f t="shared" si="7"/>
        <v/>
      </c>
      <c r="G800" s="67" t="str">
        <f t="shared" si="8"/>
        <v/>
      </c>
      <c r="H800" s="69" t="str">
        <f t="shared" si="9"/>
        <v/>
      </c>
      <c r="I800" s="70" t="str">
        <f t="shared" si="10"/>
        <v/>
      </c>
      <c r="J800" s="67" t="str">
        <f t="shared" si="11"/>
        <v/>
      </c>
      <c r="K800" s="71" t="str">
        <f t="shared" si="12"/>
        <v/>
      </c>
      <c r="L800" s="71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58"/>
      <c r="N800" s="58"/>
      <c r="O800" s="5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72"/>
      <c r="B801" s="63"/>
      <c r="C801" s="63"/>
      <c r="D801" s="67"/>
      <c r="E801" s="67"/>
      <c r="F801" s="68" t="str">
        <f t="shared" si="7"/>
        <v/>
      </c>
      <c r="G801" s="67" t="str">
        <f t="shared" si="8"/>
        <v/>
      </c>
      <c r="H801" s="69" t="str">
        <f t="shared" si="9"/>
        <v/>
      </c>
      <c r="I801" s="70" t="str">
        <f t="shared" si="10"/>
        <v/>
      </c>
      <c r="J801" s="67" t="str">
        <f t="shared" si="11"/>
        <v/>
      </c>
      <c r="K801" s="71" t="str">
        <f t="shared" si="12"/>
        <v/>
      </c>
      <c r="L801" s="71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58"/>
      <c r="N801" s="58"/>
      <c r="O801" s="5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72"/>
      <c r="B802" s="63"/>
      <c r="C802" s="63"/>
      <c r="D802" s="67"/>
      <c r="E802" s="67"/>
      <c r="F802" s="68" t="str">
        <f t="shared" si="7"/>
        <v/>
      </c>
      <c r="G802" s="67" t="str">
        <f t="shared" si="8"/>
        <v/>
      </c>
      <c r="H802" s="69" t="str">
        <f t="shared" si="9"/>
        <v/>
      </c>
      <c r="I802" s="70" t="str">
        <f t="shared" si="10"/>
        <v/>
      </c>
      <c r="J802" s="67" t="str">
        <f t="shared" si="11"/>
        <v/>
      </c>
      <c r="K802" s="71" t="str">
        <f t="shared" si="12"/>
        <v/>
      </c>
      <c r="L802" s="71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58"/>
      <c r="N802" s="58"/>
      <c r="O802" s="5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72"/>
      <c r="B803" s="63"/>
      <c r="C803" s="63"/>
      <c r="D803" s="67"/>
      <c r="E803" s="67"/>
      <c r="F803" s="68" t="str">
        <f t="shared" si="7"/>
        <v/>
      </c>
      <c r="G803" s="67" t="str">
        <f t="shared" si="8"/>
        <v/>
      </c>
      <c r="H803" s="69" t="str">
        <f t="shared" si="9"/>
        <v/>
      </c>
      <c r="I803" s="70" t="str">
        <f t="shared" si="10"/>
        <v/>
      </c>
      <c r="J803" s="67" t="str">
        <f t="shared" si="11"/>
        <v/>
      </c>
      <c r="K803" s="71" t="str">
        <f t="shared" si="12"/>
        <v/>
      </c>
      <c r="L803" s="71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58"/>
      <c r="N803" s="58"/>
      <c r="O803" s="5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72"/>
      <c r="B804" s="63"/>
      <c r="C804" s="63"/>
      <c r="D804" s="67"/>
      <c r="E804" s="67"/>
      <c r="F804" s="68" t="str">
        <f t="shared" si="7"/>
        <v/>
      </c>
      <c r="G804" s="67" t="str">
        <f t="shared" si="8"/>
        <v/>
      </c>
      <c r="H804" s="69" t="str">
        <f t="shared" si="9"/>
        <v/>
      </c>
      <c r="I804" s="70" t="str">
        <f t="shared" si="10"/>
        <v/>
      </c>
      <c r="J804" s="67" t="str">
        <f t="shared" si="11"/>
        <v/>
      </c>
      <c r="K804" s="71" t="str">
        <f t="shared" si="12"/>
        <v/>
      </c>
      <c r="L804" s="71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58"/>
      <c r="N804" s="58"/>
      <c r="O804" s="5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72"/>
      <c r="B805" s="63"/>
      <c r="C805" s="63"/>
      <c r="D805" s="67"/>
      <c r="E805" s="67"/>
      <c r="F805" s="68" t="str">
        <f t="shared" si="7"/>
        <v/>
      </c>
      <c r="G805" s="67" t="str">
        <f t="shared" si="8"/>
        <v/>
      </c>
      <c r="H805" s="69" t="str">
        <f t="shared" si="9"/>
        <v/>
      </c>
      <c r="I805" s="70" t="str">
        <f t="shared" si="10"/>
        <v/>
      </c>
      <c r="J805" s="67" t="str">
        <f t="shared" si="11"/>
        <v/>
      </c>
      <c r="K805" s="71" t="str">
        <f t="shared" si="12"/>
        <v/>
      </c>
      <c r="L805" s="71" t="str">
        <f>IF(NOT(ISERROR(VLOOKUP(B805,Deflatores!G$42:H$64,2,FALSE))),VLOOKUP(B805,Deflatores!G$42:H$64,2,FALSE),IF(OR(ISBLANK(C805),ISBLANK(B805)),"",VLOOKUP(C805,Deflatores!G$4:H$38,2,FALSE)*H805+VLOOKUP(C805,Deflatores!G$4:I$38,3,FALSE)))</f>
        <v/>
      </c>
      <c r="M805" s="58"/>
      <c r="N805" s="58"/>
      <c r="O805" s="5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72"/>
      <c r="B806" s="63"/>
      <c r="C806" s="63"/>
      <c r="D806" s="67"/>
      <c r="E806" s="67"/>
      <c r="F806" s="68" t="str">
        <f t="shared" si="7"/>
        <v/>
      </c>
      <c r="G806" s="67" t="str">
        <f t="shared" si="8"/>
        <v/>
      </c>
      <c r="H806" s="69" t="str">
        <f t="shared" si="9"/>
        <v/>
      </c>
      <c r="I806" s="70" t="str">
        <f t="shared" si="10"/>
        <v/>
      </c>
      <c r="J806" s="67" t="str">
        <f t="shared" si="11"/>
        <v/>
      </c>
      <c r="K806" s="71" t="str">
        <f t="shared" si="12"/>
        <v/>
      </c>
      <c r="L806" s="71" t="str">
        <f>IF(NOT(ISERROR(VLOOKUP(B806,Deflatores!G$42:H$64,2,FALSE))),VLOOKUP(B806,Deflatores!G$42:H$64,2,FALSE),IF(OR(ISBLANK(C806),ISBLANK(B806)),"",VLOOKUP(C806,Deflatores!G$4:H$38,2,FALSE)*H806+VLOOKUP(C806,Deflatores!G$4:I$38,3,FALSE)))</f>
        <v/>
      </c>
      <c r="M806" s="58"/>
      <c r="N806" s="58"/>
      <c r="O806" s="5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75"/>
      <c r="B807" s="76"/>
      <c r="C807" s="76"/>
      <c r="D807" s="77"/>
      <c r="E807" s="77"/>
      <c r="F807" s="78" t="str">
        <f t="shared" si="7"/>
        <v/>
      </c>
      <c r="G807" s="79" t="str">
        <f t="shared" si="8"/>
        <v/>
      </c>
      <c r="H807" s="80" t="str">
        <f t="shared" si="9"/>
        <v/>
      </c>
      <c r="I807" s="81" t="str">
        <f t="shared" si="10"/>
        <v/>
      </c>
      <c r="J807" s="77" t="str">
        <f t="shared" si="11"/>
        <v/>
      </c>
      <c r="K807" s="82" t="str">
        <f t="shared" si="12"/>
        <v/>
      </c>
      <c r="L807" s="82" t="str">
        <f>IF(NOT(ISERROR(VLOOKUP(B807,Deflatores!G$42:H$64,2,FALSE))),VLOOKUP(B807,Deflatores!G$42:H$64,2,FALSE),IF(OR(ISBLANK(C807),ISBLANK(B807)),"",VLOOKUP(C807,Deflatores!G$4:H$38,2,FALSE)*H807+VLOOKUP(C807,Deflatores!G$4:I$38,3,FALSE)))</f>
        <v/>
      </c>
      <c r="M807" s="83"/>
      <c r="N807" s="83"/>
      <c r="O807" s="84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85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85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85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85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85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85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85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85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85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85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85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85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85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85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85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85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85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85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85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85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85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85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85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85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85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85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85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85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85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85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85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85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85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85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85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85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85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85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85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85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85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85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85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85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85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85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85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85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85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85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85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85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85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85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85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85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85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85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85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85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85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85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85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85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85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85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85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85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85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85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85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85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85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85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85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85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85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85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85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85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85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85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85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85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85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85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85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85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85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85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85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85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85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85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85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85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85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85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85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85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85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85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85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85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85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85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85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85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85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85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85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85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85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85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85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85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85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85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85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85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85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85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85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85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85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85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85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85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85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85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85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85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85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85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85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85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85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85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85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85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85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85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85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85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85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85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85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85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85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85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85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85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85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85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85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85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85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85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85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85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85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85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85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85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85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85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85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85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85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85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85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85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85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85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85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85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85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85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85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85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85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85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85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85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85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85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85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85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85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85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85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85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85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ht="12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85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ht="12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85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ht="12.7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85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t="12.7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85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ht="12.7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85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</sheetData>
  <mergeCells count="7">
    <mergeCell ref="A1:O3"/>
    <mergeCell ref="B4:J4"/>
    <mergeCell ref="M4:O4"/>
    <mergeCell ref="B5:J5"/>
    <mergeCell ref="M5:O5"/>
    <mergeCell ref="B6:J6"/>
    <mergeCell ref="M6:O6"/>
  </mergeCells>
  <conditionalFormatting sqref="C8:C86 C100 C109:C117 C119 C123 C125:C126 C141 C143 C149 C151:C152 C157:C159 C161 C164:C165 C210:C211 C218 C220 C222:C223 C233:C234 C238 C242 C249:C250 C268:C273 C283:C318 C321:C326 C335:C369 C382:C398 C400:C807">
    <cfRule type="cellIs" dxfId="0" priority="1" stopIfTrue="1" operator="equal">
      <formula>"I"</formula>
    </cfRule>
  </conditionalFormatting>
  <conditionalFormatting sqref="C8:C86 C100 C109:C117 C119 C123 C125:C126 C141 C143 C149 C151:C152 C157:C159 C161 C164:C165 C210:C211 C218 C220 C222:C223 C233:C234 C238 C242 C249:C250 C268:C273 C283:C318 C321:C326 C335:C369 C382:C398 C400:C807">
    <cfRule type="cellIs" dxfId="1" priority="2" stopIfTrue="1" operator="equal">
      <formula>"A"</formula>
    </cfRule>
  </conditionalFormatting>
  <conditionalFormatting sqref="C8:C86 C100 C109:C117 C119 C123 C125:C126 C141 C143 C149 C151:C152 C157:C159 C161 C164:C165 C210:C211 C218 C220 C222:C223 C233:C234 C238 C242 C249:C250 C268:C273 C283:C318 C321:C326 C335:C369 C382:C398 C400:C807">
    <cfRule type="cellIs" dxfId="2" priority="3" stopIfTrue="1" operator="equal">
      <formula>"E"</formula>
    </cfRule>
  </conditionalFormatting>
  <conditionalFormatting sqref="C327 C329:C334">
    <cfRule type="cellIs" dxfId="0" priority="4" stopIfTrue="1" operator="equal">
      <formula>"I"</formula>
    </cfRule>
  </conditionalFormatting>
  <conditionalFormatting sqref="C327 C329:C334">
    <cfRule type="cellIs" dxfId="1" priority="5" stopIfTrue="1" operator="equal">
      <formula>"A"</formula>
    </cfRule>
  </conditionalFormatting>
  <conditionalFormatting sqref="C327 C329:C334">
    <cfRule type="cellIs" dxfId="2" priority="6" stopIfTrue="1" operator="equal">
      <formula>"E"</formula>
    </cfRule>
  </conditionalFormatting>
  <conditionalFormatting sqref="C319:C320">
    <cfRule type="cellIs" dxfId="0" priority="7" stopIfTrue="1" operator="equal">
      <formula>"I"</formula>
    </cfRule>
  </conditionalFormatting>
  <conditionalFormatting sqref="C319:C320">
    <cfRule type="cellIs" dxfId="1" priority="8" stopIfTrue="1" operator="equal">
      <formula>"A"</formula>
    </cfRule>
  </conditionalFormatting>
  <conditionalFormatting sqref="C319:C320">
    <cfRule type="cellIs" dxfId="2" priority="9" stopIfTrue="1" operator="equal">
      <formula>"E"</formula>
    </cfRule>
  </conditionalFormatting>
  <conditionalFormatting sqref="C124">
    <cfRule type="cellIs" dxfId="0" priority="10" stopIfTrue="1" operator="equal">
      <formula>"I"</formula>
    </cfRule>
  </conditionalFormatting>
  <conditionalFormatting sqref="C124">
    <cfRule type="cellIs" dxfId="1" priority="11" stopIfTrue="1" operator="equal">
      <formula>"A"</formula>
    </cfRule>
  </conditionalFormatting>
  <conditionalFormatting sqref="C124">
    <cfRule type="cellIs" dxfId="2" priority="12" stopIfTrue="1" operator="equal">
      <formula>"E"</formula>
    </cfRule>
  </conditionalFormatting>
  <conditionalFormatting sqref="C373">
    <cfRule type="cellIs" dxfId="0" priority="13" stopIfTrue="1" operator="equal">
      <formula>"I"</formula>
    </cfRule>
  </conditionalFormatting>
  <conditionalFormatting sqref="C373">
    <cfRule type="cellIs" dxfId="1" priority="14" stopIfTrue="1" operator="equal">
      <formula>"A"</formula>
    </cfRule>
  </conditionalFormatting>
  <conditionalFormatting sqref="C373">
    <cfRule type="cellIs" dxfId="2" priority="15" stopIfTrue="1" operator="equal">
      <formula>"E"</formula>
    </cfRule>
  </conditionalFormatting>
  <conditionalFormatting sqref="C371:C372 C375:C381">
    <cfRule type="cellIs" dxfId="0" priority="16" stopIfTrue="1" operator="equal">
      <formula>"I"</formula>
    </cfRule>
  </conditionalFormatting>
  <conditionalFormatting sqref="C371:C372 C375:C381">
    <cfRule type="cellIs" dxfId="1" priority="17" stopIfTrue="1" operator="equal">
      <formula>"A"</formula>
    </cfRule>
  </conditionalFormatting>
  <conditionalFormatting sqref="C371:C372 C375:C381">
    <cfRule type="cellIs" dxfId="2" priority="18" stopIfTrue="1" operator="equal">
      <formula>"E"</formula>
    </cfRule>
  </conditionalFormatting>
  <conditionalFormatting sqref="C374">
    <cfRule type="cellIs" dxfId="0" priority="19" stopIfTrue="1" operator="equal">
      <formula>"I"</formula>
    </cfRule>
  </conditionalFormatting>
  <conditionalFormatting sqref="C374">
    <cfRule type="cellIs" dxfId="1" priority="20" stopIfTrue="1" operator="equal">
      <formula>"A"</formula>
    </cfRule>
  </conditionalFormatting>
  <conditionalFormatting sqref="C374">
    <cfRule type="cellIs" dxfId="2" priority="21" stopIfTrue="1" operator="equal">
      <formula>"E"</formula>
    </cfRule>
  </conditionalFormatting>
  <conditionalFormatting sqref="C282">
    <cfRule type="cellIs" dxfId="0" priority="22" stopIfTrue="1" operator="equal">
      <formula>"I"</formula>
    </cfRule>
  </conditionalFormatting>
  <conditionalFormatting sqref="C282">
    <cfRule type="cellIs" dxfId="1" priority="23" stopIfTrue="1" operator="equal">
      <formula>"A"</formula>
    </cfRule>
  </conditionalFormatting>
  <conditionalFormatting sqref="C282">
    <cfRule type="cellIs" dxfId="2" priority="24" stopIfTrue="1" operator="equal">
      <formula>"E"</formula>
    </cfRule>
  </conditionalFormatting>
  <conditionalFormatting sqref="C328">
    <cfRule type="cellIs" dxfId="0" priority="25" stopIfTrue="1" operator="equal">
      <formula>"I"</formula>
    </cfRule>
  </conditionalFormatting>
  <conditionalFormatting sqref="C328">
    <cfRule type="cellIs" dxfId="1" priority="26" stopIfTrue="1" operator="equal">
      <formula>"A"</formula>
    </cfRule>
  </conditionalFormatting>
  <conditionalFormatting sqref="C328">
    <cfRule type="cellIs" dxfId="2" priority="27" stopIfTrue="1" operator="equal">
      <formula>"E"</formula>
    </cfRule>
  </conditionalFormatting>
  <conditionalFormatting sqref="C169 C171 C173 C175:C176 C179 C186 C191 C194">
    <cfRule type="cellIs" dxfId="0" priority="28" stopIfTrue="1" operator="equal">
      <formula>"I"</formula>
    </cfRule>
  </conditionalFormatting>
  <conditionalFormatting sqref="C169 C171 C173 C175:C176 C179 C186 C191 C194">
    <cfRule type="cellIs" dxfId="1" priority="29" stopIfTrue="1" operator="equal">
      <formula>"A"</formula>
    </cfRule>
  </conditionalFormatting>
  <conditionalFormatting sqref="C169 C171 C173 C175:C176 C179 C186 C191 C194">
    <cfRule type="cellIs" dxfId="2" priority="30" stopIfTrue="1" operator="equal">
      <formula>"E"</formula>
    </cfRule>
  </conditionalFormatting>
  <conditionalFormatting sqref="C199:C202 C206:C207">
    <cfRule type="cellIs" dxfId="0" priority="31" stopIfTrue="1" operator="equal">
      <formula>"I"</formula>
    </cfRule>
  </conditionalFormatting>
  <conditionalFormatting sqref="C199:C202 C206:C207">
    <cfRule type="cellIs" dxfId="1" priority="32" stopIfTrue="1" operator="equal">
      <formula>"A"</formula>
    </cfRule>
  </conditionalFormatting>
  <conditionalFormatting sqref="C199:C202 C206:C207">
    <cfRule type="cellIs" dxfId="2" priority="33" stopIfTrue="1" operator="equal">
      <formula>"E"</formula>
    </cfRule>
  </conditionalFormatting>
  <conditionalFormatting sqref="C162">
    <cfRule type="cellIs" dxfId="0" priority="34" stopIfTrue="1" operator="equal">
      <formula>"I"</formula>
    </cfRule>
  </conditionalFormatting>
  <conditionalFormatting sqref="C162">
    <cfRule type="cellIs" dxfId="1" priority="35" stopIfTrue="1" operator="equal">
      <formula>"A"</formula>
    </cfRule>
  </conditionalFormatting>
  <conditionalFormatting sqref="C162">
    <cfRule type="cellIs" dxfId="2" priority="36" stopIfTrue="1" operator="equal">
      <formula>"E"</formula>
    </cfRule>
  </conditionalFormatting>
  <conditionalFormatting sqref="C236">
    <cfRule type="cellIs" dxfId="0" priority="37" stopIfTrue="1" operator="equal">
      <formula>"I"</formula>
    </cfRule>
  </conditionalFormatting>
  <conditionalFormatting sqref="C236">
    <cfRule type="cellIs" dxfId="1" priority="38" stopIfTrue="1" operator="equal">
      <formula>"A"</formula>
    </cfRule>
  </conditionalFormatting>
  <conditionalFormatting sqref="C236">
    <cfRule type="cellIs" dxfId="2" priority="39" stopIfTrue="1" operator="equal">
      <formula>"E"</formula>
    </cfRule>
  </conditionalFormatting>
  <conditionalFormatting sqref="C235">
    <cfRule type="cellIs" dxfId="0" priority="40" stopIfTrue="1" operator="equal">
      <formula>"I"</formula>
    </cfRule>
  </conditionalFormatting>
  <conditionalFormatting sqref="C235">
    <cfRule type="cellIs" dxfId="1" priority="41" stopIfTrue="1" operator="equal">
      <formula>"A"</formula>
    </cfRule>
  </conditionalFormatting>
  <conditionalFormatting sqref="C235">
    <cfRule type="cellIs" dxfId="2" priority="42" stopIfTrue="1" operator="equal">
      <formula>"E"</formula>
    </cfRule>
  </conditionalFormatting>
  <conditionalFormatting sqref="C265">
    <cfRule type="cellIs" dxfId="0" priority="43" stopIfTrue="1" operator="equal">
      <formula>"I"</formula>
    </cfRule>
  </conditionalFormatting>
  <conditionalFormatting sqref="C265">
    <cfRule type="cellIs" dxfId="1" priority="44" stopIfTrue="1" operator="equal">
      <formula>"A"</formula>
    </cfRule>
  </conditionalFormatting>
  <conditionalFormatting sqref="C265">
    <cfRule type="cellIs" dxfId="2" priority="45" stopIfTrue="1" operator="equal">
      <formula>"E"</formula>
    </cfRule>
  </conditionalFormatting>
  <conditionalFormatting sqref="C277:C281">
    <cfRule type="cellIs" dxfId="0" priority="46" stopIfTrue="1" operator="equal">
      <formula>"I"</formula>
    </cfRule>
  </conditionalFormatting>
  <conditionalFormatting sqref="C277:C281">
    <cfRule type="cellIs" dxfId="1" priority="47" stopIfTrue="1" operator="equal">
      <formula>"A"</formula>
    </cfRule>
  </conditionalFormatting>
  <conditionalFormatting sqref="C277:C281">
    <cfRule type="cellIs" dxfId="2" priority="48" stopIfTrue="1" operator="equal">
      <formula>"E"</formula>
    </cfRule>
  </conditionalFormatting>
  <conditionalFormatting sqref="C399">
    <cfRule type="cellIs" dxfId="0" priority="49" stopIfTrue="1" operator="equal">
      <formula>"I"</formula>
    </cfRule>
  </conditionalFormatting>
  <conditionalFormatting sqref="C399">
    <cfRule type="cellIs" dxfId="1" priority="50" stopIfTrue="1" operator="equal">
      <formula>"A"</formula>
    </cfRule>
  </conditionalFormatting>
  <conditionalFormatting sqref="C399">
    <cfRule type="cellIs" dxfId="2" priority="51" stopIfTrue="1" operator="equal">
      <formula>"E"</formula>
    </cfRule>
  </conditionalFormatting>
  <conditionalFormatting sqref="C370">
    <cfRule type="cellIs" dxfId="0" priority="52" stopIfTrue="1" operator="equal">
      <formula>"I"</formula>
    </cfRule>
  </conditionalFormatting>
  <conditionalFormatting sqref="C370">
    <cfRule type="cellIs" dxfId="1" priority="53" stopIfTrue="1" operator="equal">
      <formula>"A"</formula>
    </cfRule>
  </conditionalFormatting>
  <conditionalFormatting sqref="C370">
    <cfRule type="cellIs" dxfId="2" priority="54" stopIfTrue="1" operator="equal">
      <formula>"E"</formula>
    </cfRule>
  </conditionalFormatting>
  <conditionalFormatting sqref="C140">
    <cfRule type="cellIs" dxfId="0" priority="55" stopIfTrue="1" operator="equal">
      <formula>"I"</formula>
    </cfRule>
  </conditionalFormatting>
  <conditionalFormatting sqref="C140">
    <cfRule type="cellIs" dxfId="1" priority="56" stopIfTrue="1" operator="equal">
      <formula>"A"</formula>
    </cfRule>
  </conditionalFormatting>
  <conditionalFormatting sqref="C140">
    <cfRule type="cellIs" dxfId="2" priority="57" stopIfTrue="1" operator="equal">
      <formula>"E"</formula>
    </cfRule>
  </conditionalFormatting>
  <conditionalFormatting sqref="C120">
    <cfRule type="cellIs" dxfId="0" priority="58" stopIfTrue="1" operator="equal">
      <formula>"I"</formula>
    </cfRule>
  </conditionalFormatting>
  <conditionalFormatting sqref="C120">
    <cfRule type="cellIs" dxfId="1" priority="59" stopIfTrue="1" operator="equal">
      <formula>"A"</formula>
    </cfRule>
  </conditionalFormatting>
  <conditionalFormatting sqref="C120">
    <cfRule type="cellIs" dxfId="2" priority="60" stopIfTrue="1" operator="equal">
      <formula>"E"</formula>
    </cfRule>
  </conditionalFormatting>
  <conditionalFormatting sqref="C122">
    <cfRule type="cellIs" dxfId="0" priority="61" stopIfTrue="1" operator="equal">
      <formula>"I"</formula>
    </cfRule>
  </conditionalFormatting>
  <conditionalFormatting sqref="C122">
    <cfRule type="cellIs" dxfId="1" priority="62" stopIfTrue="1" operator="equal">
      <formula>"A"</formula>
    </cfRule>
  </conditionalFormatting>
  <conditionalFormatting sqref="C122">
    <cfRule type="cellIs" dxfId="2" priority="63" stopIfTrue="1" operator="equal">
      <formula>"E"</formula>
    </cfRule>
  </conditionalFormatting>
  <conditionalFormatting sqref="C118">
    <cfRule type="cellIs" dxfId="0" priority="64" stopIfTrue="1" operator="equal">
      <formula>"I"</formula>
    </cfRule>
  </conditionalFormatting>
  <conditionalFormatting sqref="C118">
    <cfRule type="cellIs" dxfId="1" priority="65" stopIfTrue="1" operator="equal">
      <formula>"A"</formula>
    </cfRule>
  </conditionalFormatting>
  <conditionalFormatting sqref="C118">
    <cfRule type="cellIs" dxfId="2" priority="66" stopIfTrue="1" operator="equal">
      <formula>"E"</formula>
    </cfRule>
  </conditionalFormatting>
  <conditionalFormatting sqref="C127">
    <cfRule type="cellIs" dxfId="0" priority="67" stopIfTrue="1" operator="equal">
      <formula>"I"</formula>
    </cfRule>
  </conditionalFormatting>
  <conditionalFormatting sqref="C127">
    <cfRule type="cellIs" dxfId="1" priority="68" stopIfTrue="1" operator="equal">
      <formula>"A"</formula>
    </cfRule>
  </conditionalFormatting>
  <conditionalFormatting sqref="C127">
    <cfRule type="cellIs" dxfId="2" priority="69" stopIfTrue="1" operator="equal">
      <formula>"E"</formula>
    </cfRule>
  </conditionalFormatting>
  <conditionalFormatting sqref="C128:C130">
    <cfRule type="cellIs" dxfId="0" priority="70" stopIfTrue="1" operator="equal">
      <formula>"I"</formula>
    </cfRule>
  </conditionalFormatting>
  <conditionalFormatting sqref="C128:C130">
    <cfRule type="cellIs" dxfId="1" priority="71" stopIfTrue="1" operator="equal">
      <formula>"A"</formula>
    </cfRule>
  </conditionalFormatting>
  <conditionalFormatting sqref="C128:C130">
    <cfRule type="cellIs" dxfId="2" priority="72" stopIfTrue="1" operator="equal">
      <formula>"E"</formula>
    </cfRule>
  </conditionalFormatting>
  <conditionalFormatting sqref="C133">
    <cfRule type="cellIs" dxfId="0" priority="73" stopIfTrue="1" operator="equal">
      <formula>"I"</formula>
    </cfRule>
  </conditionalFormatting>
  <conditionalFormatting sqref="C133">
    <cfRule type="cellIs" dxfId="1" priority="74" stopIfTrue="1" operator="equal">
      <formula>"A"</formula>
    </cfRule>
  </conditionalFormatting>
  <conditionalFormatting sqref="C133">
    <cfRule type="cellIs" dxfId="2" priority="75" stopIfTrue="1" operator="equal">
      <formula>"E"</formula>
    </cfRule>
  </conditionalFormatting>
  <conditionalFormatting sqref="C132">
    <cfRule type="cellIs" dxfId="0" priority="76" stopIfTrue="1" operator="equal">
      <formula>"I"</formula>
    </cfRule>
  </conditionalFormatting>
  <conditionalFormatting sqref="C132">
    <cfRule type="cellIs" dxfId="1" priority="77" stopIfTrue="1" operator="equal">
      <formula>"A"</formula>
    </cfRule>
  </conditionalFormatting>
  <conditionalFormatting sqref="C132">
    <cfRule type="cellIs" dxfId="2" priority="78" stopIfTrue="1" operator="equal">
      <formula>"E"</formula>
    </cfRule>
  </conditionalFormatting>
  <conditionalFormatting sqref="C138">
    <cfRule type="cellIs" dxfId="0" priority="79" stopIfTrue="1" operator="equal">
      <formula>"I"</formula>
    </cfRule>
  </conditionalFormatting>
  <conditionalFormatting sqref="C138">
    <cfRule type="cellIs" dxfId="1" priority="80" stopIfTrue="1" operator="equal">
      <formula>"A"</formula>
    </cfRule>
  </conditionalFormatting>
  <conditionalFormatting sqref="C138">
    <cfRule type="cellIs" dxfId="2" priority="81" stopIfTrue="1" operator="equal">
      <formula>"E"</formula>
    </cfRule>
  </conditionalFormatting>
  <conditionalFormatting sqref="C134">
    <cfRule type="cellIs" dxfId="0" priority="82" stopIfTrue="1" operator="equal">
      <formula>"I"</formula>
    </cfRule>
  </conditionalFormatting>
  <conditionalFormatting sqref="C134">
    <cfRule type="cellIs" dxfId="1" priority="83" stopIfTrue="1" operator="equal">
      <formula>"A"</formula>
    </cfRule>
  </conditionalFormatting>
  <conditionalFormatting sqref="C134">
    <cfRule type="cellIs" dxfId="2" priority="84" stopIfTrue="1" operator="equal">
      <formula>"E"</formula>
    </cfRule>
  </conditionalFormatting>
  <conditionalFormatting sqref="C135">
    <cfRule type="cellIs" dxfId="0" priority="85" stopIfTrue="1" operator="equal">
      <formula>"I"</formula>
    </cfRule>
  </conditionalFormatting>
  <conditionalFormatting sqref="C135">
    <cfRule type="cellIs" dxfId="1" priority="86" stopIfTrue="1" operator="equal">
      <formula>"A"</formula>
    </cfRule>
  </conditionalFormatting>
  <conditionalFormatting sqref="C135">
    <cfRule type="cellIs" dxfId="2" priority="87" stopIfTrue="1" operator="equal">
      <formula>"E"</formula>
    </cfRule>
  </conditionalFormatting>
  <conditionalFormatting sqref="C136">
    <cfRule type="cellIs" dxfId="0" priority="88" stopIfTrue="1" operator="equal">
      <formula>"I"</formula>
    </cfRule>
  </conditionalFormatting>
  <conditionalFormatting sqref="C136">
    <cfRule type="cellIs" dxfId="1" priority="89" stopIfTrue="1" operator="equal">
      <formula>"A"</formula>
    </cfRule>
  </conditionalFormatting>
  <conditionalFormatting sqref="C136">
    <cfRule type="cellIs" dxfId="2" priority="90" stopIfTrue="1" operator="equal">
      <formula>"E"</formula>
    </cfRule>
  </conditionalFormatting>
  <conditionalFormatting sqref="C145">
    <cfRule type="cellIs" dxfId="0" priority="91" stopIfTrue="1" operator="equal">
      <formula>"I"</formula>
    </cfRule>
  </conditionalFormatting>
  <conditionalFormatting sqref="C145">
    <cfRule type="cellIs" dxfId="1" priority="92" stopIfTrue="1" operator="equal">
      <formula>"A"</formula>
    </cfRule>
  </conditionalFormatting>
  <conditionalFormatting sqref="C145">
    <cfRule type="cellIs" dxfId="2" priority="93" stopIfTrue="1" operator="equal">
      <formula>"E"</formula>
    </cfRule>
  </conditionalFormatting>
  <conditionalFormatting sqref="C146">
    <cfRule type="cellIs" dxfId="0" priority="94" stopIfTrue="1" operator="equal">
      <formula>"I"</formula>
    </cfRule>
  </conditionalFormatting>
  <conditionalFormatting sqref="C146">
    <cfRule type="cellIs" dxfId="1" priority="95" stopIfTrue="1" operator="equal">
      <formula>"A"</formula>
    </cfRule>
  </conditionalFormatting>
  <conditionalFormatting sqref="C146">
    <cfRule type="cellIs" dxfId="2" priority="96" stopIfTrue="1" operator="equal">
      <formula>"E"</formula>
    </cfRule>
  </conditionalFormatting>
  <conditionalFormatting sqref="C147">
    <cfRule type="cellIs" dxfId="0" priority="97" stopIfTrue="1" operator="equal">
      <formula>"I"</formula>
    </cfRule>
  </conditionalFormatting>
  <conditionalFormatting sqref="C147">
    <cfRule type="cellIs" dxfId="1" priority="98" stopIfTrue="1" operator="equal">
      <formula>"A"</formula>
    </cfRule>
  </conditionalFormatting>
  <conditionalFormatting sqref="C147">
    <cfRule type="cellIs" dxfId="2" priority="99" stopIfTrue="1" operator="equal">
      <formula>"E"</formula>
    </cfRule>
  </conditionalFormatting>
  <conditionalFormatting sqref="C148">
    <cfRule type="cellIs" dxfId="0" priority="100" stopIfTrue="1" operator="equal">
      <formula>"I"</formula>
    </cfRule>
  </conditionalFormatting>
  <conditionalFormatting sqref="C148">
    <cfRule type="cellIs" dxfId="1" priority="101" stopIfTrue="1" operator="equal">
      <formula>"A"</formula>
    </cfRule>
  </conditionalFormatting>
  <conditionalFormatting sqref="C148">
    <cfRule type="cellIs" dxfId="2" priority="102" stopIfTrue="1" operator="equal">
      <formula>"E"</formula>
    </cfRule>
  </conditionalFormatting>
  <conditionalFormatting sqref="C139">
    <cfRule type="cellIs" dxfId="0" priority="103" stopIfTrue="1" operator="equal">
      <formula>"I"</formula>
    </cfRule>
  </conditionalFormatting>
  <conditionalFormatting sqref="C139">
    <cfRule type="cellIs" dxfId="1" priority="104" stopIfTrue="1" operator="equal">
      <formula>"A"</formula>
    </cfRule>
  </conditionalFormatting>
  <conditionalFormatting sqref="C139">
    <cfRule type="cellIs" dxfId="2" priority="105" stopIfTrue="1" operator="equal">
      <formula>"E"</formula>
    </cfRule>
  </conditionalFormatting>
  <conditionalFormatting sqref="C144">
    <cfRule type="cellIs" dxfId="0" priority="106" stopIfTrue="1" operator="equal">
      <formula>"I"</formula>
    </cfRule>
  </conditionalFormatting>
  <conditionalFormatting sqref="C144">
    <cfRule type="cellIs" dxfId="1" priority="107" stopIfTrue="1" operator="equal">
      <formula>"A"</formula>
    </cfRule>
  </conditionalFormatting>
  <conditionalFormatting sqref="C144">
    <cfRule type="cellIs" dxfId="2" priority="108" stopIfTrue="1" operator="equal">
      <formula>"E"</formula>
    </cfRule>
  </conditionalFormatting>
  <conditionalFormatting sqref="C150">
    <cfRule type="cellIs" dxfId="0" priority="109" stopIfTrue="1" operator="equal">
      <formula>"I"</formula>
    </cfRule>
  </conditionalFormatting>
  <conditionalFormatting sqref="C150">
    <cfRule type="cellIs" dxfId="1" priority="110" stopIfTrue="1" operator="equal">
      <formula>"A"</formula>
    </cfRule>
  </conditionalFormatting>
  <conditionalFormatting sqref="C150">
    <cfRule type="cellIs" dxfId="2" priority="111" stopIfTrue="1" operator="equal">
      <formula>"E"</formula>
    </cfRule>
  </conditionalFormatting>
  <conditionalFormatting sqref="C153">
    <cfRule type="cellIs" dxfId="0" priority="112" stopIfTrue="1" operator="equal">
      <formula>"I"</formula>
    </cfRule>
  </conditionalFormatting>
  <conditionalFormatting sqref="C153">
    <cfRule type="cellIs" dxfId="1" priority="113" stopIfTrue="1" operator="equal">
      <formula>"A"</formula>
    </cfRule>
  </conditionalFormatting>
  <conditionalFormatting sqref="C153">
    <cfRule type="cellIs" dxfId="2" priority="114" stopIfTrue="1" operator="equal">
      <formula>"E"</formula>
    </cfRule>
  </conditionalFormatting>
  <conditionalFormatting sqref="C155">
    <cfRule type="cellIs" dxfId="0" priority="115" stopIfTrue="1" operator="equal">
      <formula>"I"</formula>
    </cfRule>
  </conditionalFormatting>
  <conditionalFormatting sqref="C155">
    <cfRule type="cellIs" dxfId="1" priority="116" stopIfTrue="1" operator="equal">
      <formula>"A"</formula>
    </cfRule>
  </conditionalFormatting>
  <conditionalFormatting sqref="C155">
    <cfRule type="cellIs" dxfId="2" priority="117" stopIfTrue="1" operator="equal">
      <formula>"E"</formula>
    </cfRule>
  </conditionalFormatting>
  <conditionalFormatting sqref="C154">
    <cfRule type="cellIs" dxfId="0" priority="118" stopIfTrue="1" operator="equal">
      <formula>"I"</formula>
    </cfRule>
  </conditionalFormatting>
  <conditionalFormatting sqref="C154">
    <cfRule type="cellIs" dxfId="1" priority="119" stopIfTrue="1" operator="equal">
      <formula>"A"</formula>
    </cfRule>
  </conditionalFormatting>
  <conditionalFormatting sqref="C154">
    <cfRule type="cellIs" dxfId="2" priority="120" stopIfTrue="1" operator="equal">
      <formula>"E"</formula>
    </cfRule>
  </conditionalFormatting>
  <conditionalFormatting sqref="C156">
    <cfRule type="cellIs" dxfId="0" priority="121" stopIfTrue="1" operator="equal">
      <formula>"I"</formula>
    </cfRule>
  </conditionalFormatting>
  <conditionalFormatting sqref="C156">
    <cfRule type="cellIs" dxfId="1" priority="122" stopIfTrue="1" operator="equal">
      <formula>"A"</formula>
    </cfRule>
  </conditionalFormatting>
  <conditionalFormatting sqref="C156">
    <cfRule type="cellIs" dxfId="2" priority="123" stopIfTrue="1" operator="equal">
      <formula>"E"</formula>
    </cfRule>
  </conditionalFormatting>
  <conditionalFormatting sqref="C160">
    <cfRule type="cellIs" dxfId="0" priority="124" stopIfTrue="1" operator="equal">
      <formula>"I"</formula>
    </cfRule>
  </conditionalFormatting>
  <conditionalFormatting sqref="C160">
    <cfRule type="cellIs" dxfId="1" priority="125" stopIfTrue="1" operator="equal">
      <formula>"A"</formula>
    </cfRule>
  </conditionalFormatting>
  <conditionalFormatting sqref="C160">
    <cfRule type="cellIs" dxfId="2" priority="126" stopIfTrue="1" operator="equal">
      <formula>"E"</formula>
    </cfRule>
  </conditionalFormatting>
  <conditionalFormatting sqref="C167">
    <cfRule type="cellIs" dxfId="0" priority="127" stopIfTrue="1" operator="equal">
      <formula>"I"</formula>
    </cfRule>
  </conditionalFormatting>
  <conditionalFormatting sqref="C167">
    <cfRule type="cellIs" dxfId="1" priority="128" stopIfTrue="1" operator="equal">
      <formula>"A"</formula>
    </cfRule>
  </conditionalFormatting>
  <conditionalFormatting sqref="C167">
    <cfRule type="cellIs" dxfId="2" priority="129" stopIfTrue="1" operator="equal">
      <formula>"E"</formula>
    </cfRule>
  </conditionalFormatting>
  <conditionalFormatting sqref="C168">
    <cfRule type="cellIs" dxfId="0" priority="130" stopIfTrue="1" operator="equal">
      <formula>"I"</formula>
    </cfRule>
  </conditionalFormatting>
  <conditionalFormatting sqref="C168">
    <cfRule type="cellIs" dxfId="1" priority="131" stopIfTrue="1" operator="equal">
      <formula>"A"</formula>
    </cfRule>
  </conditionalFormatting>
  <conditionalFormatting sqref="C168">
    <cfRule type="cellIs" dxfId="2" priority="132" stopIfTrue="1" operator="equal">
      <formula>"E"</formula>
    </cfRule>
  </conditionalFormatting>
  <conditionalFormatting sqref="C170">
    <cfRule type="cellIs" dxfId="0" priority="133" stopIfTrue="1" operator="equal">
      <formula>"I"</formula>
    </cfRule>
  </conditionalFormatting>
  <conditionalFormatting sqref="C170">
    <cfRule type="cellIs" dxfId="1" priority="134" stopIfTrue="1" operator="equal">
      <formula>"A"</formula>
    </cfRule>
  </conditionalFormatting>
  <conditionalFormatting sqref="C170">
    <cfRule type="cellIs" dxfId="2" priority="135" stopIfTrue="1" operator="equal">
      <formula>"E"</formula>
    </cfRule>
  </conditionalFormatting>
  <conditionalFormatting sqref="C172">
    <cfRule type="cellIs" dxfId="0" priority="136" stopIfTrue="1" operator="equal">
      <formula>"I"</formula>
    </cfRule>
  </conditionalFormatting>
  <conditionalFormatting sqref="C172">
    <cfRule type="cellIs" dxfId="1" priority="137" stopIfTrue="1" operator="equal">
      <formula>"A"</formula>
    </cfRule>
  </conditionalFormatting>
  <conditionalFormatting sqref="C172">
    <cfRule type="cellIs" dxfId="2" priority="138" stopIfTrue="1" operator="equal">
      <formula>"E"</formula>
    </cfRule>
  </conditionalFormatting>
  <conditionalFormatting sqref="C177">
    <cfRule type="cellIs" dxfId="0" priority="139" stopIfTrue="1" operator="equal">
      <formula>"I"</formula>
    </cfRule>
  </conditionalFormatting>
  <conditionalFormatting sqref="C177">
    <cfRule type="cellIs" dxfId="1" priority="140" stopIfTrue="1" operator="equal">
      <formula>"A"</formula>
    </cfRule>
  </conditionalFormatting>
  <conditionalFormatting sqref="C177">
    <cfRule type="cellIs" dxfId="2" priority="141" stopIfTrue="1" operator="equal">
      <formula>"E"</formula>
    </cfRule>
  </conditionalFormatting>
  <conditionalFormatting sqref="C182">
    <cfRule type="cellIs" dxfId="0" priority="142" stopIfTrue="1" operator="equal">
      <formula>"I"</formula>
    </cfRule>
  </conditionalFormatting>
  <conditionalFormatting sqref="C182">
    <cfRule type="cellIs" dxfId="1" priority="143" stopIfTrue="1" operator="equal">
      <formula>"A"</formula>
    </cfRule>
  </conditionalFormatting>
  <conditionalFormatting sqref="C182">
    <cfRule type="cellIs" dxfId="2" priority="144" stopIfTrue="1" operator="equal">
      <formula>"E"</formula>
    </cfRule>
  </conditionalFormatting>
  <conditionalFormatting sqref="C180">
    <cfRule type="cellIs" dxfId="0" priority="145" stopIfTrue="1" operator="equal">
      <formula>"I"</formula>
    </cfRule>
  </conditionalFormatting>
  <conditionalFormatting sqref="C180">
    <cfRule type="cellIs" dxfId="1" priority="146" stopIfTrue="1" operator="equal">
      <formula>"A"</formula>
    </cfRule>
  </conditionalFormatting>
  <conditionalFormatting sqref="C180">
    <cfRule type="cellIs" dxfId="2" priority="147" stopIfTrue="1" operator="equal">
      <formula>"E"</formula>
    </cfRule>
  </conditionalFormatting>
  <conditionalFormatting sqref="C181">
    <cfRule type="cellIs" dxfId="0" priority="148" stopIfTrue="1" operator="equal">
      <formula>"I"</formula>
    </cfRule>
  </conditionalFormatting>
  <conditionalFormatting sqref="C181">
    <cfRule type="cellIs" dxfId="1" priority="149" stopIfTrue="1" operator="equal">
      <formula>"A"</formula>
    </cfRule>
  </conditionalFormatting>
  <conditionalFormatting sqref="C181">
    <cfRule type="cellIs" dxfId="2" priority="150" stopIfTrue="1" operator="equal">
      <formula>"E"</formula>
    </cfRule>
  </conditionalFormatting>
  <conditionalFormatting sqref="C183">
    <cfRule type="cellIs" dxfId="0" priority="151" stopIfTrue="1" operator="equal">
      <formula>"I"</formula>
    </cfRule>
  </conditionalFormatting>
  <conditionalFormatting sqref="C183">
    <cfRule type="cellIs" dxfId="1" priority="152" stopIfTrue="1" operator="equal">
      <formula>"A"</formula>
    </cfRule>
  </conditionalFormatting>
  <conditionalFormatting sqref="C183">
    <cfRule type="cellIs" dxfId="2" priority="153" stopIfTrue="1" operator="equal">
      <formula>"E"</formula>
    </cfRule>
  </conditionalFormatting>
  <conditionalFormatting sqref="C187">
    <cfRule type="cellIs" dxfId="0" priority="154" stopIfTrue="1" operator="equal">
      <formula>"I"</formula>
    </cfRule>
  </conditionalFormatting>
  <conditionalFormatting sqref="C187">
    <cfRule type="cellIs" dxfId="1" priority="155" stopIfTrue="1" operator="equal">
      <formula>"A"</formula>
    </cfRule>
  </conditionalFormatting>
  <conditionalFormatting sqref="C187">
    <cfRule type="cellIs" dxfId="2" priority="156" stopIfTrue="1" operator="equal">
      <formula>"E"</formula>
    </cfRule>
  </conditionalFormatting>
  <conditionalFormatting sqref="C188">
    <cfRule type="cellIs" dxfId="0" priority="157" stopIfTrue="1" operator="equal">
      <formula>"I"</formula>
    </cfRule>
  </conditionalFormatting>
  <conditionalFormatting sqref="C188">
    <cfRule type="cellIs" dxfId="1" priority="158" stopIfTrue="1" operator="equal">
      <formula>"A"</formula>
    </cfRule>
  </conditionalFormatting>
  <conditionalFormatting sqref="C188">
    <cfRule type="cellIs" dxfId="2" priority="159" stopIfTrue="1" operator="equal">
      <formula>"E"</formula>
    </cfRule>
  </conditionalFormatting>
  <conditionalFormatting sqref="C189">
    <cfRule type="cellIs" dxfId="0" priority="160" stopIfTrue="1" operator="equal">
      <formula>"I"</formula>
    </cfRule>
  </conditionalFormatting>
  <conditionalFormatting sqref="C189">
    <cfRule type="cellIs" dxfId="1" priority="161" stopIfTrue="1" operator="equal">
      <formula>"A"</formula>
    </cfRule>
  </conditionalFormatting>
  <conditionalFormatting sqref="C189">
    <cfRule type="cellIs" dxfId="2" priority="162" stopIfTrue="1" operator="equal">
      <formula>"E"</formula>
    </cfRule>
  </conditionalFormatting>
  <conditionalFormatting sqref="C190">
    <cfRule type="cellIs" dxfId="0" priority="163" stopIfTrue="1" operator="equal">
      <formula>"I"</formula>
    </cfRule>
  </conditionalFormatting>
  <conditionalFormatting sqref="C190">
    <cfRule type="cellIs" dxfId="1" priority="164" stopIfTrue="1" operator="equal">
      <formula>"A"</formula>
    </cfRule>
  </conditionalFormatting>
  <conditionalFormatting sqref="C190">
    <cfRule type="cellIs" dxfId="2" priority="165" stopIfTrue="1" operator="equal">
      <formula>"E"</formula>
    </cfRule>
  </conditionalFormatting>
  <conditionalFormatting sqref="C192">
    <cfRule type="cellIs" dxfId="0" priority="166" stopIfTrue="1" operator="equal">
      <formula>"I"</formula>
    </cfRule>
  </conditionalFormatting>
  <conditionalFormatting sqref="C192">
    <cfRule type="cellIs" dxfId="1" priority="167" stopIfTrue="1" operator="equal">
      <formula>"A"</formula>
    </cfRule>
  </conditionalFormatting>
  <conditionalFormatting sqref="C192">
    <cfRule type="cellIs" dxfId="2" priority="168" stopIfTrue="1" operator="equal">
      <formula>"E"</formula>
    </cfRule>
  </conditionalFormatting>
  <conditionalFormatting sqref="C198">
    <cfRule type="cellIs" dxfId="0" priority="169" stopIfTrue="1" operator="equal">
      <formula>"I"</formula>
    </cfRule>
  </conditionalFormatting>
  <conditionalFormatting sqref="C198">
    <cfRule type="cellIs" dxfId="1" priority="170" stopIfTrue="1" operator="equal">
      <formula>"A"</formula>
    </cfRule>
  </conditionalFormatting>
  <conditionalFormatting sqref="C198">
    <cfRule type="cellIs" dxfId="2" priority="171" stopIfTrue="1" operator="equal">
      <formula>"E"</formula>
    </cfRule>
  </conditionalFormatting>
  <conditionalFormatting sqref="C208">
    <cfRule type="cellIs" dxfId="0" priority="172" stopIfTrue="1" operator="equal">
      <formula>"I"</formula>
    </cfRule>
  </conditionalFormatting>
  <conditionalFormatting sqref="C208">
    <cfRule type="cellIs" dxfId="1" priority="173" stopIfTrue="1" operator="equal">
      <formula>"A"</formula>
    </cfRule>
  </conditionalFormatting>
  <conditionalFormatting sqref="C208">
    <cfRule type="cellIs" dxfId="2" priority="174" stopIfTrue="1" operator="equal">
      <formula>"E"</formula>
    </cfRule>
  </conditionalFormatting>
  <conditionalFormatting sqref="C166">
    <cfRule type="cellIs" dxfId="0" priority="175" stopIfTrue="1" operator="equal">
      <formula>"I"</formula>
    </cfRule>
  </conditionalFormatting>
  <conditionalFormatting sqref="C166">
    <cfRule type="cellIs" dxfId="1" priority="176" stopIfTrue="1" operator="equal">
      <formula>"A"</formula>
    </cfRule>
  </conditionalFormatting>
  <conditionalFormatting sqref="C166">
    <cfRule type="cellIs" dxfId="2" priority="177" stopIfTrue="1" operator="equal">
      <formula>"E"</formula>
    </cfRule>
  </conditionalFormatting>
  <conditionalFormatting sqref="C209">
    <cfRule type="cellIs" dxfId="0" priority="178" stopIfTrue="1" operator="equal">
      <formula>"I"</formula>
    </cfRule>
  </conditionalFormatting>
  <conditionalFormatting sqref="C209">
    <cfRule type="cellIs" dxfId="1" priority="179" stopIfTrue="1" operator="equal">
      <formula>"A"</formula>
    </cfRule>
  </conditionalFormatting>
  <conditionalFormatting sqref="C209">
    <cfRule type="cellIs" dxfId="2" priority="180" stopIfTrue="1" operator="equal">
      <formula>"E"</formula>
    </cfRule>
  </conditionalFormatting>
  <conditionalFormatting sqref="C212">
    <cfRule type="cellIs" dxfId="0" priority="181" stopIfTrue="1" operator="equal">
      <formula>"I"</formula>
    </cfRule>
  </conditionalFormatting>
  <conditionalFormatting sqref="C212">
    <cfRule type="cellIs" dxfId="1" priority="182" stopIfTrue="1" operator="equal">
      <formula>"A"</formula>
    </cfRule>
  </conditionalFormatting>
  <conditionalFormatting sqref="C212">
    <cfRule type="cellIs" dxfId="2" priority="183" stopIfTrue="1" operator="equal">
      <formula>"E"</formula>
    </cfRule>
  </conditionalFormatting>
  <conditionalFormatting sqref="C213:C215">
    <cfRule type="cellIs" dxfId="0" priority="184" stopIfTrue="1" operator="equal">
      <formula>"I"</formula>
    </cfRule>
  </conditionalFormatting>
  <conditionalFormatting sqref="C213:C215">
    <cfRule type="cellIs" dxfId="1" priority="185" stopIfTrue="1" operator="equal">
      <formula>"A"</formula>
    </cfRule>
  </conditionalFormatting>
  <conditionalFormatting sqref="C213:C215">
    <cfRule type="cellIs" dxfId="2" priority="186" stopIfTrue="1" operator="equal">
      <formula>"E"</formula>
    </cfRule>
  </conditionalFormatting>
  <conditionalFormatting sqref="C217">
    <cfRule type="cellIs" dxfId="0" priority="187" stopIfTrue="1" operator="equal">
      <formula>"I"</formula>
    </cfRule>
  </conditionalFormatting>
  <conditionalFormatting sqref="C217">
    <cfRule type="cellIs" dxfId="1" priority="188" stopIfTrue="1" operator="equal">
      <formula>"A"</formula>
    </cfRule>
  </conditionalFormatting>
  <conditionalFormatting sqref="C217">
    <cfRule type="cellIs" dxfId="2" priority="189" stopIfTrue="1" operator="equal">
      <formula>"E"</formula>
    </cfRule>
  </conditionalFormatting>
  <conditionalFormatting sqref="C216">
    <cfRule type="cellIs" dxfId="0" priority="190" stopIfTrue="1" operator="equal">
      <formula>"I"</formula>
    </cfRule>
  </conditionalFormatting>
  <conditionalFormatting sqref="C216">
    <cfRule type="cellIs" dxfId="1" priority="191" stopIfTrue="1" operator="equal">
      <formula>"A"</formula>
    </cfRule>
  </conditionalFormatting>
  <conditionalFormatting sqref="C216">
    <cfRule type="cellIs" dxfId="2" priority="192" stopIfTrue="1" operator="equal">
      <formula>"E"</formula>
    </cfRule>
  </conditionalFormatting>
  <conditionalFormatting sqref="C221">
    <cfRule type="cellIs" dxfId="0" priority="193" stopIfTrue="1" operator="equal">
      <formula>"I"</formula>
    </cfRule>
  </conditionalFormatting>
  <conditionalFormatting sqref="C221">
    <cfRule type="cellIs" dxfId="1" priority="194" stopIfTrue="1" operator="equal">
      <formula>"A"</formula>
    </cfRule>
  </conditionalFormatting>
  <conditionalFormatting sqref="C221">
    <cfRule type="cellIs" dxfId="2" priority="195" stopIfTrue="1" operator="equal">
      <formula>"E"</formula>
    </cfRule>
  </conditionalFormatting>
  <conditionalFormatting sqref="C229">
    <cfRule type="cellIs" dxfId="0" priority="196" stopIfTrue="1" operator="equal">
      <formula>"I"</formula>
    </cfRule>
  </conditionalFormatting>
  <conditionalFormatting sqref="C229">
    <cfRule type="cellIs" dxfId="1" priority="197" stopIfTrue="1" operator="equal">
      <formula>"A"</formula>
    </cfRule>
  </conditionalFormatting>
  <conditionalFormatting sqref="C229">
    <cfRule type="cellIs" dxfId="2" priority="198" stopIfTrue="1" operator="equal">
      <formula>"E"</formula>
    </cfRule>
  </conditionalFormatting>
  <conditionalFormatting sqref="C230">
    <cfRule type="cellIs" dxfId="0" priority="199" stopIfTrue="1" operator="equal">
      <formula>"I"</formula>
    </cfRule>
  </conditionalFormatting>
  <conditionalFormatting sqref="C230">
    <cfRule type="cellIs" dxfId="1" priority="200" stopIfTrue="1" operator="equal">
      <formula>"A"</formula>
    </cfRule>
  </conditionalFormatting>
  <conditionalFormatting sqref="C230">
    <cfRule type="cellIs" dxfId="2" priority="201" stopIfTrue="1" operator="equal">
      <formula>"E"</formula>
    </cfRule>
  </conditionalFormatting>
  <conditionalFormatting sqref="C225">
    <cfRule type="cellIs" dxfId="0" priority="202" stopIfTrue="1" operator="equal">
      <formula>"I"</formula>
    </cfRule>
  </conditionalFormatting>
  <conditionalFormatting sqref="C225">
    <cfRule type="cellIs" dxfId="1" priority="203" stopIfTrue="1" operator="equal">
      <formula>"A"</formula>
    </cfRule>
  </conditionalFormatting>
  <conditionalFormatting sqref="C225">
    <cfRule type="cellIs" dxfId="2" priority="204" stopIfTrue="1" operator="equal">
      <formula>"E"</formula>
    </cfRule>
  </conditionalFormatting>
  <conditionalFormatting sqref="C226">
    <cfRule type="cellIs" dxfId="0" priority="205" stopIfTrue="1" operator="equal">
      <formula>"I"</formula>
    </cfRule>
  </conditionalFormatting>
  <conditionalFormatting sqref="C226">
    <cfRule type="cellIs" dxfId="1" priority="206" stopIfTrue="1" operator="equal">
      <formula>"A"</formula>
    </cfRule>
  </conditionalFormatting>
  <conditionalFormatting sqref="C226">
    <cfRule type="cellIs" dxfId="2" priority="207" stopIfTrue="1" operator="equal">
      <formula>"E"</formula>
    </cfRule>
  </conditionalFormatting>
  <conditionalFormatting sqref="C227">
    <cfRule type="cellIs" dxfId="0" priority="208" stopIfTrue="1" operator="equal">
      <formula>"I"</formula>
    </cfRule>
  </conditionalFormatting>
  <conditionalFormatting sqref="C227">
    <cfRule type="cellIs" dxfId="1" priority="209" stopIfTrue="1" operator="equal">
      <formula>"A"</formula>
    </cfRule>
  </conditionalFormatting>
  <conditionalFormatting sqref="C227">
    <cfRule type="cellIs" dxfId="2" priority="210" stopIfTrue="1" operator="equal">
      <formula>"E"</formula>
    </cfRule>
  </conditionalFormatting>
  <conditionalFormatting sqref="C228">
    <cfRule type="cellIs" dxfId="0" priority="211" stopIfTrue="1" operator="equal">
      <formula>"I"</formula>
    </cfRule>
  </conditionalFormatting>
  <conditionalFormatting sqref="C228">
    <cfRule type="cellIs" dxfId="1" priority="212" stopIfTrue="1" operator="equal">
      <formula>"A"</formula>
    </cfRule>
  </conditionalFormatting>
  <conditionalFormatting sqref="C228">
    <cfRule type="cellIs" dxfId="2" priority="213" stopIfTrue="1" operator="equal">
      <formula>"E"</formula>
    </cfRule>
  </conditionalFormatting>
  <conditionalFormatting sqref="C231">
    <cfRule type="cellIs" dxfId="0" priority="214" stopIfTrue="1" operator="equal">
      <formula>"I"</formula>
    </cfRule>
  </conditionalFormatting>
  <conditionalFormatting sqref="C231">
    <cfRule type="cellIs" dxfId="1" priority="215" stopIfTrue="1" operator="equal">
      <formula>"A"</formula>
    </cfRule>
  </conditionalFormatting>
  <conditionalFormatting sqref="C231">
    <cfRule type="cellIs" dxfId="2" priority="216" stopIfTrue="1" operator="equal">
      <formula>"E"</formula>
    </cfRule>
  </conditionalFormatting>
  <conditionalFormatting sqref="C237">
    <cfRule type="cellIs" dxfId="0" priority="217" stopIfTrue="1" operator="equal">
      <formula>"I"</formula>
    </cfRule>
  </conditionalFormatting>
  <conditionalFormatting sqref="C237">
    <cfRule type="cellIs" dxfId="1" priority="218" stopIfTrue="1" operator="equal">
      <formula>"A"</formula>
    </cfRule>
  </conditionalFormatting>
  <conditionalFormatting sqref="C237">
    <cfRule type="cellIs" dxfId="2" priority="219" stopIfTrue="1" operator="equal">
      <formula>"E"</formula>
    </cfRule>
  </conditionalFormatting>
  <conditionalFormatting sqref="C239">
    <cfRule type="cellIs" dxfId="0" priority="220" stopIfTrue="1" operator="equal">
      <formula>"I"</formula>
    </cfRule>
  </conditionalFormatting>
  <conditionalFormatting sqref="C239">
    <cfRule type="cellIs" dxfId="1" priority="221" stopIfTrue="1" operator="equal">
      <formula>"A"</formula>
    </cfRule>
  </conditionalFormatting>
  <conditionalFormatting sqref="C239">
    <cfRule type="cellIs" dxfId="2" priority="222" stopIfTrue="1" operator="equal">
      <formula>"E"</formula>
    </cfRule>
  </conditionalFormatting>
  <conditionalFormatting sqref="C241">
    <cfRule type="cellIs" dxfId="0" priority="223" stopIfTrue="1" operator="equal">
      <formula>"I"</formula>
    </cfRule>
  </conditionalFormatting>
  <conditionalFormatting sqref="C241">
    <cfRule type="cellIs" dxfId="1" priority="224" stopIfTrue="1" operator="equal">
      <formula>"A"</formula>
    </cfRule>
  </conditionalFormatting>
  <conditionalFormatting sqref="C241">
    <cfRule type="cellIs" dxfId="2" priority="225" stopIfTrue="1" operator="equal">
      <formula>"E"</formula>
    </cfRule>
  </conditionalFormatting>
  <conditionalFormatting sqref="C240">
    <cfRule type="cellIs" dxfId="0" priority="226" stopIfTrue="1" operator="equal">
      <formula>"I"</formula>
    </cfRule>
  </conditionalFormatting>
  <conditionalFormatting sqref="C240">
    <cfRule type="cellIs" dxfId="1" priority="227" stopIfTrue="1" operator="equal">
      <formula>"A"</formula>
    </cfRule>
  </conditionalFormatting>
  <conditionalFormatting sqref="C240">
    <cfRule type="cellIs" dxfId="2" priority="228" stopIfTrue="1" operator="equal">
      <formula>"E"</formula>
    </cfRule>
  </conditionalFormatting>
  <conditionalFormatting sqref="C274">
    <cfRule type="cellIs" dxfId="0" priority="229" stopIfTrue="1" operator="equal">
      <formula>"I"</formula>
    </cfRule>
  </conditionalFormatting>
  <conditionalFormatting sqref="C274">
    <cfRule type="cellIs" dxfId="1" priority="230" stopIfTrue="1" operator="equal">
      <formula>"A"</formula>
    </cfRule>
  </conditionalFormatting>
  <conditionalFormatting sqref="C274">
    <cfRule type="cellIs" dxfId="2" priority="231" stopIfTrue="1" operator="equal">
      <formula>"E"</formula>
    </cfRule>
  </conditionalFormatting>
  <conditionalFormatting sqref="C276">
    <cfRule type="cellIs" dxfId="0" priority="232" stopIfTrue="1" operator="equal">
      <formula>"I"</formula>
    </cfRule>
  </conditionalFormatting>
  <conditionalFormatting sqref="C276">
    <cfRule type="cellIs" dxfId="1" priority="233" stopIfTrue="1" operator="equal">
      <formula>"A"</formula>
    </cfRule>
  </conditionalFormatting>
  <conditionalFormatting sqref="C276">
    <cfRule type="cellIs" dxfId="2" priority="234" stopIfTrue="1" operator="equal">
      <formula>"E"</formula>
    </cfRule>
  </conditionalFormatting>
  <conditionalFormatting sqref="C244">
    <cfRule type="cellIs" dxfId="0" priority="235" stopIfTrue="1" operator="equal">
      <formula>"I"</formula>
    </cfRule>
  </conditionalFormatting>
  <conditionalFormatting sqref="C244">
    <cfRule type="cellIs" dxfId="1" priority="236" stopIfTrue="1" operator="equal">
      <formula>"A"</formula>
    </cfRule>
  </conditionalFormatting>
  <conditionalFormatting sqref="C244">
    <cfRule type="cellIs" dxfId="2" priority="237" stopIfTrue="1" operator="equal">
      <formula>"E"</formula>
    </cfRule>
  </conditionalFormatting>
  <conditionalFormatting sqref="C266">
    <cfRule type="cellIs" dxfId="0" priority="238" stopIfTrue="1" operator="equal">
      <formula>"I"</formula>
    </cfRule>
  </conditionalFormatting>
  <conditionalFormatting sqref="C266">
    <cfRule type="cellIs" dxfId="1" priority="239" stopIfTrue="1" operator="equal">
      <formula>"A"</formula>
    </cfRule>
  </conditionalFormatting>
  <conditionalFormatting sqref="C266">
    <cfRule type="cellIs" dxfId="2" priority="240" stopIfTrue="1" operator="equal">
      <formula>"E"</formula>
    </cfRule>
  </conditionalFormatting>
  <conditionalFormatting sqref="C245:C248">
    <cfRule type="cellIs" dxfId="0" priority="241" stopIfTrue="1" operator="equal">
      <formula>"I"</formula>
    </cfRule>
  </conditionalFormatting>
  <conditionalFormatting sqref="C245:C248">
    <cfRule type="cellIs" dxfId="1" priority="242" stopIfTrue="1" operator="equal">
      <formula>"A"</formula>
    </cfRule>
  </conditionalFormatting>
  <conditionalFormatting sqref="C245:C248">
    <cfRule type="cellIs" dxfId="2" priority="243" stopIfTrue="1" operator="equal">
      <formula>"E"</formula>
    </cfRule>
  </conditionalFormatting>
  <conditionalFormatting sqref="C251">
    <cfRule type="cellIs" dxfId="0" priority="244" stopIfTrue="1" operator="equal">
      <formula>"I"</formula>
    </cfRule>
  </conditionalFormatting>
  <conditionalFormatting sqref="C251">
    <cfRule type="cellIs" dxfId="1" priority="245" stopIfTrue="1" operator="equal">
      <formula>"A"</formula>
    </cfRule>
  </conditionalFormatting>
  <conditionalFormatting sqref="C251">
    <cfRule type="cellIs" dxfId="2" priority="246" stopIfTrue="1" operator="equal">
      <formula>"E"</formula>
    </cfRule>
  </conditionalFormatting>
  <conditionalFormatting sqref="C252">
    <cfRule type="cellIs" dxfId="0" priority="247" stopIfTrue="1" operator="equal">
      <formula>"I"</formula>
    </cfRule>
  </conditionalFormatting>
  <conditionalFormatting sqref="C252">
    <cfRule type="cellIs" dxfId="1" priority="248" stopIfTrue="1" operator="equal">
      <formula>"A"</formula>
    </cfRule>
  </conditionalFormatting>
  <conditionalFormatting sqref="C252">
    <cfRule type="cellIs" dxfId="2" priority="249" stopIfTrue="1" operator="equal">
      <formula>"E"</formula>
    </cfRule>
  </conditionalFormatting>
  <conditionalFormatting sqref="C142">
    <cfRule type="cellIs" dxfId="0" priority="250" stopIfTrue="1" operator="equal">
      <formula>"I"</formula>
    </cfRule>
  </conditionalFormatting>
  <conditionalFormatting sqref="C142">
    <cfRule type="cellIs" dxfId="1" priority="251" stopIfTrue="1" operator="equal">
      <formula>"A"</formula>
    </cfRule>
  </conditionalFormatting>
  <conditionalFormatting sqref="C142">
    <cfRule type="cellIs" dxfId="2" priority="252" stopIfTrue="1" operator="equal">
      <formula>"E"</formula>
    </cfRule>
  </conditionalFormatting>
  <conditionalFormatting sqref="C185">
    <cfRule type="cellIs" dxfId="0" priority="253" stopIfTrue="1" operator="equal">
      <formula>"I"</formula>
    </cfRule>
  </conditionalFormatting>
  <conditionalFormatting sqref="C185">
    <cfRule type="cellIs" dxfId="1" priority="254" stopIfTrue="1" operator="equal">
      <formula>"A"</formula>
    </cfRule>
  </conditionalFormatting>
  <conditionalFormatting sqref="C185">
    <cfRule type="cellIs" dxfId="2" priority="255" stopIfTrue="1" operator="equal">
      <formula>"E"</formula>
    </cfRule>
  </conditionalFormatting>
  <conditionalFormatting sqref="C121">
    <cfRule type="cellIs" dxfId="0" priority="256" stopIfTrue="1" operator="equal">
      <formula>"I"</formula>
    </cfRule>
  </conditionalFormatting>
  <conditionalFormatting sqref="C121">
    <cfRule type="cellIs" dxfId="1" priority="257" stopIfTrue="1" operator="equal">
      <formula>"A"</formula>
    </cfRule>
  </conditionalFormatting>
  <conditionalFormatting sqref="C121">
    <cfRule type="cellIs" dxfId="2" priority="258" stopIfTrue="1" operator="equal">
      <formula>"E"</formula>
    </cfRule>
  </conditionalFormatting>
  <conditionalFormatting sqref="C163">
    <cfRule type="cellIs" dxfId="0" priority="259" stopIfTrue="1" operator="equal">
      <formula>"I"</formula>
    </cfRule>
  </conditionalFormatting>
  <conditionalFormatting sqref="C163">
    <cfRule type="cellIs" dxfId="1" priority="260" stopIfTrue="1" operator="equal">
      <formula>"A"</formula>
    </cfRule>
  </conditionalFormatting>
  <conditionalFormatting sqref="C163">
    <cfRule type="cellIs" dxfId="2" priority="261" stopIfTrue="1" operator="equal">
      <formula>"E"</formula>
    </cfRule>
  </conditionalFormatting>
  <conditionalFormatting sqref="C184">
    <cfRule type="cellIs" dxfId="0" priority="262" stopIfTrue="1" operator="equal">
      <formula>"I"</formula>
    </cfRule>
  </conditionalFormatting>
  <conditionalFormatting sqref="C184">
    <cfRule type="cellIs" dxfId="1" priority="263" stopIfTrue="1" operator="equal">
      <formula>"A"</formula>
    </cfRule>
  </conditionalFormatting>
  <conditionalFormatting sqref="C184">
    <cfRule type="cellIs" dxfId="2" priority="264" stopIfTrue="1" operator="equal">
      <formula>"E"</formula>
    </cfRule>
  </conditionalFormatting>
  <conditionalFormatting sqref="C193">
    <cfRule type="cellIs" dxfId="0" priority="265" stopIfTrue="1" operator="equal">
      <formula>"I"</formula>
    </cfRule>
  </conditionalFormatting>
  <conditionalFormatting sqref="C193">
    <cfRule type="cellIs" dxfId="1" priority="266" stopIfTrue="1" operator="equal">
      <formula>"A"</formula>
    </cfRule>
  </conditionalFormatting>
  <conditionalFormatting sqref="C193">
    <cfRule type="cellIs" dxfId="2" priority="267" stopIfTrue="1" operator="equal">
      <formula>"E"</formula>
    </cfRule>
  </conditionalFormatting>
  <conditionalFormatting sqref="C267">
    <cfRule type="cellIs" dxfId="0" priority="268" stopIfTrue="1" operator="equal">
      <formula>"I"</formula>
    </cfRule>
  </conditionalFormatting>
  <conditionalFormatting sqref="C267">
    <cfRule type="cellIs" dxfId="1" priority="269" stopIfTrue="1" operator="equal">
      <formula>"A"</formula>
    </cfRule>
  </conditionalFormatting>
  <conditionalFormatting sqref="C267">
    <cfRule type="cellIs" dxfId="2" priority="270" stopIfTrue="1" operator="equal">
      <formula>"E"</formula>
    </cfRule>
  </conditionalFormatting>
  <conditionalFormatting sqref="C87:C99">
    <cfRule type="cellIs" dxfId="0" priority="271" stopIfTrue="1" operator="equal">
      <formula>"I"</formula>
    </cfRule>
  </conditionalFormatting>
  <conditionalFormatting sqref="C87:C99">
    <cfRule type="cellIs" dxfId="1" priority="272" stopIfTrue="1" operator="equal">
      <formula>"A"</formula>
    </cfRule>
  </conditionalFormatting>
  <conditionalFormatting sqref="C87:C99">
    <cfRule type="cellIs" dxfId="2" priority="273" stopIfTrue="1" operator="equal">
      <formula>"E"</formula>
    </cfRule>
  </conditionalFormatting>
  <conditionalFormatting sqref="C174">
    <cfRule type="cellIs" dxfId="0" priority="274" stopIfTrue="1" operator="equal">
      <formula>"I"</formula>
    </cfRule>
  </conditionalFormatting>
  <conditionalFormatting sqref="C174">
    <cfRule type="cellIs" dxfId="1" priority="275" stopIfTrue="1" operator="equal">
      <formula>"A"</formula>
    </cfRule>
  </conditionalFormatting>
  <conditionalFormatting sqref="C174">
    <cfRule type="cellIs" dxfId="2" priority="276" stopIfTrue="1" operator="equal">
      <formula>"E"</formula>
    </cfRule>
  </conditionalFormatting>
  <conditionalFormatting sqref="C137">
    <cfRule type="cellIs" dxfId="0" priority="277" stopIfTrue="1" operator="equal">
      <formula>"I"</formula>
    </cfRule>
  </conditionalFormatting>
  <conditionalFormatting sqref="C137">
    <cfRule type="cellIs" dxfId="1" priority="278" stopIfTrue="1" operator="equal">
      <formula>"A"</formula>
    </cfRule>
  </conditionalFormatting>
  <conditionalFormatting sqref="C137">
    <cfRule type="cellIs" dxfId="2" priority="279" stopIfTrue="1" operator="equal">
      <formula>"E"</formula>
    </cfRule>
  </conditionalFormatting>
  <conditionalFormatting sqref="C178">
    <cfRule type="cellIs" dxfId="0" priority="280" stopIfTrue="1" operator="equal">
      <formula>"I"</formula>
    </cfRule>
  </conditionalFormatting>
  <conditionalFormatting sqref="C178">
    <cfRule type="cellIs" dxfId="1" priority="281" stopIfTrue="1" operator="equal">
      <formula>"A"</formula>
    </cfRule>
  </conditionalFormatting>
  <conditionalFormatting sqref="C178">
    <cfRule type="cellIs" dxfId="2" priority="282" stopIfTrue="1" operator="equal">
      <formula>"E"</formula>
    </cfRule>
  </conditionalFormatting>
  <conditionalFormatting sqref="C197">
    <cfRule type="cellIs" dxfId="0" priority="283" stopIfTrue="1" operator="equal">
      <formula>"I"</formula>
    </cfRule>
  </conditionalFormatting>
  <conditionalFormatting sqref="C197">
    <cfRule type="cellIs" dxfId="1" priority="284" stopIfTrue="1" operator="equal">
      <formula>"A"</formula>
    </cfRule>
  </conditionalFormatting>
  <conditionalFormatting sqref="C197">
    <cfRule type="cellIs" dxfId="2" priority="285" stopIfTrue="1" operator="equal">
      <formula>"E"</formula>
    </cfRule>
  </conditionalFormatting>
  <conditionalFormatting sqref="C195">
    <cfRule type="cellIs" dxfId="0" priority="286" stopIfTrue="1" operator="equal">
      <formula>"I"</formula>
    </cfRule>
  </conditionalFormatting>
  <conditionalFormatting sqref="C195">
    <cfRule type="cellIs" dxfId="1" priority="287" stopIfTrue="1" operator="equal">
      <formula>"A"</formula>
    </cfRule>
  </conditionalFormatting>
  <conditionalFormatting sqref="C195">
    <cfRule type="cellIs" dxfId="2" priority="288" stopIfTrue="1" operator="equal">
      <formula>"E"</formula>
    </cfRule>
  </conditionalFormatting>
  <conditionalFormatting sqref="C196">
    <cfRule type="cellIs" dxfId="0" priority="289" stopIfTrue="1" operator="equal">
      <formula>"I"</formula>
    </cfRule>
  </conditionalFormatting>
  <conditionalFormatting sqref="C196">
    <cfRule type="cellIs" dxfId="1" priority="290" stopIfTrue="1" operator="equal">
      <formula>"A"</formula>
    </cfRule>
  </conditionalFormatting>
  <conditionalFormatting sqref="C196">
    <cfRule type="cellIs" dxfId="2" priority="291" stopIfTrue="1" operator="equal">
      <formula>"E"</formula>
    </cfRule>
  </conditionalFormatting>
  <conditionalFormatting sqref="C131">
    <cfRule type="cellIs" dxfId="0" priority="292" stopIfTrue="1" operator="equal">
      <formula>"I"</formula>
    </cfRule>
  </conditionalFormatting>
  <conditionalFormatting sqref="C131">
    <cfRule type="cellIs" dxfId="1" priority="293" stopIfTrue="1" operator="equal">
      <formula>"A"</formula>
    </cfRule>
  </conditionalFormatting>
  <conditionalFormatting sqref="C131">
    <cfRule type="cellIs" dxfId="2" priority="294" stopIfTrue="1" operator="equal">
      <formula>"E"</formula>
    </cfRule>
  </conditionalFormatting>
  <conditionalFormatting sqref="C219">
    <cfRule type="cellIs" dxfId="0" priority="295" stopIfTrue="1" operator="equal">
      <formula>"I"</formula>
    </cfRule>
  </conditionalFormatting>
  <conditionalFormatting sqref="C219">
    <cfRule type="cellIs" dxfId="1" priority="296" stopIfTrue="1" operator="equal">
      <formula>"A"</formula>
    </cfRule>
  </conditionalFormatting>
  <conditionalFormatting sqref="C219">
    <cfRule type="cellIs" dxfId="2" priority="297" stopIfTrue="1" operator="equal">
      <formula>"E"</formula>
    </cfRule>
  </conditionalFormatting>
  <conditionalFormatting sqref="C224">
    <cfRule type="cellIs" dxfId="0" priority="298" stopIfTrue="1" operator="equal">
      <formula>"I"</formula>
    </cfRule>
  </conditionalFormatting>
  <conditionalFormatting sqref="C224">
    <cfRule type="cellIs" dxfId="1" priority="299" stopIfTrue="1" operator="equal">
      <formula>"A"</formula>
    </cfRule>
  </conditionalFormatting>
  <conditionalFormatting sqref="C224">
    <cfRule type="cellIs" dxfId="2" priority="300" stopIfTrue="1" operator="equal">
      <formula>"E"</formula>
    </cfRule>
  </conditionalFormatting>
  <conditionalFormatting sqref="C243">
    <cfRule type="cellIs" dxfId="0" priority="301" stopIfTrue="1" operator="equal">
      <formula>"I"</formula>
    </cfRule>
  </conditionalFormatting>
  <conditionalFormatting sqref="C243">
    <cfRule type="cellIs" dxfId="1" priority="302" stopIfTrue="1" operator="equal">
      <formula>"A"</formula>
    </cfRule>
  </conditionalFormatting>
  <conditionalFormatting sqref="C243">
    <cfRule type="cellIs" dxfId="2" priority="303" stopIfTrue="1" operator="equal">
      <formula>"E"</formula>
    </cfRule>
  </conditionalFormatting>
  <conditionalFormatting sqref="C232">
    <cfRule type="cellIs" dxfId="0" priority="304" stopIfTrue="1" operator="equal">
      <formula>"I"</formula>
    </cfRule>
  </conditionalFormatting>
  <conditionalFormatting sqref="C232">
    <cfRule type="cellIs" dxfId="1" priority="305" stopIfTrue="1" operator="equal">
      <formula>"A"</formula>
    </cfRule>
  </conditionalFormatting>
  <conditionalFormatting sqref="C232">
    <cfRule type="cellIs" dxfId="2" priority="306" stopIfTrue="1" operator="equal">
      <formula>"E"</formula>
    </cfRule>
  </conditionalFormatting>
  <conditionalFormatting sqref="C253:C264">
    <cfRule type="cellIs" dxfId="0" priority="307" stopIfTrue="1" operator="equal">
      <formula>"I"</formula>
    </cfRule>
  </conditionalFormatting>
  <conditionalFormatting sqref="C253:C264">
    <cfRule type="cellIs" dxfId="1" priority="308" stopIfTrue="1" operator="equal">
      <formula>"A"</formula>
    </cfRule>
  </conditionalFormatting>
  <conditionalFormatting sqref="C253:C264">
    <cfRule type="cellIs" dxfId="2" priority="309" stopIfTrue="1" operator="equal">
      <formula>"E"</formula>
    </cfRule>
  </conditionalFormatting>
  <conditionalFormatting sqref="C275">
    <cfRule type="cellIs" dxfId="0" priority="310" stopIfTrue="1" operator="equal">
      <formula>"I"</formula>
    </cfRule>
  </conditionalFormatting>
  <conditionalFormatting sqref="C275">
    <cfRule type="cellIs" dxfId="1" priority="311" stopIfTrue="1" operator="equal">
      <formula>"A"</formula>
    </cfRule>
  </conditionalFormatting>
  <conditionalFormatting sqref="C275">
    <cfRule type="cellIs" dxfId="2" priority="312" stopIfTrue="1" operator="equal">
      <formula>"E"</formula>
    </cfRule>
  </conditionalFormatting>
  <conditionalFormatting sqref="C101:C108">
    <cfRule type="cellIs" dxfId="0" priority="313" stopIfTrue="1" operator="equal">
      <formula>"I"</formula>
    </cfRule>
  </conditionalFormatting>
  <conditionalFormatting sqref="C101:C108">
    <cfRule type="cellIs" dxfId="1" priority="314" stopIfTrue="1" operator="equal">
      <formula>"A"</formula>
    </cfRule>
  </conditionalFormatting>
  <conditionalFormatting sqref="C101:C108">
    <cfRule type="cellIs" dxfId="2" priority="315" stopIfTrue="1" operator="equal">
      <formula>"E"</formula>
    </cfRule>
  </conditionalFormatting>
  <conditionalFormatting sqref="C203">
    <cfRule type="cellIs" dxfId="0" priority="316" stopIfTrue="1" operator="equal">
      <formula>"I"</formula>
    </cfRule>
  </conditionalFormatting>
  <conditionalFormatting sqref="C203">
    <cfRule type="cellIs" dxfId="1" priority="317" stopIfTrue="1" operator="equal">
      <formula>"A"</formula>
    </cfRule>
  </conditionalFormatting>
  <conditionalFormatting sqref="C203">
    <cfRule type="cellIs" dxfId="2" priority="318" stopIfTrue="1" operator="equal">
      <formula>"E"</formula>
    </cfRule>
  </conditionalFormatting>
  <conditionalFormatting sqref="C204">
    <cfRule type="cellIs" dxfId="0" priority="319" stopIfTrue="1" operator="equal">
      <formula>"I"</formula>
    </cfRule>
  </conditionalFormatting>
  <conditionalFormatting sqref="C204">
    <cfRule type="cellIs" dxfId="1" priority="320" stopIfTrue="1" operator="equal">
      <formula>"A"</formula>
    </cfRule>
  </conditionalFormatting>
  <conditionalFormatting sqref="C204">
    <cfRule type="cellIs" dxfId="2" priority="321" stopIfTrue="1" operator="equal">
      <formula>"E"</formula>
    </cfRule>
  </conditionalFormatting>
  <conditionalFormatting sqref="C205">
    <cfRule type="cellIs" dxfId="0" priority="322" stopIfTrue="1" operator="equal">
      <formula>"I"</formula>
    </cfRule>
  </conditionalFormatting>
  <conditionalFormatting sqref="C205">
    <cfRule type="cellIs" dxfId="1" priority="323" stopIfTrue="1" operator="equal">
      <formula>"A"</formula>
    </cfRule>
  </conditionalFormatting>
  <conditionalFormatting sqref="C205">
    <cfRule type="cellIs" dxfId="2" priority="324" stopIfTrue="1" operator="equal">
      <formula>"E"</formula>
    </cfRule>
  </conditionalFormatting>
  <dataValidations>
    <dataValidation type="list" allowBlank="1" showInputMessage="1" showErrorMessage="1" prompt="Tipo de Manutenção na Função - I, A, E _x000a_ou_x000a_Itens não mensuráveis" sqref="C8:C807">
      <formula1>SPRINT1!TiposDeManutencao</formula1>
    </dataValidation>
    <dataValidation type="list" allowBlank="1" showInputMessage="1" showErrorMessage="1" prompt="Tipo da Função - ALI, AIE, EE, SE, CE_x000a_ou_x000a_Itens não mensuráveis" sqref="B8:B25 B32:B807">
      <formula1>SPRINT1!TiposDeFuncao</formula1>
    </dataValidation>
  </dataValidations>
  <printOptions/>
  <pageMargins bottom="0.7486111111111111" footer="0.0" header="0.0" left="0.7083333333333334" right="0.7083333333333334" top="0.7479166666666667"/>
  <pageSetup fitToHeight="0" paperSize="9" orientation="landscape"/>
  <headerFooter>
    <oddFooter>&amp;CPágina &amp;P de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1.63"/>
    <col customWidth="1" min="4" max="4" width="10.75"/>
    <col customWidth="1" min="5" max="5" width="23.25"/>
    <col customWidth="1" min="6" max="6" width="53.25"/>
    <col customWidth="1" min="7" max="7" width="7.75"/>
    <col customWidth="1" min="8" max="8" width="13.25"/>
    <col customWidth="1" min="9" max="9" width="9.88"/>
    <col customWidth="1" min="10" max="11" width="10.63"/>
    <col customWidth="1" hidden="1" min="12" max="12" width="11.63"/>
  </cols>
  <sheetData>
    <row r="1" ht="36.0" customHeight="1">
      <c r="A1" s="86" t="s">
        <v>126</v>
      </c>
      <c r="B1" s="87"/>
      <c r="C1" s="87"/>
      <c r="D1" s="87"/>
      <c r="E1" s="87"/>
      <c r="F1" s="87"/>
      <c r="G1" s="87"/>
      <c r="H1" s="87"/>
      <c r="I1" s="87"/>
      <c r="J1" s="87"/>
      <c r="K1" s="88"/>
      <c r="L1" s="89"/>
    </row>
    <row r="2" ht="14.25" customHeight="1">
      <c r="A2" s="90" t="s">
        <v>127</v>
      </c>
      <c r="B2" s="10"/>
      <c r="C2" s="10"/>
      <c r="D2" s="10"/>
      <c r="E2" s="10"/>
      <c r="F2" s="11"/>
      <c r="G2" s="91" t="s">
        <v>128</v>
      </c>
      <c r="H2" s="92" t="s">
        <v>129</v>
      </c>
      <c r="I2" s="11"/>
      <c r="J2" s="91" t="s">
        <v>3</v>
      </c>
      <c r="K2" s="93" t="s">
        <v>130</v>
      </c>
      <c r="L2" s="94"/>
    </row>
    <row r="3" ht="14.25" customHeight="1">
      <c r="A3" s="95" t="s">
        <v>131</v>
      </c>
      <c r="B3" s="92" t="s">
        <v>132</v>
      </c>
      <c r="C3" s="10"/>
      <c r="D3" s="10"/>
      <c r="E3" s="11"/>
      <c r="F3" s="96" t="s">
        <v>133</v>
      </c>
      <c r="G3" s="97"/>
      <c r="H3" s="96" t="s">
        <v>134</v>
      </c>
      <c r="I3" s="96" t="s">
        <v>135</v>
      </c>
      <c r="J3" s="97"/>
      <c r="K3" s="98"/>
      <c r="L3" s="94"/>
    </row>
    <row r="4" ht="12.75" customHeight="1">
      <c r="A4" s="33" t="s">
        <v>136</v>
      </c>
      <c r="B4" s="13" t="s">
        <v>137</v>
      </c>
      <c r="C4" s="10"/>
      <c r="D4" s="10"/>
      <c r="E4" s="11"/>
      <c r="F4" s="99"/>
      <c r="G4" s="100" t="s">
        <v>42</v>
      </c>
      <c r="H4" s="101">
        <v>1.0</v>
      </c>
      <c r="I4" s="102"/>
      <c r="J4" s="103" t="str">
        <f>SUMIF(#REF!,Deflatores!G4,#REF!)</f>
        <v>#N/A</v>
      </c>
      <c r="K4" s="104" t="str">
        <f t="shared" ref="K4:K38" si="1">IF(H4="",COUNTIF(#REF!,G4)*I4,H4*J4)</f>
        <v>#N/A</v>
      </c>
      <c r="L4" s="94"/>
    </row>
    <row r="5" ht="12.75" customHeight="1">
      <c r="A5" s="33" t="s">
        <v>138</v>
      </c>
      <c r="B5" s="13" t="s">
        <v>139</v>
      </c>
      <c r="C5" s="10"/>
      <c r="D5" s="10"/>
      <c r="E5" s="11"/>
      <c r="F5" s="99" t="s">
        <v>140</v>
      </c>
      <c r="G5" s="100" t="s">
        <v>141</v>
      </c>
      <c r="H5" s="101">
        <v>0.5</v>
      </c>
      <c r="I5" s="102"/>
      <c r="J5" s="103" t="str">
        <f>SUMIF(#REF!,Deflatores!G5,#REF!)</f>
        <v>#N/A</v>
      </c>
      <c r="K5" s="104" t="str">
        <f t="shared" si="1"/>
        <v>#N/A</v>
      </c>
      <c r="L5" s="94"/>
    </row>
    <row r="6" ht="12.75" customHeight="1">
      <c r="A6" s="33" t="s">
        <v>142</v>
      </c>
      <c r="B6" s="13" t="s">
        <v>143</v>
      </c>
      <c r="C6" s="10"/>
      <c r="D6" s="10"/>
      <c r="E6" s="11"/>
      <c r="F6" s="99" t="s">
        <v>140</v>
      </c>
      <c r="G6" s="100" t="s">
        <v>144</v>
      </c>
      <c r="H6" s="101">
        <v>0.4</v>
      </c>
      <c r="I6" s="102"/>
      <c r="J6" s="103" t="str">
        <f>SUMIF(#REF!,Deflatores!G6,#REF!)</f>
        <v>#N/A</v>
      </c>
      <c r="K6" s="104" t="str">
        <f t="shared" si="1"/>
        <v>#N/A</v>
      </c>
      <c r="L6" s="94"/>
    </row>
    <row r="7" ht="12.75" customHeight="1">
      <c r="A7" s="33"/>
      <c r="B7" s="13" t="s">
        <v>145</v>
      </c>
      <c r="C7" s="10"/>
      <c r="D7" s="10"/>
      <c r="E7" s="11"/>
      <c r="F7" s="99" t="s">
        <v>140</v>
      </c>
      <c r="G7" s="100" t="s">
        <v>146</v>
      </c>
      <c r="H7" s="101">
        <v>0.5</v>
      </c>
      <c r="I7" s="102"/>
      <c r="J7" s="103" t="str">
        <f>SUMIF(#REF!,Deflatores!G7,#REF!)</f>
        <v>#N/A</v>
      </c>
      <c r="K7" s="104" t="str">
        <f t="shared" si="1"/>
        <v>#N/A</v>
      </c>
      <c r="L7" s="94"/>
    </row>
    <row r="8" ht="12.75" customHeight="1">
      <c r="A8" s="33"/>
      <c r="B8" s="13" t="s">
        <v>147</v>
      </c>
      <c r="C8" s="10"/>
      <c r="D8" s="10"/>
      <c r="E8" s="11"/>
      <c r="F8" s="99" t="s">
        <v>140</v>
      </c>
      <c r="G8" s="100" t="s">
        <v>148</v>
      </c>
      <c r="H8" s="101">
        <v>0.75</v>
      </c>
      <c r="I8" s="102"/>
      <c r="J8" s="103" t="str">
        <f>SUMIF(#REF!,Deflatores!G8,#REF!)</f>
        <v>#N/A</v>
      </c>
      <c r="K8" s="104" t="str">
        <f t="shared" si="1"/>
        <v>#N/A</v>
      </c>
      <c r="L8" s="94"/>
    </row>
    <row r="9" ht="12.75" customHeight="1">
      <c r="A9" s="33"/>
      <c r="B9" s="13" t="s">
        <v>149</v>
      </c>
      <c r="C9" s="10"/>
      <c r="D9" s="10"/>
      <c r="E9" s="11"/>
      <c r="F9" s="99" t="s">
        <v>140</v>
      </c>
      <c r="G9" s="100" t="s">
        <v>150</v>
      </c>
      <c r="H9" s="101">
        <v>0.9</v>
      </c>
      <c r="I9" s="102"/>
      <c r="J9" s="103" t="str">
        <f>SUMIF(#REF!,Deflatores!G9,#REF!)</f>
        <v>#N/A</v>
      </c>
      <c r="K9" s="104" t="str">
        <f t="shared" si="1"/>
        <v>#N/A</v>
      </c>
      <c r="L9" s="94"/>
    </row>
    <row r="10" ht="12.75" customHeight="1">
      <c r="A10" s="33"/>
      <c r="B10" s="13" t="s">
        <v>151</v>
      </c>
      <c r="C10" s="10"/>
      <c r="D10" s="10"/>
      <c r="E10" s="11"/>
      <c r="F10" s="99" t="s">
        <v>152</v>
      </c>
      <c r="G10" s="100" t="s">
        <v>153</v>
      </c>
      <c r="H10" s="101">
        <v>1.0</v>
      </c>
      <c r="I10" s="102"/>
      <c r="J10" s="103" t="str">
        <f>SUMIF(#REF!,Deflatores!G10,#REF!)</f>
        <v>#N/A</v>
      </c>
      <c r="K10" s="104" t="str">
        <f t="shared" si="1"/>
        <v>#N/A</v>
      </c>
      <c r="L10" s="94"/>
    </row>
    <row r="11" ht="12.75" customHeight="1">
      <c r="A11" s="33"/>
      <c r="B11" s="13" t="s">
        <v>154</v>
      </c>
      <c r="C11" s="10"/>
      <c r="D11" s="10"/>
      <c r="E11" s="11"/>
      <c r="F11" s="99" t="s">
        <v>155</v>
      </c>
      <c r="G11" s="100" t="s">
        <v>156</v>
      </c>
      <c r="H11" s="101">
        <v>0.5</v>
      </c>
      <c r="I11" s="102"/>
      <c r="J11" s="103" t="str">
        <f>SUMIF(#REF!,Deflatores!G11,#REF!)</f>
        <v>#N/A</v>
      </c>
      <c r="K11" s="104" t="str">
        <f t="shared" si="1"/>
        <v>#N/A</v>
      </c>
      <c r="L11" s="94"/>
    </row>
    <row r="12" ht="13.5" customHeight="1">
      <c r="A12" s="33"/>
      <c r="B12" s="13" t="s">
        <v>157</v>
      </c>
      <c r="C12" s="10"/>
      <c r="D12" s="10"/>
      <c r="E12" s="11"/>
      <c r="F12" s="99" t="s">
        <v>155</v>
      </c>
      <c r="G12" s="100" t="s">
        <v>158</v>
      </c>
      <c r="H12" s="101">
        <v>0.5</v>
      </c>
      <c r="I12" s="102"/>
      <c r="J12" s="103" t="str">
        <f>SUMIF(#REF!,Deflatores!G12,#REF!)</f>
        <v>#N/A</v>
      </c>
      <c r="K12" s="104" t="str">
        <f t="shared" si="1"/>
        <v>#N/A</v>
      </c>
      <c r="L12" s="94"/>
    </row>
    <row r="13" ht="13.5" customHeight="1">
      <c r="A13" s="33"/>
      <c r="B13" s="13" t="s">
        <v>159</v>
      </c>
      <c r="C13" s="10"/>
      <c r="D13" s="10"/>
      <c r="E13" s="11"/>
      <c r="F13" s="99" t="s">
        <v>155</v>
      </c>
      <c r="G13" s="100" t="s">
        <v>160</v>
      </c>
      <c r="H13" s="101">
        <v>0.75</v>
      </c>
      <c r="I13" s="102"/>
      <c r="J13" s="103" t="str">
        <f>SUMIF(#REF!,Deflatores!G13,#REF!)</f>
        <v>#N/A</v>
      </c>
      <c r="K13" s="104" t="str">
        <f t="shared" si="1"/>
        <v>#N/A</v>
      </c>
      <c r="L13" s="94"/>
    </row>
    <row r="14" ht="13.5" customHeight="1">
      <c r="A14" s="33"/>
      <c r="B14" s="13" t="s">
        <v>161</v>
      </c>
      <c r="C14" s="10"/>
      <c r="D14" s="10"/>
      <c r="E14" s="11"/>
      <c r="F14" s="99" t="s">
        <v>155</v>
      </c>
      <c r="G14" s="100" t="s">
        <v>162</v>
      </c>
      <c r="H14" s="101">
        <v>0.9</v>
      </c>
      <c r="I14" s="102"/>
      <c r="J14" s="103" t="str">
        <f>SUMIF(#REF!,Deflatores!G14,#REF!)</f>
        <v>#N/A</v>
      </c>
      <c r="K14" s="104" t="str">
        <f t="shared" si="1"/>
        <v>#N/A</v>
      </c>
      <c r="L14" s="94"/>
    </row>
    <row r="15" ht="13.5" customHeight="1">
      <c r="A15" s="33"/>
      <c r="B15" s="13" t="s">
        <v>163</v>
      </c>
      <c r="C15" s="10"/>
      <c r="D15" s="10"/>
      <c r="E15" s="11"/>
      <c r="F15" s="99" t="s">
        <v>155</v>
      </c>
      <c r="G15" s="100" t="s">
        <v>164</v>
      </c>
      <c r="H15" s="101">
        <v>0.0</v>
      </c>
      <c r="I15" s="102"/>
      <c r="J15" s="103" t="str">
        <f>SUMIF(#REF!,Deflatores!G15,#REF!)</f>
        <v>#N/A</v>
      </c>
      <c r="K15" s="104" t="str">
        <f t="shared" si="1"/>
        <v>#N/A</v>
      </c>
      <c r="L15" s="94"/>
    </row>
    <row r="16" ht="13.5" customHeight="1">
      <c r="A16" s="33"/>
      <c r="B16" s="13" t="s">
        <v>165</v>
      </c>
      <c r="C16" s="10"/>
      <c r="D16" s="10"/>
      <c r="E16" s="11"/>
      <c r="F16" s="99" t="s">
        <v>166</v>
      </c>
      <c r="G16" s="100" t="s">
        <v>167</v>
      </c>
      <c r="H16" s="101">
        <v>1.0</v>
      </c>
      <c r="I16" s="102"/>
      <c r="J16" s="103" t="str">
        <f>SUMIF(#REF!,Deflatores!G16,#REF!)</f>
        <v>#N/A</v>
      </c>
      <c r="K16" s="104" t="str">
        <f t="shared" si="1"/>
        <v>#N/A</v>
      </c>
      <c r="L16" s="94"/>
    </row>
    <row r="17" ht="12.75" customHeight="1">
      <c r="A17" s="33"/>
      <c r="B17" s="13" t="s">
        <v>168</v>
      </c>
      <c r="C17" s="10"/>
      <c r="D17" s="10"/>
      <c r="E17" s="11"/>
      <c r="F17" s="99" t="s">
        <v>169</v>
      </c>
      <c r="G17" s="100" t="s">
        <v>170</v>
      </c>
      <c r="H17" s="101">
        <v>1.0</v>
      </c>
      <c r="I17" s="102"/>
      <c r="J17" s="103" t="str">
        <f>SUMIF(#REF!,Deflatores!G17,#REF!)</f>
        <v>#N/A</v>
      </c>
      <c r="K17" s="104" t="str">
        <f t="shared" si="1"/>
        <v>#N/A</v>
      </c>
      <c r="L17" s="94"/>
    </row>
    <row r="18" ht="13.5" customHeight="1">
      <c r="A18" s="33"/>
      <c r="B18" s="13" t="s">
        <v>171</v>
      </c>
      <c r="C18" s="10"/>
      <c r="D18" s="10"/>
      <c r="E18" s="11"/>
      <c r="F18" s="99" t="s">
        <v>169</v>
      </c>
      <c r="G18" s="100" t="s">
        <v>172</v>
      </c>
      <c r="H18" s="101">
        <v>0.3</v>
      </c>
      <c r="I18" s="102"/>
      <c r="J18" s="103" t="str">
        <f>SUMIF(#REF!,Deflatores!G18,#REF!)</f>
        <v>#N/A</v>
      </c>
      <c r="K18" s="104" t="str">
        <f t="shared" si="1"/>
        <v>#N/A</v>
      </c>
      <c r="L18" s="94"/>
    </row>
    <row r="19" ht="13.5" customHeight="1">
      <c r="A19" s="33"/>
      <c r="B19" s="13" t="s">
        <v>173</v>
      </c>
      <c r="C19" s="10"/>
      <c r="D19" s="10"/>
      <c r="E19" s="11"/>
      <c r="F19" s="99" t="s">
        <v>174</v>
      </c>
      <c r="G19" s="100" t="s">
        <v>175</v>
      </c>
      <c r="H19" s="101">
        <v>0.3</v>
      </c>
      <c r="I19" s="102"/>
      <c r="J19" s="103" t="str">
        <f>SUMIF(#REF!,Deflatores!G19,#REF!)</f>
        <v>#N/A</v>
      </c>
      <c r="K19" s="104" t="str">
        <f t="shared" si="1"/>
        <v>#N/A</v>
      </c>
      <c r="L19" s="94"/>
    </row>
    <row r="20" ht="13.5" customHeight="1">
      <c r="A20" s="33"/>
      <c r="B20" s="13" t="s">
        <v>176</v>
      </c>
      <c r="C20" s="10"/>
      <c r="D20" s="10"/>
      <c r="E20" s="11"/>
      <c r="F20" s="99" t="s">
        <v>177</v>
      </c>
      <c r="G20" s="100" t="s">
        <v>178</v>
      </c>
      <c r="H20" s="101">
        <v>0.3</v>
      </c>
      <c r="I20" s="102"/>
      <c r="J20" s="103" t="str">
        <f>SUMIF(#REF!,Deflatores!G20,#REF!)</f>
        <v>#N/A</v>
      </c>
      <c r="K20" s="104" t="str">
        <f t="shared" si="1"/>
        <v>#N/A</v>
      </c>
      <c r="L20" s="94"/>
    </row>
    <row r="21" ht="13.5" customHeight="1">
      <c r="A21" s="33"/>
      <c r="B21" s="13" t="s">
        <v>179</v>
      </c>
      <c r="C21" s="10"/>
      <c r="D21" s="10"/>
      <c r="E21" s="11"/>
      <c r="F21" s="99" t="s">
        <v>180</v>
      </c>
      <c r="G21" s="100" t="s">
        <v>181</v>
      </c>
      <c r="H21" s="101">
        <v>0.3</v>
      </c>
      <c r="I21" s="102"/>
      <c r="J21" s="103" t="str">
        <f>SUMIF(#REF!,Deflatores!G21,#REF!)</f>
        <v>#N/A</v>
      </c>
      <c r="K21" s="104" t="str">
        <f t="shared" si="1"/>
        <v>#N/A</v>
      </c>
      <c r="L21" s="94"/>
    </row>
    <row r="22" ht="12.75" customHeight="1">
      <c r="A22" s="33"/>
      <c r="B22" s="13" t="s">
        <v>182</v>
      </c>
      <c r="C22" s="10"/>
      <c r="D22" s="10"/>
      <c r="E22" s="11"/>
      <c r="F22" s="99" t="s">
        <v>183</v>
      </c>
      <c r="G22" s="100" t="s">
        <v>184</v>
      </c>
      <c r="H22" s="101"/>
      <c r="I22" s="102">
        <v>0.6</v>
      </c>
      <c r="J22" s="103" t="str">
        <f>SUMIF(#REF!,Deflatores!G22,#REF!)</f>
        <v>#N/A</v>
      </c>
      <c r="K22" s="104" t="str">
        <f t="shared" si="1"/>
        <v>#REF!</v>
      </c>
      <c r="L22" s="94"/>
    </row>
    <row r="23" ht="27.0" customHeight="1">
      <c r="A23" s="33"/>
      <c r="B23" s="105" t="s">
        <v>185</v>
      </c>
      <c r="C23" s="10"/>
      <c r="D23" s="10"/>
      <c r="E23" s="11"/>
      <c r="F23" s="106" t="s">
        <v>186</v>
      </c>
      <c r="G23" s="100" t="s">
        <v>187</v>
      </c>
      <c r="H23" s="101">
        <v>0.5</v>
      </c>
      <c r="I23" s="102"/>
      <c r="J23" s="103" t="str">
        <f>SUMIF(#REF!,Deflatores!G23,#REF!)</f>
        <v>#N/A</v>
      </c>
      <c r="K23" s="104" t="str">
        <f t="shared" si="1"/>
        <v>#N/A</v>
      </c>
      <c r="L23" s="94"/>
    </row>
    <row r="24" ht="27.0" customHeight="1">
      <c r="A24" s="33"/>
      <c r="B24" s="105" t="s">
        <v>188</v>
      </c>
      <c r="C24" s="10"/>
      <c r="D24" s="10"/>
      <c r="E24" s="11"/>
      <c r="F24" s="106" t="s">
        <v>186</v>
      </c>
      <c r="G24" s="100" t="s">
        <v>189</v>
      </c>
      <c r="H24" s="101">
        <v>0.5</v>
      </c>
      <c r="I24" s="102"/>
      <c r="J24" s="103" t="str">
        <f>SUMIF(#REF!,Deflatores!G24,#REF!)</f>
        <v>#N/A</v>
      </c>
      <c r="K24" s="104" t="str">
        <f t="shared" si="1"/>
        <v>#N/A</v>
      </c>
      <c r="L24" s="94"/>
    </row>
    <row r="25" ht="27.0" customHeight="1">
      <c r="A25" s="33"/>
      <c r="B25" s="105" t="s">
        <v>190</v>
      </c>
      <c r="C25" s="10"/>
      <c r="D25" s="10"/>
      <c r="E25" s="11"/>
      <c r="F25" s="106" t="s">
        <v>186</v>
      </c>
      <c r="G25" s="100" t="s">
        <v>191</v>
      </c>
      <c r="H25" s="101">
        <v>0.75</v>
      </c>
      <c r="I25" s="102"/>
      <c r="J25" s="103" t="str">
        <f>SUMIF(#REF!,Deflatores!G25,#REF!)</f>
        <v>#N/A</v>
      </c>
      <c r="K25" s="104" t="str">
        <f t="shared" si="1"/>
        <v>#N/A</v>
      </c>
      <c r="L25" s="94"/>
    </row>
    <row r="26" ht="13.5" customHeight="1">
      <c r="A26" s="33"/>
      <c r="B26" s="13" t="s">
        <v>192</v>
      </c>
      <c r="C26" s="10"/>
      <c r="D26" s="10"/>
      <c r="E26" s="11"/>
      <c r="F26" s="99" t="s">
        <v>193</v>
      </c>
      <c r="G26" s="100" t="s">
        <v>194</v>
      </c>
      <c r="H26" s="101">
        <v>1.0</v>
      </c>
      <c r="I26" s="102"/>
      <c r="J26" s="103" t="str">
        <f>SUMIF(#REF!,Deflatores!G26,#REF!)</f>
        <v>#N/A</v>
      </c>
      <c r="K26" s="104" t="str">
        <f t="shared" si="1"/>
        <v>#N/A</v>
      </c>
      <c r="L26" s="94"/>
    </row>
    <row r="27" ht="13.5" customHeight="1">
      <c r="A27" s="33"/>
      <c r="B27" s="13" t="s">
        <v>195</v>
      </c>
      <c r="C27" s="10"/>
      <c r="D27" s="10"/>
      <c r="E27" s="11"/>
      <c r="F27" s="99" t="s">
        <v>193</v>
      </c>
      <c r="G27" s="100" t="s">
        <v>196</v>
      </c>
      <c r="H27" s="101">
        <v>1.0</v>
      </c>
      <c r="I27" s="102"/>
      <c r="J27" s="103" t="str">
        <f>SUMIF(#REF!,Deflatores!G27,#REF!)</f>
        <v>#N/A</v>
      </c>
      <c r="K27" s="104" t="str">
        <f t="shared" si="1"/>
        <v>#N/A</v>
      </c>
      <c r="L27" s="94"/>
    </row>
    <row r="28" ht="13.5" customHeight="1">
      <c r="A28" s="33"/>
      <c r="B28" s="13" t="s">
        <v>197</v>
      </c>
      <c r="C28" s="10"/>
      <c r="D28" s="10"/>
      <c r="E28" s="11"/>
      <c r="F28" s="99" t="s">
        <v>193</v>
      </c>
      <c r="G28" s="100" t="s">
        <v>198</v>
      </c>
      <c r="H28" s="101">
        <v>0.6</v>
      </c>
      <c r="I28" s="102"/>
      <c r="J28" s="103" t="str">
        <f>SUMIF(#REF!,Deflatores!G28,#REF!)</f>
        <v>#N/A</v>
      </c>
      <c r="K28" s="104" t="str">
        <f t="shared" si="1"/>
        <v>#N/A</v>
      </c>
      <c r="L28" s="94"/>
    </row>
    <row r="29" ht="13.5" customHeight="1">
      <c r="A29" s="33"/>
      <c r="B29" s="13" t="s">
        <v>199</v>
      </c>
      <c r="C29" s="10"/>
      <c r="D29" s="10"/>
      <c r="E29" s="11"/>
      <c r="F29" s="99" t="s">
        <v>200</v>
      </c>
      <c r="G29" s="100" t="s">
        <v>201</v>
      </c>
      <c r="H29" s="101">
        <v>1.0</v>
      </c>
      <c r="I29" s="102"/>
      <c r="J29" s="103" t="str">
        <f>SUMIF(#REF!,Deflatores!G29,#REF!)</f>
        <v>#N/A</v>
      </c>
      <c r="K29" s="104" t="str">
        <f t="shared" si="1"/>
        <v>#N/A</v>
      </c>
      <c r="L29" s="94"/>
    </row>
    <row r="30" ht="13.5" customHeight="1">
      <c r="A30" s="33"/>
      <c r="B30" s="13" t="s">
        <v>202</v>
      </c>
      <c r="C30" s="10"/>
      <c r="D30" s="10"/>
      <c r="E30" s="11"/>
      <c r="F30" s="99" t="s">
        <v>203</v>
      </c>
      <c r="G30" s="100" t="s">
        <v>204</v>
      </c>
      <c r="H30" s="101">
        <v>0.1</v>
      </c>
      <c r="I30" s="102"/>
      <c r="J30" s="103" t="str">
        <f>SUMIF(#REF!,Deflatores!G30,#REF!)</f>
        <v>#N/A</v>
      </c>
      <c r="K30" s="104" t="str">
        <f t="shared" si="1"/>
        <v>#N/A</v>
      </c>
      <c r="L30" s="94"/>
    </row>
    <row r="31" ht="13.5" customHeight="1">
      <c r="A31" s="33"/>
      <c r="B31" s="13" t="s">
        <v>205</v>
      </c>
      <c r="C31" s="10"/>
      <c r="D31" s="10"/>
      <c r="E31" s="11"/>
      <c r="F31" s="99" t="s">
        <v>206</v>
      </c>
      <c r="G31" s="100" t="s">
        <v>207</v>
      </c>
      <c r="H31" s="101">
        <v>0.1</v>
      </c>
      <c r="I31" s="102"/>
      <c r="J31" s="103" t="str">
        <f>SUMIF(#REF!,Deflatores!G31,#REF!)</f>
        <v>#N/A</v>
      </c>
      <c r="K31" s="104" t="str">
        <f t="shared" si="1"/>
        <v>#N/A</v>
      </c>
      <c r="L31" s="94"/>
    </row>
    <row r="32" ht="13.5" customHeight="1">
      <c r="A32" s="33"/>
      <c r="B32" s="13" t="s">
        <v>208</v>
      </c>
      <c r="C32" s="107"/>
      <c r="D32" s="107"/>
      <c r="E32" s="108"/>
      <c r="F32" s="99" t="s">
        <v>209</v>
      </c>
      <c r="G32" s="100" t="s">
        <v>210</v>
      </c>
      <c r="H32" s="101">
        <v>0.25</v>
      </c>
      <c r="I32" s="102"/>
      <c r="J32" s="103" t="str">
        <f>SUMIF(#REF!,Deflatores!G32,#REF!)</f>
        <v>#N/A</v>
      </c>
      <c r="K32" s="104" t="str">
        <f t="shared" si="1"/>
        <v>#N/A</v>
      </c>
      <c r="L32" s="94"/>
    </row>
    <row r="33" ht="13.5" customHeight="1">
      <c r="A33" s="33"/>
      <c r="B33" s="13" t="s">
        <v>211</v>
      </c>
      <c r="C33" s="107"/>
      <c r="D33" s="107"/>
      <c r="E33" s="108"/>
      <c r="F33" s="99" t="s">
        <v>212</v>
      </c>
      <c r="G33" s="100" t="s">
        <v>213</v>
      </c>
      <c r="H33" s="101">
        <v>0.2</v>
      </c>
      <c r="I33" s="102"/>
      <c r="J33" s="103" t="str">
        <f>SUMIF(#REF!,Deflatores!G33,#REF!)</f>
        <v>#N/A</v>
      </c>
      <c r="K33" s="104" t="str">
        <f t="shared" si="1"/>
        <v>#N/A</v>
      </c>
      <c r="L33" s="94"/>
    </row>
    <row r="34" ht="13.5" customHeight="1">
      <c r="A34" s="33"/>
      <c r="B34" s="13" t="s">
        <v>214</v>
      </c>
      <c r="C34" s="107"/>
      <c r="D34" s="107"/>
      <c r="E34" s="108"/>
      <c r="F34" s="99" t="s">
        <v>212</v>
      </c>
      <c r="G34" s="100" t="s">
        <v>215</v>
      </c>
      <c r="H34" s="101">
        <v>0.15</v>
      </c>
      <c r="I34" s="102"/>
      <c r="J34" s="103" t="str">
        <f>SUMIF(#REF!,Deflatores!G34,#REF!)</f>
        <v>#N/A</v>
      </c>
      <c r="K34" s="104" t="str">
        <f t="shared" si="1"/>
        <v>#N/A</v>
      </c>
      <c r="L34" s="94"/>
    </row>
    <row r="35" ht="13.5" customHeight="1">
      <c r="A35" s="33"/>
      <c r="B35" s="13" t="s">
        <v>216</v>
      </c>
      <c r="C35" s="107"/>
      <c r="D35" s="107"/>
      <c r="E35" s="108"/>
      <c r="F35" s="99" t="s">
        <v>217</v>
      </c>
      <c r="G35" s="100" t="s">
        <v>218</v>
      </c>
      <c r="H35" s="101">
        <v>0.15</v>
      </c>
      <c r="I35" s="102"/>
      <c r="J35" s="103" t="str">
        <f>SUMIF(#REF!,Deflatores!G35,#REF!)</f>
        <v>#N/A</v>
      </c>
      <c r="K35" s="104" t="str">
        <f t="shared" si="1"/>
        <v>#N/A</v>
      </c>
      <c r="L35" s="94"/>
    </row>
    <row r="36" ht="13.5" customHeight="1">
      <c r="A36" s="33"/>
      <c r="B36" s="13" t="s">
        <v>219</v>
      </c>
      <c r="C36" s="10"/>
      <c r="D36" s="10"/>
      <c r="E36" s="11"/>
      <c r="F36" s="99" t="s">
        <v>220</v>
      </c>
      <c r="G36" s="100" t="s">
        <v>221</v>
      </c>
      <c r="H36" s="101">
        <v>1.0</v>
      </c>
      <c r="I36" s="102"/>
      <c r="J36" s="103" t="str">
        <f>SUMIF(#REF!,Deflatores!G36,#REF!)</f>
        <v>#N/A</v>
      </c>
      <c r="K36" s="104" t="str">
        <f t="shared" si="1"/>
        <v>#N/A</v>
      </c>
      <c r="L36" s="94"/>
    </row>
    <row r="37" ht="13.5" customHeight="1">
      <c r="A37" s="33"/>
      <c r="B37" s="13"/>
      <c r="C37" s="10"/>
      <c r="D37" s="10"/>
      <c r="E37" s="11"/>
      <c r="F37" s="99"/>
      <c r="G37" s="100" t="s">
        <v>222</v>
      </c>
      <c r="H37" s="101"/>
      <c r="I37" s="102"/>
      <c r="J37" s="103" t="str">
        <f>SUMIF(#REF!,Deflatores!G37,#REF!)</f>
        <v>#N/A</v>
      </c>
      <c r="K37" s="104" t="str">
        <f t="shared" si="1"/>
        <v>#REF!</v>
      </c>
      <c r="L37" s="94" t="s">
        <v>41</v>
      </c>
    </row>
    <row r="38" ht="13.5" customHeight="1">
      <c r="A38" s="33"/>
      <c r="B38" s="13"/>
      <c r="C38" s="10"/>
      <c r="D38" s="10"/>
      <c r="E38" s="11"/>
      <c r="F38" s="99"/>
      <c r="G38" s="100" t="s">
        <v>222</v>
      </c>
      <c r="H38" s="101"/>
      <c r="I38" s="102"/>
      <c r="J38" s="103" t="str">
        <f>SUMIF(#REF!,Deflatores!G38,#REF!)</f>
        <v>#N/A</v>
      </c>
      <c r="K38" s="104" t="str">
        <f t="shared" si="1"/>
        <v>#REF!</v>
      </c>
      <c r="L38" s="94" t="s">
        <v>91</v>
      </c>
    </row>
    <row r="39" ht="12.75" customHeight="1">
      <c r="A39" s="109"/>
      <c r="B39" s="110"/>
      <c r="C39" s="110"/>
      <c r="D39" s="110"/>
      <c r="E39" s="110"/>
      <c r="F39" s="110"/>
      <c r="G39" s="111"/>
      <c r="H39" s="112"/>
      <c r="I39" s="112"/>
      <c r="J39" s="113"/>
      <c r="K39" s="114"/>
      <c r="L39" s="94" t="s">
        <v>46</v>
      </c>
    </row>
    <row r="40" ht="14.25" customHeight="1">
      <c r="A40" s="90" t="s">
        <v>126</v>
      </c>
      <c r="B40" s="10"/>
      <c r="C40" s="10"/>
      <c r="D40" s="10"/>
      <c r="E40" s="10"/>
      <c r="F40" s="11"/>
      <c r="G40" s="91" t="s">
        <v>128</v>
      </c>
      <c r="H40" s="115" t="s">
        <v>129</v>
      </c>
      <c r="I40" s="116"/>
      <c r="J40" s="91" t="s">
        <v>223</v>
      </c>
      <c r="K40" s="93" t="s">
        <v>130</v>
      </c>
      <c r="L40" s="94" t="s">
        <v>44</v>
      </c>
    </row>
    <row r="41" ht="14.25" customHeight="1">
      <c r="A41" s="95" t="s">
        <v>131</v>
      </c>
      <c r="B41" s="92" t="s">
        <v>132</v>
      </c>
      <c r="C41" s="10"/>
      <c r="D41" s="10"/>
      <c r="E41" s="11"/>
      <c r="F41" s="96" t="s">
        <v>133</v>
      </c>
      <c r="G41" s="97"/>
      <c r="H41" s="117"/>
      <c r="I41" s="118"/>
      <c r="J41" s="97"/>
      <c r="K41" s="98"/>
      <c r="L41" s="94" t="s">
        <v>50</v>
      </c>
    </row>
    <row r="42" ht="13.5" customHeight="1">
      <c r="A42" s="119"/>
      <c r="B42" s="13" t="s">
        <v>224</v>
      </c>
      <c r="C42" s="10"/>
      <c r="D42" s="10"/>
      <c r="E42" s="11"/>
      <c r="F42" s="99" t="s">
        <v>225</v>
      </c>
      <c r="G42" s="100" t="s">
        <v>226</v>
      </c>
      <c r="H42" s="120">
        <v>0.6</v>
      </c>
      <c r="I42" s="11"/>
      <c r="J42" s="121" t="str">
        <f t="shared" ref="J42:J64" si="2">COUNTIF(#REF!,G42)</f>
        <v>#REF!</v>
      </c>
      <c r="K42" s="122" t="str">
        <f t="shared" ref="K42:K64" si="3">SUMIF(#REF!,$G42,#REF!)</f>
        <v>#N/A</v>
      </c>
      <c r="L42" s="94" t="str">
        <f t="shared" ref="L42:L64" si="4">""&amp;G42</f>
        <v>PAG</v>
      </c>
    </row>
    <row r="43" ht="13.5" customHeight="1">
      <c r="A43" s="119"/>
      <c r="B43" s="13" t="s">
        <v>227</v>
      </c>
      <c r="C43" s="10"/>
      <c r="D43" s="10"/>
      <c r="E43" s="11"/>
      <c r="F43" s="99" t="s">
        <v>183</v>
      </c>
      <c r="G43" s="100" t="s">
        <v>228</v>
      </c>
      <c r="H43" s="120">
        <v>0.6</v>
      </c>
      <c r="I43" s="11"/>
      <c r="J43" s="121" t="str">
        <f t="shared" si="2"/>
        <v>#REF!</v>
      </c>
      <c r="K43" s="122" t="str">
        <f t="shared" si="3"/>
        <v>#N/A</v>
      </c>
      <c r="L43" s="94" t="str">
        <f t="shared" si="4"/>
        <v>COSNF</v>
      </c>
    </row>
    <row r="44" ht="13.5" customHeight="1">
      <c r="A44" s="119"/>
      <c r="B44" s="13" t="s">
        <v>229</v>
      </c>
      <c r="C44" s="10"/>
      <c r="D44" s="10"/>
      <c r="E44" s="11"/>
      <c r="F44" s="99"/>
      <c r="G44" s="100" t="s">
        <v>230</v>
      </c>
      <c r="H44" s="120">
        <v>0.0</v>
      </c>
      <c r="I44" s="11"/>
      <c r="J44" s="121" t="str">
        <f t="shared" si="2"/>
        <v>#REF!</v>
      </c>
      <c r="K44" s="122" t="str">
        <f t="shared" si="3"/>
        <v>#N/A</v>
      </c>
      <c r="L44" s="94" t="str">
        <f t="shared" si="4"/>
        <v>DC</v>
      </c>
    </row>
    <row r="45" ht="13.5" customHeight="1">
      <c r="A45" s="119"/>
      <c r="B45" s="13"/>
      <c r="C45" s="10"/>
      <c r="D45" s="10"/>
      <c r="E45" s="11"/>
      <c r="F45" s="99"/>
      <c r="G45" s="100" t="s">
        <v>222</v>
      </c>
      <c r="H45" s="120"/>
      <c r="I45" s="11"/>
      <c r="J45" s="121" t="str">
        <f t="shared" si="2"/>
        <v>#REF!</v>
      </c>
      <c r="K45" s="122" t="str">
        <f t="shared" si="3"/>
        <v>#N/A</v>
      </c>
      <c r="L45" s="94" t="str">
        <f t="shared" si="4"/>
        <v>           .</v>
      </c>
    </row>
    <row r="46" ht="13.5" customHeight="1">
      <c r="A46" s="119"/>
      <c r="B46" s="13"/>
      <c r="C46" s="10"/>
      <c r="D46" s="10"/>
      <c r="E46" s="11"/>
      <c r="F46" s="99"/>
      <c r="G46" s="100" t="s">
        <v>222</v>
      </c>
      <c r="H46" s="120"/>
      <c r="I46" s="11"/>
      <c r="J46" s="121" t="str">
        <f t="shared" si="2"/>
        <v>#REF!</v>
      </c>
      <c r="K46" s="122" t="str">
        <f t="shared" si="3"/>
        <v>#N/A</v>
      </c>
      <c r="L46" s="94" t="str">
        <f t="shared" si="4"/>
        <v>           .</v>
      </c>
    </row>
    <row r="47" ht="12.75" customHeight="1">
      <c r="A47" s="119"/>
      <c r="B47" s="13"/>
      <c r="C47" s="10"/>
      <c r="D47" s="10"/>
      <c r="E47" s="11"/>
      <c r="F47" s="99"/>
      <c r="G47" s="100" t="s">
        <v>222</v>
      </c>
      <c r="H47" s="120"/>
      <c r="I47" s="11"/>
      <c r="J47" s="121" t="str">
        <f t="shared" si="2"/>
        <v>#REF!</v>
      </c>
      <c r="K47" s="122" t="str">
        <f t="shared" si="3"/>
        <v>#N/A</v>
      </c>
      <c r="L47" s="94" t="str">
        <f t="shared" si="4"/>
        <v>           .</v>
      </c>
    </row>
    <row r="48" ht="12.75" customHeight="1">
      <c r="A48" s="119"/>
      <c r="B48" s="13"/>
      <c r="C48" s="10"/>
      <c r="D48" s="10"/>
      <c r="E48" s="11"/>
      <c r="F48" s="99"/>
      <c r="G48" s="100" t="s">
        <v>222</v>
      </c>
      <c r="H48" s="120"/>
      <c r="I48" s="11"/>
      <c r="J48" s="121" t="str">
        <f t="shared" si="2"/>
        <v>#REF!</v>
      </c>
      <c r="K48" s="122" t="str">
        <f t="shared" si="3"/>
        <v>#N/A</v>
      </c>
      <c r="L48" s="94" t="str">
        <f t="shared" si="4"/>
        <v>           .</v>
      </c>
    </row>
    <row r="49" ht="12.75" customHeight="1">
      <c r="A49" s="119"/>
      <c r="B49" s="13"/>
      <c r="C49" s="10"/>
      <c r="D49" s="10"/>
      <c r="E49" s="11"/>
      <c r="F49" s="99"/>
      <c r="G49" s="100" t="s">
        <v>222</v>
      </c>
      <c r="H49" s="120"/>
      <c r="I49" s="11"/>
      <c r="J49" s="121" t="str">
        <f t="shared" si="2"/>
        <v>#REF!</v>
      </c>
      <c r="K49" s="122" t="str">
        <f t="shared" si="3"/>
        <v>#N/A</v>
      </c>
      <c r="L49" s="94" t="str">
        <f t="shared" si="4"/>
        <v>           .</v>
      </c>
    </row>
    <row r="50" ht="12.75" customHeight="1">
      <c r="A50" s="119"/>
      <c r="B50" s="13"/>
      <c r="C50" s="10"/>
      <c r="D50" s="10"/>
      <c r="E50" s="11"/>
      <c r="F50" s="99"/>
      <c r="G50" s="100" t="s">
        <v>222</v>
      </c>
      <c r="H50" s="120"/>
      <c r="I50" s="11"/>
      <c r="J50" s="121" t="str">
        <f t="shared" si="2"/>
        <v>#REF!</v>
      </c>
      <c r="K50" s="122" t="str">
        <f t="shared" si="3"/>
        <v>#N/A</v>
      </c>
      <c r="L50" s="94" t="str">
        <f t="shared" si="4"/>
        <v>           .</v>
      </c>
    </row>
    <row r="51" ht="12.75" customHeight="1">
      <c r="A51" s="119"/>
      <c r="B51" s="13"/>
      <c r="C51" s="10"/>
      <c r="D51" s="10"/>
      <c r="E51" s="11"/>
      <c r="F51" s="99"/>
      <c r="G51" s="100" t="s">
        <v>222</v>
      </c>
      <c r="H51" s="120"/>
      <c r="I51" s="11"/>
      <c r="J51" s="121" t="str">
        <f t="shared" si="2"/>
        <v>#REF!</v>
      </c>
      <c r="K51" s="122" t="str">
        <f t="shared" si="3"/>
        <v>#N/A</v>
      </c>
      <c r="L51" s="94" t="str">
        <f t="shared" si="4"/>
        <v>           .</v>
      </c>
    </row>
    <row r="52" ht="12.75" customHeight="1">
      <c r="A52" s="119"/>
      <c r="B52" s="13"/>
      <c r="C52" s="10"/>
      <c r="D52" s="10"/>
      <c r="E52" s="11"/>
      <c r="F52" s="99"/>
      <c r="G52" s="100" t="s">
        <v>222</v>
      </c>
      <c r="H52" s="120"/>
      <c r="I52" s="11"/>
      <c r="J52" s="121" t="str">
        <f t="shared" si="2"/>
        <v>#REF!</v>
      </c>
      <c r="K52" s="122" t="str">
        <f t="shared" si="3"/>
        <v>#N/A</v>
      </c>
      <c r="L52" s="94" t="str">
        <f t="shared" si="4"/>
        <v>           .</v>
      </c>
    </row>
    <row r="53" ht="12.75" customHeight="1">
      <c r="A53" s="119"/>
      <c r="B53" s="13"/>
      <c r="C53" s="10"/>
      <c r="D53" s="10"/>
      <c r="E53" s="11"/>
      <c r="F53" s="99"/>
      <c r="G53" s="100" t="s">
        <v>222</v>
      </c>
      <c r="H53" s="120"/>
      <c r="I53" s="11"/>
      <c r="J53" s="121" t="str">
        <f t="shared" si="2"/>
        <v>#REF!</v>
      </c>
      <c r="K53" s="122" t="str">
        <f t="shared" si="3"/>
        <v>#N/A</v>
      </c>
      <c r="L53" s="94" t="str">
        <f t="shared" si="4"/>
        <v>           .</v>
      </c>
    </row>
    <row r="54" ht="12.75" customHeight="1">
      <c r="A54" s="119"/>
      <c r="B54" s="13"/>
      <c r="C54" s="10"/>
      <c r="D54" s="10"/>
      <c r="E54" s="11"/>
      <c r="F54" s="99"/>
      <c r="G54" s="100" t="s">
        <v>222</v>
      </c>
      <c r="H54" s="120"/>
      <c r="I54" s="11"/>
      <c r="J54" s="121" t="str">
        <f t="shared" si="2"/>
        <v>#REF!</v>
      </c>
      <c r="K54" s="122" t="str">
        <f t="shared" si="3"/>
        <v>#N/A</v>
      </c>
      <c r="L54" s="94" t="str">
        <f t="shared" si="4"/>
        <v>           .</v>
      </c>
    </row>
    <row r="55" ht="12.75" customHeight="1">
      <c r="A55" s="119"/>
      <c r="B55" s="13"/>
      <c r="C55" s="10"/>
      <c r="D55" s="10"/>
      <c r="E55" s="11"/>
      <c r="F55" s="99"/>
      <c r="G55" s="100" t="s">
        <v>222</v>
      </c>
      <c r="H55" s="120"/>
      <c r="I55" s="11"/>
      <c r="J55" s="121" t="str">
        <f t="shared" si="2"/>
        <v>#REF!</v>
      </c>
      <c r="K55" s="122" t="str">
        <f t="shared" si="3"/>
        <v>#N/A</v>
      </c>
      <c r="L55" s="94" t="str">
        <f t="shared" si="4"/>
        <v>           .</v>
      </c>
    </row>
    <row r="56" ht="12.75" customHeight="1">
      <c r="A56" s="119"/>
      <c r="B56" s="13"/>
      <c r="C56" s="10"/>
      <c r="D56" s="10"/>
      <c r="E56" s="11"/>
      <c r="F56" s="99"/>
      <c r="G56" s="100" t="s">
        <v>222</v>
      </c>
      <c r="H56" s="120"/>
      <c r="I56" s="11"/>
      <c r="J56" s="121" t="str">
        <f t="shared" si="2"/>
        <v>#REF!</v>
      </c>
      <c r="K56" s="122" t="str">
        <f t="shared" si="3"/>
        <v>#N/A</v>
      </c>
      <c r="L56" s="94" t="str">
        <f t="shared" si="4"/>
        <v>           .</v>
      </c>
    </row>
    <row r="57" ht="12.75" customHeight="1">
      <c r="A57" s="119"/>
      <c r="B57" s="13"/>
      <c r="C57" s="10"/>
      <c r="D57" s="10"/>
      <c r="E57" s="11"/>
      <c r="F57" s="99"/>
      <c r="G57" s="100" t="s">
        <v>222</v>
      </c>
      <c r="H57" s="120"/>
      <c r="I57" s="11"/>
      <c r="J57" s="121" t="str">
        <f t="shared" si="2"/>
        <v>#REF!</v>
      </c>
      <c r="K57" s="122" t="str">
        <f t="shared" si="3"/>
        <v>#N/A</v>
      </c>
      <c r="L57" s="94" t="str">
        <f t="shared" si="4"/>
        <v>           .</v>
      </c>
    </row>
    <row r="58" ht="12.75" customHeight="1">
      <c r="A58" s="119"/>
      <c r="B58" s="13"/>
      <c r="C58" s="10"/>
      <c r="D58" s="10"/>
      <c r="E58" s="11"/>
      <c r="F58" s="99"/>
      <c r="G58" s="100" t="s">
        <v>222</v>
      </c>
      <c r="H58" s="120"/>
      <c r="I58" s="11"/>
      <c r="J58" s="121" t="str">
        <f t="shared" si="2"/>
        <v>#REF!</v>
      </c>
      <c r="K58" s="122" t="str">
        <f t="shared" si="3"/>
        <v>#N/A</v>
      </c>
      <c r="L58" s="94" t="str">
        <f t="shared" si="4"/>
        <v>           .</v>
      </c>
    </row>
    <row r="59" ht="12.75" customHeight="1">
      <c r="A59" s="119"/>
      <c r="B59" s="13"/>
      <c r="C59" s="10"/>
      <c r="D59" s="10"/>
      <c r="E59" s="11"/>
      <c r="F59" s="99"/>
      <c r="G59" s="100" t="s">
        <v>222</v>
      </c>
      <c r="H59" s="120"/>
      <c r="I59" s="11"/>
      <c r="J59" s="121" t="str">
        <f t="shared" si="2"/>
        <v>#REF!</v>
      </c>
      <c r="K59" s="122" t="str">
        <f t="shared" si="3"/>
        <v>#N/A</v>
      </c>
      <c r="L59" s="94" t="str">
        <f t="shared" si="4"/>
        <v>           .</v>
      </c>
    </row>
    <row r="60" ht="12.75" customHeight="1">
      <c r="A60" s="119"/>
      <c r="B60" s="13"/>
      <c r="C60" s="10"/>
      <c r="D60" s="10"/>
      <c r="E60" s="11"/>
      <c r="F60" s="99"/>
      <c r="G60" s="100" t="s">
        <v>222</v>
      </c>
      <c r="H60" s="120"/>
      <c r="I60" s="11"/>
      <c r="J60" s="121" t="str">
        <f t="shared" si="2"/>
        <v>#REF!</v>
      </c>
      <c r="K60" s="122" t="str">
        <f t="shared" si="3"/>
        <v>#N/A</v>
      </c>
      <c r="L60" s="94" t="str">
        <f t="shared" si="4"/>
        <v>           .</v>
      </c>
    </row>
    <row r="61" ht="12.75" customHeight="1">
      <c r="A61" s="119"/>
      <c r="B61" s="13"/>
      <c r="C61" s="10"/>
      <c r="D61" s="10"/>
      <c r="E61" s="11"/>
      <c r="F61" s="99"/>
      <c r="G61" s="100" t="s">
        <v>222</v>
      </c>
      <c r="H61" s="120"/>
      <c r="I61" s="11"/>
      <c r="J61" s="121" t="str">
        <f t="shared" si="2"/>
        <v>#REF!</v>
      </c>
      <c r="K61" s="122" t="str">
        <f t="shared" si="3"/>
        <v>#N/A</v>
      </c>
      <c r="L61" s="94" t="str">
        <f t="shared" si="4"/>
        <v>           .</v>
      </c>
    </row>
    <row r="62" ht="12.75" customHeight="1">
      <c r="A62" s="119"/>
      <c r="B62" s="13"/>
      <c r="C62" s="10"/>
      <c r="D62" s="10"/>
      <c r="E62" s="11"/>
      <c r="F62" s="99"/>
      <c r="G62" s="100" t="s">
        <v>222</v>
      </c>
      <c r="H62" s="120"/>
      <c r="I62" s="11"/>
      <c r="J62" s="121" t="str">
        <f t="shared" si="2"/>
        <v>#REF!</v>
      </c>
      <c r="K62" s="122" t="str">
        <f t="shared" si="3"/>
        <v>#N/A</v>
      </c>
      <c r="L62" s="94" t="str">
        <f t="shared" si="4"/>
        <v>           .</v>
      </c>
    </row>
    <row r="63" ht="12.75" customHeight="1">
      <c r="A63" s="119"/>
      <c r="B63" s="13"/>
      <c r="C63" s="10"/>
      <c r="D63" s="10"/>
      <c r="E63" s="11"/>
      <c r="F63" s="99"/>
      <c r="G63" s="100" t="s">
        <v>222</v>
      </c>
      <c r="H63" s="120"/>
      <c r="I63" s="11"/>
      <c r="J63" s="121" t="str">
        <f t="shared" si="2"/>
        <v>#REF!</v>
      </c>
      <c r="K63" s="122" t="str">
        <f t="shared" si="3"/>
        <v>#N/A</v>
      </c>
      <c r="L63" s="94" t="str">
        <f t="shared" si="4"/>
        <v>           .</v>
      </c>
    </row>
    <row r="64" ht="12.75" customHeight="1">
      <c r="A64" s="123"/>
      <c r="B64" s="124"/>
      <c r="C64" s="125"/>
      <c r="D64" s="125"/>
      <c r="E64" s="126"/>
      <c r="F64" s="127"/>
      <c r="G64" s="128" t="s">
        <v>222</v>
      </c>
      <c r="H64" s="129"/>
      <c r="I64" s="126"/>
      <c r="J64" s="130" t="str">
        <f t="shared" si="2"/>
        <v>#REF!</v>
      </c>
      <c r="K64" s="131" t="str">
        <f t="shared" si="3"/>
        <v>#N/A</v>
      </c>
      <c r="L64" s="94" t="str">
        <f t="shared" si="4"/>
        <v>           .</v>
      </c>
    </row>
    <row r="65" ht="12.75" customHeight="1">
      <c r="G65" s="94"/>
      <c r="H65" s="132"/>
      <c r="I65" s="132"/>
      <c r="J65" s="133"/>
      <c r="K65" s="133"/>
      <c r="L65" s="94"/>
    </row>
    <row r="66" ht="12.75" customHeight="1">
      <c r="G66" s="94"/>
      <c r="H66" s="132"/>
      <c r="I66" s="132"/>
      <c r="J66" s="133"/>
      <c r="K66" s="133"/>
      <c r="L66" s="94"/>
    </row>
    <row r="67" ht="12.75" customHeight="1">
      <c r="G67" s="94"/>
      <c r="H67" s="132"/>
      <c r="I67" s="132"/>
      <c r="J67" s="133"/>
      <c r="K67" s="133"/>
      <c r="L67" s="94"/>
    </row>
    <row r="68" ht="12.75" customHeight="1">
      <c r="G68" s="94"/>
      <c r="H68" s="132"/>
      <c r="I68" s="132"/>
      <c r="J68" s="133"/>
      <c r="K68" s="133"/>
      <c r="L68" s="94"/>
    </row>
    <row r="69" ht="12.75" customHeight="1">
      <c r="G69" s="94"/>
      <c r="H69" s="132"/>
      <c r="I69" s="132"/>
      <c r="J69" s="133"/>
      <c r="K69" s="133"/>
      <c r="L69" s="94"/>
    </row>
    <row r="70" ht="12.75" customHeight="1">
      <c r="G70" s="94"/>
      <c r="H70" s="132"/>
      <c r="I70" s="132"/>
      <c r="J70" s="133"/>
      <c r="K70" s="133"/>
      <c r="L70" s="94"/>
    </row>
    <row r="71" ht="12.75" customHeight="1">
      <c r="G71" s="94"/>
      <c r="H71" s="132"/>
      <c r="I71" s="132"/>
      <c r="J71" s="133"/>
      <c r="K71" s="133"/>
      <c r="L71" s="94"/>
    </row>
    <row r="72" ht="12.75" customHeight="1">
      <c r="G72" s="94"/>
      <c r="H72" s="132"/>
      <c r="I72" s="132"/>
      <c r="J72" s="133"/>
      <c r="K72" s="133"/>
      <c r="L72" s="94"/>
    </row>
    <row r="73" ht="12.75" customHeight="1">
      <c r="G73" s="94"/>
      <c r="H73" s="132"/>
      <c r="I73" s="132"/>
      <c r="J73" s="133"/>
      <c r="K73" s="133"/>
      <c r="L73" s="94"/>
    </row>
    <row r="74" ht="12.75" customHeight="1">
      <c r="G74" s="94"/>
      <c r="H74" s="132"/>
      <c r="I74" s="132"/>
      <c r="J74" s="133"/>
      <c r="K74" s="133"/>
      <c r="L74" s="94"/>
    </row>
    <row r="75" ht="12.75" customHeight="1">
      <c r="G75" s="94"/>
      <c r="H75" s="132"/>
      <c r="I75" s="132"/>
      <c r="J75" s="133"/>
      <c r="K75" s="133"/>
      <c r="L75" s="94"/>
    </row>
    <row r="76" ht="12.75" customHeight="1">
      <c r="G76" s="94"/>
      <c r="H76" s="132"/>
      <c r="I76" s="132"/>
      <c r="J76" s="133"/>
      <c r="K76" s="133"/>
      <c r="L76" s="94"/>
    </row>
    <row r="77" ht="12.75" customHeight="1">
      <c r="G77" s="94"/>
      <c r="H77" s="132"/>
      <c r="I77" s="132"/>
      <c r="J77" s="133"/>
      <c r="K77" s="133"/>
      <c r="L77" s="94"/>
    </row>
    <row r="78" ht="12.75" customHeight="1">
      <c r="G78" s="94"/>
      <c r="H78" s="132"/>
      <c r="I78" s="132"/>
      <c r="J78" s="133"/>
      <c r="K78" s="133"/>
      <c r="L78" s="94"/>
    </row>
    <row r="79" ht="12.75" customHeight="1">
      <c r="G79" s="94"/>
      <c r="H79" s="132"/>
      <c r="I79" s="132"/>
      <c r="J79" s="133"/>
      <c r="K79" s="133"/>
      <c r="L79" s="94"/>
    </row>
    <row r="80" ht="12.75" customHeight="1">
      <c r="G80" s="94"/>
      <c r="H80" s="132"/>
      <c r="I80" s="132"/>
      <c r="J80" s="133"/>
      <c r="K80" s="133"/>
      <c r="L80" s="94"/>
    </row>
    <row r="81" ht="12.75" customHeight="1">
      <c r="G81" s="94"/>
      <c r="H81" s="132"/>
      <c r="I81" s="132"/>
      <c r="J81" s="133"/>
      <c r="K81" s="133"/>
      <c r="L81" s="94"/>
    </row>
    <row r="82" ht="12.75" customHeight="1">
      <c r="G82" s="94"/>
      <c r="H82" s="132"/>
      <c r="I82" s="132"/>
      <c r="J82" s="133"/>
      <c r="K82" s="133"/>
      <c r="L82" s="94"/>
    </row>
    <row r="83" ht="12.75" customHeight="1">
      <c r="G83" s="94"/>
      <c r="H83" s="132"/>
      <c r="I83" s="132"/>
      <c r="J83" s="133"/>
      <c r="K83" s="133"/>
      <c r="L83" s="94"/>
    </row>
    <row r="84" ht="12.75" customHeight="1">
      <c r="G84" s="94"/>
      <c r="H84" s="132"/>
      <c r="I84" s="132"/>
      <c r="J84" s="133"/>
      <c r="K84" s="133"/>
      <c r="L84" s="94"/>
    </row>
    <row r="85" ht="12.75" customHeight="1">
      <c r="G85" s="94"/>
      <c r="H85" s="132"/>
      <c r="I85" s="132"/>
      <c r="J85" s="133"/>
      <c r="K85" s="133"/>
      <c r="L85" s="94"/>
    </row>
    <row r="86" ht="12.75" customHeight="1">
      <c r="G86" s="94"/>
      <c r="H86" s="132"/>
      <c r="I86" s="132"/>
      <c r="J86" s="133"/>
      <c r="K86" s="133"/>
      <c r="L86" s="94"/>
    </row>
    <row r="87" ht="12.75" customHeight="1">
      <c r="G87" s="94"/>
      <c r="H87" s="132"/>
      <c r="I87" s="132"/>
      <c r="J87" s="133"/>
      <c r="K87" s="133"/>
      <c r="L87" s="94"/>
    </row>
    <row r="88" ht="12.75" customHeight="1">
      <c r="G88" s="94"/>
      <c r="H88" s="132"/>
      <c r="I88" s="132"/>
      <c r="J88" s="133"/>
      <c r="K88" s="133"/>
      <c r="L88" s="94"/>
    </row>
    <row r="89" ht="12.75" customHeight="1">
      <c r="G89" s="94"/>
      <c r="H89" s="132"/>
      <c r="I89" s="132"/>
      <c r="J89" s="133"/>
      <c r="K89" s="133"/>
      <c r="L89" s="94"/>
    </row>
    <row r="90" ht="12.75" customHeight="1">
      <c r="G90" s="94"/>
      <c r="H90" s="132"/>
      <c r="I90" s="132"/>
      <c r="J90" s="133"/>
      <c r="K90" s="133"/>
      <c r="L90" s="94"/>
    </row>
    <row r="91" ht="12.75" customHeight="1">
      <c r="G91" s="94"/>
      <c r="H91" s="132"/>
      <c r="I91" s="132"/>
      <c r="J91" s="133"/>
      <c r="K91" s="133"/>
      <c r="L91" s="94"/>
    </row>
    <row r="92" ht="12.75" customHeight="1">
      <c r="G92" s="94"/>
      <c r="H92" s="132"/>
      <c r="I92" s="132"/>
      <c r="J92" s="133"/>
      <c r="K92" s="133"/>
      <c r="L92" s="94"/>
    </row>
    <row r="93" ht="12.75" customHeight="1">
      <c r="G93" s="94"/>
      <c r="H93" s="132"/>
      <c r="I93" s="132"/>
      <c r="J93" s="133"/>
      <c r="K93" s="133"/>
      <c r="L93" s="94"/>
    </row>
    <row r="94" ht="12.75" customHeight="1">
      <c r="G94" s="94"/>
      <c r="H94" s="132"/>
      <c r="I94" s="132"/>
      <c r="J94" s="133"/>
      <c r="K94" s="133"/>
      <c r="L94" s="94"/>
    </row>
    <row r="95" ht="12.75" customHeight="1">
      <c r="G95" s="94"/>
      <c r="H95" s="132"/>
      <c r="I95" s="132"/>
      <c r="J95" s="133"/>
      <c r="K95" s="133"/>
      <c r="L95" s="94"/>
    </row>
    <row r="96" ht="12.75" customHeight="1">
      <c r="G96" s="94"/>
      <c r="H96" s="132"/>
      <c r="I96" s="132"/>
      <c r="J96" s="133"/>
      <c r="K96" s="133"/>
      <c r="L96" s="94"/>
    </row>
    <row r="97" ht="12.75" customHeight="1">
      <c r="G97" s="94"/>
      <c r="H97" s="132"/>
      <c r="I97" s="132"/>
      <c r="J97" s="133"/>
      <c r="K97" s="133"/>
      <c r="L97" s="94"/>
    </row>
    <row r="98" ht="12.75" customHeight="1">
      <c r="G98" s="94"/>
      <c r="H98" s="132"/>
      <c r="I98" s="132"/>
      <c r="J98" s="133"/>
      <c r="K98" s="133"/>
      <c r="L98" s="94"/>
    </row>
    <row r="99" ht="12.75" customHeight="1">
      <c r="G99" s="94"/>
      <c r="H99" s="132"/>
      <c r="I99" s="132"/>
      <c r="J99" s="133"/>
      <c r="K99" s="133"/>
      <c r="L99" s="94"/>
    </row>
    <row r="100" ht="12.75" customHeight="1">
      <c r="G100" s="94"/>
      <c r="H100" s="132"/>
      <c r="I100" s="132"/>
      <c r="J100" s="133"/>
      <c r="K100" s="133"/>
      <c r="L100" s="94"/>
    </row>
    <row r="101" ht="12.75" customHeight="1">
      <c r="G101" s="94"/>
      <c r="H101" s="132"/>
      <c r="I101" s="132"/>
      <c r="J101" s="133"/>
      <c r="K101" s="133"/>
      <c r="L101" s="94"/>
    </row>
    <row r="102" ht="12.75" customHeight="1">
      <c r="G102" s="94"/>
      <c r="H102" s="132"/>
      <c r="I102" s="132"/>
      <c r="J102" s="133"/>
      <c r="K102" s="133"/>
      <c r="L102" s="94"/>
    </row>
    <row r="103" ht="12.75" customHeight="1">
      <c r="G103" s="94"/>
      <c r="H103" s="132"/>
      <c r="I103" s="132"/>
      <c r="J103" s="133"/>
      <c r="K103" s="133"/>
      <c r="L103" s="94"/>
    </row>
    <row r="104" ht="12.75" customHeight="1">
      <c r="G104" s="94"/>
      <c r="H104" s="132"/>
      <c r="I104" s="132"/>
      <c r="J104" s="133"/>
      <c r="K104" s="133"/>
      <c r="L104" s="94"/>
    </row>
    <row r="105" ht="12.75" customHeight="1">
      <c r="G105" s="94"/>
      <c r="H105" s="132"/>
      <c r="I105" s="132"/>
      <c r="J105" s="133"/>
      <c r="K105" s="133"/>
      <c r="L105" s="94"/>
    </row>
    <row r="106" ht="12.75" customHeight="1">
      <c r="G106" s="94"/>
      <c r="H106" s="132"/>
      <c r="I106" s="132"/>
      <c r="J106" s="133"/>
      <c r="K106" s="133"/>
      <c r="L106" s="94"/>
    </row>
    <row r="107" ht="12.75" customHeight="1">
      <c r="G107" s="94"/>
      <c r="H107" s="132"/>
      <c r="I107" s="132"/>
      <c r="J107" s="133"/>
      <c r="K107" s="133"/>
      <c r="L107" s="94"/>
    </row>
    <row r="108" ht="12.75" customHeight="1">
      <c r="G108" s="94"/>
      <c r="H108" s="132"/>
      <c r="I108" s="132"/>
      <c r="J108" s="133"/>
      <c r="K108" s="133"/>
      <c r="L108" s="94"/>
    </row>
    <row r="109" ht="12.75" customHeight="1">
      <c r="G109" s="94"/>
      <c r="H109" s="132"/>
      <c r="I109" s="132"/>
      <c r="J109" s="133"/>
      <c r="K109" s="133"/>
      <c r="L109" s="94"/>
    </row>
    <row r="110" ht="12.75" customHeight="1">
      <c r="G110" s="94"/>
      <c r="H110" s="132"/>
      <c r="I110" s="132"/>
      <c r="J110" s="133"/>
      <c r="K110" s="133"/>
      <c r="L110" s="94"/>
    </row>
    <row r="111" ht="12.75" customHeight="1">
      <c r="G111" s="94"/>
      <c r="H111" s="132"/>
      <c r="I111" s="132"/>
      <c r="J111" s="133"/>
      <c r="K111" s="133"/>
      <c r="L111" s="94"/>
    </row>
    <row r="112" ht="12.75" customHeight="1">
      <c r="G112" s="94"/>
      <c r="H112" s="132"/>
      <c r="I112" s="132"/>
      <c r="J112" s="133"/>
      <c r="K112" s="133"/>
      <c r="L112" s="94"/>
    </row>
    <row r="113" ht="12.75" customHeight="1">
      <c r="G113" s="94"/>
      <c r="H113" s="132"/>
      <c r="I113" s="132"/>
      <c r="J113" s="133"/>
      <c r="K113" s="133"/>
      <c r="L113" s="94"/>
    </row>
    <row r="114" ht="12.75" customHeight="1">
      <c r="G114" s="94"/>
      <c r="H114" s="132"/>
      <c r="I114" s="132"/>
      <c r="J114" s="133"/>
      <c r="K114" s="133"/>
      <c r="L114" s="94"/>
    </row>
    <row r="115" ht="12.75" customHeight="1">
      <c r="G115" s="94"/>
      <c r="H115" s="132"/>
      <c r="I115" s="132"/>
      <c r="J115" s="133"/>
      <c r="K115" s="133"/>
      <c r="L115" s="94"/>
    </row>
    <row r="116" ht="12.75" customHeight="1">
      <c r="G116" s="94"/>
      <c r="H116" s="132"/>
      <c r="I116" s="132"/>
      <c r="J116" s="133"/>
      <c r="K116" s="133"/>
      <c r="L116" s="94"/>
    </row>
    <row r="117" ht="12.75" customHeight="1">
      <c r="G117" s="94"/>
      <c r="H117" s="132"/>
      <c r="I117" s="132"/>
      <c r="J117" s="133"/>
      <c r="K117" s="133"/>
      <c r="L117" s="94"/>
    </row>
    <row r="118" ht="12.75" customHeight="1">
      <c r="G118" s="94"/>
      <c r="H118" s="132"/>
      <c r="I118" s="132"/>
      <c r="J118" s="133"/>
      <c r="K118" s="133"/>
      <c r="L118" s="94"/>
    </row>
    <row r="119" ht="12.75" customHeight="1">
      <c r="G119" s="94"/>
      <c r="H119" s="132"/>
      <c r="I119" s="132"/>
      <c r="J119" s="133"/>
      <c r="K119" s="133"/>
      <c r="L119" s="94"/>
    </row>
    <row r="120" ht="12.75" customHeight="1">
      <c r="G120" s="94"/>
      <c r="H120" s="132"/>
      <c r="I120" s="132"/>
      <c r="J120" s="133"/>
      <c r="K120" s="133"/>
      <c r="L120" s="94"/>
    </row>
    <row r="121" ht="12.75" customHeight="1">
      <c r="G121" s="94"/>
      <c r="H121" s="132"/>
      <c r="I121" s="132"/>
      <c r="J121" s="133"/>
      <c r="K121" s="133"/>
      <c r="L121" s="94"/>
    </row>
    <row r="122" ht="12.75" customHeight="1">
      <c r="G122" s="94"/>
      <c r="H122" s="132"/>
      <c r="I122" s="132"/>
      <c r="J122" s="133"/>
      <c r="K122" s="133"/>
      <c r="L122" s="94"/>
    </row>
    <row r="123" ht="12.75" customHeight="1">
      <c r="G123" s="94"/>
      <c r="H123" s="132"/>
      <c r="I123" s="132"/>
      <c r="J123" s="133"/>
      <c r="K123" s="133"/>
      <c r="L123" s="94"/>
    </row>
    <row r="124" ht="12.75" customHeight="1">
      <c r="G124" s="94"/>
      <c r="H124" s="132"/>
      <c r="I124" s="132"/>
      <c r="J124" s="133"/>
      <c r="K124" s="133"/>
      <c r="L124" s="94"/>
    </row>
    <row r="125" ht="12.75" customHeight="1">
      <c r="G125" s="94"/>
      <c r="H125" s="132"/>
      <c r="I125" s="132"/>
      <c r="J125" s="133"/>
      <c r="K125" s="133"/>
      <c r="L125" s="94"/>
    </row>
    <row r="126" ht="12.75" customHeight="1">
      <c r="G126" s="94"/>
      <c r="H126" s="132"/>
      <c r="I126" s="132"/>
      <c r="J126" s="133"/>
      <c r="K126" s="133"/>
      <c r="L126" s="94"/>
    </row>
    <row r="127" ht="12.75" customHeight="1">
      <c r="G127" s="94"/>
      <c r="H127" s="132"/>
      <c r="I127" s="132"/>
      <c r="J127" s="133"/>
      <c r="K127" s="133"/>
      <c r="L127" s="94"/>
    </row>
    <row r="128" ht="12.75" customHeight="1">
      <c r="G128" s="94"/>
      <c r="H128" s="132"/>
      <c r="I128" s="132"/>
      <c r="J128" s="133"/>
      <c r="K128" s="133"/>
      <c r="L128" s="94"/>
    </row>
    <row r="129" ht="12.75" customHeight="1">
      <c r="G129" s="94"/>
      <c r="H129" s="132"/>
      <c r="I129" s="132"/>
      <c r="J129" s="133"/>
      <c r="K129" s="133"/>
      <c r="L129" s="94"/>
    </row>
    <row r="130" ht="12.75" customHeight="1">
      <c r="G130" s="94"/>
      <c r="H130" s="132"/>
      <c r="I130" s="132"/>
      <c r="J130" s="133"/>
      <c r="K130" s="133"/>
      <c r="L130" s="94"/>
    </row>
    <row r="131" ht="12.75" customHeight="1">
      <c r="G131" s="94"/>
      <c r="H131" s="132"/>
      <c r="I131" s="132"/>
      <c r="J131" s="133"/>
      <c r="K131" s="133"/>
      <c r="L131" s="94"/>
    </row>
    <row r="132" ht="12.75" customHeight="1">
      <c r="G132" s="94"/>
      <c r="H132" s="132"/>
      <c r="I132" s="132"/>
      <c r="J132" s="133"/>
      <c r="K132" s="133"/>
      <c r="L132" s="94"/>
    </row>
    <row r="133" ht="12.75" customHeight="1">
      <c r="G133" s="94"/>
      <c r="H133" s="132"/>
      <c r="I133" s="132"/>
      <c r="J133" s="133"/>
      <c r="K133" s="133"/>
      <c r="L133" s="94"/>
    </row>
    <row r="134" ht="12.75" customHeight="1">
      <c r="G134" s="94"/>
      <c r="H134" s="132"/>
      <c r="I134" s="132"/>
      <c r="J134" s="133"/>
      <c r="K134" s="133"/>
      <c r="L134" s="94"/>
    </row>
    <row r="135" ht="12.75" customHeight="1">
      <c r="G135" s="94"/>
      <c r="H135" s="132"/>
      <c r="I135" s="132"/>
      <c r="J135" s="133"/>
      <c r="K135" s="133"/>
      <c r="L135" s="94"/>
    </row>
    <row r="136" ht="12.75" customHeight="1">
      <c r="G136" s="94"/>
      <c r="H136" s="132"/>
      <c r="I136" s="132"/>
      <c r="J136" s="133"/>
      <c r="K136" s="133"/>
      <c r="L136" s="94"/>
    </row>
    <row r="137" ht="12.75" customHeight="1">
      <c r="G137" s="94"/>
      <c r="H137" s="132"/>
      <c r="I137" s="132"/>
      <c r="J137" s="133"/>
      <c r="K137" s="133"/>
      <c r="L137" s="94"/>
    </row>
    <row r="138" ht="12.75" customHeight="1">
      <c r="G138" s="94"/>
      <c r="H138" s="132"/>
      <c r="I138" s="132"/>
      <c r="J138" s="133"/>
      <c r="K138" s="133"/>
      <c r="L138" s="94"/>
    </row>
    <row r="139" ht="12.75" customHeight="1">
      <c r="G139" s="94"/>
      <c r="H139" s="132"/>
      <c r="I139" s="132"/>
      <c r="J139" s="133"/>
      <c r="K139" s="133"/>
      <c r="L139" s="94"/>
    </row>
    <row r="140" ht="12.75" customHeight="1">
      <c r="G140" s="94"/>
      <c r="H140" s="132"/>
      <c r="I140" s="132"/>
      <c r="J140" s="133"/>
      <c r="K140" s="133"/>
      <c r="L140" s="94"/>
    </row>
    <row r="141" ht="12.75" customHeight="1">
      <c r="G141" s="94"/>
      <c r="H141" s="132"/>
      <c r="I141" s="132"/>
      <c r="J141" s="133"/>
      <c r="K141" s="133"/>
      <c r="L141" s="94"/>
    </row>
    <row r="142" ht="12.75" customHeight="1">
      <c r="G142" s="94"/>
      <c r="H142" s="132"/>
      <c r="I142" s="132"/>
      <c r="J142" s="133"/>
      <c r="K142" s="133"/>
      <c r="L142" s="94"/>
    </row>
    <row r="143" ht="12.75" customHeight="1">
      <c r="G143" s="94"/>
      <c r="H143" s="132"/>
      <c r="I143" s="132"/>
      <c r="J143" s="133"/>
      <c r="K143" s="133"/>
      <c r="L143" s="94"/>
    </row>
    <row r="144" ht="12.75" customHeight="1">
      <c r="G144" s="94"/>
      <c r="H144" s="132"/>
      <c r="I144" s="132"/>
      <c r="J144" s="133"/>
      <c r="K144" s="133"/>
      <c r="L144" s="94"/>
    </row>
    <row r="145" ht="12.75" customHeight="1">
      <c r="G145" s="94"/>
      <c r="H145" s="132"/>
      <c r="I145" s="132"/>
      <c r="J145" s="133"/>
      <c r="K145" s="133"/>
      <c r="L145" s="94"/>
    </row>
    <row r="146" ht="12.75" customHeight="1">
      <c r="G146" s="94"/>
      <c r="H146" s="132"/>
      <c r="I146" s="132"/>
      <c r="J146" s="133"/>
      <c r="K146" s="133"/>
      <c r="L146" s="94"/>
    </row>
    <row r="147" ht="12.75" customHeight="1">
      <c r="G147" s="94"/>
      <c r="H147" s="132"/>
      <c r="I147" s="132"/>
      <c r="J147" s="133"/>
      <c r="K147" s="133"/>
      <c r="L147" s="94"/>
    </row>
    <row r="148" ht="12.75" customHeight="1">
      <c r="G148" s="94"/>
      <c r="H148" s="132"/>
      <c r="I148" s="132"/>
      <c r="J148" s="133"/>
      <c r="K148" s="133"/>
      <c r="L148" s="94"/>
    </row>
    <row r="149" ht="12.75" customHeight="1">
      <c r="G149" s="94"/>
      <c r="H149" s="132"/>
      <c r="I149" s="132"/>
      <c r="J149" s="133"/>
      <c r="K149" s="133"/>
      <c r="L149" s="94"/>
    </row>
    <row r="150" ht="12.75" customHeight="1">
      <c r="G150" s="94"/>
      <c r="H150" s="132"/>
      <c r="I150" s="132"/>
      <c r="J150" s="133"/>
      <c r="K150" s="133"/>
      <c r="L150" s="94"/>
    </row>
    <row r="151" ht="12.75" customHeight="1">
      <c r="G151" s="94"/>
      <c r="H151" s="132"/>
      <c r="I151" s="132"/>
      <c r="J151" s="133"/>
      <c r="K151" s="133"/>
      <c r="L151" s="94"/>
    </row>
    <row r="152" ht="12.75" customHeight="1">
      <c r="G152" s="94"/>
      <c r="H152" s="132"/>
      <c r="I152" s="132"/>
      <c r="J152" s="133"/>
      <c r="K152" s="133"/>
      <c r="L152" s="94"/>
    </row>
    <row r="153" ht="12.75" customHeight="1">
      <c r="G153" s="94"/>
      <c r="H153" s="132"/>
      <c r="I153" s="132"/>
      <c r="J153" s="133"/>
      <c r="K153" s="133"/>
      <c r="L153" s="94"/>
    </row>
    <row r="154" ht="12.75" customHeight="1">
      <c r="G154" s="94"/>
      <c r="H154" s="132"/>
      <c r="I154" s="132"/>
      <c r="J154" s="133"/>
      <c r="K154" s="133"/>
      <c r="L154" s="94"/>
    </row>
    <row r="155" ht="12.75" customHeight="1">
      <c r="G155" s="94"/>
      <c r="H155" s="132"/>
      <c r="I155" s="132"/>
      <c r="J155" s="133"/>
      <c r="K155" s="133"/>
      <c r="L155" s="94"/>
    </row>
    <row r="156" ht="12.75" customHeight="1">
      <c r="G156" s="94"/>
      <c r="H156" s="132"/>
      <c r="I156" s="132"/>
      <c r="J156" s="133"/>
      <c r="K156" s="133"/>
      <c r="L156" s="94"/>
    </row>
    <row r="157" ht="12.75" customHeight="1">
      <c r="G157" s="94"/>
      <c r="H157" s="132"/>
      <c r="I157" s="132"/>
      <c r="J157" s="133"/>
      <c r="K157" s="133"/>
      <c r="L157" s="94"/>
    </row>
    <row r="158" ht="12.75" customHeight="1">
      <c r="G158" s="94"/>
      <c r="H158" s="132"/>
      <c r="I158" s="132"/>
      <c r="J158" s="133"/>
      <c r="K158" s="133"/>
      <c r="L158" s="94"/>
    </row>
    <row r="159" ht="12.75" customHeight="1">
      <c r="G159" s="94"/>
      <c r="H159" s="132"/>
      <c r="I159" s="132"/>
      <c r="J159" s="133"/>
      <c r="K159" s="133"/>
      <c r="L159" s="94"/>
    </row>
    <row r="160" ht="12.75" customHeight="1">
      <c r="G160" s="94"/>
      <c r="H160" s="132"/>
      <c r="I160" s="132"/>
      <c r="J160" s="133"/>
      <c r="K160" s="133"/>
      <c r="L160" s="94"/>
    </row>
    <row r="161" ht="12.75" customHeight="1">
      <c r="G161" s="94"/>
      <c r="H161" s="132"/>
      <c r="I161" s="132"/>
      <c r="J161" s="133"/>
      <c r="K161" s="133"/>
      <c r="L161" s="94"/>
    </row>
    <row r="162" ht="12.75" customHeight="1">
      <c r="G162" s="94"/>
      <c r="H162" s="132"/>
      <c r="I162" s="132"/>
      <c r="J162" s="133"/>
      <c r="K162" s="133"/>
      <c r="L162" s="94"/>
    </row>
    <row r="163" ht="12.75" customHeight="1">
      <c r="G163" s="94"/>
      <c r="H163" s="132"/>
      <c r="I163" s="132"/>
      <c r="J163" s="133"/>
      <c r="K163" s="133"/>
      <c r="L163" s="94"/>
    </row>
    <row r="164" ht="12.75" customHeight="1">
      <c r="G164" s="94"/>
      <c r="H164" s="132"/>
      <c r="I164" s="132"/>
      <c r="J164" s="133"/>
      <c r="K164" s="133"/>
      <c r="L164" s="94"/>
    </row>
    <row r="165" ht="12.75" customHeight="1">
      <c r="G165" s="94"/>
      <c r="H165" s="132"/>
      <c r="I165" s="132"/>
      <c r="J165" s="133"/>
      <c r="K165" s="133"/>
      <c r="L165" s="94"/>
    </row>
    <row r="166" ht="12.75" customHeight="1">
      <c r="G166" s="94"/>
      <c r="H166" s="132"/>
      <c r="I166" s="132"/>
      <c r="J166" s="133"/>
      <c r="K166" s="133"/>
      <c r="L166" s="94"/>
    </row>
    <row r="167" ht="12.75" customHeight="1">
      <c r="G167" s="94"/>
      <c r="H167" s="132"/>
      <c r="I167" s="132"/>
      <c r="J167" s="133"/>
      <c r="K167" s="133"/>
      <c r="L167" s="94"/>
    </row>
    <row r="168" ht="12.75" customHeight="1">
      <c r="G168" s="94"/>
      <c r="H168" s="132"/>
      <c r="I168" s="132"/>
      <c r="J168" s="133"/>
      <c r="K168" s="133"/>
      <c r="L168" s="94"/>
    </row>
    <row r="169" ht="12.75" customHeight="1">
      <c r="G169" s="94"/>
      <c r="H169" s="132"/>
      <c r="I169" s="132"/>
      <c r="J169" s="133"/>
      <c r="K169" s="133"/>
      <c r="L169" s="94"/>
    </row>
    <row r="170" ht="12.75" customHeight="1">
      <c r="G170" s="94"/>
      <c r="H170" s="132"/>
      <c r="I170" s="132"/>
      <c r="J170" s="133"/>
      <c r="K170" s="133"/>
      <c r="L170" s="94"/>
    </row>
    <row r="171" ht="12.75" customHeight="1">
      <c r="G171" s="94"/>
      <c r="H171" s="132"/>
      <c r="I171" s="132"/>
      <c r="J171" s="133"/>
      <c r="K171" s="133"/>
      <c r="L171" s="94"/>
    </row>
    <row r="172" ht="12.75" customHeight="1">
      <c r="G172" s="94"/>
      <c r="H172" s="132"/>
      <c r="I172" s="132"/>
      <c r="J172" s="133"/>
      <c r="K172" s="133"/>
      <c r="L172" s="94"/>
    </row>
    <row r="173" ht="12.75" customHeight="1">
      <c r="G173" s="94"/>
      <c r="H173" s="132"/>
      <c r="I173" s="132"/>
      <c r="J173" s="133"/>
      <c r="K173" s="133"/>
      <c r="L173" s="94"/>
    </row>
    <row r="174" ht="12.75" customHeight="1">
      <c r="G174" s="94"/>
      <c r="H174" s="132"/>
      <c r="I174" s="132"/>
      <c r="J174" s="133"/>
      <c r="K174" s="133"/>
      <c r="L174" s="94"/>
    </row>
    <row r="175" ht="12.75" customHeight="1">
      <c r="G175" s="94"/>
      <c r="H175" s="132"/>
      <c r="I175" s="132"/>
      <c r="J175" s="133"/>
      <c r="K175" s="133"/>
      <c r="L175" s="94"/>
    </row>
    <row r="176" ht="12.75" customHeight="1">
      <c r="G176" s="94"/>
      <c r="H176" s="132"/>
      <c r="I176" s="132"/>
      <c r="J176" s="133"/>
      <c r="K176" s="133"/>
      <c r="L176" s="94"/>
    </row>
    <row r="177" ht="12.75" customHeight="1">
      <c r="G177" s="94"/>
      <c r="H177" s="132"/>
      <c r="I177" s="132"/>
      <c r="J177" s="133"/>
      <c r="K177" s="133"/>
      <c r="L177" s="94"/>
    </row>
    <row r="178" ht="12.75" customHeight="1">
      <c r="G178" s="94"/>
      <c r="H178" s="132"/>
      <c r="I178" s="132"/>
      <c r="J178" s="133"/>
      <c r="K178" s="133"/>
      <c r="L178" s="94"/>
    </row>
    <row r="179" ht="12.75" customHeight="1">
      <c r="G179" s="94"/>
      <c r="H179" s="132"/>
      <c r="I179" s="132"/>
      <c r="J179" s="133"/>
      <c r="K179" s="133"/>
      <c r="L179" s="94"/>
    </row>
    <row r="180" ht="12.75" customHeight="1">
      <c r="G180" s="94"/>
      <c r="H180" s="132"/>
      <c r="I180" s="132"/>
      <c r="J180" s="133"/>
      <c r="K180" s="133"/>
      <c r="L180" s="94"/>
    </row>
    <row r="181" ht="12.75" customHeight="1">
      <c r="G181" s="94"/>
      <c r="H181" s="132"/>
      <c r="I181" s="132"/>
      <c r="J181" s="133"/>
      <c r="K181" s="133"/>
      <c r="L181" s="94"/>
    </row>
    <row r="182" ht="12.75" customHeight="1">
      <c r="G182" s="94"/>
      <c r="H182" s="132"/>
      <c r="I182" s="132"/>
      <c r="J182" s="133"/>
      <c r="K182" s="133"/>
      <c r="L182" s="94"/>
    </row>
    <row r="183" ht="12.75" customHeight="1">
      <c r="G183" s="94"/>
      <c r="H183" s="132"/>
      <c r="I183" s="132"/>
      <c r="J183" s="133"/>
      <c r="K183" s="133"/>
      <c r="L183" s="94"/>
    </row>
    <row r="184" ht="12.75" customHeight="1">
      <c r="G184" s="94"/>
      <c r="H184" s="132"/>
      <c r="I184" s="132"/>
      <c r="J184" s="133"/>
      <c r="K184" s="133"/>
      <c r="L184" s="94"/>
    </row>
    <row r="185" ht="12.75" customHeight="1">
      <c r="G185" s="94"/>
      <c r="H185" s="132"/>
      <c r="I185" s="132"/>
      <c r="J185" s="133"/>
      <c r="K185" s="133"/>
      <c r="L185" s="94"/>
    </row>
    <row r="186" ht="12.75" customHeight="1">
      <c r="G186" s="94"/>
      <c r="H186" s="132"/>
      <c r="I186" s="132"/>
      <c r="J186" s="133"/>
      <c r="K186" s="133"/>
      <c r="L186" s="94"/>
    </row>
    <row r="187" ht="12.75" customHeight="1">
      <c r="G187" s="94"/>
      <c r="H187" s="132"/>
      <c r="I187" s="132"/>
      <c r="J187" s="133"/>
      <c r="K187" s="133"/>
      <c r="L187" s="94"/>
    </row>
    <row r="188" ht="12.75" customHeight="1">
      <c r="G188" s="94"/>
      <c r="H188" s="132"/>
      <c r="I188" s="132"/>
      <c r="J188" s="133"/>
      <c r="K188" s="133"/>
      <c r="L188" s="94"/>
    </row>
    <row r="189" ht="12.75" customHeight="1">
      <c r="G189" s="94"/>
      <c r="H189" s="132"/>
      <c r="I189" s="132"/>
      <c r="J189" s="133"/>
      <c r="K189" s="133"/>
      <c r="L189" s="94"/>
    </row>
    <row r="190" ht="12.75" customHeight="1">
      <c r="G190" s="94"/>
      <c r="H190" s="132"/>
      <c r="I190" s="132"/>
      <c r="J190" s="133"/>
      <c r="K190" s="133"/>
      <c r="L190" s="94"/>
    </row>
    <row r="191" ht="12.75" customHeight="1">
      <c r="G191" s="94"/>
      <c r="H191" s="132"/>
      <c r="I191" s="132"/>
      <c r="J191" s="133"/>
      <c r="K191" s="133"/>
      <c r="L191" s="94"/>
    </row>
    <row r="192" ht="12.75" customHeight="1">
      <c r="G192" s="94"/>
      <c r="H192" s="132"/>
      <c r="I192" s="132"/>
      <c r="J192" s="133"/>
      <c r="K192" s="133"/>
      <c r="L192" s="94"/>
    </row>
    <row r="193" ht="12.75" customHeight="1">
      <c r="G193" s="94"/>
      <c r="H193" s="132"/>
      <c r="I193" s="132"/>
      <c r="J193" s="133"/>
      <c r="K193" s="133"/>
      <c r="L193" s="94"/>
    </row>
    <row r="194" ht="12.75" customHeight="1">
      <c r="G194" s="94"/>
      <c r="H194" s="132"/>
      <c r="I194" s="132"/>
      <c r="J194" s="133"/>
      <c r="K194" s="133"/>
      <c r="L194" s="94"/>
    </row>
    <row r="195" ht="12.75" customHeight="1">
      <c r="G195" s="94"/>
      <c r="H195" s="132"/>
      <c r="I195" s="132"/>
      <c r="J195" s="133"/>
      <c r="K195" s="133"/>
      <c r="L195" s="94"/>
    </row>
    <row r="196" ht="12.75" customHeight="1">
      <c r="G196" s="94"/>
      <c r="H196" s="132"/>
      <c r="I196" s="132"/>
      <c r="J196" s="133"/>
      <c r="K196" s="133"/>
      <c r="L196" s="94"/>
    </row>
    <row r="197" ht="12.75" customHeight="1">
      <c r="G197" s="94"/>
      <c r="H197" s="132"/>
      <c r="I197" s="132"/>
      <c r="J197" s="133"/>
      <c r="K197" s="133"/>
      <c r="L197" s="94"/>
    </row>
    <row r="198" ht="12.75" customHeight="1">
      <c r="G198" s="94"/>
      <c r="H198" s="132"/>
      <c r="I198" s="132"/>
      <c r="J198" s="133"/>
      <c r="K198" s="133"/>
      <c r="L198" s="94"/>
    </row>
    <row r="199" ht="12.75" customHeight="1">
      <c r="G199" s="94"/>
      <c r="H199" s="132"/>
      <c r="I199" s="132"/>
      <c r="J199" s="133"/>
      <c r="K199" s="133"/>
      <c r="L199" s="94"/>
    </row>
    <row r="200" ht="12.75" customHeight="1">
      <c r="G200" s="94"/>
      <c r="H200" s="132"/>
      <c r="I200" s="132"/>
      <c r="J200" s="133"/>
      <c r="K200" s="133"/>
      <c r="L200" s="94"/>
    </row>
    <row r="201" ht="12.75" customHeight="1">
      <c r="G201" s="94"/>
      <c r="H201" s="132"/>
      <c r="I201" s="132"/>
      <c r="J201" s="133"/>
      <c r="K201" s="133"/>
      <c r="L201" s="94"/>
    </row>
    <row r="202" ht="12.75" customHeight="1">
      <c r="G202" s="94"/>
      <c r="H202" s="132"/>
      <c r="I202" s="132"/>
      <c r="J202" s="133"/>
      <c r="K202" s="133"/>
      <c r="L202" s="94"/>
    </row>
    <row r="203" ht="12.75" customHeight="1">
      <c r="G203" s="94"/>
      <c r="H203" s="132"/>
      <c r="I203" s="132"/>
      <c r="J203" s="133"/>
      <c r="K203" s="133"/>
      <c r="L203" s="94"/>
    </row>
    <row r="204" ht="12.75" customHeight="1">
      <c r="G204" s="94"/>
      <c r="H204" s="132"/>
      <c r="I204" s="132"/>
      <c r="J204" s="133"/>
      <c r="K204" s="133"/>
      <c r="L204" s="94"/>
    </row>
    <row r="205" ht="12.75" customHeight="1">
      <c r="G205" s="94"/>
      <c r="H205" s="132"/>
      <c r="I205" s="132"/>
      <c r="J205" s="133"/>
      <c r="K205" s="133"/>
      <c r="L205" s="94"/>
    </row>
    <row r="206" ht="12.75" customHeight="1">
      <c r="G206" s="94"/>
      <c r="H206" s="132"/>
      <c r="I206" s="132"/>
      <c r="J206" s="133"/>
      <c r="K206" s="133"/>
      <c r="L206" s="94"/>
    </row>
    <row r="207" ht="12.75" customHeight="1">
      <c r="G207" s="94"/>
      <c r="H207" s="132"/>
      <c r="I207" s="132"/>
      <c r="J207" s="133"/>
      <c r="K207" s="133"/>
      <c r="L207" s="94"/>
    </row>
    <row r="208" ht="12.75" customHeight="1">
      <c r="G208" s="94"/>
      <c r="H208" s="132"/>
      <c r="I208" s="132"/>
      <c r="J208" s="133"/>
      <c r="K208" s="133"/>
      <c r="L208" s="94"/>
    </row>
    <row r="209" ht="12.75" customHeight="1">
      <c r="G209" s="94"/>
      <c r="H209" s="132"/>
      <c r="I209" s="132"/>
      <c r="J209" s="133"/>
      <c r="K209" s="133"/>
      <c r="L209" s="94"/>
    </row>
    <row r="210" ht="12.75" customHeight="1">
      <c r="G210" s="94"/>
      <c r="H210" s="132"/>
      <c r="I210" s="132"/>
      <c r="J210" s="133"/>
      <c r="K210" s="133"/>
      <c r="L210" s="94"/>
    </row>
    <row r="211" ht="12.75" customHeight="1">
      <c r="G211" s="94"/>
      <c r="H211" s="132"/>
      <c r="I211" s="132"/>
      <c r="J211" s="133"/>
      <c r="K211" s="133"/>
      <c r="L211" s="94"/>
    </row>
    <row r="212" ht="12.75" customHeight="1">
      <c r="G212" s="94"/>
      <c r="H212" s="132"/>
      <c r="I212" s="132"/>
      <c r="J212" s="133"/>
      <c r="K212" s="133"/>
      <c r="L212" s="94"/>
    </row>
    <row r="213" ht="12.75" customHeight="1">
      <c r="G213" s="94"/>
      <c r="H213" s="132"/>
      <c r="I213" s="132"/>
      <c r="J213" s="133"/>
      <c r="K213" s="133"/>
      <c r="L213" s="94"/>
    </row>
    <row r="214" ht="12.75" customHeight="1">
      <c r="G214" s="94"/>
      <c r="H214" s="132"/>
      <c r="I214" s="132"/>
      <c r="J214" s="133"/>
      <c r="K214" s="133"/>
      <c r="L214" s="94"/>
    </row>
    <row r="215" ht="12.75" customHeight="1">
      <c r="G215" s="94"/>
      <c r="H215" s="132"/>
      <c r="I215" s="132"/>
      <c r="J215" s="133"/>
      <c r="K215" s="133"/>
      <c r="L215" s="94"/>
    </row>
    <row r="216" ht="12.75" customHeight="1">
      <c r="G216" s="94"/>
      <c r="H216" s="132"/>
      <c r="I216" s="132"/>
      <c r="J216" s="133"/>
      <c r="K216" s="133"/>
      <c r="L216" s="94"/>
    </row>
    <row r="217" ht="12.75" customHeight="1">
      <c r="G217" s="94"/>
      <c r="H217" s="132"/>
      <c r="I217" s="132"/>
      <c r="J217" s="133"/>
      <c r="K217" s="133"/>
      <c r="L217" s="94"/>
    </row>
    <row r="218" ht="12.75" customHeight="1">
      <c r="G218" s="94"/>
      <c r="H218" s="132"/>
      <c r="I218" s="132"/>
      <c r="J218" s="133"/>
      <c r="K218" s="133"/>
      <c r="L218" s="94"/>
    </row>
    <row r="219" ht="12.75" customHeight="1">
      <c r="G219" s="94"/>
      <c r="H219" s="132"/>
      <c r="I219" s="132"/>
      <c r="J219" s="133"/>
      <c r="K219" s="133"/>
      <c r="L219" s="94"/>
    </row>
    <row r="220" ht="12.75" customHeight="1">
      <c r="G220" s="94"/>
      <c r="H220" s="132"/>
      <c r="I220" s="132"/>
      <c r="J220" s="133"/>
      <c r="K220" s="133"/>
      <c r="L220" s="94"/>
    </row>
    <row r="221" ht="12.75" customHeight="1">
      <c r="G221" s="94"/>
      <c r="H221" s="132"/>
      <c r="I221" s="132"/>
      <c r="J221" s="133"/>
      <c r="K221" s="133"/>
      <c r="L221" s="94"/>
    </row>
    <row r="222" ht="12.75" customHeight="1">
      <c r="G222" s="94"/>
      <c r="H222" s="132"/>
      <c r="I222" s="132"/>
      <c r="J222" s="133"/>
      <c r="K222" s="133"/>
      <c r="L222" s="94"/>
    </row>
    <row r="223" ht="12.75" customHeight="1">
      <c r="G223" s="94"/>
      <c r="H223" s="132"/>
      <c r="I223" s="132"/>
      <c r="J223" s="133"/>
      <c r="K223" s="133"/>
      <c r="L223" s="94"/>
    </row>
    <row r="224" ht="12.75" customHeight="1">
      <c r="G224" s="94"/>
      <c r="H224" s="132"/>
      <c r="I224" s="132"/>
      <c r="J224" s="133"/>
      <c r="K224" s="133"/>
      <c r="L224" s="94"/>
    </row>
    <row r="225" ht="12.75" customHeight="1">
      <c r="G225" s="94"/>
      <c r="H225" s="132"/>
      <c r="I225" s="132"/>
      <c r="J225" s="133"/>
      <c r="K225" s="133"/>
      <c r="L225" s="94"/>
    </row>
    <row r="226" ht="12.75" customHeight="1">
      <c r="G226" s="94"/>
      <c r="H226" s="132"/>
      <c r="I226" s="132"/>
      <c r="J226" s="133"/>
      <c r="K226" s="133"/>
      <c r="L226" s="94"/>
    </row>
    <row r="227" ht="12.75" customHeight="1">
      <c r="G227" s="94"/>
      <c r="H227" s="132"/>
      <c r="I227" s="132"/>
      <c r="J227" s="133"/>
      <c r="K227" s="133"/>
      <c r="L227" s="94"/>
    </row>
    <row r="228" ht="12.75" customHeight="1">
      <c r="G228" s="94"/>
      <c r="H228" s="132"/>
      <c r="I228" s="132"/>
      <c r="J228" s="133"/>
      <c r="K228" s="133"/>
      <c r="L228" s="94"/>
    </row>
    <row r="229" ht="12.75" customHeight="1">
      <c r="G229" s="94"/>
      <c r="H229" s="132"/>
      <c r="I229" s="132"/>
      <c r="J229" s="133"/>
      <c r="K229" s="133"/>
      <c r="L229" s="94"/>
    </row>
    <row r="230" ht="12.75" customHeight="1">
      <c r="G230" s="94"/>
      <c r="H230" s="132"/>
      <c r="I230" s="132"/>
      <c r="J230" s="133"/>
      <c r="K230" s="133"/>
      <c r="L230" s="94"/>
    </row>
    <row r="231" ht="12.75" customHeight="1">
      <c r="G231" s="94"/>
      <c r="H231" s="132"/>
      <c r="I231" s="132"/>
      <c r="J231" s="133"/>
      <c r="K231" s="133"/>
      <c r="L231" s="94"/>
    </row>
    <row r="232" ht="12.75" customHeight="1">
      <c r="G232" s="94"/>
      <c r="H232" s="132"/>
      <c r="I232" s="132"/>
      <c r="J232" s="133"/>
      <c r="K232" s="133"/>
      <c r="L232" s="94"/>
    </row>
    <row r="233" ht="12.75" customHeight="1">
      <c r="G233" s="94"/>
      <c r="H233" s="132"/>
      <c r="I233" s="132"/>
      <c r="J233" s="133"/>
      <c r="K233" s="133"/>
      <c r="L233" s="94"/>
    </row>
    <row r="234" ht="12.75" customHeight="1">
      <c r="G234" s="94"/>
      <c r="H234" s="132"/>
      <c r="I234" s="132"/>
      <c r="J234" s="133"/>
      <c r="K234" s="133"/>
      <c r="L234" s="94"/>
    </row>
    <row r="235" ht="12.75" customHeight="1">
      <c r="G235" s="94"/>
      <c r="H235" s="132"/>
      <c r="I235" s="132"/>
      <c r="J235" s="133"/>
      <c r="K235" s="133"/>
      <c r="L235" s="94"/>
    </row>
    <row r="236" ht="12.75" customHeight="1">
      <c r="G236" s="94"/>
      <c r="H236" s="132"/>
      <c r="I236" s="132"/>
      <c r="J236" s="133"/>
      <c r="K236" s="133"/>
      <c r="L236" s="94"/>
    </row>
    <row r="237" ht="12.75" customHeight="1">
      <c r="G237" s="94"/>
      <c r="H237" s="132"/>
      <c r="I237" s="132"/>
      <c r="J237" s="133"/>
      <c r="K237" s="133"/>
      <c r="L237" s="94"/>
    </row>
    <row r="238" ht="12.75" customHeight="1">
      <c r="G238" s="94"/>
      <c r="H238" s="132"/>
      <c r="I238" s="132"/>
      <c r="J238" s="133"/>
      <c r="K238" s="133"/>
      <c r="L238" s="94"/>
    </row>
    <row r="239" ht="12.75" customHeight="1">
      <c r="G239" s="94"/>
      <c r="H239" s="132"/>
      <c r="I239" s="132"/>
      <c r="J239" s="133"/>
      <c r="K239" s="133"/>
      <c r="L239" s="94"/>
    </row>
    <row r="240" ht="12.75" customHeight="1">
      <c r="G240" s="94"/>
      <c r="H240" s="132"/>
      <c r="I240" s="132"/>
      <c r="J240" s="133"/>
      <c r="K240" s="133"/>
      <c r="L240" s="94"/>
    </row>
    <row r="241" ht="12.75" customHeight="1">
      <c r="G241" s="94"/>
      <c r="H241" s="132"/>
      <c r="I241" s="132"/>
      <c r="J241" s="133"/>
      <c r="K241" s="133"/>
      <c r="L241" s="94"/>
    </row>
    <row r="242" ht="12.75" customHeight="1">
      <c r="G242" s="94"/>
      <c r="H242" s="132"/>
      <c r="I242" s="132"/>
      <c r="J242" s="133"/>
      <c r="K242" s="133"/>
      <c r="L242" s="94"/>
    </row>
    <row r="243" ht="12.75" customHeight="1">
      <c r="G243" s="94"/>
      <c r="H243" s="132"/>
      <c r="I243" s="132"/>
      <c r="J243" s="133"/>
      <c r="K243" s="133"/>
      <c r="L243" s="94"/>
    </row>
    <row r="244" ht="12.75" customHeight="1">
      <c r="G244" s="94"/>
      <c r="H244" s="132"/>
      <c r="I244" s="132"/>
      <c r="J244" s="133"/>
      <c r="K244" s="133"/>
      <c r="L244" s="94"/>
    </row>
    <row r="245" ht="12.75" customHeight="1">
      <c r="G245" s="94"/>
      <c r="H245" s="132"/>
      <c r="I245" s="132"/>
      <c r="J245" s="133"/>
      <c r="K245" s="133"/>
      <c r="L245" s="94"/>
    </row>
    <row r="246" ht="12.75" customHeight="1">
      <c r="G246" s="94"/>
      <c r="H246" s="132"/>
      <c r="I246" s="132"/>
      <c r="J246" s="133"/>
      <c r="K246" s="133"/>
      <c r="L246" s="94"/>
    </row>
    <row r="247" ht="12.75" customHeight="1">
      <c r="G247" s="94"/>
      <c r="H247" s="132"/>
      <c r="I247" s="132"/>
      <c r="J247" s="133"/>
      <c r="K247" s="133"/>
      <c r="L247" s="94"/>
    </row>
    <row r="248" ht="12.75" customHeight="1">
      <c r="G248" s="94"/>
      <c r="H248" s="132"/>
      <c r="I248" s="132"/>
      <c r="J248" s="133"/>
      <c r="K248" s="133"/>
      <c r="L248" s="94"/>
    </row>
    <row r="249" ht="12.75" customHeight="1">
      <c r="G249" s="94"/>
      <c r="H249" s="132"/>
      <c r="I249" s="132"/>
      <c r="J249" s="133"/>
      <c r="K249" s="133"/>
      <c r="L249" s="94"/>
    </row>
    <row r="250" ht="12.75" customHeight="1">
      <c r="G250" s="94"/>
      <c r="H250" s="132"/>
      <c r="I250" s="132"/>
      <c r="J250" s="133"/>
      <c r="K250" s="133"/>
      <c r="L250" s="94"/>
    </row>
    <row r="251" ht="12.75" customHeight="1">
      <c r="G251" s="94"/>
      <c r="H251" s="132"/>
      <c r="I251" s="132"/>
      <c r="J251" s="133"/>
      <c r="K251" s="133"/>
      <c r="L251" s="94"/>
    </row>
    <row r="252" ht="12.75" customHeight="1">
      <c r="G252" s="94"/>
      <c r="H252" s="132"/>
      <c r="I252" s="132"/>
      <c r="J252" s="133"/>
      <c r="K252" s="133"/>
      <c r="L252" s="94"/>
    </row>
    <row r="253" ht="12.75" customHeight="1">
      <c r="G253" s="94"/>
      <c r="H253" s="132"/>
      <c r="I253" s="132"/>
      <c r="J253" s="133"/>
      <c r="K253" s="133"/>
      <c r="L253" s="94"/>
    </row>
    <row r="254" ht="12.75" customHeight="1">
      <c r="G254" s="94"/>
      <c r="H254" s="132"/>
      <c r="I254" s="132"/>
      <c r="J254" s="133"/>
      <c r="K254" s="133"/>
      <c r="L254" s="94"/>
    </row>
    <row r="255" ht="12.75" customHeight="1">
      <c r="G255" s="94"/>
      <c r="H255" s="132"/>
      <c r="I255" s="132"/>
      <c r="J255" s="133"/>
      <c r="K255" s="133"/>
      <c r="L255" s="94"/>
    </row>
    <row r="256" ht="12.75" customHeight="1">
      <c r="G256" s="94"/>
      <c r="H256" s="132"/>
      <c r="I256" s="132"/>
      <c r="J256" s="133"/>
      <c r="K256" s="133"/>
      <c r="L256" s="94"/>
    </row>
    <row r="257" ht="12.75" customHeight="1">
      <c r="G257" s="94"/>
      <c r="H257" s="132"/>
      <c r="I257" s="132"/>
      <c r="J257" s="133"/>
      <c r="K257" s="133"/>
      <c r="L257" s="94"/>
    </row>
    <row r="258" ht="12.75" customHeight="1">
      <c r="G258" s="94"/>
      <c r="H258" s="132"/>
      <c r="I258" s="132"/>
      <c r="J258" s="133"/>
      <c r="K258" s="133"/>
      <c r="L258" s="94"/>
    </row>
    <row r="259" ht="12.75" customHeight="1">
      <c r="G259" s="94"/>
      <c r="H259" s="132"/>
      <c r="I259" s="132"/>
      <c r="J259" s="133"/>
      <c r="K259" s="133"/>
      <c r="L259" s="94"/>
    </row>
    <row r="260" ht="12.75" customHeight="1">
      <c r="G260" s="94"/>
      <c r="H260" s="132"/>
      <c r="I260" s="132"/>
      <c r="J260" s="133"/>
      <c r="K260" s="133"/>
      <c r="L260" s="94"/>
    </row>
    <row r="261" ht="12.75" customHeight="1">
      <c r="G261" s="94"/>
      <c r="H261" s="132"/>
      <c r="I261" s="132"/>
      <c r="J261" s="133"/>
      <c r="K261" s="133"/>
      <c r="L261" s="94"/>
    </row>
    <row r="262" ht="12.75" customHeight="1">
      <c r="G262" s="94"/>
      <c r="H262" s="132"/>
      <c r="I262" s="132"/>
      <c r="J262" s="133"/>
      <c r="K262" s="133"/>
      <c r="L262" s="94"/>
    </row>
    <row r="263" ht="12.75" customHeight="1">
      <c r="G263" s="94"/>
      <c r="H263" s="132"/>
      <c r="I263" s="132"/>
      <c r="J263" s="133"/>
      <c r="K263" s="133"/>
      <c r="L263" s="94"/>
    </row>
    <row r="264" ht="12.75" customHeight="1">
      <c r="G264" s="94"/>
      <c r="H264" s="132"/>
      <c r="I264" s="132"/>
      <c r="J264" s="133"/>
      <c r="K264" s="133"/>
      <c r="L264" s="9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H47:I47"/>
    <mergeCell ref="H48:I48"/>
    <mergeCell ref="B44:E44"/>
    <mergeCell ref="B45:E45"/>
    <mergeCell ref="H45:I45"/>
    <mergeCell ref="B46:E46"/>
    <mergeCell ref="H46:I46"/>
    <mergeCell ref="B47:E47"/>
    <mergeCell ref="B48:E48"/>
    <mergeCell ref="B49:E49"/>
    <mergeCell ref="H49:I49"/>
    <mergeCell ref="B50:E50"/>
    <mergeCell ref="H50:I50"/>
    <mergeCell ref="B51:E51"/>
    <mergeCell ref="H51:I51"/>
    <mergeCell ref="H52:I52"/>
    <mergeCell ref="B59:E59"/>
    <mergeCell ref="B60:E60"/>
    <mergeCell ref="B61:E61"/>
    <mergeCell ref="B62:E62"/>
    <mergeCell ref="B63:E63"/>
    <mergeCell ref="B64:E64"/>
    <mergeCell ref="B52:E52"/>
    <mergeCell ref="B53:E53"/>
    <mergeCell ref="B54:E54"/>
    <mergeCell ref="B55:E55"/>
    <mergeCell ref="B56:E56"/>
    <mergeCell ref="B57:E57"/>
    <mergeCell ref="B58:E58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59:I59"/>
    <mergeCell ref="A1:K1"/>
    <mergeCell ref="A2:F2"/>
    <mergeCell ref="G2:G3"/>
    <mergeCell ref="H2:I2"/>
    <mergeCell ref="J2:J3"/>
    <mergeCell ref="K2:K3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6:E36"/>
    <mergeCell ref="B37:E37"/>
    <mergeCell ref="B38:E38"/>
    <mergeCell ref="G40:G41"/>
    <mergeCell ref="H40:I41"/>
    <mergeCell ref="J40:J41"/>
    <mergeCell ref="K40:K41"/>
    <mergeCell ref="A40:F40"/>
    <mergeCell ref="B41:E41"/>
    <mergeCell ref="B42:E42"/>
    <mergeCell ref="H42:I42"/>
    <mergeCell ref="B43:E43"/>
    <mergeCell ref="H43:I43"/>
    <mergeCell ref="H44:I44"/>
  </mergeCells>
  <printOptions/>
  <pageMargins bottom="1.023611111111111" footer="0.0" header="0.0" left="0.7875" right="0.7875" top="1.023611111111111"/>
  <pageSetup paperSize="9" scale="48" orientation="portrait"/>
  <headerFooter>
    <oddFooter>&amp;CPágina &amp;P de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2.88"/>
    <col customWidth="1" min="2" max="2" width="8.25"/>
    <col customWidth="1" min="3" max="3" width="11.63"/>
    <col customWidth="1" min="4" max="4" width="1.13"/>
    <col customWidth="1" min="5" max="5" width="7.75"/>
    <col customWidth="1" min="6" max="6" width="5.88"/>
    <col customWidth="1" min="7" max="7" width="13.38"/>
    <col customWidth="1" min="8" max="8" width="8.38"/>
    <col customWidth="1" min="9" max="9" width="5.88"/>
    <col customWidth="1" min="10" max="10" width="11.63"/>
    <col customWidth="1" min="11" max="11" width="8.38"/>
    <col customWidth="1" min="12" max="12" width="6.63"/>
  </cols>
  <sheetData>
    <row r="1" ht="12.75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/>
      <c r="L2" s="5"/>
    </row>
    <row r="3" ht="12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12.75" customHeight="1">
      <c r="A4" s="134" t="str">
        <f>Contagem!A5&amp;" : "&amp;Contagem!F5</f>
        <v>Aplicação : MANOPLA</v>
      </c>
      <c r="B4" s="10"/>
      <c r="C4" s="10"/>
      <c r="D4" s="10"/>
      <c r="E4" s="11"/>
      <c r="F4" s="34" t="str">
        <f>Contagem!A8&amp;" : "&amp;Contagem!F8</f>
        <v>Projeto : MANOPLA</v>
      </c>
      <c r="G4" s="10"/>
      <c r="H4" s="10"/>
      <c r="I4" s="10"/>
      <c r="J4" s="10"/>
      <c r="K4" s="10"/>
      <c r="L4" s="15"/>
    </row>
    <row r="5" ht="12.75" customHeight="1">
      <c r="A5" s="134" t="str">
        <f>Contagem!A9&amp;" : "&amp;Contagem!F9</f>
        <v>Responsável : João Cleber</v>
      </c>
      <c r="B5" s="10"/>
      <c r="C5" s="10"/>
      <c r="D5" s="10"/>
      <c r="E5" s="11"/>
      <c r="F5" s="34" t="str">
        <f>Contagem!A10&amp;" : "&amp;Contagem!F10</f>
        <v>Revisor : João Cleber</v>
      </c>
      <c r="G5" s="10"/>
      <c r="H5" s="10"/>
      <c r="I5" s="10"/>
      <c r="J5" s="10"/>
      <c r="K5" s="10"/>
      <c r="L5" s="15"/>
    </row>
    <row r="6" ht="12.75" customHeight="1">
      <c r="A6" s="134" t="str">
        <f>Contagem!A4&amp;" : "&amp;Contagem!F4</f>
        <v>Empresa : Secretaria de Estado de Planejamento e Gestão de Mato Grosso</v>
      </c>
      <c r="B6" s="10"/>
      <c r="C6" s="10"/>
      <c r="D6" s="10"/>
      <c r="E6" s="11"/>
      <c r="F6" s="34" t="str">
        <f>"Tipo de Contagem : "&amp;Contagem!F6</f>
        <v>Tipo de Contagem : Aplicação</v>
      </c>
      <c r="G6" s="10"/>
      <c r="H6" s="10"/>
      <c r="I6" s="10"/>
      <c r="J6" s="10"/>
      <c r="K6" s="10"/>
      <c r="L6" s="15"/>
    </row>
    <row r="7" ht="12.75" customHeight="1">
      <c r="A7" s="135" t="s">
        <v>232</v>
      </c>
      <c r="B7" s="136"/>
      <c r="C7" s="137" t="s">
        <v>233</v>
      </c>
      <c r="D7" s="23"/>
      <c r="E7" s="23"/>
      <c r="F7" s="136"/>
      <c r="G7" s="138" t="s">
        <v>234</v>
      </c>
      <c r="H7" s="138" t="s">
        <v>235</v>
      </c>
      <c r="I7" s="139"/>
      <c r="J7" s="140" t="s">
        <v>236</v>
      </c>
      <c r="K7" s="136"/>
      <c r="L7" s="141" t="s">
        <v>235</v>
      </c>
    </row>
    <row r="8" ht="12.75" customHeight="1">
      <c r="A8" s="6"/>
      <c r="B8" s="142"/>
      <c r="C8" s="143"/>
      <c r="D8" s="7"/>
      <c r="E8" s="7"/>
      <c r="F8" s="142"/>
      <c r="G8" s="144"/>
      <c r="H8" s="144"/>
      <c r="I8" s="145"/>
      <c r="J8" s="143"/>
      <c r="K8" s="142"/>
      <c r="L8" s="146"/>
    </row>
    <row r="9" ht="6.0" customHeight="1">
      <c r="A9" s="147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9"/>
    </row>
    <row r="10" ht="12.75" customHeight="1">
      <c r="A10" s="150"/>
      <c r="B10" s="151" t="s">
        <v>46</v>
      </c>
      <c r="C10" s="152" t="str">
        <f>COUNTIF(#REF!,"EEL")</f>
        <v>#REF!</v>
      </c>
      <c r="D10" s="151"/>
      <c r="E10" s="153" t="s">
        <v>237</v>
      </c>
      <c r="F10" s="153" t="s">
        <v>238</v>
      </c>
      <c r="G10" s="152" t="str">
        <f>C10*3</f>
        <v>#REF!</v>
      </c>
      <c r="H10" s="151"/>
      <c r="I10" s="154"/>
      <c r="J10" s="155" t="str">
        <f>Deflatores!$G$4&amp;"="</f>
        <v>I=</v>
      </c>
      <c r="K10" s="156" t="str">
        <f>SUMIF(#REF!,"EE"&amp;Deflatores!G4,#REF!)</f>
        <v>#N/A</v>
      </c>
      <c r="L10" s="157"/>
    </row>
    <row r="11" ht="12.75" customHeight="1">
      <c r="A11" s="158"/>
      <c r="B11" s="151"/>
      <c r="C11" s="152" t="str">
        <f>COUNTIF(#REF!,"EEA")</f>
        <v>#REF!</v>
      </c>
      <c r="D11" s="151"/>
      <c r="E11" s="153" t="s">
        <v>239</v>
      </c>
      <c r="F11" s="153" t="s">
        <v>240</v>
      </c>
      <c r="G11" s="152" t="str">
        <f>C11*4</f>
        <v>#REF!</v>
      </c>
      <c r="H11" s="151"/>
      <c r="I11" s="154"/>
      <c r="J11" s="155" t="str">
        <f>Deflatores!$G$5&amp;"="</f>
        <v>A=</v>
      </c>
      <c r="K11" s="156" t="str">
        <f>SUMIF(#REF!,"EE"&amp;Deflatores!G5,#REF!)</f>
        <v>#N/A</v>
      </c>
      <c r="L11" s="157"/>
    </row>
    <row r="12" ht="12.75" customHeight="1">
      <c r="A12" s="158"/>
      <c r="B12" s="151"/>
      <c r="C12" s="152" t="str">
        <f>COUNTIF(#REF!,"EEH")</f>
        <v>#REF!</v>
      </c>
      <c r="D12" s="151"/>
      <c r="E12" s="153" t="s">
        <v>241</v>
      </c>
      <c r="F12" s="153" t="s">
        <v>242</v>
      </c>
      <c r="G12" s="152" t="str">
        <f>C12*6</f>
        <v>#REF!</v>
      </c>
      <c r="H12" s="151"/>
      <c r="I12" s="154"/>
      <c r="J12" s="155" t="str">
        <f>Deflatores!$G$6&amp;"="</f>
        <v>E=</v>
      </c>
      <c r="K12" s="156" t="str">
        <f>SUMIF(#REF!,"EE"&amp;Deflatores!G6,#REF!)</f>
        <v>#N/A</v>
      </c>
      <c r="L12" s="159"/>
    </row>
    <row r="13" ht="12.75" customHeight="1">
      <c r="A13" s="158"/>
      <c r="B13" s="151"/>
      <c r="C13" s="151"/>
      <c r="D13" s="151"/>
      <c r="E13" s="151"/>
      <c r="F13" s="151"/>
      <c r="G13" s="151"/>
      <c r="H13" s="151"/>
      <c r="I13" s="151"/>
      <c r="J13" s="151"/>
      <c r="K13" s="160"/>
      <c r="L13" s="157"/>
    </row>
    <row r="14" ht="12.75" customHeight="1">
      <c r="A14" s="158"/>
      <c r="B14" s="161" t="s">
        <v>243</v>
      </c>
      <c r="C14" s="152" t="str">
        <f>SUM(C10:C12)</f>
        <v>#REF!</v>
      </c>
      <c r="D14" s="151"/>
      <c r="E14" s="151"/>
      <c r="F14" s="161" t="s">
        <v>244</v>
      </c>
      <c r="G14" s="152" t="str">
        <f>SUM(G10:G12)</f>
        <v>#REF!</v>
      </c>
      <c r="H14" s="154" t="str">
        <f>IF($G$45&lt;&gt;0,G14/$G$45,"")</f>
        <v>#REF!</v>
      </c>
      <c r="I14" s="133"/>
      <c r="J14" s="155"/>
      <c r="K14" s="156" t="str">
        <f>SUM(K10:K13)</f>
        <v>#N/A</v>
      </c>
      <c r="L14" s="162" t="str">
        <f>IF('Sumário 2'!L11&lt;&gt;0,K14/'Sumário 2'!L11,"")</f>
        <v>#REF!</v>
      </c>
    </row>
    <row r="15" ht="6.0" customHeight="1">
      <c r="A15" s="163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64"/>
    </row>
    <row r="16" ht="6.0" customHeight="1">
      <c r="A16" s="158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7"/>
    </row>
    <row r="17" ht="12.75" customHeight="1">
      <c r="A17" s="158"/>
      <c r="B17" s="151" t="s">
        <v>50</v>
      </c>
      <c r="C17" s="155" t="str">
        <f>COUNTIF(#REF!,"SEL")</f>
        <v>#REF!</v>
      </c>
      <c r="D17" s="151"/>
      <c r="E17" s="153" t="s">
        <v>237</v>
      </c>
      <c r="F17" s="153" t="s">
        <v>240</v>
      </c>
      <c r="G17" s="155" t="str">
        <f>C17*4</f>
        <v>#REF!</v>
      </c>
      <c r="H17" s="151"/>
      <c r="I17" s="151"/>
      <c r="J17" s="155" t="str">
        <f>Deflatores!$G$4&amp;"="</f>
        <v>I=</v>
      </c>
      <c r="K17" s="165" t="str">
        <f>SUMIF(#REF!,"SE"&amp;Deflatores!$G$4,#REF!)</f>
        <v>#N/A</v>
      </c>
      <c r="L17" s="157"/>
    </row>
    <row r="18" ht="12.75" customHeight="1">
      <c r="A18" s="158"/>
      <c r="B18" s="151"/>
      <c r="C18" s="155" t="str">
        <f>COUNTIF(#REF!,"SEA")</f>
        <v>#REF!</v>
      </c>
      <c r="D18" s="151"/>
      <c r="E18" s="153" t="s">
        <v>239</v>
      </c>
      <c r="F18" s="153" t="s">
        <v>245</v>
      </c>
      <c r="G18" s="155" t="str">
        <f>C18*5</f>
        <v>#REF!</v>
      </c>
      <c r="H18" s="151"/>
      <c r="I18" s="151"/>
      <c r="J18" s="155" t="str">
        <f>Deflatores!$G$5&amp;"="</f>
        <v>A=</v>
      </c>
      <c r="K18" s="165" t="str">
        <f>SUMIF(#REF!,"SE"&amp;Deflatores!$G$5,#REF!)</f>
        <v>#N/A</v>
      </c>
      <c r="L18" s="157"/>
    </row>
    <row r="19" ht="12.75" customHeight="1">
      <c r="A19" s="158"/>
      <c r="B19" s="151"/>
      <c r="C19" s="155" t="str">
        <f>COUNTIF(#REF!,"SEH")</f>
        <v>#REF!</v>
      </c>
      <c r="D19" s="151"/>
      <c r="E19" s="153" t="s">
        <v>241</v>
      </c>
      <c r="F19" s="153" t="s">
        <v>246</v>
      </c>
      <c r="G19" s="155" t="str">
        <f>C19*7</f>
        <v>#REF!</v>
      </c>
      <c r="H19" s="151"/>
      <c r="I19" s="151"/>
      <c r="J19" s="155" t="str">
        <f>Deflatores!$G$6&amp;"="</f>
        <v>E=</v>
      </c>
      <c r="K19" s="165" t="str">
        <f>SUMIF(#REF!,"SE"&amp;Deflatores!$G$6,#REF!)</f>
        <v>#N/A</v>
      </c>
      <c r="L19" s="159"/>
    </row>
    <row r="20" ht="12.75" customHeight="1">
      <c r="A20" s="158"/>
      <c r="B20" s="151"/>
      <c r="C20" s="151"/>
      <c r="D20" s="151"/>
      <c r="E20" s="151"/>
      <c r="F20" s="151"/>
      <c r="G20" s="151"/>
      <c r="H20" s="151"/>
      <c r="I20" s="151"/>
      <c r="J20" s="151"/>
      <c r="K20" s="160"/>
      <c r="L20" s="157"/>
    </row>
    <row r="21" ht="12.75" customHeight="1">
      <c r="A21" s="158"/>
      <c r="B21" s="161" t="s">
        <v>243</v>
      </c>
      <c r="C21" s="152" t="str">
        <f>SUM(C17:C19)</f>
        <v>#REF!</v>
      </c>
      <c r="D21" s="151"/>
      <c r="E21" s="151"/>
      <c r="F21" s="161" t="s">
        <v>244</v>
      </c>
      <c r="G21" s="152" t="str">
        <f>SUM(G17:G19)</f>
        <v>#REF!</v>
      </c>
      <c r="H21" s="154" t="str">
        <f>IF($G$45&lt;&gt;0,G21/$G$45,"")</f>
        <v>#REF!</v>
      </c>
      <c r="I21" s="133"/>
      <c r="J21" s="155"/>
      <c r="K21" s="156" t="str">
        <f>SUM(K17:K20)</f>
        <v>#N/A</v>
      </c>
      <c r="L21" s="162" t="str">
        <f>IF('Sumário 2'!L11&lt;&gt;0,K21/'Sumário 2'!L11,"")</f>
        <v>#REF!</v>
      </c>
    </row>
    <row r="22" ht="6.0" customHeight="1">
      <c r="A22" s="163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64"/>
    </row>
    <row r="23" ht="6.0" customHeight="1">
      <c r="A23" s="147"/>
      <c r="B23" s="148"/>
      <c r="C23" s="151"/>
      <c r="D23" s="148"/>
      <c r="E23" s="148"/>
      <c r="F23" s="148"/>
      <c r="G23" s="151"/>
      <c r="H23" s="148"/>
      <c r="I23" s="148"/>
      <c r="J23" s="148"/>
      <c r="K23" s="148"/>
      <c r="L23" s="149"/>
    </row>
    <row r="24" ht="12.75" customHeight="1">
      <c r="A24" s="158"/>
      <c r="B24" s="151" t="s">
        <v>44</v>
      </c>
      <c r="C24" s="152" t="str">
        <f>COUNTIF(#REF!,"CEL")</f>
        <v>#REF!</v>
      </c>
      <c r="D24" s="151"/>
      <c r="E24" s="153" t="s">
        <v>237</v>
      </c>
      <c r="F24" s="153" t="s">
        <v>238</v>
      </c>
      <c r="G24" s="152" t="str">
        <f>C24*3</f>
        <v>#REF!</v>
      </c>
      <c r="H24" s="151"/>
      <c r="I24" s="151"/>
      <c r="J24" s="155" t="str">
        <f>Deflatores!$G$4&amp;"="</f>
        <v>I=</v>
      </c>
      <c r="K24" s="156" t="str">
        <f>SUMIF(#REF!,"CE"&amp;Deflatores!$G$4,#REF!)</f>
        <v>#N/A</v>
      </c>
      <c r="L24" s="157"/>
    </row>
    <row r="25" ht="12.75" customHeight="1">
      <c r="A25" s="158"/>
      <c r="B25" s="151"/>
      <c r="C25" s="152" t="str">
        <f>COUNTIF(#REF!,"CEA")</f>
        <v>#REF!</v>
      </c>
      <c r="D25" s="151"/>
      <c r="E25" s="153" t="s">
        <v>239</v>
      </c>
      <c r="F25" s="153" t="s">
        <v>240</v>
      </c>
      <c r="G25" s="152" t="str">
        <f>C25*4</f>
        <v>#REF!</v>
      </c>
      <c r="H25" s="151"/>
      <c r="I25" s="151"/>
      <c r="J25" s="155" t="str">
        <f>Deflatores!$G$5&amp;"="</f>
        <v>A=</v>
      </c>
      <c r="K25" s="156" t="str">
        <f>SUMIF(#REF!,"CE"&amp;Deflatores!$G$5,#REF!)</f>
        <v>#N/A</v>
      </c>
      <c r="L25" s="157"/>
    </row>
    <row r="26" ht="12.75" customHeight="1">
      <c r="A26" s="158"/>
      <c r="B26" s="151"/>
      <c r="C26" s="152" t="str">
        <f>COUNTIF(#REF!,"CEH")</f>
        <v>#REF!</v>
      </c>
      <c r="D26" s="151"/>
      <c r="E26" s="153" t="s">
        <v>241</v>
      </c>
      <c r="F26" s="153" t="s">
        <v>242</v>
      </c>
      <c r="G26" s="152" t="str">
        <f>C26*6</f>
        <v>#REF!</v>
      </c>
      <c r="H26" s="151"/>
      <c r="I26" s="151"/>
      <c r="J26" s="155" t="str">
        <f>Deflatores!$G$6&amp;"="</f>
        <v>E=</v>
      </c>
      <c r="K26" s="156" t="str">
        <f>SUMIF(#REF!,"CE"&amp;Deflatores!$G$6,#REF!)</f>
        <v>#N/A</v>
      </c>
      <c r="L26" s="159"/>
    </row>
    <row r="27" ht="12.75" customHeight="1">
      <c r="A27" s="158"/>
      <c r="B27" s="151"/>
      <c r="C27" s="151"/>
      <c r="D27" s="151"/>
      <c r="E27" s="151"/>
      <c r="F27" s="151"/>
      <c r="G27" s="151"/>
      <c r="H27" s="151"/>
      <c r="I27" s="151"/>
      <c r="J27" s="151"/>
      <c r="K27" s="160"/>
      <c r="L27" s="157"/>
    </row>
    <row r="28" ht="12.75" customHeight="1">
      <c r="A28" s="158"/>
      <c r="B28" s="161" t="s">
        <v>243</v>
      </c>
      <c r="C28" s="152" t="str">
        <f>SUM(C24:C26)</f>
        <v>#REF!</v>
      </c>
      <c r="D28" s="151"/>
      <c r="E28" s="151"/>
      <c r="F28" s="161" t="s">
        <v>244</v>
      </c>
      <c r="G28" s="152" t="str">
        <f>SUM(G24:G26)</f>
        <v>#REF!</v>
      </c>
      <c r="H28" s="154" t="str">
        <f>IF($G$45&lt;&gt;0,G28/$G$45,"")</f>
        <v>#REF!</v>
      </c>
      <c r="I28" s="133"/>
      <c r="J28" s="155"/>
      <c r="K28" s="156" t="str">
        <f>SUM(K24:K27)</f>
        <v>#N/A</v>
      </c>
      <c r="L28" s="162" t="str">
        <f>IF('Sumário 2'!L11&lt;&gt;0,K28/'Sumário 2'!L11,"")</f>
        <v>#REF!</v>
      </c>
    </row>
    <row r="29" ht="6.0" customHeight="1">
      <c r="A29" s="163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64"/>
    </row>
    <row r="30" ht="6.0" customHeight="1">
      <c r="A30" s="147"/>
      <c r="B30" s="148"/>
      <c r="C30" s="151"/>
      <c r="D30" s="148"/>
      <c r="E30" s="148"/>
      <c r="F30" s="148"/>
      <c r="G30" s="151"/>
      <c r="H30" s="148"/>
      <c r="I30" s="148"/>
      <c r="J30" s="148"/>
      <c r="K30" s="148"/>
      <c r="L30" s="149"/>
    </row>
    <row r="31" ht="12.75" customHeight="1">
      <c r="A31" s="158"/>
      <c r="B31" s="151" t="s">
        <v>41</v>
      </c>
      <c r="C31" s="152" t="str">
        <f>COUNTIF(#REF!,"ALIL")</f>
        <v>#REF!</v>
      </c>
      <c r="D31" s="151"/>
      <c r="E31" s="151" t="s">
        <v>237</v>
      </c>
      <c r="F31" s="151" t="s">
        <v>246</v>
      </c>
      <c r="G31" s="152" t="str">
        <f>C31*7</f>
        <v>#REF!</v>
      </c>
      <c r="H31" s="151"/>
      <c r="I31" s="151"/>
      <c r="J31" s="155" t="str">
        <f>Deflatores!$G$4&amp;"="</f>
        <v>I=</v>
      </c>
      <c r="K31" s="156" t="str">
        <f>SUMIF(#REF!,"ALI"&amp;Deflatores!$G$4,#REF!)</f>
        <v>#N/A</v>
      </c>
      <c r="L31" s="157"/>
    </row>
    <row r="32" ht="12.75" customHeight="1">
      <c r="A32" s="158"/>
      <c r="B32" s="151"/>
      <c r="C32" s="152" t="str">
        <f>COUNTIF(#REF!,"ALIA")</f>
        <v>#REF!</v>
      </c>
      <c r="D32" s="151"/>
      <c r="E32" s="151" t="s">
        <v>239</v>
      </c>
      <c r="F32" s="151" t="s">
        <v>247</v>
      </c>
      <c r="G32" s="152" t="str">
        <f>C32*10</f>
        <v>#REF!</v>
      </c>
      <c r="H32" s="151"/>
      <c r="I32" s="151"/>
      <c r="J32" s="155" t="str">
        <f>Deflatores!$G$5&amp;"="</f>
        <v>A=</v>
      </c>
      <c r="K32" s="156" t="str">
        <f>SUMIF(#REF!,"ALI"&amp;Deflatores!$G$5,#REF!)</f>
        <v>#N/A</v>
      </c>
      <c r="L32" s="157"/>
    </row>
    <row r="33" ht="12.75" customHeight="1">
      <c r="A33" s="158"/>
      <c r="B33" s="151"/>
      <c r="C33" s="152" t="str">
        <f>COUNTIF(#REF!,"ALIH")</f>
        <v>#REF!</v>
      </c>
      <c r="D33" s="151"/>
      <c r="E33" s="151" t="s">
        <v>241</v>
      </c>
      <c r="F33" s="151" t="s">
        <v>248</v>
      </c>
      <c r="G33" s="152" t="str">
        <f>C33*15</f>
        <v>#REF!</v>
      </c>
      <c r="H33" s="151"/>
      <c r="I33" s="151"/>
      <c r="J33" s="155" t="str">
        <f>Deflatores!$G$6&amp;"="</f>
        <v>E=</v>
      </c>
      <c r="K33" s="156" t="str">
        <f>SUMIF(#REF!,"ALI"&amp;Deflatores!$G$6,#REF!)</f>
        <v>#N/A</v>
      </c>
      <c r="L33" s="159"/>
    </row>
    <row r="34" ht="12.75" customHeight="1">
      <c r="A34" s="158"/>
      <c r="B34" s="151"/>
      <c r="C34" s="151"/>
      <c r="D34" s="151"/>
      <c r="E34" s="151"/>
      <c r="F34" s="151"/>
      <c r="G34" s="151"/>
      <c r="H34" s="151"/>
      <c r="I34" s="151"/>
      <c r="J34" s="151"/>
      <c r="K34" s="160"/>
      <c r="L34" s="157"/>
    </row>
    <row r="35" ht="12.75" customHeight="1">
      <c r="A35" s="158"/>
      <c r="B35" s="161" t="s">
        <v>243</v>
      </c>
      <c r="C35" s="152" t="str">
        <f>SUM(C31:C33)</f>
        <v>#REF!</v>
      </c>
      <c r="D35" s="151"/>
      <c r="E35" s="151"/>
      <c r="F35" s="161" t="s">
        <v>244</v>
      </c>
      <c r="G35" s="152" t="str">
        <f>SUM(G31:G33)</f>
        <v>#REF!</v>
      </c>
      <c r="H35" s="154" t="str">
        <f>IF($G$45&lt;&gt;0,G35/$G$45,"")</f>
        <v>#REF!</v>
      </c>
      <c r="I35" s="133"/>
      <c r="J35" s="155"/>
      <c r="K35" s="156" t="str">
        <f>SUM(K31:K34)</f>
        <v>#N/A</v>
      </c>
      <c r="L35" s="162" t="str">
        <f>IF('Sumário 2'!L11&lt;&gt;0,K35/'Sumário 2'!L11,"")</f>
        <v>#REF!</v>
      </c>
    </row>
    <row r="36" ht="6.0" customHeight="1">
      <c r="A36" s="163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64"/>
    </row>
    <row r="37" ht="6.0" customHeight="1">
      <c r="A37" s="147"/>
      <c r="B37" s="148"/>
      <c r="C37" s="151"/>
      <c r="D37" s="148"/>
      <c r="E37" s="148"/>
      <c r="F37" s="148"/>
      <c r="G37" s="151"/>
      <c r="H37" s="148"/>
      <c r="I37" s="148"/>
      <c r="J37" s="148"/>
      <c r="K37" s="148"/>
      <c r="L37" s="149"/>
    </row>
    <row r="38" ht="12.75" customHeight="1">
      <c r="A38" s="158"/>
      <c r="B38" s="151" t="s">
        <v>91</v>
      </c>
      <c r="C38" s="152" t="str">
        <f>COUNTIF(#REF!,"AIEL")</f>
        <v>#REF!</v>
      </c>
      <c r="D38" s="151"/>
      <c r="E38" s="151" t="s">
        <v>237</v>
      </c>
      <c r="F38" s="151" t="s">
        <v>245</v>
      </c>
      <c r="G38" s="152" t="str">
        <f>C38*5</f>
        <v>#REF!</v>
      </c>
      <c r="H38" s="151"/>
      <c r="I38" s="151"/>
      <c r="J38" s="155" t="str">
        <f>Deflatores!$G$4&amp;"="</f>
        <v>I=</v>
      </c>
      <c r="K38" s="156" t="str">
        <f>SUMIF(#REF!,"AIE"&amp;Deflatores!$G$4,#REF!)</f>
        <v>#N/A</v>
      </c>
      <c r="L38" s="157"/>
    </row>
    <row r="39" ht="12.75" customHeight="1">
      <c r="A39" s="158"/>
      <c r="B39" s="151"/>
      <c r="C39" s="152" t="str">
        <f>COUNTIF(#REF!,"AIEA")</f>
        <v>#REF!</v>
      </c>
      <c r="D39" s="151"/>
      <c r="E39" s="151" t="s">
        <v>239</v>
      </c>
      <c r="F39" s="151" t="s">
        <v>246</v>
      </c>
      <c r="G39" s="152" t="str">
        <f>C39*7</f>
        <v>#REF!</v>
      </c>
      <c r="H39" s="151"/>
      <c r="I39" s="151"/>
      <c r="J39" s="155" t="str">
        <f>Deflatores!$G$5&amp;"="</f>
        <v>A=</v>
      </c>
      <c r="K39" s="156" t="str">
        <f>SUMIF(#REF!,"AIE"&amp;Deflatores!$G$5,#REF!)</f>
        <v>#N/A</v>
      </c>
      <c r="L39" s="157"/>
    </row>
    <row r="40" ht="12.75" customHeight="1">
      <c r="A40" s="158"/>
      <c r="B40" s="151"/>
      <c r="C40" s="152" t="str">
        <f>COUNTIF(#REF!,"AIEH")</f>
        <v>#REF!</v>
      </c>
      <c r="D40" s="151"/>
      <c r="E40" s="151" t="s">
        <v>241</v>
      </c>
      <c r="F40" s="151" t="s">
        <v>247</v>
      </c>
      <c r="G40" s="152" t="str">
        <f>C40*10</f>
        <v>#REF!</v>
      </c>
      <c r="H40" s="151"/>
      <c r="I40" s="151"/>
      <c r="J40" s="155" t="str">
        <f>Deflatores!$G$6&amp;"="</f>
        <v>E=</v>
      </c>
      <c r="K40" s="156" t="str">
        <f>SUMIF(#REF!,"AIE"&amp;Deflatores!$G$6,#REF!)</f>
        <v>#N/A</v>
      </c>
      <c r="L40" s="159"/>
    </row>
    <row r="41" ht="12.75" customHeight="1">
      <c r="A41" s="158"/>
      <c r="B41" s="151"/>
      <c r="C41" s="151"/>
      <c r="D41" s="151"/>
      <c r="E41" s="151"/>
      <c r="F41" s="151"/>
      <c r="G41" s="151"/>
      <c r="H41" s="151"/>
      <c r="I41" s="151"/>
      <c r="J41" s="151"/>
      <c r="K41" s="160"/>
      <c r="L41" s="157"/>
    </row>
    <row r="42" ht="12.75" customHeight="1">
      <c r="A42" s="158"/>
      <c r="B42" s="161" t="s">
        <v>243</v>
      </c>
      <c r="C42" s="152" t="str">
        <f>SUM(C38:C40)</f>
        <v>#REF!</v>
      </c>
      <c r="D42" s="151"/>
      <c r="E42" s="151"/>
      <c r="F42" s="161" t="s">
        <v>244</v>
      </c>
      <c r="G42" s="152" t="str">
        <f>SUM(G38:G40)</f>
        <v>#REF!</v>
      </c>
      <c r="H42" s="154" t="str">
        <f>IF($G$45&lt;&gt;0,G42/$G$45,"")</f>
        <v>#REF!</v>
      </c>
      <c r="I42" s="133"/>
      <c r="J42" s="155"/>
      <c r="K42" s="156" t="str">
        <f>SUM(K38:K41)</f>
        <v>#N/A</v>
      </c>
      <c r="L42" s="162" t="str">
        <f>IF('Sumário 2'!L11&lt;&gt;0,K42/'Sumário 2'!L11,"")</f>
        <v>#REF!</v>
      </c>
    </row>
    <row r="43" ht="6.0" customHeight="1">
      <c r="A43" s="163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64"/>
    </row>
    <row r="44" ht="6.0" customHeight="1">
      <c r="A44" s="158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7"/>
    </row>
    <row r="45" ht="12.75" customHeight="1">
      <c r="A45" s="158"/>
      <c r="B45" s="166" t="s">
        <v>249</v>
      </c>
      <c r="G45" s="152" t="str">
        <f>SUM(G14+G21+G28+G35+G42)</f>
        <v>#REF!</v>
      </c>
      <c r="H45" s="151"/>
      <c r="I45" s="151"/>
      <c r="J45" s="151"/>
      <c r="K45" s="151"/>
      <c r="L45" s="157"/>
    </row>
    <row r="46" ht="12.75" customHeight="1">
      <c r="A46" s="158"/>
      <c r="B46" s="166" t="s">
        <v>250</v>
      </c>
      <c r="G46" s="152" t="str">
        <f>(C10+C11+C12)*4+(C17+C18+C19)*5+(C24+C25+C26)*4+(C31+C32+C33)*7+(C38+C39+C40)*5</f>
        <v>#REF!</v>
      </c>
      <c r="H46" s="151"/>
      <c r="I46" s="151"/>
      <c r="J46" s="151"/>
      <c r="K46" s="151"/>
      <c r="L46" s="157"/>
    </row>
    <row r="47" ht="12.75" customHeight="1">
      <c r="A47" s="158"/>
      <c r="B47" s="166" t="s">
        <v>251</v>
      </c>
      <c r="G47" s="152" t="str">
        <f>(C31+C32+C33)*35+(C38+C39+C40)*15</f>
        <v>#REF!</v>
      </c>
      <c r="H47" s="151"/>
      <c r="I47" s="151"/>
      <c r="J47" s="151"/>
      <c r="K47" s="151"/>
      <c r="L47" s="157"/>
    </row>
    <row r="48" ht="12.75" customHeight="1">
      <c r="A48" s="158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7"/>
    </row>
    <row r="49" ht="12.75" customHeight="1">
      <c r="A49" s="158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7"/>
    </row>
    <row r="50" ht="12.75" customHeight="1">
      <c r="A50" s="158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7"/>
    </row>
    <row r="51" ht="12.75" customHeight="1">
      <c r="A51" s="158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7"/>
    </row>
    <row r="52" ht="12.75" customHeight="1">
      <c r="A52" s="167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9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L3"/>
    <mergeCell ref="A4:E4"/>
    <mergeCell ref="F4:L4"/>
    <mergeCell ref="A5:E5"/>
    <mergeCell ref="F5:L5"/>
    <mergeCell ref="A6:E6"/>
    <mergeCell ref="F6:L6"/>
    <mergeCell ref="B46:F46"/>
    <mergeCell ref="B47:F47"/>
    <mergeCell ref="A7:B8"/>
    <mergeCell ref="C7:F8"/>
    <mergeCell ref="G7:G8"/>
    <mergeCell ref="H7:H8"/>
    <mergeCell ref="J7:K8"/>
    <mergeCell ref="L7:L8"/>
    <mergeCell ref="B45:F45"/>
  </mergeCells>
  <printOptions/>
  <pageMargins bottom="0.7875" footer="0.0" header="0.0" left="0.5118055555555555" right="0.5118055555555555" top="0.7875"/>
  <pageSetup paperSize="9" orientation="portrait"/>
  <headerFooter>
    <oddFooter>&amp;CPágina &amp;P de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13"/>
    <col customWidth="1" min="2" max="2" width="32.63"/>
    <col customWidth="1" min="3" max="3" width="36.38"/>
    <col customWidth="1" min="4" max="4" width="7.0"/>
    <col customWidth="1" min="5" max="5" width="9.88"/>
    <col customWidth="1" min="6" max="6" width="9.25"/>
    <col customWidth="1" min="7" max="8" width="12.25"/>
    <col customWidth="1" min="9" max="9" width="12.63"/>
    <col customWidth="1" min="10" max="10" width="7.63"/>
    <col customWidth="1" min="11" max="11" width="2.13"/>
    <col customWidth="1" min="12" max="12" width="13.63"/>
    <col customWidth="1" min="13" max="13" width="1.88"/>
  </cols>
  <sheetData>
    <row r="1" ht="12.75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2.75" customHeight="1">
      <c r="A2" s="4"/>
      <c r="M2" s="5"/>
    </row>
    <row r="3" ht="12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ht="12.75" customHeight="1">
      <c r="A4" s="134" t="str">
        <f>Contagem!A5&amp;" : "&amp;Contagem!F5</f>
        <v>Aplicação : MANOPLA</v>
      </c>
      <c r="B4" s="10"/>
      <c r="C4" s="10"/>
      <c r="D4" s="10"/>
      <c r="E4" s="11"/>
      <c r="F4" s="34" t="str">
        <f>Contagem!A8&amp;" : "&amp;Contagem!F8</f>
        <v>Projeto : MANOPLA</v>
      </c>
      <c r="G4" s="10"/>
      <c r="H4" s="10"/>
      <c r="I4" s="10"/>
      <c r="J4" s="10"/>
      <c r="K4" s="10"/>
      <c r="L4" s="10"/>
      <c r="M4" s="15"/>
    </row>
    <row r="5" ht="12.75" customHeight="1">
      <c r="A5" s="134" t="str">
        <f>Contagem!A9&amp;" : "&amp;Contagem!F9</f>
        <v>Responsável : João Cleber</v>
      </c>
      <c r="B5" s="10"/>
      <c r="C5" s="10"/>
      <c r="D5" s="10"/>
      <c r="E5" s="170"/>
      <c r="F5" s="34" t="str">
        <f>Contagem!A10&amp;" : "&amp;Contagem!F10</f>
        <v>Revisor : João Cleber</v>
      </c>
      <c r="G5" s="10"/>
      <c r="H5" s="10"/>
      <c r="I5" s="10"/>
      <c r="J5" s="10"/>
      <c r="K5" s="10"/>
      <c r="L5" s="10"/>
      <c r="M5" s="15"/>
    </row>
    <row r="6" ht="12.75" customHeight="1">
      <c r="A6" s="134" t="str">
        <f>Contagem!A4&amp;" : "&amp;Contagem!F4</f>
        <v>Empresa : Secretaria de Estado de Planejamento e Gestão de Mato Grosso</v>
      </c>
      <c r="B6" s="10"/>
      <c r="C6" s="10"/>
      <c r="D6" s="10"/>
      <c r="E6" s="170"/>
      <c r="F6" s="34" t="str">
        <f>"Tipo de Contagem : "&amp;Contagem!F6</f>
        <v>Tipo de Contagem : Aplicação</v>
      </c>
      <c r="G6" s="10"/>
      <c r="H6" s="10"/>
      <c r="I6" s="10"/>
      <c r="J6" s="10"/>
      <c r="K6" s="10"/>
      <c r="L6" s="10"/>
      <c r="M6" s="15"/>
    </row>
    <row r="7" ht="12.75" customHeight="1">
      <c r="A7" s="171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72"/>
    </row>
    <row r="8" ht="12.75" customHeight="1">
      <c r="A8" s="171"/>
      <c r="B8" s="173"/>
      <c r="J8" s="133"/>
      <c r="K8" s="133"/>
      <c r="L8" s="133"/>
      <c r="M8" s="172"/>
    </row>
    <row r="9" ht="12.75" customHeight="1">
      <c r="A9" s="171"/>
      <c r="B9" s="174" t="s">
        <v>253</v>
      </c>
      <c r="E9" s="175" t="s">
        <v>223</v>
      </c>
      <c r="F9" s="175" t="s">
        <v>3</v>
      </c>
      <c r="G9" s="175" t="s">
        <v>254</v>
      </c>
      <c r="H9" s="175" t="s">
        <v>255</v>
      </c>
      <c r="I9" s="175" t="s">
        <v>8</v>
      </c>
      <c r="J9" s="175" t="s">
        <v>256</v>
      </c>
      <c r="K9" s="133"/>
      <c r="L9" s="133"/>
      <c r="M9" s="172"/>
    </row>
    <row r="10" ht="13.5" customHeight="1">
      <c r="A10" s="171"/>
      <c r="B10" s="13" t="str">
        <f>""&amp;Deflatores!B4</f>
        <v>Inclusão</v>
      </c>
      <c r="C10" s="11"/>
      <c r="D10" s="100" t="str">
        <f>""&amp;Deflatores!G4</f>
        <v>I</v>
      </c>
      <c r="E10" s="176" t="str">
        <f t="shared" ref="E10:E44" si="1">IF(D10="","",COUNTIF(#REF!,D10))</f>
        <v>#REF!</v>
      </c>
      <c r="F10" s="177" t="str">
        <f>SUMIF(#REF!,Deflatores!G4,#REF!)</f>
        <v>#N/A</v>
      </c>
      <c r="G10" s="178">
        <f>IF(ISBLANK(Deflatores!H4),"",Deflatores!H4)</f>
        <v>1</v>
      </c>
      <c r="H10" s="177" t="str">
        <f>IF(ISBLANK(Deflatores!I4),"",Deflatores!I4)</f>
        <v/>
      </c>
      <c r="I10" s="177" t="str">
        <f>IF(F10=0,Deflatores!K4,F10*G10)</f>
        <v>#N/A</v>
      </c>
      <c r="J10" s="179" t="str">
        <f t="shared" ref="J10:J44" si="2">IF($L$11&lt;&gt;0,I10/$L$11,"")</f>
        <v>#REF!</v>
      </c>
      <c r="K10" s="133"/>
      <c r="L10" s="180" t="s">
        <v>8</v>
      </c>
      <c r="M10" s="157"/>
    </row>
    <row r="11" ht="13.5" customHeight="1">
      <c r="A11" s="171"/>
      <c r="B11" s="13" t="str">
        <f>""&amp;Deflatores!B5</f>
        <v>Alteração (sem conhecimento do Fator de Impacto)</v>
      </c>
      <c r="C11" s="11"/>
      <c r="D11" s="100" t="str">
        <f>""&amp;Deflatores!G5</f>
        <v>A</v>
      </c>
      <c r="E11" s="176" t="str">
        <f t="shared" si="1"/>
        <v>#REF!</v>
      </c>
      <c r="F11" s="177" t="str">
        <f>SUMIF(#REF!,Deflatores!G5,#REF!)</f>
        <v>#N/A</v>
      </c>
      <c r="G11" s="178">
        <f>IF(ISBLANK(Deflatores!H5),"",Deflatores!H5)</f>
        <v>0.5</v>
      </c>
      <c r="H11" s="177" t="str">
        <f>IF(ISBLANK(Deflatores!I5),"",Deflatores!I5)</f>
        <v/>
      </c>
      <c r="I11" s="177" t="str">
        <f>IF(F11=0,Deflatores!K5,F11*G11)</f>
        <v>#N/A</v>
      </c>
      <c r="J11" s="179" t="str">
        <f t="shared" si="2"/>
        <v>#REF!</v>
      </c>
      <c r="K11" s="181"/>
      <c r="L11" s="182" t="str">
        <f>Contagem!Q6</f>
        <v>#REF!</v>
      </c>
      <c r="M11" s="157"/>
    </row>
    <row r="12" ht="13.5" customHeight="1">
      <c r="A12" s="171"/>
      <c r="B12" s="13" t="str">
        <f>""&amp;Deflatores!B6</f>
        <v>Exclusão</v>
      </c>
      <c r="C12" s="11"/>
      <c r="D12" s="100" t="str">
        <f>""&amp;Deflatores!G6</f>
        <v>E</v>
      </c>
      <c r="E12" s="176" t="str">
        <f t="shared" si="1"/>
        <v>#REF!</v>
      </c>
      <c r="F12" s="177" t="str">
        <f>SUMIF(#REF!,Deflatores!G6,#REF!)</f>
        <v>#N/A</v>
      </c>
      <c r="G12" s="178">
        <f>IF(ISBLANK(Deflatores!H6),"",Deflatores!H6)</f>
        <v>0.4</v>
      </c>
      <c r="H12" s="177" t="str">
        <f>IF(ISBLANK(Deflatores!I6),"",Deflatores!I6)</f>
        <v/>
      </c>
      <c r="I12" s="177" t="str">
        <f>IF(F12=0,Deflatores!K6,F12*G12)</f>
        <v>#N/A</v>
      </c>
      <c r="J12" s="179" t="str">
        <f t="shared" si="2"/>
        <v>#REF!</v>
      </c>
      <c r="K12" s="181"/>
      <c r="L12" s="160"/>
      <c r="M12" s="157"/>
    </row>
    <row r="13" ht="13.5" customHeight="1">
      <c r="A13" s="171"/>
      <c r="B13" s="13" t="str">
        <f>""&amp;Deflatores!B7</f>
        <v>Alteração (50%) de função desenvolvida ou já alterada pela empresa atual</v>
      </c>
      <c r="C13" s="11"/>
      <c r="D13" s="100" t="str">
        <f>""&amp;Deflatores!G7</f>
        <v>A50</v>
      </c>
      <c r="E13" s="176" t="str">
        <f t="shared" si="1"/>
        <v>#REF!</v>
      </c>
      <c r="F13" s="177" t="str">
        <f>SUMIF(#REF!,Deflatores!G7,#REF!)</f>
        <v>#N/A</v>
      </c>
      <c r="G13" s="178">
        <f>IF(ISBLANK(Deflatores!H7),"",Deflatores!H7)</f>
        <v>0.5</v>
      </c>
      <c r="H13" s="177" t="str">
        <f>IF(ISBLANK(Deflatores!I7),"",Deflatores!I7)</f>
        <v/>
      </c>
      <c r="I13" s="177" t="str">
        <f>Deflatores!K7</f>
        <v>#N/A</v>
      </c>
      <c r="J13" s="179" t="str">
        <f t="shared" si="2"/>
        <v>#REF!</v>
      </c>
      <c r="K13" s="181"/>
      <c r="L13" s="180" t="s">
        <v>257</v>
      </c>
      <c r="M13" s="157"/>
    </row>
    <row r="14" ht="13.5" customHeight="1">
      <c r="A14" s="171"/>
      <c r="B14" s="13" t="str">
        <f>""&amp;Deflatores!B8</f>
        <v>Alteração (75%) de função não desenv. e ainda não alterada pela empresa atual</v>
      </c>
      <c r="C14" s="11"/>
      <c r="D14" s="100" t="str">
        <f>""&amp;Deflatores!G8</f>
        <v>A75</v>
      </c>
      <c r="E14" s="176" t="str">
        <f t="shared" si="1"/>
        <v>#REF!</v>
      </c>
      <c r="F14" s="177" t="str">
        <f>SUMIF(#REF!,Deflatores!G8,#REF!)</f>
        <v>#N/A</v>
      </c>
      <c r="G14" s="178">
        <f>IF(ISBLANK(Deflatores!H8),"",Deflatores!H8)</f>
        <v>0.75</v>
      </c>
      <c r="H14" s="177" t="str">
        <f>IF(ISBLANK(Deflatores!I8),"",Deflatores!I8)</f>
        <v/>
      </c>
      <c r="I14" s="177" t="str">
        <f>Deflatores!K8</f>
        <v>#N/A</v>
      </c>
      <c r="J14" s="179" t="str">
        <f t="shared" si="2"/>
        <v>#REF!</v>
      </c>
      <c r="K14" s="133"/>
      <c r="L14" s="182" t="str">
        <f>Contagem!Q4</f>
        <v>#REF!</v>
      </c>
      <c r="M14" s="157"/>
    </row>
    <row r="15" ht="13.5" customHeight="1">
      <c r="A15" s="171"/>
      <c r="B15" s="13" t="str">
        <f>""&amp;Deflatores!B9</f>
        <v>Alteração (75%+15%): o mesmo acima + redocumentar a função</v>
      </c>
      <c r="C15" s="11"/>
      <c r="D15" s="100" t="str">
        <f>""&amp;Deflatores!G9</f>
        <v>A90</v>
      </c>
      <c r="E15" s="176" t="str">
        <f t="shared" si="1"/>
        <v>#REF!</v>
      </c>
      <c r="F15" s="177" t="str">
        <f>SUMIF(#REF!,Deflatores!G9,#REF!)</f>
        <v>#N/A</v>
      </c>
      <c r="G15" s="178">
        <f>IF(ISBLANK(Deflatores!H9),"",Deflatores!H9)</f>
        <v>0.9</v>
      </c>
      <c r="H15" s="177" t="str">
        <f>IF(ISBLANK(Deflatores!I9),"",Deflatores!I9)</f>
        <v/>
      </c>
      <c r="I15" s="177" t="str">
        <f>Deflatores!K9</f>
        <v>#N/A</v>
      </c>
      <c r="J15" s="179" t="str">
        <f t="shared" si="2"/>
        <v>#REF!</v>
      </c>
      <c r="K15" s="133"/>
      <c r="L15" s="133"/>
      <c r="M15" s="172"/>
    </row>
    <row r="16" ht="13.5" customHeight="1">
      <c r="A16" s="171"/>
      <c r="B16" s="13" t="str">
        <f>""&amp;Deflatores!B10</f>
        <v>Migração de Dados</v>
      </c>
      <c r="C16" s="11"/>
      <c r="D16" s="100" t="str">
        <f>""&amp;Deflatores!G10</f>
        <v>PMD</v>
      </c>
      <c r="E16" s="176" t="str">
        <f t="shared" si="1"/>
        <v>#REF!</v>
      </c>
      <c r="F16" s="177" t="str">
        <f>SUMIF(#REF!,Deflatores!G10,#REF!)</f>
        <v>#N/A</v>
      </c>
      <c r="G16" s="178">
        <f>IF(ISBLANK(Deflatores!H10),"",Deflatores!H10)</f>
        <v>1</v>
      </c>
      <c r="H16" s="177" t="str">
        <f>IF(ISBLANK(Deflatores!I10),"",Deflatores!I10)</f>
        <v/>
      </c>
      <c r="I16" s="177" t="str">
        <f>Deflatores!K10</f>
        <v>#N/A</v>
      </c>
      <c r="J16" s="179" t="str">
        <f t="shared" si="2"/>
        <v>#REF!</v>
      </c>
      <c r="K16" s="133"/>
      <c r="L16" s="133"/>
      <c r="M16" s="172"/>
    </row>
    <row r="17" ht="13.5" customHeight="1">
      <c r="A17" s="171"/>
      <c r="B17" s="13" t="str">
        <f>""&amp;Deflatores!B11</f>
        <v>Corretiva (sem conhecimento do Fator de Impacto)</v>
      </c>
      <c r="C17" s="11"/>
      <c r="D17" s="100" t="str">
        <f>""&amp;Deflatores!G11</f>
        <v>COR</v>
      </c>
      <c r="E17" s="176" t="str">
        <f t="shared" si="1"/>
        <v>#REF!</v>
      </c>
      <c r="F17" s="177" t="str">
        <f>SUMIF(#REF!,Deflatores!G11,#REF!)</f>
        <v>#N/A</v>
      </c>
      <c r="G17" s="178">
        <f>IF(ISBLANK(Deflatores!H11),"",Deflatores!H11)</f>
        <v>0.5</v>
      </c>
      <c r="H17" s="177" t="str">
        <f>IF(ISBLANK(Deflatores!I11),"",Deflatores!I11)</f>
        <v/>
      </c>
      <c r="I17" s="177" t="str">
        <f>Deflatores!K11</f>
        <v>#N/A</v>
      </c>
      <c r="J17" s="179" t="str">
        <f t="shared" si="2"/>
        <v>#REF!</v>
      </c>
      <c r="K17" s="133"/>
      <c r="L17" s="133"/>
      <c r="M17" s="172"/>
    </row>
    <row r="18" ht="13.5" customHeight="1">
      <c r="A18" s="171"/>
      <c r="B18" s="13" t="str">
        <f>""&amp;Deflatores!B12</f>
        <v>Corretiva (50%) - Fora da garantia (mesma empresa)</v>
      </c>
      <c r="C18" s="11"/>
      <c r="D18" s="100" t="str">
        <f>""&amp;Deflatores!G12</f>
        <v>COR50</v>
      </c>
      <c r="E18" s="176" t="str">
        <f t="shared" si="1"/>
        <v>#REF!</v>
      </c>
      <c r="F18" s="177" t="str">
        <f>SUMIF(#REF!,Deflatores!G12,#REF!)</f>
        <v>#N/A</v>
      </c>
      <c r="G18" s="178">
        <f>IF(ISBLANK(Deflatores!H12),"",Deflatores!H12)</f>
        <v>0.5</v>
      </c>
      <c r="H18" s="177" t="str">
        <f>IF(ISBLANK(Deflatores!I12),"",Deflatores!I12)</f>
        <v/>
      </c>
      <c r="I18" s="177" t="str">
        <f>Deflatores!K12</f>
        <v>#N/A</v>
      </c>
      <c r="J18" s="179" t="str">
        <f t="shared" si="2"/>
        <v>#REF!</v>
      </c>
      <c r="K18" s="133"/>
      <c r="L18" s="133"/>
      <c r="M18" s="172"/>
    </row>
    <row r="19" ht="13.5" customHeight="1">
      <c r="A19" s="171"/>
      <c r="B19" s="13" t="str">
        <f>""&amp;Deflatores!B13</f>
        <v>Corretiva (75%) - Fora da garantia (outra empresa)</v>
      </c>
      <c r="C19" s="11"/>
      <c r="D19" s="100" t="str">
        <f>""&amp;Deflatores!G13</f>
        <v>COR75</v>
      </c>
      <c r="E19" s="176" t="str">
        <f t="shared" si="1"/>
        <v>#REF!</v>
      </c>
      <c r="F19" s="177" t="str">
        <f>SUMIF(#REF!,Deflatores!G13,#REF!)</f>
        <v>#N/A</v>
      </c>
      <c r="G19" s="178">
        <f>IF(ISBLANK(Deflatores!H13),"",Deflatores!H13)</f>
        <v>0.75</v>
      </c>
      <c r="H19" s="177" t="str">
        <f>IF(ISBLANK(Deflatores!I13),"",Deflatores!I13)</f>
        <v/>
      </c>
      <c r="I19" s="177" t="str">
        <f>Deflatores!K13</f>
        <v>#N/A</v>
      </c>
      <c r="J19" s="179" t="str">
        <f t="shared" si="2"/>
        <v>#REF!</v>
      </c>
      <c r="K19" s="133"/>
      <c r="L19" s="133"/>
      <c r="M19" s="172"/>
    </row>
    <row r="20" ht="13.5" customHeight="1">
      <c r="A20" s="171"/>
      <c r="B20" s="13" t="str">
        <f>""&amp;Deflatores!B14</f>
        <v>Corretiva (75%+15%) - Fora da garantia (outra empresa) + Redocumentação</v>
      </c>
      <c r="C20" s="11"/>
      <c r="D20" s="100" t="str">
        <f>""&amp;Deflatores!G14</f>
        <v>COR90</v>
      </c>
      <c r="E20" s="176" t="str">
        <f t="shared" si="1"/>
        <v>#REF!</v>
      </c>
      <c r="F20" s="177" t="str">
        <f>SUMIF(#REF!,Deflatores!G14,#REF!)</f>
        <v>#N/A</v>
      </c>
      <c r="G20" s="178">
        <f>IF(ISBLANK(Deflatores!H14),"",Deflatores!H14)</f>
        <v>0.9</v>
      </c>
      <c r="H20" s="177" t="str">
        <f>IF(ISBLANK(Deflatores!I14),"",Deflatores!I14)</f>
        <v/>
      </c>
      <c r="I20" s="177" t="str">
        <f>Deflatores!K14</f>
        <v>#N/A</v>
      </c>
      <c r="J20" s="179" t="str">
        <f t="shared" si="2"/>
        <v>#REF!</v>
      </c>
      <c r="K20" s="133"/>
      <c r="L20" s="133"/>
      <c r="M20" s="172"/>
    </row>
    <row r="21" ht="13.5" customHeight="1">
      <c r="A21" s="171"/>
      <c r="B21" s="13" t="str">
        <f>""&amp;Deflatores!B15</f>
        <v>Corretiva em Garantia</v>
      </c>
      <c r="C21" s="11"/>
      <c r="D21" s="100" t="str">
        <f>""&amp;Deflatores!G15</f>
        <v>GAR</v>
      </c>
      <c r="E21" s="176" t="str">
        <f t="shared" si="1"/>
        <v>#REF!</v>
      </c>
      <c r="F21" s="177" t="str">
        <f>SUMIF(#REF!,Deflatores!G15,#REF!)</f>
        <v>#N/A</v>
      </c>
      <c r="G21" s="178">
        <f>IF(ISBLANK(Deflatores!H15),"",Deflatores!H15)</f>
        <v>0</v>
      </c>
      <c r="H21" s="177" t="str">
        <f>IF(ISBLANK(Deflatores!I15),"",Deflatores!I15)</f>
        <v/>
      </c>
      <c r="I21" s="177" t="str">
        <f>Deflatores!K15</f>
        <v>#N/A</v>
      </c>
      <c r="J21" s="179" t="str">
        <f t="shared" si="2"/>
        <v>#REF!</v>
      </c>
      <c r="K21" s="133"/>
      <c r="L21" s="133"/>
      <c r="M21" s="172"/>
    </row>
    <row r="22" ht="13.5" customHeight="1">
      <c r="A22" s="171"/>
      <c r="B22" s="13" t="str">
        <f>""&amp;Deflatores!B16</f>
        <v>Mudança de Plataforma - Linguagem de Programação</v>
      </c>
      <c r="C22" s="11"/>
      <c r="D22" s="100" t="str">
        <f>""&amp;Deflatores!G16</f>
        <v>MLP</v>
      </c>
      <c r="E22" s="176" t="str">
        <f t="shared" si="1"/>
        <v>#REF!</v>
      </c>
      <c r="F22" s="177" t="str">
        <f>SUMIF(#REF!,Deflatores!G16,#REF!)</f>
        <v>#N/A</v>
      </c>
      <c r="G22" s="178">
        <f>IF(ISBLANK(Deflatores!H16),"",Deflatores!H16)</f>
        <v>1</v>
      </c>
      <c r="H22" s="177" t="str">
        <f>IF(ISBLANK(Deflatores!I16),"",Deflatores!I16)</f>
        <v/>
      </c>
      <c r="I22" s="177" t="str">
        <f>Deflatores!K16</f>
        <v>#N/A</v>
      </c>
      <c r="J22" s="179" t="str">
        <f t="shared" si="2"/>
        <v>#REF!</v>
      </c>
      <c r="K22" s="133"/>
      <c r="L22" s="133"/>
      <c r="M22" s="172"/>
    </row>
    <row r="23" ht="13.5" customHeight="1">
      <c r="A23" s="171"/>
      <c r="B23" s="13" t="str">
        <f>""&amp;Deflatores!B17</f>
        <v>Mudança de Plataforma - Banco de Dados (outro paradigma)</v>
      </c>
      <c r="C23" s="11"/>
      <c r="D23" s="100" t="str">
        <f>""&amp;Deflatores!G17</f>
        <v>MBO</v>
      </c>
      <c r="E23" s="176" t="str">
        <f t="shared" si="1"/>
        <v>#REF!</v>
      </c>
      <c r="F23" s="177" t="str">
        <f>SUMIF(#REF!,Deflatores!G17,#REF!)</f>
        <v>#N/A</v>
      </c>
      <c r="G23" s="178">
        <f>IF(ISBLANK(Deflatores!H17),"",Deflatores!H17)</f>
        <v>1</v>
      </c>
      <c r="H23" s="177" t="str">
        <f>IF(ISBLANK(Deflatores!I17),"",Deflatores!I17)</f>
        <v/>
      </c>
      <c r="I23" s="177" t="str">
        <f>Deflatores!K17</f>
        <v>#N/A</v>
      </c>
      <c r="J23" s="179" t="str">
        <f t="shared" si="2"/>
        <v>#REF!</v>
      </c>
      <c r="K23" s="133"/>
      <c r="L23" s="133"/>
      <c r="M23" s="172"/>
    </row>
    <row r="24" ht="13.5" customHeight="1">
      <c r="A24" s="171"/>
      <c r="B24" s="13" t="str">
        <f>""&amp;Deflatores!B18</f>
        <v>Mudança de Plataforma - Banco de Dados (mesmo paradigma com alterações)</v>
      </c>
      <c r="C24" s="11"/>
      <c r="D24" s="100" t="str">
        <f>""&amp;Deflatores!G18</f>
        <v>MBM</v>
      </c>
      <c r="E24" s="176" t="str">
        <f t="shared" si="1"/>
        <v>#REF!</v>
      </c>
      <c r="F24" s="177" t="str">
        <f>SUMIF(#REF!,Deflatores!G18,#REF!)</f>
        <v>#N/A</v>
      </c>
      <c r="G24" s="178">
        <f>IF(ISBLANK(Deflatores!H18),"",Deflatores!H18)</f>
        <v>0.3</v>
      </c>
      <c r="H24" s="177" t="str">
        <f>IF(ISBLANK(Deflatores!I18),"",Deflatores!I18)</f>
        <v/>
      </c>
      <c r="I24" s="177" t="str">
        <f>Deflatores!K18</f>
        <v>#N/A</v>
      </c>
      <c r="J24" s="179" t="str">
        <f t="shared" si="2"/>
        <v>#REF!</v>
      </c>
      <c r="K24" s="181"/>
      <c r="L24" s="133"/>
      <c r="M24" s="172"/>
    </row>
    <row r="25" ht="13.5" customHeight="1">
      <c r="A25" s="171"/>
      <c r="B25" s="13" t="str">
        <f>""&amp;Deflatores!B19</f>
        <v>Atualização de Versão – Linguagem de Programação</v>
      </c>
      <c r="C25" s="11"/>
      <c r="D25" s="100" t="str">
        <f>""&amp;Deflatores!G19</f>
        <v>ALP</v>
      </c>
      <c r="E25" s="176" t="str">
        <f t="shared" si="1"/>
        <v>#REF!</v>
      </c>
      <c r="F25" s="177" t="str">
        <f>SUMIF(#REF!,Deflatores!G19,#REF!)</f>
        <v>#N/A</v>
      </c>
      <c r="G25" s="178">
        <f>IF(ISBLANK(Deflatores!H19),"",Deflatores!H19)</f>
        <v>0.3</v>
      </c>
      <c r="H25" s="177" t="str">
        <f>IF(ISBLANK(Deflatores!I19),"",Deflatores!I19)</f>
        <v/>
      </c>
      <c r="I25" s="177" t="str">
        <f>Deflatores!K19</f>
        <v>#N/A</v>
      </c>
      <c r="J25" s="179" t="str">
        <f t="shared" si="2"/>
        <v>#REF!</v>
      </c>
      <c r="K25" s="181"/>
      <c r="L25" s="133"/>
      <c r="M25" s="172"/>
    </row>
    <row r="26" ht="13.5" customHeight="1">
      <c r="A26" s="171"/>
      <c r="B26" s="13" t="str">
        <f>""&amp;Deflatores!B20</f>
        <v>Atualização de Versão – Browser</v>
      </c>
      <c r="C26" s="11"/>
      <c r="D26" s="100" t="str">
        <f>""&amp;Deflatores!G20</f>
        <v>AVB</v>
      </c>
      <c r="E26" s="176" t="str">
        <f t="shared" si="1"/>
        <v>#REF!</v>
      </c>
      <c r="F26" s="177" t="str">
        <f>SUMIF(#REF!,Deflatores!G20,#REF!)</f>
        <v>#N/A</v>
      </c>
      <c r="G26" s="178">
        <f>IF(ISBLANK(Deflatores!H20),"",Deflatores!H20)</f>
        <v>0.3</v>
      </c>
      <c r="H26" s="177" t="str">
        <f>IF(ISBLANK(Deflatores!I20),"",Deflatores!I20)</f>
        <v/>
      </c>
      <c r="I26" s="177" t="str">
        <f>Deflatores!K20</f>
        <v>#N/A</v>
      </c>
      <c r="J26" s="179" t="str">
        <f t="shared" si="2"/>
        <v>#REF!</v>
      </c>
      <c r="K26" s="181"/>
      <c r="L26" s="133"/>
      <c r="M26" s="172"/>
    </row>
    <row r="27" ht="13.5" customHeight="1">
      <c r="A27" s="171"/>
      <c r="B27" s="13" t="str">
        <f>""&amp;Deflatores!B21</f>
        <v>Atualização de Versão – Banco de Dados</v>
      </c>
      <c r="C27" s="11"/>
      <c r="D27" s="100" t="str">
        <f>""&amp;Deflatores!G21</f>
        <v>ABD</v>
      </c>
      <c r="E27" s="176" t="str">
        <f t="shared" si="1"/>
        <v>#REF!</v>
      </c>
      <c r="F27" s="177" t="str">
        <f>SUMIF(#REF!,Deflatores!G21,#REF!)</f>
        <v>#N/A</v>
      </c>
      <c r="G27" s="178">
        <f>IF(ISBLANK(Deflatores!H21),"",Deflatores!H21)</f>
        <v>0.3</v>
      </c>
      <c r="H27" s="177" t="str">
        <f>IF(ISBLANK(Deflatores!I21),"",Deflatores!I21)</f>
        <v/>
      </c>
      <c r="I27" s="177" t="str">
        <f>Deflatores!K21</f>
        <v>#N/A</v>
      </c>
      <c r="J27" s="179" t="str">
        <f t="shared" si="2"/>
        <v>#REF!</v>
      </c>
      <c r="K27" s="181"/>
      <c r="L27" s="133"/>
      <c r="M27" s="172"/>
    </row>
    <row r="28" ht="13.5" customHeight="1">
      <c r="A28" s="171"/>
      <c r="B28" s="13" t="str">
        <f>""&amp;Deflatores!B22</f>
        <v>Manutenção Cosmética</v>
      </c>
      <c r="C28" s="11"/>
      <c r="D28" s="100" t="str">
        <f>""&amp;Deflatores!G22</f>
        <v>COS</v>
      </c>
      <c r="E28" s="176" t="str">
        <f t="shared" si="1"/>
        <v>#REF!</v>
      </c>
      <c r="F28" s="177" t="str">
        <f>SUMIF(#REF!,Deflatores!G22,#REF!)</f>
        <v>#N/A</v>
      </c>
      <c r="G28" s="178" t="str">
        <f>IF(ISBLANK(Deflatores!H22),"",Deflatores!H22)</f>
        <v/>
      </c>
      <c r="H28" s="177">
        <f>IF(ISBLANK(Deflatores!I22),"",Deflatores!I22)</f>
        <v>0.6</v>
      </c>
      <c r="I28" s="177" t="str">
        <f>Deflatores!K22</f>
        <v>#REF!</v>
      </c>
      <c r="J28" s="179" t="str">
        <f t="shared" si="2"/>
        <v>#REF!</v>
      </c>
      <c r="K28" s="133"/>
      <c r="L28" s="133"/>
      <c r="M28" s="172"/>
    </row>
    <row r="29" ht="27.0" customHeight="1">
      <c r="A29" s="171"/>
      <c r="B29" s="105" t="str">
        <f>""&amp;Deflatores!B23</f>
        <v>Adaptação em Funcionalidades sem Alteração de Requisitos Funcionais
(sem conhecimento do Fator de Impacto)</v>
      </c>
      <c r="C29" s="11"/>
      <c r="D29" s="100" t="str">
        <f>""&amp;Deflatores!G23</f>
        <v>ARN</v>
      </c>
      <c r="E29" s="176" t="str">
        <f t="shared" si="1"/>
        <v>#REF!</v>
      </c>
      <c r="F29" s="177" t="str">
        <f>SUMIF(#REF!,Deflatores!G23,#REF!)</f>
        <v>#N/A</v>
      </c>
      <c r="G29" s="178">
        <f>IF(ISBLANK(Deflatores!H23),"",Deflatores!H23)</f>
        <v>0.5</v>
      </c>
      <c r="H29" s="177" t="str">
        <f>IF(ISBLANK(Deflatores!I23),"",Deflatores!I23)</f>
        <v/>
      </c>
      <c r="I29" s="177" t="str">
        <f>Deflatores!K23</f>
        <v>#N/A</v>
      </c>
      <c r="J29" s="179" t="str">
        <f t="shared" si="2"/>
        <v>#REF!</v>
      </c>
      <c r="K29" s="133"/>
      <c r="L29" s="133"/>
      <c r="M29" s="172"/>
    </row>
    <row r="30" ht="27.0" customHeight="1">
      <c r="A30" s="171"/>
      <c r="B30" s="105" t="str">
        <f>""&amp;Deflatores!B24</f>
        <v>Adaptação em Funcionalidades sem Alteração de Requisitos Funcionais (50%)
(em função desenvolvida ou já alterada pela empresa atual)</v>
      </c>
      <c r="C30" s="11"/>
      <c r="D30" s="100" t="str">
        <f>""&amp;Deflatores!G24</f>
        <v>ARN50</v>
      </c>
      <c r="E30" s="176" t="str">
        <f t="shared" si="1"/>
        <v>#REF!</v>
      </c>
      <c r="F30" s="177" t="str">
        <f>SUMIF(#REF!,Deflatores!G24,#REF!)</f>
        <v>#N/A</v>
      </c>
      <c r="G30" s="178">
        <f>IF(ISBLANK(Deflatores!H24),"",Deflatores!H24)</f>
        <v>0.5</v>
      </c>
      <c r="H30" s="177" t="str">
        <f>IF(ISBLANK(Deflatores!I24),"",Deflatores!I24)</f>
        <v/>
      </c>
      <c r="I30" s="177" t="str">
        <f>Deflatores!K24</f>
        <v>#N/A</v>
      </c>
      <c r="J30" s="179" t="str">
        <f t="shared" si="2"/>
        <v>#REF!</v>
      </c>
      <c r="K30" s="133"/>
      <c r="L30" s="133"/>
      <c r="M30" s="172"/>
    </row>
    <row r="31" ht="27.0" customHeight="1">
      <c r="A31" s="171"/>
      <c r="B31" s="105" t="str">
        <f>""&amp;Deflatores!B25</f>
        <v>Adaptação em Funcionalidades sem Alteração de Requisitos Funcionais (75%)
(em função não desenvolvida e ainda não alterada pela empresa atual)</v>
      </c>
      <c r="C31" s="11"/>
      <c r="D31" s="100" t="str">
        <f>""&amp;Deflatores!G25</f>
        <v>ARN75</v>
      </c>
      <c r="E31" s="176" t="str">
        <f t="shared" si="1"/>
        <v>#REF!</v>
      </c>
      <c r="F31" s="177" t="str">
        <f>SUMIF(#REF!,Deflatores!G25,#REF!)</f>
        <v>#N/A</v>
      </c>
      <c r="G31" s="178">
        <f>IF(ISBLANK(Deflatores!H25),"",Deflatores!H25)</f>
        <v>0.75</v>
      </c>
      <c r="H31" s="177" t="str">
        <f>IF(ISBLANK(Deflatores!I25),"",Deflatores!I25)</f>
        <v/>
      </c>
      <c r="I31" s="177" t="str">
        <f>Deflatores!K25</f>
        <v>#N/A</v>
      </c>
      <c r="J31" s="179" t="str">
        <f t="shared" si="2"/>
        <v>#REF!</v>
      </c>
      <c r="K31" s="133"/>
      <c r="L31" s="133"/>
      <c r="M31" s="172"/>
    </row>
    <row r="32" ht="13.5" customHeight="1">
      <c r="A32" s="171"/>
      <c r="B32" s="13" t="str">
        <f>""&amp;Deflatores!B26</f>
        <v>Atualização de Dados sem Consulta Prévia</v>
      </c>
      <c r="C32" s="11"/>
      <c r="D32" s="100" t="str">
        <f>""&amp;Deflatores!G26</f>
        <v>ADS</v>
      </c>
      <c r="E32" s="176" t="str">
        <f t="shared" si="1"/>
        <v>#REF!</v>
      </c>
      <c r="F32" s="177" t="str">
        <f>SUMIF(#REF!,Deflatores!G26,#REF!)</f>
        <v>#N/A</v>
      </c>
      <c r="G32" s="178">
        <f>IF(ISBLANK(Deflatores!H26),"",Deflatores!H26)</f>
        <v>1</v>
      </c>
      <c r="H32" s="177" t="str">
        <f>IF(ISBLANK(Deflatores!I26),"",Deflatores!I26)</f>
        <v/>
      </c>
      <c r="I32" s="177" t="str">
        <f>Deflatores!K26</f>
        <v>#N/A</v>
      </c>
      <c r="J32" s="179" t="str">
        <f t="shared" si="2"/>
        <v>#REF!</v>
      </c>
      <c r="K32" s="133"/>
      <c r="L32" s="133"/>
      <c r="M32" s="172"/>
    </row>
    <row r="33" ht="13.5" customHeight="1">
      <c r="A33" s="171"/>
      <c r="B33" s="13" t="str">
        <f>""&amp;Deflatores!B27</f>
        <v>Consulta Prévia sem Atualização</v>
      </c>
      <c r="C33" s="11"/>
      <c r="D33" s="100" t="str">
        <f>""&amp;Deflatores!G27</f>
        <v>CPA</v>
      </c>
      <c r="E33" s="176" t="str">
        <f t="shared" si="1"/>
        <v>#REF!</v>
      </c>
      <c r="F33" s="177" t="str">
        <f>SUMIF(#REF!,Deflatores!G27,#REF!)</f>
        <v>#N/A</v>
      </c>
      <c r="G33" s="178">
        <f>IF(ISBLANK(Deflatores!H27),"",Deflatores!H27)</f>
        <v>1</v>
      </c>
      <c r="H33" s="177" t="str">
        <f>IF(ISBLANK(Deflatores!I27),"",Deflatores!I27)</f>
        <v/>
      </c>
      <c r="I33" s="177" t="str">
        <f>Deflatores!K27</f>
        <v>#N/A</v>
      </c>
      <c r="J33" s="179" t="str">
        <f t="shared" si="2"/>
        <v>#REF!</v>
      </c>
      <c r="K33" s="133"/>
      <c r="L33" s="133"/>
      <c r="M33" s="172"/>
    </row>
    <row r="34" ht="13.5" customHeight="1">
      <c r="A34" s="171"/>
      <c r="B34" s="13" t="str">
        <f>""&amp;Deflatores!B28</f>
        <v>Atualização de Dados com Consulta Prévia</v>
      </c>
      <c r="C34" s="11"/>
      <c r="D34" s="100" t="str">
        <f>""&amp;Deflatores!G28</f>
        <v>ADC</v>
      </c>
      <c r="E34" s="176" t="str">
        <f t="shared" si="1"/>
        <v>#REF!</v>
      </c>
      <c r="F34" s="177" t="str">
        <f>SUMIF(#REF!,Deflatores!G28,#REF!)</f>
        <v>#N/A</v>
      </c>
      <c r="G34" s="178">
        <f>IF(ISBLANK(Deflatores!H28),"",Deflatores!H28)</f>
        <v>0.6</v>
      </c>
      <c r="H34" s="177" t="str">
        <f>IF(ISBLANK(Deflatores!I28),"",Deflatores!I28)</f>
        <v/>
      </c>
      <c r="I34" s="177" t="str">
        <f>Deflatores!K28</f>
        <v>#N/A</v>
      </c>
      <c r="J34" s="179" t="str">
        <f t="shared" si="2"/>
        <v>#REF!</v>
      </c>
      <c r="K34" s="133"/>
      <c r="L34" s="133"/>
      <c r="M34" s="172"/>
    </row>
    <row r="35" ht="13.5" customHeight="1">
      <c r="A35" s="171"/>
      <c r="B35" s="13" t="str">
        <f>""&amp;Deflatores!B29</f>
        <v>Apuração Especial – Geração de Relatórios</v>
      </c>
      <c r="C35" s="11"/>
      <c r="D35" s="100" t="str">
        <f>""&amp;Deflatores!G29</f>
        <v>AGR</v>
      </c>
      <c r="E35" s="176" t="str">
        <f t="shared" si="1"/>
        <v>#REF!</v>
      </c>
      <c r="F35" s="177" t="str">
        <f>SUMIF(#REF!,Deflatores!G29,#REF!)</f>
        <v>#N/A</v>
      </c>
      <c r="G35" s="178">
        <f>IF(ISBLANK(Deflatores!H29),"",Deflatores!H29)</f>
        <v>1</v>
      </c>
      <c r="H35" s="177" t="str">
        <f>IF(ISBLANK(Deflatores!I29),"",Deflatores!I29)</f>
        <v/>
      </c>
      <c r="I35" s="177" t="str">
        <f>Deflatores!K29</f>
        <v>#N/A</v>
      </c>
      <c r="J35" s="179" t="str">
        <f t="shared" si="2"/>
        <v>#REF!</v>
      </c>
      <c r="K35" s="133"/>
      <c r="L35" s="133"/>
      <c r="M35" s="172"/>
    </row>
    <row r="36" ht="13.5" customHeight="1">
      <c r="A36" s="171"/>
      <c r="B36" s="13" t="str">
        <f>""&amp;Deflatores!B30</f>
        <v>Apuração Especial – Reexecução</v>
      </c>
      <c r="C36" s="11"/>
      <c r="D36" s="100" t="str">
        <f>""&amp;Deflatores!G30</f>
        <v>AER</v>
      </c>
      <c r="E36" s="176" t="str">
        <f t="shared" si="1"/>
        <v>#REF!</v>
      </c>
      <c r="F36" s="177" t="str">
        <f>SUMIF(#REF!,Deflatores!G30,#REF!)</f>
        <v>#N/A</v>
      </c>
      <c r="G36" s="178">
        <f>IF(ISBLANK(Deflatores!H30),"",Deflatores!H30)</f>
        <v>0.1</v>
      </c>
      <c r="H36" s="177" t="str">
        <f>IF(ISBLANK(Deflatores!I30),"",Deflatores!I30)</f>
        <v/>
      </c>
      <c r="I36" s="177" t="str">
        <f>Deflatores!K30</f>
        <v>#N/A</v>
      </c>
      <c r="J36" s="179" t="str">
        <f t="shared" si="2"/>
        <v>#REF!</v>
      </c>
      <c r="K36" s="133"/>
      <c r="L36" s="133"/>
      <c r="M36" s="172"/>
    </row>
    <row r="37" ht="13.5" customHeight="1">
      <c r="A37" s="171"/>
      <c r="B37" s="13" t="str">
        <f>""&amp;Deflatores!B31</f>
        <v>Atualização de Dados</v>
      </c>
      <c r="C37" s="11"/>
      <c r="D37" s="100" t="str">
        <f>""&amp;Deflatores!G31</f>
        <v>ATD</v>
      </c>
      <c r="E37" s="176" t="str">
        <f t="shared" si="1"/>
        <v>#REF!</v>
      </c>
      <c r="F37" s="177" t="str">
        <f>SUMIF(#REF!,Deflatores!G31,#REF!)</f>
        <v>#N/A</v>
      </c>
      <c r="G37" s="178">
        <f>IF(ISBLANK(Deflatores!H31),"",Deflatores!H31)</f>
        <v>0.1</v>
      </c>
      <c r="H37" s="177" t="str">
        <f>IF(ISBLANK(Deflatores!I31),"",Deflatores!I31)</f>
        <v/>
      </c>
      <c r="I37" s="177" t="str">
        <f>Deflatores!K31</f>
        <v>#N/A</v>
      </c>
      <c r="J37" s="179" t="str">
        <f t="shared" si="2"/>
        <v>#REF!</v>
      </c>
      <c r="K37" s="133"/>
      <c r="L37" s="133"/>
      <c r="M37" s="172"/>
    </row>
    <row r="38" ht="13.5" customHeight="1">
      <c r="A38" s="171"/>
      <c r="B38" s="13" t="str">
        <f>""&amp;Deflatores!B32</f>
        <v>Manutenção de Documentação de Sistemas Legados</v>
      </c>
      <c r="C38" s="11"/>
      <c r="D38" s="100" t="str">
        <f>""&amp;Deflatores!G32</f>
        <v>MSL</v>
      </c>
      <c r="E38" s="176" t="str">
        <f t="shared" si="1"/>
        <v>#REF!</v>
      </c>
      <c r="F38" s="177" t="str">
        <f>SUMIF(#REF!,Deflatores!G32,#REF!)</f>
        <v>#N/A</v>
      </c>
      <c r="G38" s="178">
        <f>IF(ISBLANK(Deflatores!H32),"",Deflatores!H32)</f>
        <v>0.25</v>
      </c>
      <c r="H38" s="177" t="str">
        <f>IF(ISBLANK(Deflatores!I32),"",Deflatores!I32)</f>
        <v/>
      </c>
      <c r="I38" s="177" t="str">
        <f>Deflatores!K32</f>
        <v>#N/A</v>
      </c>
      <c r="J38" s="179" t="str">
        <f t="shared" si="2"/>
        <v>#REF!</v>
      </c>
      <c r="K38" s="133"/>
      <c r="L38" s="133"/>
      <c r="M38" s="172"/>
    </row>
    <row r="39" ht="13.5" customHeight="1">
      <c r="A39" s="171"/>
      <c r="B39" s="13" t="str">
        <f>""&amp;Deflatores!B33</f>
        <v>Verificação de Erros (Sem Documentação de Teste existente)</v>
      </c>
      <c r="C39" s="11"/>
      <c r="D39" s="100" t="str">
        <f>""&amp;Deflatores!G33</f>
        <v>VES</v>
      </c>
      <c r="E39" s="176" t="str">
        <f t="shared" si="1"/>
        <v>#REF!</v>
      </c>
      <c r="F39" s="177" t="str">
        <f>SUMIF(#REF!,Deflatores!G33,#REF!)</f>
        <v>#N/A</v>
      </c>
      <c r="G39" s="178">
        <f>IF(ISBLANK(Deflatores!H33),"",Deflatores!H33)</f>
        <v>0.2</v>
      </c>
      <c r="H39" s="177" t="str">
        <f>IF(ISBLANK(Deflatores!I33),"",Deflatores!I33)</f>
        <v/>
      </c>
      <c r="I39" s="177" t="str">
        <f>Deflatores!K33</f>
        <v>#N/A</v>
      </c>
      <c r="J39" s="179" t="str">
        <f t="shared" si="2"/>
        <v>#REF!</v>
      </c>
      <c r="K39" s="133"/>
      <c r="L39" s="133"/>
      <c r="M39" s="172"/>
    </row>
    <row r="40" ht="13.5" customHeight="1">
      <c r="A40" s="171"/>
      <c r="B40" s="13" t="str">
        <f>""&amp;Deflatores!B34</f>
        <v>Verificação de Erros (Com Documentação de Teste existente)</v>
      </c>
      <c r="C40" s="11"/>
      <c r="D40" s="100" t="str">
        <f>""&amp;Deflatores!G34</f>
        <v>VEC</v>
      </c>
      <c r="E40" s="176" t="str">
        <f t="shared" si="1"/>
        <v>#REF!</v>
      </c>
      <c r="F40" s="177" t="str">
        <f>SUMIF(#REF!,Deflatores!G34,#REF!)</f>
        <v>#N/A</v>
      </c>
      <c r="G40" s="178">
        <f>IF(ISBLANK(Deflatores!H34),"",Deflatores!H34)</f>
        <v>0.15</v>
      </c>
      <c r="H40" s="177" t="str">
        <f>IF(ISBLANK(Deflatores!I34),"",Deflatores!I34)</f>
        <v/>
      </c>
      <c r="I40" s="177" t="str">
        <f>Deflatores!K34</f>
        <v>#N/A</v>
      </c>
      <c r="J40" s="179" t="str">
        <f t="shared" si="2"/>
        <v>#REF!</v>
      </c>
      <c r="K40" s="133"/>
      <c r="L40" s="133"/>
      <c r="M40" s="172"/>
    </row>
    <row r="41" ht="13.5" customHeight="1">
      <c r="A41" s="171"/>
      <c r="B41" s="13" t="str">
        <f>""&amp;Deflatores!B35</f>
        <v>Pontos de Função de Teste</v>
      </c>
      <c r="C41" s="11"/>
      <c r="D41" s="100" t="str">
        <f>""&amp;Deflatores!G35</f>
        <v>PFT</v>
      </c>
      <c r="E41" s="176" t="str">
        <f t="shared" si="1"/>
        <v>#REF!</v>
      </c>
      <c r="F41" s="177" t="str">
        <f>SUMIF(#REF!,Deflatores!G35,#REF!)</f>
        <v>#N/A</v>
      </c>
      <c r="G41" s="178">
        <f>IF(ISBLANK(Deflatores!H35),"",Deflatores!H35)</f>
        <v>0.15</v>
      </c>
      <c r="H41" s="177" t="str">
        <f>IF(ISBLANK(Deflatores!I35),"",Deflatores!I35)</f>
        <v/>
      </c>
      <c r="I41" s="177" t="str">
        <f>Deflatores!K35</f>
        <v>#N/A</v>
      </c>
      <c r="J41" s="179" t="str">
        <f t="shared" si="2"/>
        <v>#REF!</v>
      </c>
      <c r="K41" s="133"/>
      <c r="L41" s="133"/>
      <c r="M41" s="172"/>
    </row>
    <row r="42" ht="13.5" customHeight="1">
      <c r="A42" s="171"/>
      <c r="B42" s="13" t="str">
        <f>""&amp;Deflatores!B36</f>
        <v>Componente Interno Reusável</v>
      </c>
      <c r="C42" s="11"/>
      <c r="D42" s="100" t="str">
        <f>""&amp;Deflatores!G36</f>
        <v>CIR</v>
      </c>
      <c r="E42" s="176" t="str">
        <f t="shared" si="1"/>
        <v>#REF!</v>
      </c>
      <c r="F42" s="177" t="str">
        <f>SUMIF(#REF!,Deflatores!G36,#REF!)</f>
        <v>#N/A</v>
      </c>
      <c r="G42" s="178">
        <f>IF(ISBLANK(Deflatores!H36),"",Deflatores!H36)</f>
        <v>1</v>
      </c>
      <c r="H42" s="177" t="str">
        <f>IF(ISBLANK(Deflatores!I36),"",Deflatores!I36)</f>
        <v/>
      </c>
      <c r="I42" s="177" t="str">
        <f>Deflatores!K36</f>
        <v>#N/A</v>
      </c>
      <c r="J42" s="179" t="str">
        <f t="shared" si="2"/>
        <v>#REF!</v>
      </c>
      <c r="K42" s="133"/>
      <c r="L42" s="133"/>
      <c r="M42" s="172"/>
    </row>
    <row r="43" ht="13.5" customHeight="1">
      <c r="A43" s="171"/>
      <c r="B43" s="13" t="str">
        <f>""&amp;Deflatores!B37</f>
        <v/>
      </c>
      <c r="C43" s="11"/>
      <c r="D43" s="100" t="str">
        <f>""&amp;Deflatores!G37</f>
        <v>           .</v>
      </c>
      <c r="E43" s="176" t="str">
        <f t="shared" si="1"/>
        <v>#REF!</v>
      </c>
      <c r="F43" s="177" t="str">
        <f>SUMIF(#REF!,Deflatores!G37,#REF!)</f>
        <v>#N/A</v>
      </c>
      <c r="G43" s="178" t="str">
        <f>IF(ISBLANK(Deflatores!H37),"",Deflatores!H37)</f>
        <v/>
      </c>
      <c r="H43" s="177" t="str">
        <f>IF(ISBLANK(Deflatores!I37),"",Deflatores!I37)</f>
        <v/>
      </c>
      <c r="I43" s="177" t="str">
        <f>Deflatores!K37</f>
        <v>#REF!</v>
      </c>
      <c r="J43" s="179" t="str">
        <f t="shared" si="2"/>
        <v>#REF!</v>
      </c>
      <c r="K43" s="133"/>
      <c r="L43" s="133"/>
      <c r="M43" s="172"/>
    </row>
    <row r="44" ht="13.5" customHeight="1">
      <c r="A44" s="171"/>
      <c r="B44" s="13" t="str">
        <f>""&amp;Deflatores!B38</f>
        <v/>
      </c>
      <c r="C44" s="11"/>
      <c r="D44" s="100" t="str">
        <f>""&amp;Deflatores!G38</f>
        <v>           .</v>
      </c>
      <c r="E44" s="176" t="str">
        <f t="shared" si="1"/>
        <v>#REF!</v>
      </c>
      <c r="F44" s="177" t="str">
        <f>SUMIF(#REF!,Deflatores!G38,#REF!)</f>
        <v>#N/A</v>
      </c>
      <c r="G44" s="178" t="str">
        <f>IF(ISBLANK(Deflatores!H38),"",Deflatores!H38)</f>
        <v/>
      </c>
      <c r="H44" s="177" t="str">
        <f>IF(ISBLANK(Deflatores!I38),"",Deflatores!I38)</f>
        <v/>
      </c>
      <c r="I44" s="177" t="str">
        <f>Deflatores!K38</f>
        <v>#REF!</v>
      </c>
      <c r="J44" s="179" t="str">
        <f t="shared" si="2"/>
        <v>#REF!</v>
      </c>
      <c r="K44" s="133"/>
      <c r="L44" s="133"/>
      <c r="M44" s="172"/>
    </row>
    <row r="45" ht="12.75" customHeight="1">
      <c r="A45" s="171"/>
      <c r="B45" s="183"/>
      <c r="C45" s="161"/>
      <c r="D45" s="173"/>
      <c r="E45" s="113"/>
      <c r="F45" s="113"/>
      <c r="G45" s="184"/>
      <c r="H45" s="113"/>
      <c r="I45" s="185"/>
      <c r="J45" s="133"/>
      <c r="K45" s="133"/>
      <c r="L45" s="133"/>
      <c r="M45" s="172"/>
    </row>
    <row r="46" ht="13.5" customHeight="1">
      <c r="A46" s="171"/>
      <c r="B46" s="186" t="s">
        <v>258</v>
      </c>
      <c r="C46" s="7"/>
      <c r="D46" s="118"/>
      <c r="E46" s="187" t="s">
        <v>223</v>
      </c>
      <c r="F46" s="188"/>
      <c r="G46" s="184"/>
      <c r="H46" s="187" t="s">
        <v>255</v>
      </c>
      <c r="I46" s="187" t="s">
        <v>8</v>
      </c>
      <c r="J46" s="187" t="s">
        <v>256</v>
      </c>
      <c r="K46" s="133"/>
      <c r="L46" s="133"/>
      <c r="M46" s="172"/>
    </row>
    <row r="47" ht="13.5" customHeight="1">
      <c r="A47" s="171"/>
      <c r="B47" s="13" t="str">
        <f>""&amp;Deflatores!B42</f>
        <v>Páginas Estáticas</v>
      </c>
      <c r="C47" s="11"/>
      <c r="D47" s="189" t="str">
        <f>""&amp;Deflatores!G42</f>
        <v>PAG</v>
      </c>
      <c r="E47" s="190" t="str">
        <f>Deflatores!J42</f>
        <v>#REF!</v>
      </c>
      <c r="F47" s="133"/>
      <c r="G47" s="133"/>
      <c r="H47" s="191">
        <f>IF(ISBLANK(Deflatores!H42),"",Deflatores!H42)</f>
        <v>0.6</v>
      </c>
      <c r="I47" s="191" t="str">
        <f t="shared" ref="I47:I69" si="3">IF(ISNUMBER(H47),E47*H47,"")</f>
        <v>#REF!</v>
      </c>
      <c r="J47" s="192" t="str">
        <f t="shared" ref="J47:J69" si="4">IF(ISNUMBER(I47),IF($L$11&lt;&gt;0,I47/$L$11,""),"")</f>
        <v/>
      </c>
      <c r="K47" s="133"/>
      <c r="L47" s="133"/>
      <c r="M47" s="172"/>
    </row>
    <row r="48" ht="13.5" customHeight="1">
      <c r="A48" s="171"/>
      <c r="B48" s="13" t="str">
        <f>""&amp;Deflatores!B43</f>
        <v>Manutenção Cosmética (atrelada a algo não funcional)</v>
      </c>
      <c r="C48" s="11"/>
      <c r="D48" s="189" t="str">
        <f>""&amp;Deflatores!G43</f>
        <v>COSNF</v>
      </c>
      <c r="E48" s="190" t="str">
        <f>Deflatores!J43</f>
        <v>#REF!</v>
      </c>
      <c r="F48" s="133"/>
      <c r="G48" s="133"/>
      <c r="H48" s="191">
        <f>IF(ISBLANK(Deflatores!H43),"",Deflatores!H43)</f>
        <v>0.6</v>
      </c>
      <c r="I48" s="191" t="str">
        <f t="shared" si="3"/>
        <v>#REF!</v>
      </c>
      <c r="J48" s="192" t="str">
        <f t="shared" si="4"/>
        <v/>
      </c>
      <c r="K48" s="133"/>
      <c r="L48" s="133"/>
      <c r="M48" s="172"/>
    </row>
    <row r="49" ht="12.75" customHeight="1">
      <c r="A49" s="171"/>
      <c r="B49" s="13" t="str">
        <f>""&amp;Deflatores!B44</f>
        <v>Dados de Código</v>
      </c>
      <c r="C49" s="11"/>
      <c r="D49" s="189" t="str">
        <f>""&amp;Deflatores!G44</f>
        <v>DC</v>
      </c>
      <c r="E49" s="190" t="str">
        <f>Deflatores!J44</f>
        <v>#REF!</v>
      </c>
      <c r="F49" s="133"/>
      <c r="G49" s="133"/>
      <c r="H49" s="191">
        <f>IF(ISBLANK(Deflatores!H44),"",Deflatores!H44)</f>
        <v>0</v>
      </c>
      <c r="I49" s="191" t="str">
        <f t="shared" si="3"/>
        <v>#REF!</v>
      </c>
      <c r="J49" s="192" t="str">
        <f t="shared" si="4"/>
        <v/>
      </c>
      <c r="K49" s="133"/>
      <c r="L49" s="133"/>
      <c r="M49" s="172"/>
    </row>
    <row r="50" ht="12.75" customHeight="1">
      <c r="A50" s="171"/>
      <c r="B50" s="13" t="str">
        <f>""&amp;Deflatores!B45</f>
        <v/>
      </c>
      <c r="C50" s="11"/>
      <c r="D50" s="189" t="str">
        <f>""&amp;Deflatores!G45</f>
        <v>           .</v>
      </c>
      <c r="E50" s="190" t="str">
        <f>Deflatores!J45</f>
        <v>#REF!</v>
      </c>
      <c r="F50" s="133"/>
      <c r="G50" s="133"/>
      <c r="H50" s="191" t="str">
        <f>IF(ISBLANK(Deflatores!H45),"",Deflatores!H45)</f>
        <v/>
      </c>
      <c r="I50" s="191" t="str">
        <f t="shared" si="3"/>
        <v/>
      </c>
      <c r="J50" s="192" t="str">
        <f t="shared" si="4"/>
        <v/>
      </c>
      <c r="K50" s="133"/>
      <c r="L50" s="133"/>
      <c r="M50" s="172"/>
    </row>
    <row r="51" ht="12.75" customHeight="1">
      <c r="A51" s="171"/>
      <c r="B51" s="13" t="str">
        <f>""&amp;Deflatores!B46</f>
        <v/>
      </c>
      <c r="C51" s="11"/>
      <c r="D51" s="189" t="str">
        <f>""&amp;Deflatores!G46</f>
        <v>           .</v>
      </c>
      <c r="E51" s="190" t="str">
        <f>Deflatores!J46</f>
        <v>#REF!</v>
      </c>
      <c r="F51" s="133"/>
      <c r="G51" s="133"/>
      <c r="H51" s="191" t="str">
        <f>IF(ISBLANK(Deflatores!H46),"",Deflatores!H46)</f>
        <v/>
      </c>
      <c r="I51" s="191" t="str">
        <f t="shared" si="3"/>
        <v/>
      </c>
      <c r="J51" s="192" t="str">
        <f t="shared" si="4"/>
        <v/>
      </c>
      <c r="K51" s="133"/>
      <c r="L51" s="133"/>
      <c r="M51" s="172"/>
    </row>
    <row r="52" ht="12.75" customHeight="1">
      <c r="A52" s="171"/>
      <c r="B52" s="13" t="str">
        <f>""&amp;Deflatores!B47</f>
        <v/>
      </c>
      <c r="C52" s="11"/>
      <c r="D52" s="189" t="str">
        <f>""&amp;Deflatores!G47</f>
        <v>           .</v>
      </c>
      <c r="E52" s="190" t="str">
        <f>Deflatores!J47</f>
        <v>#REF!</v>
      </c>
      <c r="F52" s="133"/>
      <c r="G52" s="133"/>
      <c r="H52" s="191" t="str">
        <f>IF(ISBLANK(Deflatores!H47),"",Deflatores!H47)</f>
        <v/>
      </c>
      <c r="I52" s="191" t="str">
        <f t="shared" si="3"/>
        <v/>
      </c>
      <c r="J52" s="192" t="str">
        <f t="shared" si="4"/>
        <v/>
      </c>
      <c r="K52" s="133"/>
      <c r="L52" s="133"/>
      <c r="M52" s="172"/>
    </row>
    <row r="53" ht="12.75" customHeight="1">
      <c r="A53" s="171"/>
      <c r="B53" s="13" t="str">
        <f>""&amp;Deflatores!B48</f>
        <v/>
      </c>
      <c r="C53" s="11"/>
      <c r="D53" s="189" t="str">
        <f>""&amp;Deflatores!G48</f>
        <v>           .</v>
      </c>
      <c r="E53" s="190" t="str">
        <f>Deflatores!J48</f>
        <v>#REF!</v>
      </c>
      <c r="F53" s="133"/>
      <c r="G53" s="133"/>
      <c r="H53" s="191" t="str">
        <f>IF(ISBLANK(Deflatores!H48),"",Deflatores!H48)</f>
        <v/>
      </c>
      <c r="I53" s="191" t="str">
        <f t="shared" si="3"/>
        <v/>
      </c>
      <c r="J53" s="192" t="str">
        <f t="shared" si="4"/>
        <v/>
      </c>
      <c r="K53" s="133"/>
      <c r="L53" s="133"/>
      <c r="M53" s="172"/>
    </row>
    <row r="54" ht="12.75" customHeight="1">
      <c r="A54" s="171"/>
      <c r="B54" s="13" t="str">
        <f>""&amp;Deflatores!B49</f>
        <v/>
      </c>
      <c r="C54" s="11"/>
      <c r="D54" s="189" t="str">
        <f>""&amp;Deflatores!G49</f>
        <v>           .</v>
      </c>
      <c r="E54" s="190" t="str">
        <f>Deflatores!J49</f>
        <v>#REF!</v>
      </c>
      <c r="F54" s="133"/>
      <c r="G54" s="133"/>
      <c r="H54" s="191" t="str">
        <f>IF(ISBLANK(Deflatores!H49),"",Deflatores!H49)</f>
        <v/>
      </c>
      <c r="I54" s="191" t="str">
        <f t="shared" si="3"/>
        <v/>
      </c>
      <c r="J54" s="192" t="str">
        <f t="shared" si="4"/>
        <v/>
      </c>
      <c r="K54" s="133"/>
      <c r="L54" s="133"/>
      <c r="M54" s="172"/>
    </row>
    <row r="55" ht="12.75" customHeight="1">
      <c r="A55" s="171"/>
      <c r="B55" s="13" t="str">
        <f>""&amp;Deflatores!B50</f>
        <v/>
      </c>
      <c r="C55" s="11"/>
      <c r="D55" s="189" t="str">
        <f>""&amp;Deflatores!G50</f>
        <v>           .</v>
      </c>
      <c r="E55" s="190" t="str">
        <f>Deflatores!J50</f>
        <v>#REF!</v>
      </c>
      <c r="F55" s="133"/>
      <c r="G55" s="133"/>
      <c r="H55" s="191" t="str">
        <f>IF(ISBLANK(Deflatores!H50),"",Deflatores!H50)</f>
        <v/>
      </c>
      <c r="I55" s="191" t="str">
        <f t="shared" si="3"/>
        <v/>
      </c>
      <c r="J55" s="192" t="str">
        <f t="shared" si="4"/>
        <v/>
      </c>
      <c r="K55" s="133"/>
      <c r="L55" s="133"/>
      <c r="M55" s="172"/>
    </row>
    <row r="56" ht="12.75" customHeight="1">
      <c r="A56" s="171"/>
      <c r="B56" s="13" t="str">
        <f>""&amp;Deflatores!B51</f>
        <v/>
      </c>
      <c r="C56" s="11"/>
      <c r="D56" s="189" t="str">
        <f>""&amp;Deflatores!G51</f>
        <v>           .</v>
      </c>
      <c r="E56" s="190" t="str">
        <f>Deflatores!J51</f>
        <v>#REF!</v>
      </c>
      <c r="F56" s="133"/>
      <c r="G56" s="133"/>
      <c r="H56" s="191" t="str">
        <f>IF(ISBLANK(Deflatores!H51),"",Deflatores!H51)</f>
        <v/>
      </c>
      <c r="I56" s="191" t="str">
        <f t="shared" si="3"/>
        <v/>
      </c>
      <c r="J56" s="192" t="str">
        <f t="shared" si="4"/>
        <v/>
      </c>
      <c r="K56" s="133"/>
      <c r="L56" s="133"/>
      <c r="M56" s="172"/>
    </row>
    <row r="57" ht="12.75" customHeight="1">
      <c r="A57" s="171"/>
      <c r="B57" s="13" t="str">
        <f>""&amp;Deflatores!B52</f>
        <v/>
      </c>
      <c r="C57" s="11"/>
      <c r="D57" s="189" t="str">
        <f>""&amp;Deflatores!G52</f>
        <v>           .</v>
      </c>
      <c r="E57" s="190" t="str">
        <f>Deflatores!J52</f>
        <v>#REF!</v>
      </c>
      <c r="F57" s="133"/>
      <c r="G57" s="133"/>
      <c r="H57" s="191" t="str">
        <f>IF(ISBLANK(Deflatores!H52),"",Deflatores!H52)</f>
        <v/>
      </c>
      <c r="I57" s="191" t="str">
        <f t="shared" si="3"/>
        <v/>
      </c>
      <c r="J57" s="192" t="str">
        <f t="shared" si="4"/>
        <v/>
      </c>
      <c r="K57" s="133"/>
      <c r="L57" s="133"/>
      <c r="M57" s="172"/>
    </row>
    <row r="58" ht="12.75" customHeight="1">
      <c r="A58" s="171"/>
      <c r="B58" s="13" t="str">
        <f>""&amp;Deflatores!B53</f>
        <v/>
      </c>
      <c r="C58" s="11"/>
      <c r="D58" s="189" t="str">
        <f>""&amp;Deflatores!G53</f>
        <v>           .</v>
      </c>
      <c r="E58" s="190" t="str">
        <f>Deflatores!J53</f>
        <v>#REF!</v>
      </c>
      <c r="F58" s="133"/>
      <c r="G58" s="133"/>
      <c r="H58" s="191" t="str">
        <f>IF(ISBLANK(Deflatores!H53),"",Deflatores!H53)</f>
        <v/>
      </c>
      <c r="I58" s="191" t="str">
        <f t="shared" si="3"/>
        <v/>
      </c>
      <c r="J58" s="192" t="str">
        <f t="shared" si="4"/>
        <v/>
      </c>
      <c r="K58" s="133"/>
      <c r="L58" s="133"/>
      <c r="M58" s="172"/>
    </row>
    <row r="59" ht="12.75" customHeight="1">
      <c r="A59" s="171"/>
      <c r="B59" s="13" t="str">
        <f>""&amp;Deflatores!B54</f>
        <v/>
      </c>
      <c r="C59" s="11"/>
      <c r="D59" s="189" t="str">
        <f>""&amp;Deflatores!G54</f>
        <v>           .</v>
      </c>
      <c r="E59" s="190" t="str">
        <f>Deflatores!J54</f>
        <v>#REF!</v>
      </c>
      <c r="F59" s="133"/>
      <c r="G59" s="133"/>
      <c r="H59" s="191" t="str">
        <f>IF(ISBLANK(Deflatores!H54),"",Deflatores!H54)</f>
        <v/>
      </c>
      <c r="I59" s="191" t="str">
        <f t="shared" si="3"/>
        <v/>
      </c>
      <c r="J59" s="192" t="str">
        <f t="shared" si="4"/>
        <v/>
      </c>
      <c r="K59" s="133"/>
      <c r="L59" s="133"/>
      <c r="M59" s="172"/>
    </row>
    <row r="60" ht="12.75" customHeight="1">
      <c r="A60" s="171"/>
      <c r="B60" s="13" t="str">
        <f>""&amp;Deflatores!B55</f>
        <v/>
      </c>
      <c r="C60" s="11"/>
      <c r="D60" s="189" t="str">
        <f>""&amp;Deflatores!G55</f>
        <v>           .</v>
      </c>
      <c r="E60" s="190" t="str">
        <f>Deflatores!J55</f>
        <v>#REF!</v>
      </c>
      <c r="F60" s="133"/>
      <c r="G60" s="133"/>
      <c r="H60" s="191" t="str">
        <f>IF(ISBLANK(Deflatores!H55),"",Deflatores!H55)</f>
        <v/>
      </c>
      <c r="I60" s="191" t="str">
        <f t="shared" si="3"/>
        <v/>
      </c>
      <c r="J60" s="192" t="str">
        <f t="shared" si="4"/>
        <v/>
      </c>
      <c r="K60" s="133"/>
      <c r="L60" s="133"/>
      <c r="M60" s="172"/>
    </row>
    <row r="61" ht="12.75" customHeight="1">
      <c r="A61" s="171"/>
      <c r="B61" s="13" t="str">
        <f>""&amp;Deflatores!B56</f>
        <v/>
      </c>
      <c r="C61" s="11"/>
      <c r="D61" s="189" t="str">
        <f>""&amp;Deflatores!G56</f>
        <v>           .</v>
      </c>
      <c r="E61" s="190" t="str">
        <f>Deflatores!J56</f>
        <v>#REF!</v>
      </c>
      <c r="F61" s="133"/>
      <c r="G61" s="133"/>
      <c r="H61" s="191" t="str">
        <f>IF(ISBLANK(Deflatores!H56),"",Deflatores!H56)</f>
        <v/>
      </c>
      <c r="I61" s="191" t="str">
        <f t="shared" si="3"/>
        <v/>
      </c>
      <c r="J61" s="192" t="str">
        <f t="shared" si="4"/>
        <v/>
      </c>
      <c r="K61" s="133"/>
      <c r="L61" s="133"/>
      <c r="M61" s="172"/>
    </row>
    <row r="62" ht="12.75" customHeight="1">
      <c r="A62" s="171"/>
      <c r="B62" s="13" t="str">
        <f>""&amp;Deflatores!B57</f>
        <v/>
      </c>
      <c r="C62" s="11"/>
      <c r="D62" s="189" t="str">
        <f>""&amp;Deflatores!G57</f>
        <v>           .</v>
      </c>
      <c r="E62" s="190" t="str">
        <f>Deflatores!J57</f>
        <v>#REF!</v>
      </c>
      <c r="F62" s="133"/>
      <c r="G62" s="133"/>
      <c r="H62" s="191" t="str">
        <f>IF(ISBLANK(Deflatores!H57),"",Deflatores!H57)</f>
        <v/>
      </c>
      <c r="I62" s="191" t="str">
        <f t="shared" si="3"/>
        <v/>
      </c>
      <c r="J62" s="192" t="str">
        <f t="shared" si="4"/>
        <v/>
      </c>
      <c r="K62" s="133"/>
      <c r="L62" s="133"/>
      <c r="M62" s="172"/>
    </row>
    <row r="63" ht="12.75" customHeight="1">
      <c r="A63" s="171"/>
      <c r="B63" s="13" t="str">
        <f>""&amp;Deflatores!B58</f>
        <v/>
      </c>
      <c r="C63" s="11"/>
      <c r="D63" s="189" t="str">
        <f>""&amp;Deflatores!G58</f>
        <v>           .</v>
      </c>
      <c r="E63" s="190" t="str">
        <f>Deflatores!J58</f>
        <v>#REF!</v>
      </c>
      <c r="F63" s="133"/>
      <c r="G63" s="133"/>
      <c r="H63" s="191" t="str">
        <f>IF(ISBLANK(Deflatores!H58),"",Deflatores!H58)</f>
        <v/>
      </c>
      <c r="I63" s="191" t="str">
        <f t="shared" si="3"/>
        <v/>
      </c>
      <c r="J63" s="192" t="str">
        <f t="shared" si="4"/>
        <v/>
      </c>
      <c r="K63" s="133"/>
      <c r="L63" s="133"/>
      <c r="M63" s="172"/>
    </row>
    <row r="64" ht="12.75" customHeight="1">
      <c r="A64" s="171"/>
      <c r="B64" s="13" t="str">
        <f>""&amp;Deflatores!B59</f>
        <v/>
      </c>
      <c r="C64" s="11"/>
      <c r="D64" s="189" t="str">
        <f>""&amp;Deflatores!G59</f>
        <v>           .</v>
      </c>
      <c r="E64" s="190" t="str">
        <f>Deflatores!J59</f>
        <v>#REF!</v>
      </c>
      <c r="F64" s="133"/>
      <c r="G64" s="133"/>
      <c r="H64" s="191" t="str">
        <f>IF(ISBLANK(Deflatores!H59),"",Deflatores!H59)</f>
        <v/>
      </c>
      <c r="I64" s="191" t="str">
        <f t="shared" si="3"/>
        <v/>
      </c>
      <c r="J64" s="192" t="str">
        <f t="shared" si="4"/>
        <v/>
      </c>
      <c r="K64" s="133"/>
      <c r="L64" s="133"/>
      <c r="M64" s="172"/>
    </row>
    <row r="65" ht="12.75" customHeight="1">
      <c r="A65" s="171"/>
      <c r="B65" s="13" t="str">
        <f>""&amp;Deflatores!B60</f>
        <v/>
      </c>
      <c r="C65" s="11"/>
      <c r="D65" s="189" t="str">
        <f>""&amp;Deflatores!G60</f>
        <v>           .</v>
      </c>
      <c r="E65" s="190" t="str">
        <f>Deflatores!J60</f>
        <v>#REF!</v>
      </c>
      <c r="F65" s="133"/>
      <c r="G65" s="133"/>
      <c r="H65" s="191" t="str">
        <f>IF(ISBLANK(Deflatores!H60),"",Deflatores!H60)</f>
        <v/>
      </c>
      <c r="I65" s="191" t="str">
        <f t="shared" si="3"/>
        <v/>
      </c>
      <c r="J65" s="192" t="str">
        <f t="shared" si="4"/>
        <v/>
      </c>
      <c r="K65" s="133"/>
      <c r="L65" s="133"/>
      <c r="M65" s="172"/>
    </row>
    <row r="66" ht="12.75" customHeight="1">
      <c r="A66" s="171"/>
      <c r="B66" s="13" t="str">
        <f>""&amp;Deflatores!B61</f>
        <v/>
      </c>
      <c r="C66" s="11"/>
      <c r="D66" s="189" t="str">
        <f>""&amp;Deflatores!G61</f>
        <v>           .</v>
      </c>
      <c r="E66" s="190" t="str">
        <f>Deflatores!J61</f>
        <v>#REF!</v>
      </c>
      <c r="F66" s="133"/>
      <c r="G66" s="133"/>
      <c r="H66" s="191" t="str">
        <f>IF(ISBLANK(Deflatores!H61),"",Deflatores!H61)</f>
        <v/>
      </c>
      <c r="I66" s="191" t="str">
        <f t="shared" si="3"/>
        <v/>
      </c>
      <c r="J66" s="192" t="str">
        <f t="shared" si="4"/>
        <v/>
      </c>
      <c r="K66" s="133"/>
      <c r="L66" s="133"/>
      <c r="M66" s="172"/>
    </row>
    <row r="67" ht="12.75" customHeight="1">
      <c r="A67" s="171"/>
      <c r="B67" s="13" t="str">
        <f>""&amp;Deflatores!B62</f>
        <v/>
      </c>
      <c r="C67" s="11"/>
      <c r="D67" s="189" t="str">
        <f>""&amp;Deflatores!G62</f>
        <v>           .</v>
      </c>
      <c r="E67" s="190" t="str">
        <f>Deflatores!J62</f>
        <v>#REF!</v>
      </c>
      <c r="F67" s="133"/>
      <c r="G67" s="133"/>
      <c r="H67" s="191" t="str">
        <f>IF(ISBLANK(Deflatores!H62),"",Deflatores!H62)</f>
        <v/>
      </c>
      <c r="I67" s="191" t="str">
        <f t="shared" si="3"/>
        <v/>
      </c>
      <c r="J67" s="192" t="str">
        <f t="shared" si="4"/>
        <v/>
      </c>
      <c r="K67" s="133"/>
      <c r="L67" s="133"/>
      <c r="M67" s="172"/>
    </row>
    <row r="68" ht="12.75" customHeight="1">
      <c r="A68" s="171"/>
      <c r="B68" s="13" t="str">
        <f>""&amp;Deflatores!B63</f>
        <v/>
      </c>
      <c r="C68" s="11"/>
      <c r="D68" s="189" t="str">
        <f>""&amp;Deflatores!G63</f>
        <v>           .</v>
      </c>
      <c r="E68" s="190" t="str">
        <f>Deflatores!J63</f>
        <v>#REF!</v>
      </c>
      <c r="F68" s="133"/>
      <c r="G68" s="133"/>
      <c r="H68" s="191" t="str">
        <f>IF(ISBLANK(Deflatores!H63),"",Deflatores!H63)</f>
        <v/>
      </c>
      <c r="I68" s="191" t="str">
        <f t="shared" si="3"/>
        <v/>
      </c>
      <c r="J68" s="192" t="str">
        <f t="shared" si="4"/>
        <v/>
      </c>
      <c r="K68" s="133"/>
      <c r="L68" s="133"/>
      <c r="M68" s="172"/>
    </row>
    <row r="69" ht="12.75" customHeight="1">
      <c r="A69" s="171"/>
      <c r="B69" s="13" t="str">
        <f>""&amp;Deflatores!B64</f>
        <v/>
      </c>
      <c r="C69" s="11"/>
      <c r="D69" s="189" t="str">
        <f>""&amp;Deflatores!G64</f>
        <v>           .</v>
      </c>
      <c r="E69" s="190" t="str">
        <f>Deflatores!J64</f>
        <v>#REF!</v>
      </c>
      <c r="F69" s="184"/>
      <c r="G69" s="184"/>
      <c r="H69" s="191" t="str">
        <f>IF(ISBLANK(Deflatores!H64),"",Deflatores!H64)</f>
        <v/>
      </c>
      <c r="I69" s="191" t="str">
        <f t="shared" si="3"/>
        <v/>
      </c>
      <c r="J69" s="192" t="str">
        <f t="shared" si="4"/>
        <v/>
      </c>
      <c r="K69" s="133"/>
      <c r="L69" s="133"/>
      <c r="M69" s="172"/>
    </row>
    <row r="70" ht="12.75" customHeight="1">
      <c r="A70" s="193"/>
      <c r="B70" s="194"/>
      <c r="C70" s="195"/>
      <c r="D70" s="196"/>
      <c r="E70" s="197"/>
      <c r="F70" s="198"/>
      <c r="G70" s="198"/>
      <c r="H70" s="198"/>
      <c r="I70" s="199"/>
      <c r="J70" s="195"/>
      <c r="K70" s="195"/>
      <c r="L70" s="195"/>
      <c r="M70" s="200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64:C64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D46"/>
    <mergeCell ref="B47:C47"/>
    <mergeCell ref="B48:C48"/>
    <mergeCell ref="B49:C49"/>
    <mergeCell ref="B50:C50"/>
  </mergeCells>
  <printOptions/>
  <pageMargins bottom="1.023611111111111" footer="0.0" header="0.0" left="0.7875" right="0.7875" top="1.023611111111111"/>
  <pageSetup paperSize="9" scale="47" orientation="portrait"/>
  <headerFooter>
    <oddFooter>&amp;CPágina &amp;P de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2025-07-31T13:52:56Z</dcterms:created>
  <dc:creator>Joao Cleber da Costa</dc:creator>
</cp:coreProperties>
</file>