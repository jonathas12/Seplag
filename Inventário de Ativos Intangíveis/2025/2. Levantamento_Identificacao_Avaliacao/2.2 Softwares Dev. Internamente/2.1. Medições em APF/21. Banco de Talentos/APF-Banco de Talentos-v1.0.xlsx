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nathasmarques\Downloads\"/>
    </mc:Choice>
  </mc:AlternateContent>
  <bookViews>
    <workbookView xWindow="0" yWindow="0" windowWidth="28800" windowHeight="12720" tabRatio="340" activeTab="1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L12" i="2" l="1"/>
  <c r="J12" i="2"/>
  <c r="I12" i="2"/>
  <c r="H12" i="2" s="1"/>
  <c r="K12" i="2" s="1"/>
  <c r="G12" i="2" l="1"/>
  <c r="F12" i="2"/>
  <c r="J16" i="2"/>
  <c r="I16" i="2"/>
  <c r="H16" i="2" s="1"/>
  <c r="J14" i="2"/>
  <c r="I14" i="2"/>
  <c r="H14" i="2" s="1"/>
  <c r="J11" i="2"/>
  <c r="I11" i="2"/>
  <c r="H11" i="2" s="1"/>
  <c r="L16" i="2" l="1"/>
  <c r="K16" i="2" s="1"/>
  <c r="F16" i="2"/>
  <c r="G16" i="2"/>
  <c r="L14" i="2"/>
  <c r="K14" i="2" s="1"/>
  <c r="G14" i="2"/>
  <c r="F14" i="2"/>
  <c r="L11" i="2"/>
  <c r="K11" i="2" s="1"/>
  <c r="G11" i="2"/>
  <c r="F11" i="2"/>
  <c r="I44" i="2"/>
  <c r="G44" i="2" s="1"/>
  <c r="J44" i="2"/>
  <c r="L44" i="2"/>
  <c r="H44" i="2" l="1"/>
  <c r="K44" i="2" s="1"/>
  <c r="F44" i="2"/>
  <c r="J34" i="2"/>
  <c r="I34" i="2"/>
  <c r="H34" i="2" s="1"/>
  <c r="L34" i="2" l="1"/>
  <c r="K34" i="2" s="1"/>
  <c r="F34" i="2"/>
  <c r="G34" i="2"/>
  <c r="J15" i="2"/>
  <c r="I15" i="2"/>
  <c r="H15" i="2" s="1"/>
  <c r="L15" i="2" l="1"/>
  <c r="K15" i="2" s="1"/>
  <c r="F15" i="2"/>
  <c r="G15" i="2"/>
  <c r="J75" i="2"/>
  <c r="I75" i="2"/>
  <c r="G75" i="2" s="1"/>
  <c r="J22" i="2"/>
  <c r="I22" i="2"/>
  <c r="G22" i="2" s="1"/>
  <c r="J23" i="2"/>
  <c r="I23" i="2"/>
  <c r="G23" i="2" s="1"/>
  <c r="F75" i="2" l="1"/>
  <c r="H75" i="2"/>
  <c r="F23" i="2"/>
  <c r="H22" i="2"/>
  <c r="H23" i="2"/>
  <c r="L23" i="2" s="1"/>
  <c r="F22" i="2"/>
  <c r="J27" i="2"/>
  <c r="I27" i="2"/>
  <c r="G27" i="2" s="1"/>
  <c r="J188" i="2"/>
  <c r="I188" i="2"/>
  <c r="G188" i="2" s="1"/>
  <c r="J187" i="2"/>
  <c r="I187" i="2"/>
  <c r="G187" i="2" s="1"/>
  <c r="J186" i="2"/>
  <c r="I186" i="2"/>
  <c r="G186" i="2" s="1"/>
  <c r="J185" i="2"/>
  <c r="I185" i="2"/>
  <c r="H185" i="2" s="1"/>
  <c r="J184" i="2"/>
  <c r="I184" i="2"/>
  <c r="G184" i="2" s="1"/>
  <c r="J192" i="2"/>
  <c r="I192" i="2"/>
  <c r="G192" i="2" s="1"/>
  <c r="J191" i="2"/>
  <c r="I191" i="2"/>
  <c r="G191" i="2" s="1"/>
  <c r="J190" i="2"/>
  <c r="I190" i="2"/>
  <c r="G190" i="2" s="1"/>
  <c r="J189" i="2"/>
  <c r="I189" i="2"/>
  <c r="H189" i="2" s="1"/>
  <c r="J194" i="2"/>
  <c r="I194" i="2"/>
  <c r="G194" i="2" s="1"/>
  <c r="J193" i="2"/>
  <c r="I193" i="2"/>
  <c r="G193" i="2" s="1"/>
  <c r="L195" i="2"/>
  <c r="J195" i="2"/>
  <c r="I195" i="2"/>
  <c r="G195" i="2" s="1"/>
  <c r="H195" i="2"/>
  <c r="F195" i="2"/>
  <c r="J223" i="2"/>
  <c r="I223" i="2"/>
  <c r="G223" i="2" s="1"/>
  <c r="J222" i="2"/>
  <c r="I222" i="2"/>
  <c r="G222" i="2" s="1"/>
  <c r="J221" i="2"/>
  <c r="I221" i="2"/>
  <c r="F221" i="2" s="1"/>
  <c r="J220" i="2"/>
  <c r="I220" i="2"/>
  <c r="G220" i="2" s="1"/>
  <c r="J219" i="2"/>
  <c r="I219" i="2"/>
  <c r="G219" i="2" s="1"/>
  <c r="J218" i="2"/>
  <c r="I218" i="2"/>
  <c r="G218" i="2" s="1"/>
  <c r="L224" i="2"/>
  <c r="J224" i="2"/>
  <c r="I224" i="2"/>
  <c r="G224" i="2" s="1"/>
  <c r="H224" i="2"/>
  <c r="F224" i="2"/>
  <c r="J104" i="2"/>
  <c r="I104" i="2"/>
  <c r="G104" i="2" s="1"/>
  <c r="J103" i="2"/>
  <c r="I103" i="2"/>
  <c r="G103" i="2" s="1"/>
  <c r="J102" i="2"/>
  <c r="I102" i="2"/>
  <c r="G102" i="2" s="1"/>
  <c r="J105" i="2"/>
  <c r="I105" i="2"/>
  <c r="G105" i="2" s="1"/>
  <c r="J99" i="2"/>
  <c r="I99" i="2"/>
  <c r="G99" i="2" s="1"/>
  <c r="J98" i="2"/>
  <c r="I98" i="2"/>
  <c r="G98" i="2" s="1"/>
  <c r="J100" i="2"/>
  <c r="I100" i="2"/>
  <c r="G100" i="2" s="1"/>
  <c r="J97" i="2"/>
  <c r="I97" i="2"/>
  <c r="G97" i="2" s="1"/>
  <c r="J96" i="2"/>
  <c r="I96" i="2"/>
  <c r="G96" i="2" s="1"/>
  <c r="J106" i="2"/>
  <c r="I106" i="2"/>
  <c r="G106" i="2" s="1"/>
  <c r="J101" i="2"/>
  <c r="I101" i="2"/>
  <c r="G101" i="2" s="1"/>
  <c r="J83" i="2"/>
  <c r="I83" i="2"/>
  <c r="G83" i="2" s="1"/>
  <c r="J89" i="2"/>
  <c r="I89" i="2"/>
  <c r="G89" i="2" s="1"/>
  <c r="J88" i="2"/>
  <c r="I88" i="2"/>
  <c r="G88" i="2" s="1"/>
  <c r="J87" i="2"/>
  <c r="I87" i="2"/>
  <c r="H87" i="2" s="1"/>
  <c r="L87" i="2" s="1"/>
  <c r="J86" i="2"/>
  <c r="I86" i="2"/>
  <c r="G86" i="2" s="1"/>
  <c r="J85" i="2"/>
  <c r="I85" i="2"/>
  <c r="G85" i="2" s="1"/>
  <c r="J84" i="2"/>
  <c r="I84" i="2"/>
  <c r="H84" i="2" s="1"/>
  <c r="L84" i="2" s="1"/>
  <c r="K84" i="2" s="1"/>
  <c r="J82" i="2"/>
  <c r="I82" i="2"/>
  <c r="G82" i="2" s="1"/>
  <c r="J93" i="2"/>
  <c r="I93" i="2"/>
  <c r="G93" i="2" s="1"/>
  <c r="J92" i="2"/>
  <c r="I92" i="2"/>
  <c r="G92" i="2" s="1"/>
  <c r="J91" i="2"/>
  <c r="I91" i="2"/>
  <c r="G91" i="2" s="1"/>
  <c r="J90" i="2"/>
  <c r="I90" i="2"/>
  <c r="G90" i="2" s="1"/>
  <c r="J94" i="2"/>
  <c r="I94" i="2"/>
  <c r="H94" i="2" s="1"/>
  <c r="L94" i="2" s="1"/>
  <c r="K94" i="2" s="1"/>
  <c r="J95" i="2"/>
  <c r="I95" i="2"/>
  <c r="G95" i="2" s="1"/>
  <c r="J57" i="2"/>
  <c r="I57" i="2"/>
  <c r="G57" i="2" s="1"/>
  <c r="J10" i="2"/>
  <c r="I10" i="2"/>
  <c r="G10" i="2" s="1"/>
  <c r="J66" i="2"/>
  <c r="I66" i="2"/>
  <c r="G66" i="2" s="1"/>
  <c r="J65" i="2"/>
  <c r="I65" i="2"/>
  <c r="G65" i="2" s="1"/>
  <c r="J64" i="2"/>
  <c r="I64" i="2"/>
  <c r="G64" i="2" s="1"/>
  <c r="J63" i="2"/>
  <c r="I63" i="2"/>
  <c r="G63" i="2" s="1"/>
  <c r="J62" i="2"/>
  <c r="I62" i="2"/>
  <c r="G62" i="2" s="1"/>
  <c r="J61" i="2"/>
  <c r="I61" i="2"/>
  <c r="H61" i="2" s="1"/>
  <c r="J60" i="2"/>
  <c r="I60" i="2"/>
  <c r="G60" i="2" s="1"/>
  <c r="J69" i="2"/>
  <c r="I69" i="2"/>
  <c r="G69" i="2" s="1"/>
  <c r="J68" i="2"/>
  <c r="I68" i="2"/>
  <c r="G68" i="2" s="1"/>
  <c r="J67" i="2"/>
  <c r="I67" i="2"/>
  <c r="H67" i="2" s="1"/>
  <c r="L67" i="2" s="1"/>
  <c r="K67" i="2" s="1"/>
  <c r="F83" i="2" l="1"/>
  <c r="H83" i="2"/>
  <c r="L83" i="2" s="1"/>
  <c r="L75" i="2"/>
  <c r="K75" i="2" s="1"/>
  <c r="H82" i="2"/>
  <c r="L82" i="2" s="1"/>
  <c r="F82" i="2"/>
  <c r="H60" i="2"/>
  <c r="L60" i="2" s="1"/>
  <c r="K60" i="2" s="1"/>
  <c r="H27" i="2"/>
  <c r="L27" i="2" s="1"/>
  <c r="F60" i="2"/>
  <c r="H57" i="2"/>
  <c r="L57" i="2" s="1"/>
  <c r="F57" i="2"/>
  <c r="F27" i="2"/>
  <c r="K23" i="2"/>
  <c r="L22" i="2"/>
  <c r="K22" i="2" s="1"/>
  <c r="F10" i="2"/>
  <c r="H10" i="2"/>
  <c r="L10" i="2" s="1"/>
  <c r="F186" i="2"/>
  <c r="H186" i="2"/>
  <c r="H184" i="2"/>
  <c r="F191" i="2"/>
  <c r="H191" i="2"/>
  <c r="F189" i="2"/>
  <c r="F192" i="2"/>
  <c r="H192" i="2"/>
  <c r="F185" i="2"/>
  <c r="F190" i="2"/>
  <c r="G185" i="2"/>
  <c r="H190" i="2"/>
  <c r="L190" i="2" s="1"/>
  <c r="H188" i="2"/>
  <c r="L189" i="2"/>
  <c r="K189" i="2" s="1"/>
  <c r="L185" i="2"/>
  <c r="K185" i="2" s="1"/>
  <c r="F184" i="2"/>
  <c r="F194" i="2"/>
  <c r="H194" i="2"/>
  <c r="L194" i="2" s="1"/>
  <c r="F188" i="2"/>
  <c r="F187" i="2"/>
  <c r="H187" i="2"/>
  <c r="L187" i="2" s="1"/>
  <c r="K187" i="2" s="1"/>
  <c r="F193" i="2"/>
  <c r="G189" i="2"/>
  <c r="H193" i="2"/>
  <c r="K195" i="2"/>
  <c r="H218" i="2"/>
  <c r="F219" i="2"/>
  <c r="G221" i="2"/>
  <c r="K224" i="2"/>
  <c r="H221" i="2"/>
  <c r="F218" i="2"/>
  <c r="F222" i="2"/>
  <c r="H222" i="2"/>
  <c r="L222" i="2" s="1"/>
  <c r="K222" i="2" s="1"/>
  <c r="F223" i="2"/>
  <c r="H219" i="2"/>
  <c r="F220" i="2"/>
  <c r="H223" i="2"/>
  <c r="H220" i="2"/>
  <c r="H102" i="2"/>
  <c r="L102" i="2" s="1"/>
  <c r="K102" i="2" s="1"/>
  <c r="H104" i="2"/>
  <c r="H105" i="2"/>
  <c r="L105" i="2" s="1"/>
  <c r="K105" i="2" s="1"/>
  <c r="F106" i="2"/>
  <c r="F103" i="2"/>
  <c r="H106" i="2"/>
  <c r="L106" i="2" s="1"/>
  <c r="K106" i="2" s="1"/>
  <c r="H103" i="2"/>
  <c r="F105" i="2"/>
  <c r="F102" i="2"/>
  <c r="F104" i="2"/>
  <c r="H97" i="2"/>
  <c r="L97" i="2" s="1"/>
  <c r="H99" i="2"/>
  <c r="L99" i="2" s="1"/>
  <c r="F96" i="2"/>
  <c r="H96" i="2"/>
  <c r="H98" i="2"/>
  <c r="F100" i="2"/>
  <c r="H100" i="2"/>
  <c r="H101" i="2"/>
  <c r="F99" i="2"/>
  <c r="F98" i="2"/>
  <c r="F97" i="2"/>
  <c r="F101" i="2"/>
  <c r="F94" i="2"/>
  <c r="G94" i="2"/>
  <c r="F84" i="2"/>
  <c r="F91" i="2"/>
  <c r="H95" i="2"/>
  <c r="L95" i="2" s="1"/>
  <c r="H85" i="2"/>
  <c r="L85" i="2" s="1"/>
  <c r="K85" i="2" s="1"/>
  <c r="H89" i="2"/>
  <c r="L89" i="2" s="1"/>
  <c r="K89" i="2" s="1"/>
  <c r="F86" i="2"/>
  <c r="H86" i="2"/>
  <c r="F95" i="2"/>
  <c r="F88" i="2"/>
  <c r="F90" i="2"/>
  <c r="H90" i="2"/>
  <c r="H92" i="2"/>
  <c r="L92" i="2" s="1"/>
  <c r="K92" i="2" s="1"/>
  <c r="F89" i="2"/>
  <c r="F93" i="2"/>
  <c r="G84" i="2"/>
  <c r="H93" i="2"/>
  <c r="L93" i="2" s="1"/>
  <c r="K93" i="2" s="1"/>
  <c r="H91" i="2"/>
  <c r="L91" i="2" s="1"/>
  <c r="F87" i="2"/>
  <c r="G87" i="2"/>
  <c r="H88" i="2"/>
  <c r="L88" i="2" s="1"/>
  <c r="K88" i="2" s="1"/>
  <c r="F85" i="2"/>
  <c r="F92" i="2"/>
  <c r="K87" i="2"/>
  <c r="H62" i="2"/>
  <c r="G61" i="2"/>
  <c r="H63" i="2"/>
  <c r="L63" i="2" s="1"/>
  <c r="F61" i="2"/>
  <c r="H65" i="2"/>
  <c r="F68" i="2"/>
  <c r="H68" i="2"/>
  <c r="L68" i="2" s="1"/>
  <c r="K68" i="2" s="1"/>
  <c r="H64" i="2"/>
  <c r="F65" i="2"/>
  <c r="F69" i="2"/>
  <c r="H69" i="2"/>
  <c r="L69" i="2" s="1"/>
  <c r="K69" i="2" s="1"/>
  <c r="F63" i="2"/>
  <c r="L61" i="2"/>
  <c r="K61" i="2" s="1"/>
  <c r="F62" i="2"/>
  <c r="F64" i="2"/>
  <c r="F66" i="2"/>
  <c r="H66" i="2"/>
  <c r="F67" i="2"/>
  <c r="G67" i="2"/>
  <c r="K83" i="2" l="1"/>
  <c r="K82" i="2"/>
  <c r="K27" i="2"/>
  <c r="K57" i="2"/>
  <c r="K10" i="2"/>
  <c r="L186" i="2"/>
  <c r="K186" i="2" s="1"/>
  <c r="L184" i="2"/>
  <c r="K184" i="2" s="1"/>
  <c r="K190" i="2"/>
  <c r="L188" i="2"/>
  <c r="K188" i="2" s="1"/>
  <c r="L192" i="2"/>
  <c r="K192" i="2" s="1"/>
  <c r="L191" i="2"/>
  <c r="K191" i="2" s="1"/>
  <c r="K194" i="2"/>
  <c r="L193" i="2"/>
  <c r="K193" i="2" s="1"/>
  <c r="L218" i="2"/>
  <c r="K218" i="2" s="1"/>
  <c r="L221" i="2"/>
  <c r="K221" i="2" s="1"/>
  <c r="K97" i="2"/>
  <c r="L220" i="2"/>
  <c r="K220" i="2" s="1"/>
  <c r="L223" i="2"/>
  <c r="K223" i="2" s="1"/>
  <c r="L219" i="2"/>
  <c r="K219" i="2" s="1"/>
  <c r="L104" i="2"/>
  <c r="K104" i="2" s="1"/>
  <c r="L98" i="2"/>
  <c r="K98" i="2" s="1"/>
  <c r="L103" i="2"/>
  <c r="K103" i="2" s="1"/>
  <c r="K99" i="2"/>
  <c r="L96" i="2"/>
  <c r="K96" i="2" s="1"/>
  <c r="L100" i="2"/>
  <c r="K100" i="2" s="1"/>
  <c r="L101" i="2"/>
  <c r="K101" i="2" s="1"/>
  <c r="L86" i="2"/>
  <c r="K86" i="2" s="1"/>
  <c r="L90" i="2"/>
  <c r="K90" i="2" s="1"/>
  <c r="K95" i="2"/>
  <c r="L65" i="2"/>
  <c r="K65" i="2" s="1"/>
  <c r="L64" i="2"/>
  <c r="K64" i="2" s="1"/>
  <c r="L62" i="2"/>
  <c r="K62" i="2" s="1"/>
  <c r="K91" i="2"/>
  <c r="K63" i="2"/>
  <c r="L66" i="2"/>
  <c r="K66" i="2" s="1"/>
  <c r="L107" i="2"/>
  <c r="J107" i="2"/>
  <c r="I107" i="2"/>
  <c r="G107" i="2" s="1"/>
  <c r="H107" i="2"/>
  <c r="F107" i="2"/>
  <c r="J181" i="2"/>
  <c r="I181" i="2"/>
  <c r="G181" i="2" s="1"/>
  <c r="J180" i="2"/>
  <c r="I180" i="2"/>
  <c r="G180" i="2" s="1"/>
  <c r="J179" i="2"/>
  <c r="I179" i="2"/>
  <c r="G179" i="2" s="1"/>
  <c r="J178" i="2"/>
  <c r="I178" i="2"/>
  <c r="G178" i="2" s="1"/>
  <c r="J177" i="2"/>
  <c r="I177" i="2"/>
  <c r="H177" i="2" s="1"/>
  <c r="L177" i="2" s="1"/>
  <c r="J176" i="2"/>
  <c r="I176" i="2"/>
  <c r="G176" i="2" s="1"/>
  <c r="L175" i="2"/>
  <c r="J175" i="2"/>
  <c r="I175" i="2"/>
  <c r="G175" i="2" s="1"/>
  <c r="H175" i="2"/>
  <c r="F175" i="2"/>
  <c r="J183" i="2"/>
  <c r="I183" i="2"/>
  <c r="G183" i="2" s="1"/>
  <c r="J182" i="2"/>
  <c r="I182" i="2"/>
  <c r="H182" i="2" s="1"/>
  <c r="L182" i="2" s="1"/>
  <c r="J26" i="2"/>
  <c r="I26" i="2"/>
  <c r="G26" i="2" s="1"/>
  <c r="J19" i="2"/>
  <c r="I19" i="2"/>
  <c r="G19" i="2" s="1"/>
  <c r="J25" i="2"/>
  <c r="I25" i="2"/>
  <c r="G25" i="2" s="1"/>
  <c r="J24" i="2"/>
  <c r="I24" i="2"/>
  <c r="G24" i="2" s="1"/>
  <c r="L153" i="2"/>
  <c r="J153" i="2"/>
  <c r="I153" i="2"/>
  <c r="G153" i="2" s="1"/>
  <c r="H153" i="2"/>
  <c r="F153" i="2"/>
  <c r="J127" i="2"/>
  <c r="I127" i="2"/>
  <c r="G127" i="2" s="1"/>
  <c r="J21" i="2"/>
  <c r="I21" i="2"/>
  <c r="G21" i="2" s="1"/>
  <c r="J20" i="2"/>
  <c r="I20" i="2"/>
  <c r="G20" i="2" s="1"/>
  <c r="H25" i="2" l="1"/>
  <c r="L25" i="2" s="1"/>
  <c r="F25" i="2"/>
  <c r="F24" i="2"/>
  <c r="H24" i="2"/>
  <c r="F20" i="2"/>
  <c r="H20" i="2"/>
  <c r="H19" i="2"/>
  <c r="L19" i="2" s="1"/>
  <c r="F19" i="2"/>
  <c r="K175" i="2"/>
  <c r="H179" i="2"/>
  <c r="L179" i="2" s="1"/>
  <c r="K179" i="2" s="1"/>
  <c r="H178" i="2"/>
  <c r="K153" i="2"/>
  <c r="F182" i="2"/>
  <c r="G182" i="2"/>
  <c r="H180" i="2"/>
  <c r="K107" i="2"/>
  <c r="H183" i="2"/>
  <c r="F183" i="2"/>
  <c r="K182" i="2"/>
  <c r="F181" i="2"/>
  <c r="H181" i="2"/>
  <c r="L181" i="2" s="1"/>
  <c r="F180" i="2"/>
  <c r="F179" i="2"/>
  <c r="F178" i="2"/>
  <c r="F177" i="2"/>
  <c r="G177" i="2"/>
  <c r="F176" i="2"/>
  <c r="H176" i="2"/>
  <c r="L176" i="2" s="1"/>
  <c r="K177" i="2"/>
  <c r="F26" i="2"/>
  <c r="H26" i="2"/>
  <c r="L26" i="2" s="1"/>
  <c r="F127" i="2"/>
  <c r="H127" i="2"/>
  <c r="F21" i="2"/>
  <c r="H21" i="2"/>
  <c r="K19" i="2" l="1"/>
  <c r="K25" i="2"/>
  <c r="L24" i="2"/>
  <c r="K24" i="2" s="1"/>
  <c r="L20" i="2"/>
  <c r="K20" i="2" s="1"/>
  <c r="K181" i="2"/>
  <c r="K176" i="2"/>
  <c r="L127" i="2"/>
  <c r="K127" i="2" s="1"/>
  <c r="L180" i="2"/>
  <c r="K180" i="2" s="1"/>
  <c r="L183" i="2"/>
  <c r="K183" i="2" s="1"/>
  <c r="L178" i="2"/>
  <c r="K178" i="2" s="1"/>
  <c r="K26" i="2"/>
  <c r="L21" i="2"/>
  <c r="K21" i="2" s="1"/>
  <c r="J35" i="2" l="1"/>
  <c r="I35" i="2"/>
  <c r="F35" i="2" s="1"/>
  <c r="J133" i="2"/>
  <c r="I133" i="2"/>
  <c r="G133" i="2" s="1"/>
  <c r="J124" i="2"/>
  <c r="I124" i="2"/>
  <c r="H124" i="2" s="1"/>
  <c r="J122" i="2"/>
  <c r="I122" i="2"/>
  <c r="G122" i="2" s="1"/>
  <c r="J121" i="2"/>
  <c r="I121" i="2"/>
  <c r="H121" i="2" s="1"/>
  <c r="J71" i="2"/>
  <c r="I71" i="2"/>
  <c r="G71" i="2" s="1"/>
  <c r="J32" i="2"/>
  <c r="I32" i="2"/>
  <c r="G32" i="2" s="1"/>
  <c r="J33" i="2"/>
  <c r="I33" i="2"/>
  <c r="G33" i="2" s="1"/>
  <c r="F121" i="2" l="1"/>
  <c r="H71" i="2"/>
  <c r="L71" i="2" s="1"/>
  <c r="F71" i="2"/>
  <c r="F133" i="2"/>
  <c r="H133" i="2"/>
  <c r="L133" i="2" s="1"/>
  <c r="H122" i="2"/>
  <c r="L122" i="2" s="1"/>
  <c r="H35" i="2"/>
  <c r="L35" i="2" s="1"/>
  <c r="K35" i="2" s="1"/>
  <c r="G35" i="2"/>
  <c r="L124" i="2"/>
  <c r="K124" i="2" s="1"/>
  <c r="F124" i="2"/>
  <c r="G124" i="2"/>
  <c r="F122" i="2"/>
  <c r="L121" i="2"/>
  <c r="K121" i="2" s="1"/>
  <c r="G121" i="2"/>
  <c r="H32" i="2"/>
  <c r="F32" i="2"/>
  <c r="H33" i="2"/>
  <c r="F33" i="2"/>
  <c r="K71" i="2" l="1"/>
  <c r="K133" i="2"/>
  <c r="K122" i="2"/>
  <c r="L32" i="2"/>
  <c r="K32" i="2" s="1"/>
  <c r="L33" i="2"/>
  <c r="K33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108" i="2"/>
  <c r="L161" i="2"/>
  <c r="L225" i="2"/>
  <c r="L226" i="2"/>
  <c r="L229" i="2"/>
  <c r="L230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J37" i="3"/>
  <c r="K37" i="3"/>
  <c r="I43" i="5" s="1"/>
  <c r="J38" i="3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13" i="2"/>
  <c r="G13" i="2" s="1"/>
  <c r="J13" i="2"/>
  <c r="I17" i="2"/>
  <c r="G17" i="2" s="1"/>
  <c r="J17" i="2"/>
  <c r="I18" i="2"/>
  <c r="G18" i="2" s="1"/>
  <c r="J18" i="2"/>
  <c r="I28" i="2"/>
  <c r="G28" i="2" s="1"/>
  <c r="J28" i="2"/>
  <c r="I29" i="2"/>
  <c r="G29" i="2" s="1"/>
  <c r="J29" i="2"/>
  <c r="I30" i="2"/>
  <c r="G30" i="2" s="1"/>
  <c r="J30" i="2"/>
  <c r="I31" i="2"/>
  <c r="F31" i="2" s="1"/>
  <c r="J31" i="2"/>
  <c r="I36" i="2"/>
  <c r="G36" i="2" s="1"/>
  <c r="J36" i="2"/>
  <c r="I37" i="2"/>
  <c r="G37" i="2" s="1"/>
  <c r="J37" i="2"/>
  <c r="I38" i="2"/>
  <c r="H38" i="2" s="1"/>
  <c r="L38" i="2" s="1"/>
  <c r="J38" i="2"/>
  <c r="I39" i="2"/>
  <c r="G39" i="2" s="1"/>
  <c r="J39" i="2"/>
  <c r="I40" i="2"/>
  <c r="G40" i="2" s="1"/>
  <c r="J40" i="2"/>
  <c r="I41" i="2"/>
  <c r="F41" i="2" s="1"/>
  <c r="J41" i="2"/>
  <c r="I42" i="2"/>
  <c r="G42" i="2" s="1"/>
  <c r="J42" i="2"/>
  <c r="I43" i="2"/>
  <c r="G43" i="2" s="1"/>
  <c r="J43" i="2"/>
  <c r="I45" i="2"/>
  <c r="G45" i="2" s="1"/>
  <c r="J45" i="2"/>
  <c r="I46" i="2"/>
  <c r="G46" i="2" s="1"/>
  <c r="J46" i="2"/>
  <c r="I47" i="2"/>
  <c r="G47" i="2" s="1"/>
  <c r="J47" i="2"/>
  <c r="I48" i="2"/>
  <c r="H48" i="2" s="1"/>
  <c r="L48" i="2" s="1"/>
  <c r="J48" i="2"/>
  <c r="I49" i="2"/>
  <c r="G49" i="2" s="1"/>
  <c r="J49" i="2"/>
  <c r="I50" i="2"/>
  <c r="G50" i="2" s="1"/>
  <c r="J50" i="2"/>
  <c r="I51" i="2"/>
  <c r="G51" i="2" s="1"/>
  <c r="J51" i="2"/>
  <c r="I52" i="2"/>
  <c r="G52" i="2" s="1"/>
  <c r="J52" i="2"/>
  <c r="I53" i="2"/>
  <c r="G53" i="2" s="1"/>
  <c r="J53" i="2"/>
  <c r="I54" i="2"/>
  <c r="G54" i="2" s="1"/>
  <c r="J54" i="2"/>
  <c r="I55" i="2"/>
  <c r="G55" i="2" s="1"/>
  <c r="J55" i="2"/>
  <c r="I56" i="2"/>
  <c r="G56" i="2" s="1"/>
  <c r="J56" i="2"/>
  <c r="I58" i="2"/>
  <c r="G58" i="2" s="1"/>
  <c r="J58" i="2"/>
  <c r="I59" i="2"/>
  <c r="G59" i="2" s="1"/>
  <c r="J59" i="2"/>
  <c r="I70" i="2"/>
  <c r="G70" i="2" s="1"/>
  <c r="J70" i="2"/>
  <c r="I72" i="2"/>
  <c r="G72" i="2" s="1"/>
  <c r="J72" i="2"/>
  <c r="I73" i="2"/>
  <c r="G73" i="2" s="1"/>
  <c r="J73" i="2"/>
  <c r="I74" i="2"/>
  <c r="G74" i="2" s="1"/>
  <c r="J74" i="2"/>
  <c r="I76" i="2"/>
  <c r="G76" i="2" s="1"/>
  <c r="J76" i="2"/>
  <c r="I77" i="2"/>
  <c r="G77" i="2" s="1"/>
  <c r="J77" i="2"/>
  <c r="I78" i="2"/>
  <c r="G78" i="2" s="1"/>
  <c r="J78" i="2"/>
  <c r="I79" i="2"/>
  <c r="G79" i="2" s="1"/>
  <c r="J79" i="2"/>
  <c r="I80" i="2"/>
  <c r="G80" i="2" s="1"/>
  <c r="J80" i="2"/>
  <c r="I81" i="2"/>
  <c r="G81" i="2" s="1"/>
  <c r="J81" i="2"/>
  <c r="F108" i="2"/>
  <c r="H108" i="2"/>
  <c r="I108" i="2"/>
  <c r="G108" i="2" s="1"/>
  <c r="J108" i="2"/>
  <c r="I109" i="2"/>
  <c r="G109" i="2" s="1"/>
  <c r="J109" i="2"/>
  <c r="I110" i="2"/>
  <c r="F110" i="2" s="1"/>
  <c r="J110" i="2"/>
  <c r="I111" i="2"/>
  <c r="G111" i="2" s="1"/>
  <c r="J111" i="2"/>
  <c r="I112" i="2"/>
  <c r="G112" i="2" s="1"/>
  <c r="J112" i="2"/>
  <c r="I113" i="2"/>
  <c r="G113" i="2" s="1"/>
  <c r="J113" i="2"/>
  <c r="I114" i="2"/>
  <c r="G114" i="2" s="1"/>
  <c r="J114" i="2"/>
  <c r="I115" i="2"/>
  <c r="G115" i="2" s="1"/>
  <c r="J115" i="2"/>
  <c r="I116" i="2"/>
  <c r="F116" i="2" s="1"/>
  <c r="J116" i="2"/>
  <c r="I117" i="2"/>
  <c r="G117" i="2" s="1"/>
  <c r="J117" i="2"/>
  <c r="I118" i="2"/>
  <c r="G118" i="2" s="1"/>
  <c r="J118" i="2"/>
  <c r="I119" i="2"/>
  <c r="G119" i="2" s="1"/>
  <c r="J119" i="2"/>
  <c r="I120" i="2"/>
  <c r="H120" i="2" s="1"/>
  <c r="L120" i="2" s="1"/>
  <c r="J120" i="2"/>
  <c r="I123" i="2"/>
  <c r="G123" i="2" s="1"/>
  <c r="J123" i="2"/>
  <c r="I125" i="2"/>
  <c r="G125" i="2" s="1"/>
  <c r="J125" i="2"/>
  <c r="I126" i="2"/>
  <c r="G126" i="2" s="1"/>
  <c r="J126" i="2"/>
  <c r="I128" i="2"/>
  <c r="G128" i="2" s="1"/>
  <c r="J128" i="2"/>
  <c r="I129" i="2"/>
  <c r="G129" i="2" s="1"/>
  <c r="J129" i="2"/>
  <c r="I130" i="2"/>
  <c r="G130" i="2" s="1"/>
  <c r="J130" i="2"/>
  <c r="I131" i="2"/>
  <c r="G131" i="2" s="1"/>
  <c r="J131" i="2"/>
  <c r="I132" i="2"/>
  <c r="G132" i="2" s="1"/>
  <c r="J132" i="2"/>
  <c r="I134" i="2"/>
  <c r="G134" i="2" s="1"/>
  <c r="J134" i="2"/>
  <c r="I135" i="2"/>
  <c r="G135" i="2" s="1"/>
  <c r="J135" i="2"/>
  <c r="I136" i="2"/>
  <c r="G136" i="2" s="1"/>
  <c r="J136" i="2"/>
  <c r="I137" i="2"/>
  <c r="G137" i="2" s="1"/>
  <c r="J137" i="2"/>
  <c r="I138" i="2"/>
  <c r="G138" i="2" s="1"/>
  <c r="J138" i="2"/>
  <c r="I139" i="2"/>
  <c r="G139" i="2" s="1"/>
  <c r="J139" i="2"/>
  <c r="I140" i="2"/>
  <c r="G140" i="2" s="1"/>
  <c r="J140" i="2"/>
  <c r="I141" i="2"/>
  <c r="G141" i="2" s="1"/>
  <c r="J141" i="2"/>
  <c r="I142" i="2"/>
  <c r="G142" i="2" s="1"/>
  <c r="J142" i="2"/>
  <c r="I143" i="2"/>
  <c r="G143" i="2" s="1"/>
  <c r="J143" i="2"/>
  <c r="I144" i="2"/>
  <c r="G144" i="2" s="1"/>
  <c r="J144" i="2"/>
  <c r="I145" i="2"/>
  <c r="G145" i="2" s="1"/>
  <c r="J145" i="2"/>
  <c r="I146" i="2"/>
  <c r="G146" i="2" s="1"/>
  <c r="J146" i="2"/>
  <c r="I147" i="2"/>
  <c r="G147" i="2" s="1"/>
  <c r="J147" i="2"/>
  <c r="I148" i="2"/>
  <c r="G148" i="2" s="1"/>
  <c r="J148" i="2"/>
  <c r="I149" i="2"/>
  <c r="G149" i="2" s="1"/>
  <c r="J149" i="2"/>
  <c r="I150" i="2"/>
  <c r="G150" i="2" s="1"/>
  <c r="J150" i="2"/>
  <c r="I151" i="2"/>
  <c r="G151" i="2" s="1"/>
  <c r="J151" i="2"/>
  <c r="I152" i="2"/>
  <c r="G152" i="2" s="1"/>
  <c r="J152" i="2"/>
  <c r="I154" i="2"/>
  <c r="G154" i="2" s="1"/>
  <c r="J154" i="2"/>
  <c r="I155" i="2"/>
  <c r="G155" i="2" s="1"/>
  <c r="J155" i="2"/>
  <c r="I156" i="2"/>
  <c r="G156" i="2" s="1"/>
  <c r="J156" i="2"/>
  <c r="I157" i="2"/>
  <c r="G157" i="2" s="1"/>
  <c r="J157" i="2"/>
  <c r="I158" i="2"/>
  <c r="G158" i="2" s="1"/>
  <c r="J158" i="2"/>
  <c r="I159" i="2"/>
  <c r="G159" i="2" s="1"/>
  <c r="J159" i="2"/>
  <c r="I160" i="2"/>
  <c r="G160" i="2" s="1"/>
  <c r="J160" i="2"/>
  <c r="F161" i="2"/>
  <c r="H161" i="2"/>
  <c r="I161" i="2"/>
  <c r="G161" i="2" s="1"/>
  <c r="J161" i="2"/>
  <c r="I162" i="2"/>
  <c r="G162" i="2" s="1"/>
  <c r="J162" i="2"/>
  <c r="I163" i="2"/>
  <c r="G163" i="2" s="1"/>
  <c r="J163" i="2"/>
  <c r="I164" i="2"/>
  <c r="G164" i="2" s="1"/>
  <c r="J164" i="2"/>
  <c r="I165" i="2"/>
  <c r="G165" i="2" s="1"/>
  <c r="J165" i="2"/>
  <c r="I166" i="2"/>
  <c r="G166" i="2" s="1"/>
  <c r="J166" i="2"/>
  <c r="I167" i="2"/>
  <c r="G167" i="2" s="1"/>
  <c r="J167" i="2"/>
  <c r="I168" i="2"/>
  <c r="G168" i="2" s="1"/>
  <c r="J168" i="2"/>
  <c r="I169" i="2"/>
  <c r="G169" i="2" s="1"/>
  <c r="J169" i="2"/>
  <c r="I170" i="2"/>
  <c r="F170" i="2" s="1"/>
  <c r="J170" i="2"/>
  <c r="I171" i="2"/>
  <c r="G171" i="2" s="1"/>
  <c r="J171" i="2"/>
  <c r="I172" i="2"/>
  <c r="G172" i="2" s="1"/>
  <c r="J172" i="2"/>
  <c r="I173" i="2"/>
  <c r="G173" i="2" s="1"/>
  <c r="J173" i="2"/>
  <c r="F174" i="2"/>
  <c r="I174" i="2"/>
  <c r="G174" i="2" s="1"/>
  <c r="J174" i="2"/>
  <c r="I196" i="2"/>
  <c r="G196" i="2" s="1"/>
  <c r="J196" i="2"/>
  <c r="I197" i="2"/>
  <c r="G197" i="2" s="1"/>
  <c r="J197" i="2"/>
  <c r="I198" i="2"/>
  <c r="G198" i="2" s="1"/>
  <c r="J198" i="2"/>
  <c r="I199" i="2"/>
  <c r="G199" i="2" s="1"/>
  <c r="J199" i="2"/>
  <c r="I200" i="2"/>
  <c r="G200" i="2" s="1"/>
  <c r="J200" i="2"/>
  <c r="I201" i="2"/>
  <c r="G201" i="2" s="1"/>
  <c r="J201" i="2"/>
  <c r="I202" i="2"/>
  <c r="G202" i="2" s="1"/>
  <c r="F202" i="2"/>
  <c r="J202" i="2"/>
  <c r="I203" i="2"/>
  <c r="G203" i="2" s="1"/>
  <c r="J203" i="2"/>
  <c r="I204" i="2"/>
  <c r="G204" i="2" s="1"/>
  <c r="J204" i="2"/>
  <c r="I205" i="2"/>
  <c r="G205" i="2" s="1"/>
  <c r="J205" i="2"/>
  <c r="I206" i="2"/>
  <c r="G206" i="2" s="1"/>
  <c r="J206" i="2"/>
  <c r="I207" i="2"/>
  <c r="G207" i="2" s="1"/>
  <c r="J207" i="2"/>
  <c r="I208" i="2"/>
  <c r="G208" i="2" s="1"/>
  <c r="J208" i="2"/>
  <c r="I209" i="2"/>
  <c r="G209" i="2" s="1"/>
  <c r="J209" i="2"/>
  <c r="I210" i="2"/>
  <c r="G210" i="2" s="1"/>
  <c r="J210" i="2"/>
  <c r="I211" i="2"/>
  <c r="G211" i="2" s="1"/>
  <c r="J211" i="2"/>
  <c r="I212" i="2"/>
  <c r="G212" i="2" s="1"/>
  <c r="J212" i="2"/>
  <c r="I213" i="2"/>
  <c r="G213" i="2" s="1"/>
  <c r="J213" i="2"/>
  <c r="I214" i="2"/>
  <c r="G214" i="2" s="1"/>
  <c r="J214" i="2"/>
  <c r="I215" i="2"/>
  <c r="G215" i="2" s="1"/>
  <c r="J215" i="2"/>
  <c r="I216" i="2"/>
  <c r="G216" i="2" s="1"/>
  <c r="J216" i="2"/>
  <c r="I217" i="2"/>
  <c r="G217" i="2" s="1"/>
  <c r="J217" i="2"/>
  <c r="F225" i="2"/>
  <c r="H225" i="2"/>
  <c r="I225" i="2"/>
  <c r="G225" i="2" s="1"/>
  <c r="J225" i="2"/>
  <c r="F226" i="2"/>
  <c r="H226" i="2"/>
  <c r="I226" i="2"/>
  <c r="G226" i="2" s="1"/>
  <c r="J226" i="2"/>
  <c r="I227" i="2"/>
  <c r="G227" i="2" s="1"/>
  <c r="J227" i="2"/>
  <c r="I228" i="2"/>
  <c r="G228" i="2" s="1"/>
  <c r="J228" i="2"/>
  <c r="F229" i="2"/>
  <c r="H229" i="2"/>
  <c r="I229" i="2"/>
  <c r="G229" i="2" s="1"/>
  <c r="J229" i="2"/>
  <c r="F230" i="2"/>
  <c r="H230" i="2"/>
  <c r="I230" i="2"/>
  <c r="G230" i="2" s="1"/>
  <c r="J230" i="2"/>
  <c r="I231" i="2"/>
  <c r="G231" i="2" s="1"/>
  <c r="J231" i="2"/>
  <c r="F232" i="2"/>
  <c r="H232" i="2"/>
  <c r="I232" i="2"/>
  <c r="G232" i="2" s="1"/>
  <c r="J232" i="2"/>
  <c r="F233" i="2"/>
  <c r="H233" i="2"/>
  <c r="I233" i="2"/>
  <c r="G233" i="2" s="1"/>
  <c r="J233" i="2"/>
  <c r="F234" i="2"/>
  <c r="H234" i="2"/>
  <c r="I234" i="2"/>
  <c r="G234" i="2" s="1"/>
  <c r="J234" i="2"/>
  <c r="F235" i="2"/>
  <c r="H235" i="2"/>
  <c r="I235" i="2"/>
  <c r="G235" i="2" s="1"/>
  <c r="J235" i="2"/>
  <c r="F236" i="2"/>
  <c r="H236" i="2"/>
  <c r="I236" i="2"/>
  <c r="G236" i="2" s="1"/>
  <c r="J236" i="2"/>
  <c r="F237" i="2"/>
  <c r="H237" i="2"/>
  <c r="I237" i="2"/>
  <c r="G237" i="2" s="1"/>
  <c r="J237" i="2"/>
  <c r="F238" i="2"/>
  <c r="H238" i="2"/>
  <c r="I238" i="2"/>
  <c r="G238" i="2" s="1"/>
  <c r="J238" i="2"/>
  <c r="F239" i="2"/>
  <c r="H239" i="2"/>
  <c r="I239" i="2"/>
  <c r="G239" i="2" s="1"/>
  <c r="J239" i="2"/>
  <c r="F240" i="2"/>
  <c r="H240" i="2"/>
  <c r="I240" i="2"/>
  <c r="G240" i="2" s="1"/>
  <c r="J240" i="2"/>
  <c r="F241" i="2"/>
  <c r="H241" i="2"/>
  <c r="I241" i="2"/>
  <c r="G241" i="2" s="1"/>
  <c r="J241" i="2"/>
  <c r="F242" i="2"/>
  <c r="H242" i="2"/>
  <c r="I242" i="2"/>
  <c r="G242" i="2" s="1"/>
  <c r="J242" i="2"/>
  <c r="F243" i="2"/>
  <c r="H243" i="2"/>
  <c r="I243" i="2"/>
  <c r="G243" i="2" s="1"/>
  <c r="J243" i="2"/>
  <c r="F244" i="2"/>
  <c r="H244" i="2"/>
  <c r="I244" i="2"/>
  <c r="G244" i="2" s="1"/>
  <c r="J244" i="2"/>
  <c r="F245" i="2"/>
  <c r="H245" i="2"/>
  <c r="I245" i="2"/>
  <c r="G245" i="2" s="1"/>
  <c r="J245" i="2"/>
  <c r="F246" i="2"/>
  <c r="H246" i="2"/>
  <c r="I246" i="2"/>
  <c r="G246" i="2" s="1"/>
  <c r="J246" i="2"/>
  <c r="F247" i="2"/>
  <c r="H247" i="2"/>
  <c r="I247" i="2"/>
  <c r="G247" i="2" s="1"/>
  <c r="J247" i="2"/>
  <c r="F248" i="2"/>
  <c r="H248" i="2"/>
  <c r="I248" i="2"/>
  <c r="G248" i="2" s="1"/>
  <c r="J248" i="2"/>
  <c r="F249" i="2"/>
  <c r="H249" i="2"/>
  <c r="I249" i="2"/>
  <c r="G249" i="2" s="1"/>
  <c r="J249" i="2"/>
  <c r="F250" i="2"/>
  <c r="H250" i="2"/>
  <c r="I250" i="2"/>
  <c r="G250" i="2" s="1"/>
  <c r="J250" i="2"/>
  <c r="F251" i="2"/>
  <c r="H251" i="2"/>
  <c r="I251" i="2"/>
  <c r="G251" i="2" s="1"/>
  <c r="J251" i="2"/>
  <c r="F252" i="2"/>
  <c r="H252" i="2"/>
  <c r="I252" i="2"/>
  <c r="G252" i="2" s="1"/>
  <c r="J252" i="2"/>
  <c r="F253" i="2"/>
  <c r="H253" i="2"/>
  <c r="I253" i="2"/>
  <c r="G253" i="2" s="1"/>
  <c r="J253" i="2"/>
  <c r="F254" i="2"/>
  <c r="H254" i="2"/>
  <c r="I254" i="2"/>
  <c r="G254" i="2" s="1"/>
  <c r="J254" i="2"/>
  <c r="F255" i="2"/>
  <c r="H255" i="2"/>
  <c r="I255" i="2"/>
  <c r="G255" i="2" s="1"/>
  <c r="J255" i="2"/>
  <c r="F256" i="2"/>
  <c r="H256" i="2"/>
  <c r="I256" i="2"/>
  <c r="G256" i="2" s="1"/>
  <c r="J256" i="2"/>
  <c r="F257" i="2"/>
  <c r="H257" i="2"/>
  <c r="I257" i="2"/>
  <c r="G257" i="2" s="1"/>
  <c r="J257" i="2"/>
  <c r="F258" i="2"/>
  <c r="H258" i="2"/>
  <c r="I258" i="2"/>
  <c r="G258" i="2" s="1"/>
  <c r="J258" i="2"/>
  <c r="F259" i="2"/>
  <c r="H259" i="2"/>
  <c r="I259" i="2"/>
  <c r="G259" i="2" s="1"/>
  <c r="J259" i="2"/>
  <c r="F260" i="2"/>
  <c r="H260" i="2"/>
  <c r="I260" i="2"/>
  <c r="G260" i="2" s="1"/>
  <c r="J260" i="2"/>
  <c r="F261" i="2"/>
  <c r="H261" i="2"/>
  <c r="I261" i="2"/>
  <c r="G261" i="2" s="1"/>
  <c r="J261" i="2"/>
  <c r="F262" i="2"/>
  <c r="H262" i="2"/>
  <c r="I262" i="2"/>
  <c r="G262" i="2" s="1"/>
  <c r="J262" i="2"/>
  <c r="F263" i="2"/>
  <c r="H263" i="2"/>
  <c r="I263" i="2"/>
  <c r="G263" i="2" s="1"/>
  <c r="J263" i="2"/>
  <c r="F264" i="2"/>
  <c r="H264" i="2"/>
  <c r="I264" i="2"/>
  <c r="G264" i="2" s="1"/>
  <c r="J264" i="2"/>
  <c r="F265" i="2"/>
  <c r="H265" i="2"/>
  <c r="I265" i="2"/>
  <c r="G265" i="2" s="1"/>
  <c r="J265" i="2"/>
  <c r="F266" i="2"/>
  <c r="H266" i="2"/>
  <c r="I266" i="2"/>
  <c r="G266" i="2" s="1"/>
  <c r="J266" i="2"/>
  <c r="F267" i="2"/>
  <c r="H267" i="2"/>
  <c r="I267" i="2"/>
  <c r="G267" i="2" s="1"/>
  <c r="J267" i="2"/>
  <c r="F268" i="2"/>
  <c r="H268" i="2"/>
  <c r="I268" i="2"/>
  <c r="G268" i="2" s="1"/>
  <c r="J268" i="2"/>
  <c r="F269" i="2"/>
  <c r="H269" i="2"/>
  <c r="I269" i="2"/>
  <c r="G269" i="2" s="1"/>
  <c r="J269" i="2"/>
  <c r="F270" i="2"/>
  <c r="H270" i="2"/>
  <c r="I270" i="2"/>
  <c r="G270" i="2" s="1"/>
  <c r="J270" i="2"/>
  <c r="F271" i="2"/>
  <c r="H271" i="2"/>
  <c r="I271" i="2"/>
  <c r="G271" i="2" s="1"/>
  <c r="J271" i="2"/>
  <c r="F272" i="2"/>
  <c r="H272" i="2"/>
  <c r="I272" i="2"/>
  <c r="G272" i="2" s="1"/>
  <c r="J272" i="2"/>
  <c r="F273" i="2"/>
  <c r="H273" i="2"/>
  <c r="I273" i="2"/>
  <c r="G273" i="2" s="1"/>
  <c r="J273" i="2"/>
  <c r="F274" i="2"/>
  <c r="H274" i="2"/>
  <c r="I274" i="2"/>
  <c r="G274" i="2" s="1"/>
  <c r="J274" i="2"/>
  <c r="F275" i="2"/>
  <c r="H275" i="2"/>
  <c r="I275" i="2"/>
  <c r="G275" i="2" s="1"/>
  <c r="J275" i="2"/>
  <c r="F276" i="2"/>
  <c r="H276" i="2"/>
  <c r="I276" i="2"/>
  <c r="G276" i="2" s="1"/>
  <c r="J276" i="2"/>
  <c r="F277" i="2"/>
  <c r="H277" i="2"/>
  <c r="I277" i="2"/>
  <c r="G277" i="2" s="1"/>
  <c r="J277" i="2"/>
  <c r="F278" i="2"/>
  <c r="H278" i="2"/>
  <c r="I278" i="2"/>
  <c r="G278" i="2" s="1"/>
  <c r="J278" i="2"/>
  <c r="F279" i="2"/>
  <c r="H279" i="2"/>
  <c r="I279" i="2"/>
  <c r="G279" i="2" s="1"/>
  <c r="J279" i="2"/>
  <c r="F280" i="2"/>
  <c r="H280" i="2"/>
  <c r="I280" i="2"/>
  <c r="G280" i="2" s="1"/>
  <c r="J280" i="2"/>
  <c r="F281" i="2"/>
  <c r="H281" i="2"/>
  <c r="I281" i="2"/>
  <c r="G281" i="2" s="1"/>
  <c r="J281" i="2"/>
  <c r="F282" i="2"/>
  <c r="H282" i="2"/>
  <c r="I282" i="2"/>
  <c r="G282" i="2" s="1"/>
  <c r="J282" i="2"/>
  <c r="F283" i="2"/>
  <c r="H283" i="2"/>
  <c r="I283" i="2"/>
  <c r="G283" i="2" s="1"/>
  <c r="J283" i="2"/>
  <c r="F284" i="2"/>
  <c r="H284" i="2"/>
  <c r="I284" i="2"/>
  <c r="G284" i="2" s="1"/>
  <c r="J284" i="2"/>
  <c r="F285" i="2"/>
  <c r="H285" i="2"/>
  <c r="I285" i="2"/>
  <c r="G285" i="2" s="1"/>
  <c r="J285" i="2"/>
  <c r="F286" i="2"/>
  <c r="H286" i="2"/>
  <c r="I286" i="2"/>
  <c r="G286" i="2" s="1"/>
  <c r="J286" i="2"/>
  <c r="F287" i="2"/>
  <c r="H287" i="2"/>
  <c r="I287" i="2"/>
  <c r="G287" i="2" s="1"/>
  <c r="J287" i="2"/>
  <c r="F288" i="2"/>
  <c r="H288" i="2"/>
  <c r="I288" i="2"/>
  <c r="G288" i="2" s="1"/>
  <c r="J288" i="2"/>
  <c r="F289" i="2"/>
  <c r="H289" i="2"/>
  <c r="I289" i="2"/>
  <c r="G289" i="2" s="1"/>
  <c r="J289" i="2"/>
  <c r="F290" i="2"/>
  <c r="H290" i="2"/>
  <c r="I290" i="2"/>
  <c r="G290" i="2" s="1"/>
  <c r="J290" i="2"/>
  <c r="F291" i="2"/>
  <c r="H291" i="2"/>
  <c r="I291" i="2"/>
  <c r="G291" i="2" s="1"/>
  <c r="J291" i="2"/>
  <c r="F292" i="2"/>
  <c r="H292" i="2"/>
  <c r="I292" i="2"/>
  <c r="G292" i="2" s="1"/>
  <c r="J292" i="2"/>
  <c r="F293" i="2"/>
  <c r="H293" i="2"/>
  <c r="I293" i="2"/>
  <c r="G293" i="2" s="1"/>
  <c r="J293" i="2"/>
  <c r="F294" i="2"/>
  <c r="H294" i="2"/>
  <c r="I294" i="2"/>
  <c r="G294" i="2" s="1"/>
  <c r="J294" i="2"/>
  <c r="F295" i="2"/>
  <c r="H295" i="2"/>
  <c r="I295" i="2"/>
  <c r="G295" i="2" s="1"/>
  <c r="J295" i="2"/>
  <c r="F296" i="2"/>
  <c r="H296" i="2"/>
  <c r="I296" i="2"/>
  <c r="G296" i="2" s="1"/>
  <c r="J296" i="2"/>
  <c r="F297" i="2"/>
  <c r="H297" i="2"/>
  <c r="I297" i="2"/>
  <c r="G297" i="2" s="1"/>
  <c r="J297" i="2"/>
  <c r="F298" i="2"/>
  <c r="H298" i="2"/>
  <c r="I298" i="2"/>
  <c r="G298" i="2" s="1"/>
  <c r="J298" i="2"/>
  <c r="F299" i="2"/>
  <c r="H299" i="2"/>
  <c r="I299" i="2"/>
  <c r="G299" i="2" s="1"/>
  <c r="J299" i="2"/>
  <c r="F300" i="2"/>
  <c r="H300" i="2"/>
  <c r="I300" i="2"/>
  <c r="G300" i="2" s="1"/>
  <c r="J300" i="2"/>
  <c r="F301" i="2"/>
  <c r="H301" i="2"/>
  <c r="I301" i="2"/>
  <c r="G301" i="2" s="1"/>
  <c r="J301" i="2"/>
  <c r="F302" i="2"/>
  <c r="H302" i="2"/>
  <c r="I302" i="2"/>
  <c r="G302" i="2" s="1"/>
  <c r="J302" i="2"/>
  <c r="F303" i="2"/>
  <c r="H303" i="2"/>
  <c r="I303" i="2"/>
  <c r="G303" i="2" s="1"/>
  <c r="J303" i="2"/>
  <c r="F304" i="2"/>
  <c r="H304" i="2"/>
  <c r="I304" i="2"/>
  <c r="G304" i="2" s="1"/>
  <c r="J304" i="2"/>
  <c r="F305" i="2"/>
  <c r="H305" i="2"/>
  <c r="I305" i="2"/>
  <c r="G305" i="2" s="1"/>
  <c r="J305" i="2"/>
  <c r="F306" i="2"/>
  <c r="H306" i="2"/>
  <c r="I306" i="2"/>
  <c r="G306" i="2" s="1"/>
  <c r="J306" i="2"/>
  <c r="F307" i="2"/>
  <c r="H307" i="2"/>
  <c r="I307" i="2"/>
  <c r="G307" i="2" s="1"/>
  <c r="J307" i="2"/>
  <c r="F308" i="2"/>
  <c r="H308" i="2"/>
  <c r="I308" i="2"/>
  <c r="G308" i="2" s="1"/>
  <c r="J308" i="2"/>
  <c r="F309" i="2"/>
  <c r="H309" i="2"/>
  <c r="I309" i="2"/>
  <c r="G309" i="2" s="1"/>
  <c r="J309" i="2"/>
  <c r="F310" i="2"/>
  <c r="H310" i="2"/>
  <c r="I310" i="2"/>
  <c r="G310" i="2" s="1"/>
  <c r="J310" i="2"/>
  <c r="F311" i="2"/>
  <c r="H311" i="2"/>
  <c r="I311" i="2"/>
  <c r="G311" i="2" s="1"/>
  <c r="J311" i="2"/>
  <c r="F312" i="2"/>
  <c r="H312" i="2"/>
  <c r="I312" i="2"/>
  <c r="G312" i="2" s="1"/>
  <c r="J312" i="2"/>
  <c r="F313" i="2"/>
  <c r="H313" i="2"/>
  <c r="I313" i="2"/>
  <c r="G313" i="2" s="1"/>
  <c r="J313" i="2"/>
  <c r="F314" i="2"/>
  <c r="H314" i="2"/>
  <c r="I314" i="2"/>
  <c r="G314" i="2" s="1"/>
  <c r="J314" i="2"/>
  <c r="F315" i="2"/>
  <c r="H315" i="2"/>
  <c r="I315" i="2"/>
  <c r="G315" i="2" s="1"/>
  <c r="J315" i="2"/>
  <c r="F316" i="2"/>
  <c r="H316" i="2"/>
  <c r="I316" i="2"/>
  <c r="G316" i="2" s="1"/>
  <c r="J316" i="2"/>
  <c r="F317" i="2"/>
  <c r="H317" i="2"/>
  <c r="I317" i="2"/>
  <c r="G317" i="2" s="1"/>
  <c r="J317" i="2"/>
  <c r="F318" i="2"/>
  <c r="H318" i="2"/>
  <c r="I318" i="2"/>
  <c r="G318" i="2" s="1"/>
  <c r="J318" i="2"/>
  <c r="F319" i="2"/>
  <c r="H319" i="2"/>
  <c r="I319" i="2"/>
  <c r="G319" i="2" s="1"/>
  <c r="J319" i="2"/>
  <c r="F320" i="2"/>
  <c r="H320" i="2"/>
  <c r="I320" i="2"/>
  <c r="G320" i="2" s="1"/>
  <c r="J320" i="2"/>
  <c r="F321" i="2"/>
  <c r="H321" i="2"/>
  <c r="I321" i="2"/>
  <c r="G321" i="2" s="1"/>
  <c r="J321" i="2"/>
  <c r="F322" i="2"/>
  <c r="H322" i="2"/>
  <c r="I322" i="2"/>
  <c r="G322" i="2" s="1"/>
  <c r="J322" i="2"/>
  <c r="F323" i="2"/>
  <c r="H323" i="2"/>
  <c r="I323" i="2"/>
  <c r="G323" i="2" s="1"/>
  <c r="J323" i="2"/>
  <c r="F324" i="2"/>
  <c r="H324" i="2"/>
  <c r="I324" i="2"/>
  <c r="G324" i="2" s="1"/>
  <c r="J324" i="2"/>
  <c r="F325" i="2"/>
  <c r="H325" i="2"/>
  <c r="I325" i="2"/>
  <c r="G325" i="2" s="1"/>
  <c r="J325" i="2"/>
  <c r="F326" i="2"/>
  <c r="H326" i="2"/>
  <c r="I326" i="2"/>
  <c r="G326" i="2" s="1"/>
  <c r="J326" i="2"/>
  <c r="F327" i="2"/>
  <c r="H327" i="2"/>
  <c r="I327" i="2"/>
  <c r="G327" i="2" s="1"/>
  <c r="J327" i="2"/>
  <c r="F328" i="2"/>
  <c r="H328" i="2"/>
  <c r="I328" i="2"/>
  <c r="G328" i="2" s="1"/>
  <c r="J328" i="2"/>
  <c r="F329" i="2"/>
  <c r="H329" i="2"/>
  <c r="I329" i="2"/>
  <c r="G329" i="2" s="1"/>
  <c r="J329" i="2"/>
  <c r="F330" i="2"/>
  <c r="H330" i="2"/>
  <c r="I330" i="2"/>
  <c r="G330" i="2" s="1"/>
  <c r="J330" i="2"/>
  <c r="F331" i="2"/>
  <c r="H331" i="2"/>
  <c r="I331" i="2"/>
  <c r="G331" i="2" s="1"/>
  <c r="J331" i="2"/>
  <c r="F332" i="2"/>
  <c r="H332" i="2"/>
  <c r="I332" i="2"/>
  <c r="G332" i="2" s="1"/>
  <c r="J332" i="2"/>
  <c r="F333" i="2"/>
  <c r="H333" i="2"/>
  <c r="I333" i="2"/>
  <c r="G333" i="2" s="1"/>
  <c r="J333" i="2"/>
  <c r="F334" i="2"/>
  <c r="H334" i="2"/>
  <c r="I334" i="2"/>
  <c r="G334" i="2" s="1"/>
  <c r="J334" i="2"/>
  <c r="F335" i="2"/>
  <c r="H335" i="2"/>
  <c r="I335" i="2"/>
  <c r="G335" i="2" s="1"/>
  <c r="J335" i="2"/>
  <c r="F336" i="2"/>
  <c r="H336" i="2"/>
  <c r="I336" i="2"/>
  <c r="G336" i="2" s="1"/>
  <c r="J336" i="2"/>
  <c r="F337" i="2"/>
  <c r="H337" i="2"/>
  <c r="I337" i="2"/>
  <c r="G337" i="2" s="1"/>
  <c r="J337" i="2"/>
  <c r="F338" i="2"/>
  <c r="H338" i="2"/>
  <c r="I338" i="2"/>
  <c r="G338" i="2" s="1"/>
  <c r="J338" i="2"/>
  <c r="F339" i="2"/>
  <c r="H339" i="2"/>
  <c r="I339" i="2"/>
  <c r="G339" i="2" s="1"/>
  <c r="J339" i="2"/>
  <c r="F340" i="2"/>
  <c r="H340" i="2"/>
  <c r="I340" i="2"/>
  <c r="G340" i="2" s="1"/>
  <c r="J340" i="2"/>
  <c r="F341" i="2"/>
  <c r="H341" i="2"/>
  <c r="I341" i="2"/>
  <c r="G341" i="2" s="1"/>
  <c r="J341" i="2"/>
  <c r="F342" i="2"/>
  <c r="H342" i="2"/>
  <c r="I342" i="2"/>
  <c r="G342" i="2" s="1"/>
  <c r="J342" i="2"/>
  <c r="F343" i="2"/>
  <c r="H343" i="2"/>
  <c r="I343" i="2"/>
  <c r="G343" i="2" s="1"/>
  <c r="J343" i="2"/>
  <c r="F344" i="2"/>
  <c r="H344" i="2"/>
  <c r="I344" i="2"/>
  <c r="G344" i="2" s="1"/>
  <c r="J344" i="2"/>
  <c r="F345" i="2"/>
  <c r="H345" i="2"/>
  <c r="I345" i="2"/>
  <c r="G345" i="2" s="1"/>
  <c r="J345" i="2"/>
  <c r="F346" i="2"/>
  <c r="H346" i="2"/>
  <c r="I346" i="2"/>
  <c r="G346" i="2" s="1"/>
  <c r="J346" i="2"/>
  <c r="F347" i="2"/>
  <c r="H347" i="2"/>
  <c r="I347" i="2"/>
  <c r="G347" i="2" s="1"/>
  <c r="J347" i="2"/>
  <c r="F348" i="2"/>
  <c r="H348" i="2"/>
  <c r="I348" i="2"/>
  <c r="G348" i="2" s="1"/>
  <c r="J348" i="2"/>
  <c r="F349" i="2"/>
  <c r="H349" i="2"/>
  <c r="I349" i="2"/>
  <c r="G349" i="2" s="1"/>
  <c r="J349" i="2"/>
  <c r="F350" i="2"/>
  <c r="H350" i="2"/>
  <c r="I350" i="2"/>
  <c r="G350" i="2" s="1"/>
  <c r="J350" i="2"/>
  <c r="F351" i="2"/>
  <c r="H351" i="2"/>
  <c r="I351" i="2"/>
  <c r="G351" i="2" s="1"/>
  <c r="J351" i="2"/>
  <c r="F352" i="2"/>
  <c r="H352" i="2"/>
  <c r="I352" i="2"/>
  <c r="G352" i="2" s="1"/>
  <c r="J352" i="2"/>
  <c r="F353" i="2"/>
  <c r="H353" i="2"/>
  <c r="I353" i="2"/>
  <c r="G353" i="2" s="1"/>
  <c r="J353" i="2"/>
  <c r="F354" i="2"/>
  <c r="H354" i="2"/>
  <c r="I354" i="2"/>
  <c r="G354" i="2" s="1"/>
  <c r="J354" i="2"/>
  <c r="F355" i="2"/>
  <c r="H355" i="2"/>
  <c r="I355" i="2"/>
  <c r="G355" i="2" s="1"/>
  <c r="J355" i="2"/>
  <c r="F356" i="2"/>
  <c r="H356" i="2"/>
  <c r="I356" i="2"/>
  <c r="G356" i="2" s="1"/>
  <c r="J356" i="2"/>
  <c r="F357" i="2"/>
  <c r="H357" i="2"/>
  <c r="I357" i="2"/>
  <c r="G357" i="2" s="1"/>
  <c r="J357" i="2"/>
  <c r="F358" i="2"/>
  <c r="H358" i="2"/>
  <c r="I358" i="2"/>
  <c r="G358" i="2" s="1"/>
  <c r="J358" i="2"/>
  <c r="F359" i="2"/>
  <c r="H359" i="2"/>
  <c r="I359" i="2"/>
  <c r="G359" i="2" s="1"/>
  <c r="J359" i="2"/>
  <c r="F360" i="2"/>
  <c r="H360" i="2"/>
  <c r="I360" i="2"/>
  <c r="G360" i="2" s="1"/>
  <c r="J360" i="2"/>
  <c r="F361" i="2"/>
  <c r="H361" i="2"/>
  <c r="I361" i="2"/>
  <c r="G361" i="2" s="1"/>
  <c r="J361" i="2"/>
  <c r="F362" i="2"/>
  <c r="H362" i="2"/>
  <c r="I362" i="2"/>
  <c r="G362" i="2" s="1"/>
  <c r="J362" i="2"/>
  <c r="F363" i="2"/>
  <c r="H363" i="2"/>
  <c r="I363" i="2"/>
  <c r="G363" i="2" s="1"/>
  <c r="J363" i="2"/>
  <c r="F364" i="2"/>
  <c r="H364" i="2"/>
  <c r="I364" i="2"/>
  <c r="G364" i="2" s="1"/>
  <c r="J364" i="2"/>
  <c r="F365" i="2"/>
  <c r="H365" i="2"/>
  <c r="I365" i="2"/>
  <c r="G365" i="2" s="1"/>
  <c r="J365" i="2"/>
  <c r="F366" i="2"/>
  <c r="H366" i="2"/>
  <c r="I366" i="2"/>
  <c r="G366" i="2" s="1"/>
  <c r="J366" i="2"/>
  <c r="F367" i="2"/>
  <c r="H367" i="2"/>
  <c r="I367" i="2"/>
  <c r="G367" i="2" s="1"/>
  <c r="J367" i="2"/>
  <c r="F368" i="2"/>
  <c r="H368" i="2"/>
  <c r="I368" i="2"/>
  <c r="G368" i="2" s="1"/>
  <c r="J368" i="2"/>
  <c r="F369" i="2"/>
  <c r="H369" i="2"/>
  <c r="I369" i="2"/>
  <c r="G369" i="2" s="1"/>
  <c r="J369" i="2"/>
  <c r="F370" i="2"/>
  <c r="H370" i="2"/>
  <c r="I370" i="2"/>
  <c r="G370" i="2" s="1"/>
  <c r="J370" i="2"/>
  <c r="F371" i="2"/>
  <c r="H371" i="2"/>
  <c r="I371" i="2"/>
  <c r="G371" i="2" s="1"/>
  <c r="J371" i="2"/>
  <c r="F372" i="2"/>
  <c r="H372" i="2"/>
  <c r="I372" i="2"/>
  <c r="G372" i="2" s="1"/>
  <c r="J372" i="2"/>
  <c r="F373" i="2"/>
  <c r="H373" i="2"/>
  <c r="I373" i="2"/>
  <c r="G373" i="2" s="1"/>
  <c r="J373" i="2"/>
  <c r="F374" i="2"/>
  <c r="H374" i="2"/>
  <c r="I374" i="2"/>
  <c r="G374" i="2" s="1"/>
  <c r="J374" i="2"/>
  <c r="F375" i="2"/>
  <c r="H375" i="2"/>
  <c r="I375" i="2"/>
  <c r="G375" i="2" s="1"/>
  <c r="J375" i="2"/>
  <c r="F376" i="2"/>
  <c r="H376" i="2"/>
  <c r="I376" i="2"/>
  <c r="G376" i="2" s="1"/>
  <c r="J376" i="2"/>
  <c r="F377" i="2"/>
  <c r="H377" i="2"/>
  <c r="I377" i="2"/>
  <c r="G377" i="2" s="1"/>
  <c r="J377" i="2"/>
  <c r="F378" i="2"/>
  <c r="H378" i="2"/>
  <c r="I378" i="2"/>
  <c r="G378" i="2" s="1"/>
  <c r="J378" i="2"/>
  <c r="F379" i="2"/>
  <c r="H379" i="2"/>
  <c r="I379" i="2"/>
  <c r="G379" i="2" s="1"/>
  <c r="J379" i="2"/>
  <c r="F380" i="2"/>
  <c r="H380" i="2"/>
  <c r="I380" i="2"/>
  <c r="G380" i="2" s="1"/>
  <c r="J380" i="2"/>
  <c r="F381" i="2"/>
  <c r="H381" i="2"/>
  <c r="I381" i="2"/>
  <c r="G381" i="2" s="1"/>
  <c r="J381" i="2"/>
  <c r="F382" i="2"/>
  <c r="H382" i="2"/>
  <c r="I382" i="2"/>
  <c r="G382" i="2" s="1"/>
  <c r="J382" i="2"/>
  <c r="F383" i="2"/>
  <c r="H383" i="2"/>
  <c r="I383" i="2"/>
  <c r="G383" i="2" s="1"/>
  <c r="J383" i="2"/>
  <c r="F384" i="2"/>
  <c r="H384" i="2"/>
  <c r="I384" i="2"/>
  <c r="G384" i="2" s="1"/>
  <c r="J384" i="2"/>
  <c r="F385" i="2"/>
  <c r="H385" i="2"/>
  <c r="I385" i="2"/>
  <c r="G385" i="2" s="1"/>
  <c r="J385" i="2"/>
  <c r="F386" i="2"/>
  <c r="H386" i="2"/>
  <c r="I386" i="2"/>
  <c r="G386" i="2" s="1"/>
  <c r="J386" i="2"/>
  <c r="F387" i="2"/>
  <c r="H387" i="2"/>
  <c r="I387" i="2"/>
  <c r="G387" i="2" s="1"/>
  <c r="J387" i="2"/>
  <c r="F388" i="2"/>
  <c r="H388" i="2"/>
  <c r="I388" i="2"/>
  <c r="G388" i="2" s="1"/>
  <c r="J388" i="2"/>
  <c r="F389" i="2"/>
  <c r="H389" i="2"/>
  <c r="I389" i="2"/>
  <c r="G389" i="2" s="1"/>
  <c r="J389" i="2"/>
  <c r="F390" i="2"/>
  <c r="H390" i="2"/>
  <c r="I390" i="2"/>
  <c r="G390" i="2" s="1"/>
  <c r="J390" i="2"/>
  <c r="F391" i="2"/>
  <c r="H391" i="2"/>
  <c r="I391" i="2"/>
  <c r="G391" i="2" s="1"/>
  <c r="J391" i="2"/>
  <c r="F392" i="2"/>
  <c r="H392" i="2"/>
  <c r="I392" i="2"/>
  <c r="G392" i="2" s="1"/>
  <c r="J392" i="2"/>
  <c r="F393" i="2"/>
  <c r="H393" i="2"/>
  <c r="I393" i="2"/>
  <c r="G393" i="2" s="1"/>
  <c r="J393" i="2"/>
  <c r="F394" i="2"/>
  <c r="H394" i="2"/>
  <c r="I394" i="2"/>
  <c r="G394" i="2" s="1"/>
  <c r="J394" i="2"/>
  <c r="F395" i="2"/>
  <c r="H395" i="2"/>
  <c r="I395" i="2"/>
  <c r="G395" i="2" s="1"/>
  <c r="J395" i="2"/>
  <c r="F396" i="2"/>
  <c r="H396" i="2"/>
  <c r="I396" i="2"/>
  <c r="G396" i="2" s="1"/>
  <c r="J396" i="2"/>
  <c r="F397" i="2"/>
  <c r="H397" i="2"/>
  <c r="I397" i="2"/>
  <c r="G397" i="2" s="1"/>
  <c r="J397" i="2"/>
  <c r="F398" i="2"/>
  <c r="H398" i="2"/>
  <c r="I398" i="2"/>
  <c r="G398" i="2" s="1"/>
  <c r="J398" i="2"/>
  <c r="F399" i="2"/>
  <c r="H399" i="2"/>
  <c r="I399" i="2"/>
  <c r="G399" i="2" s="1"/>
  <c r="J399" i="2"/>
  <c r="F400" i="2"/>
  <c r="H400" i="2"/>
  <c r="I400" i="2"/>
  <c r="G400" i="2" s="1"/>
  <c r="J400" i="2"/>
  <c r="F401" i="2"/>
  <c r="H401" i="2"/>
  <c r="I401" i="2"/>
  <c r="G401" i="2" s="1"/>
  <c r="J401" i="2"/>
  <c r="F402" i="2"/>
  <c r="H402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I599" i="2"/>
  <c r="G599" i="2" s="1"/>
  <c r="H599" i="2"/>
  <c r="J599" i="2"/>
  <c r="H600" i="2"/>
  <c r="I600" i="2"/>
  <c r="G600" i="2" s="1"/>
  <c r="F600" i="2"/>
  <c r="J600" i="2"/>
  <c r="F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H605" i="2"/>
  <c r="I605" i="2"/>
  <c r="G605" i="2" s="1"/>
  <c r="F605" i="2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F43" i="5"/>
  <c r="G43" i="5"/>
  <c r="H43" i="5"/>
  <c r="B44" i="5"/>
  <c r="D44" i="5"/>
  <c r="E44" i="5" s="1"/>
  <c r="F44" i="5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601" i="2"/>
  <c r="F599" i="2"/>
  <c r="F11" i="5"/>
  <c r="J5" i="3"/>
  <c r="K5" i="3" s="1"/>
  <c r="H8" i="2"/>
  <c r="L8" i="2"/>
  <c r="H208" i="2"/>
  <c r="L208" i="2"/>
  <c r="F13" i="2" l="1"/>
  <c r="H13" i="2"/>
  <c r="L13" i="2" s="1"/>
  <c r="F30" i="2"/>
  <c r="H30" i="2"/>
  <c r="L30" i="2" s="1"/>
  <c r="H79" i="2"/>
  <c r="L79" i="2" s="1"/>
  <c r="H58" i="2"/>
  <c r="L58" i="2" s="1"/>
  <c r="F58" i="2"/>
  <c r="K572" i="2"/>
  <c r="K524" i="2"/>
  <c r="K476" i="2"/>
  <c r="K296" i="2"/>
  <c r="K260" i="2"/>
  <c r="K584" i="2"/>
  <c r="K560" i="2"/>
  <c r="K488" i="2"/>
  <c r="K452" i="2"/>
  <c r="K404" i="2"/>
  <c r="K368" i="2"/>
  <c r="K332" i="2"/>
  <c r="K284" i="2"/>
  <c r="K248" i="2"/>
  <c r="K596" i="2"/>
  <c r="K548" i="2"/>
  <c r="K500" i="2"/>
  <c r="K464" i="2"/>
  <c r="K428" i="2"/>
  <c r="K416" i="2"/>
  <c r="K380" i="2"/>
  <c r="K344" i="2"/>
  <c r="K320" i="2"/>
  <c r="K272" i="2"/>
  <c r="K536" i="2"/>
  <c r="K512" i="2"/>
  <c r="K440" i="2"/>
  <c r="K392" i="2"/>
  <c r="K356" i="2"/>
  <c r="K308" i="2"/>
  <c r="K236" i="2"/>
  <c r="F214" i="2"/>
  <c r="F216" i="2"/>
  <c r="K632" i="2"/>
  <c r="K620" i="2"/>
  <c r="K608" i="2"/>
  <c r="H216" i="2"/>
  <c r="L216" i="2" s="1"/>
  <c r="F231" i="2"/>
  <c r="F157" i="2"/>
  <c r="F228" i="2"/>
  <c r="H162" i="2"/>
  <c r="L162" i="2" s="1"/>
  <c r="H214" i="2"/>
  <c r="L214" i="2" s="1"/>
  <c r="H231" i="2"/>
  <c r="L231" i="2" s="1"/>
  <c r="H228" i="2"/>
  <c r="L228" i="2" s="1"/>
  <c r="K228" i="2" s="1"/>
  <c r="F173" i="2"/>
  <c r="F172" i="2"/>
  <c r="H227" i="2"/>
  <c r="L227" i="2" s="1"/>
  <c r="F227" i="2"/>
  <c r="F213" i="2"/>
  <c r="F217" i="2"/>
  <c r="H213" i="2"/>
  <c r="L213" i="2" s="1"/>
  <c r="F212" i="2"/>
  <c r="F156" i="2"/>
  <c r="H217" i="2"/>
  <c r="H212" i="2"/>
  <c r="H211" i="2"/>
  <c r="L211" i="2" s="1"/>
  <c r="K211" i="2" s="1"/>
  <c r="F211" i="2"/>
  <c r="F210" i="2"/>
  <c r="H210" i="2"/>
  <c r="H215" i="2"/>
  <c r="L215" i="2" s="1"/>
  <c r="F215" i="2"/>
  <c r="H209" i="2"/>
  <c r="H173" i="2"/>
  <c r="H172" i="2"/>
  <c r="L172" i="2" s="1"/>
  <c r="F146" i="2"/>
  <c r="F142" i="2"/>
  <c r="H81" i="2"/>
  <c r="L81" i="2" s="1"/>
  <c r="H112" i="2"/>
  <c r="L112" i="2" s="1"/>
  <c r="F112" i="2"/>
  <c r="H157" i="2"/>
  <c r="L157" i="2" s="1"/>
  <c r="F81" i="2"/>
  <c r="H143" i="2"/>
  <c r="L143" i="2" s="1"/>
  <c r="F151" i="2"/>
  <c r="F149" i="2"/>
  <c r="H146" i="2"/>
  <c r="L146" i="2" s="1"/>
  <c r="F145" i="2"/>
  <c r="H132" i="2"/>
  <c r="L132" i="2" s="1"/>
  <c r="F132" i="2"/>
  <c r="F141" i="2"/>
  <c r="K327" i="2"/>
  <c r="H116" i="2"/>
  <c r="L116" i="2" s="1"/>
  <c r="H111" i="2"/>
  <c r="L111" i="2" s="1"/>
  <c r="F111" i="2"/>
  <c r="H110" i="2"/>
  <c r="L110" i="2" s="1"/>
  <c r="H78" i="2"/>
  <c r="L78" i="2" s="1"/>
  <c r="H74" i="2"/>
  <c r="L74" i="2" s="1"/>
  <c r="F48" i="2"/>
  <c r="F200" i="2"/>
  <c r="H200" i="2"/>
  <c r="L200" i="2" s="1"/>
  <c r="F203" i="2"/>
  <c r="F52" i="2"/>
  <c r="F204" i="2"/>
  <c r="H203" i="2"/>
  <c r="L203" i="2" s="1"/>
  <c r="K595" i="2"/>
  <c r="K583" i="2"/>
  <c r="K571" i="2"/>
  <c r="K559" i="2"/>
  <c r="K547" i="2"/>
  <c r="K535" i="2"/>
  <c r="K523" i="2"/>
  <c r="K511" i="2"/>
  <c r="K379" i="2"/>
  <c r="K367" i="2"/>
  <c r="K283" i="2"/>
  <c r="K271" i="2"/>
  <c r="K631" i="2"/>
  <c r="K619" i="2"/>
  <c r="K607" i="2"/>
  <c r="G110" i="2"/>
  <c r="G116" i="2"/>
  <c r="F209" i="2"/>
  <c r="F208" i="2"/>
  <c r="H199" i="2"/>
  <c r="L199" i="2" s="1"/>
  <c r="F199" i="2"/>
  <c r="H205" i="2"/>
  <c r="L205" i="2" s="1"/>
  <c r="F205" i="2"/>
  <c r="H204" i="2"/>
  <c r="L204" i="2" s="1"/>
  <c r="K204" i="2" s="1"/>
  <c r="H174" i="2"/>
  <c r="L174" i="2" s="1"/>
  <c r="K251" i="2"/>
  <c r="H159" i="2"/>
  <c r="L159" i="2" s="1"/>
  <c r="H152" i="2"/>
  <c r="L152" i="2" s="1"/>
  <c r="F152" i="2"/>
  <c r="H158" i="2"/>
  <c r="L158" i="2" s="1"/>
  <c r="K158" i="2" s="1"/>
  <c r="F158" i="2"/>
  <c r="F159" i="2"/>
  <c r="H156" i="2"/>
  <c r="L156" i="2" s="1"/>
  <c r="H151" i="2"/>
  <c r="L151" i="2" s="1"/>
  <c r="H147" i="2"/>
  <c r="L147" i="2" s="1"/>
  <c r="H155" i="2"/>
  <c r="L155" i="2" s="1"/>
  <c r="F155" i="2"/>
  <c r="H149" i="2"/>
  <c r="L149" i="2" s="1"/>
  <c r="F147" i="2"/>
  <c r="H142" i="2"/>
  <c r="L142" i="2" s="1"/>
  <c r="H145" i="2"/>
  <c r="L145" i="2" s="1"/>
  <c r="H141" i="2"/>
  <c r="L141" i="2" s="1"/>
  <c r="H140" i="2"/>
  <c r="L140" i="2" s="1"/>
  <c r="F140" i="2"/>
  <c r="H139" i="2"/>
  <c r="L139" i="2" s="1"/>
  <c r="K139" i="2" s="1"/>
  <c r="H134" i="2"/>
  <c r="L134" i="2" s="1"/>
  <c r="F134" i="2"/>
  <c r="F126" i="2"/>
  <c r="H126" i="2"/>
  <c r="L126" i="2" s="1"/>
  <c r="H80" i="2"/>
  <c r="L80" i="2" s="1"/>
  <c r="F78" i="2"/>
  <c r="H77" i="2"/>
  <c r="F77" i="2"/>
  <c r="G48" i="2"/>
  <c r="F54" i="2"/>
  <c r="H54" i="2"/>
  <c r="L54" i="2" s="1"/>
  <c r="H52" i="2"/>
  <c r="L52" i="2" s="1"/>
  <c r="F40" i="2"/>
  <c r="H43" i="2"/>
  <c r="L43" i="2" s="1"/>
  <c r="F43" i="2"/>
  <c r="F29" i="2"/>
  <c r="H29" i="2"/>
  <c r="H18" i="2"/>
  <c r="L18" i="2" s="1"/>
  <c r="H207" i="2"/>
  <c r="L207" i="2" s="1"/>
  <c r="F207" i="2"/>
  <c r="H206" i="2"/>
  <c r="L206" i="2" s="1"/>
  <c r="F206" i="2"/>
  <c r="H202" i="2"/>
  <c r="L202" i="2" s="1"/>
  <c r="H201" i="2"/>
  <c r="L201" i="2" s="1"/>
  <c r="F201" i="2"/>
  <c r="F198" i="2"/>
  <c r="H198" i="2"/>
  <c r="H197" i="2"/>
  <c r="L197" i="2" s="1"/>
  <c r="F197" i="2"/>
  <c r="K554" i="2"/>
  <c r="K518" i="2"/>
  <c r="K506" i="2"/>
  <c r="K482" i="2"/>
  <c r="K470" i="2"/>
  <c r="K458" i="2"/>
  <c r="K434" i="2"/>
  <c r="K422" i="2"/>
  <c r="K410" i="2"/>
  <c r="K398" i="2"/>
  <c r="K386" i="2"/>
  <c r="K374" i="2"/>
  <c r="K362" i="2"/>
  <c r="K350" i="2"/>
  <c r="K338" i="2"/>
  <c r="K326" i="2"/>
  <c r="K314" i="2"/>
  <c r="K302" i="2"/>
  <c r="K290" i="2"/>
  <c r="K278" i="2"/>
  <c r="K266" i="2"/>
  <c r="K254" i="2"/>
  <c r="K242" i="2"/>
  <c r="K230" i="2"/>
  <c r="K590" i="2"/>
  <c r="K566" i="2"/>
  <c r="K542" i="2"/>
  <c r="K494" i="2"/>
  <c r="K446" i="2"/>
  <c r="K578" i="2"/>
  <c r="K530" i="2"/>
  <c r="K626" i="2"/>
  <c r="K614" i="2"/>
  <c r="K602" i="2"/>
  <c r="F196" i="2"/>
  <c r="H196" i="2"/>
  <c r="L196" i="2" s="1"/>
  <c r="H163" i="2"/>
  <c r="L163" i="2" s="1"/>
  <c r="H170" i="2"/>
  <c r="L170" i="2" s="1"/>
  <c r="F163" i="2"/>
  <c r="F168" i="2"/>
  <c r="H169" i="2"/>
  <c r="L169" i="2" s="1"/>
  <c r="F169" i="2"/>
  <c r="H165" i="2"/>
  <c r="L165" i="2" s="1"/>
  <c r="H167" i="2"/>
  <c r="L167" i="2" s="1"/>
  <c r="F165" i="2"/>
  <c r="H168" i="2"/>
  <c r="L168" i="2" s="1"/>
  <c r="F171" i="2"/>
  <c r="G170" i="2"/>
  <c r="F167" i="2"/>
  <c r="H171" i="2"/>
  <c r="L171" i="2" s="1"/>
  <c r="H164" i="2"/>
  <c r="F164" i="2"/>
  <c r="H166" i="2"/>
  <c r="F166" i="2"/>
  <c r="F162" i="2"/>
  <c r="H160" i="2"/>
  <c r="F160" i="2"/>
  <c r="F154" i="2"/>
  <c r="H154" i="2"/>
  <c r="L154" i="2" s="1"/>
  <c r="H150" i="2"/>
  <c r="L150" i="2" s="1"/>
  <c r="F150" i="2"/>
  <c r="H148" i="2"/>
  <c r="F148" i="2"/>
  <c r="H144" i="2"/>
  <c r="L144" i="2" s="1"/>
  <c r="F144" i="2"/>
  <c r="F143" i="2"/>
  <c r="F139" i="2"/>
  <c r="F138" i="2"/>
  <c r="H138" i="2"/>
  <c r="L138" i="2" s="1"/>
  <c r="F137" i="2"/>
  <c r="H137" i="2"/>
  <c r="L137" i="2" s="1"/>
  <c r="F109" i="2"/>
  <c r="F131" i="2"/>
  <c r="H125" i="2"/>
  <c r="L125" i="2" s="1"/>
  <c r="F125" i="2"/>
  <c r="F128" i="2"/>
  <c r="F120" i="2"/>
  <c r="G120" i="2"/>
  <c r="F118" i="2"/>
  <c r="F117" i="2"/>
  <c r="K551" i="2"/>
  <c r="K527" i="2"/>
  <c r="K503" i="2"/>
  <c r="K479" i="2"/>
  <c r="K467" i="2"/>
  <c r="K455" i="2"/>
  <c r="K431" i="2"/>
  <c r="K419" i="2"/>
  <c r="K407" i="2"/>
  <c r="K395" i="2"/>
  <c r="K383" i="2"/>
  <c r="K371" i="2"/>
  <c r="K347" i="2"/>
  <c r="K335" i="2"/>
  <c r="K323" i="2"/>
  <c r="K311" i="2"/>
  <c r="K299" i="2"/>
  <c r="K287" i="2"/>
  <c r="K275" i="2"/>
  <c r="K263" i="2"/>
  <c r="K239" i="2"/>
  <c r="K575" i="2"/>
  <c r="K563" i="2"/>
  <c r="K539" i="2"/>
  <c r="K515" i="2"/>
  <c r="K491" i="2"/>
  <c r="H131" i="2"/>
  <c r="K601" i="2"/>
  <c r="F129" i="2"/>
  <c r="H130" i="2"/>
  <c r="L130" i="2" s="1"/>
  <c r="H128" i="2"/>
  <c r="L128" i="2" s="1"/>
  <c r="H135" i="2"/>
  <c r="L135" i="2" s="1"/>
  <c r="H136" i="2"/>
  <c r="F136" i="2"/>
  <c r="F135" i="2"/>
  <c r="F130" i="2"/>
  <c r="H129" i="2"/>
  <c r="H123" i="2"/>
  <c r="F123" i="2"/>
  <c r="F119" i="2"/>
  <c r="H119" i="2"/>
  <c r="L119" i="2" s="1"/>
  <c r="H118" i="2"/>
  <c r="L118" i="2" s="1"/>
  <c r="K569" i="2"/>
  <c r="K545" i="2"/>
  <c r="K533" i="2"/>
  <c r="K509" i="2"/>
  <c r="K497" i="2"/>
  <c r="K485" i="2"/>
  <c r="K473" i="2"/>
  <c r="K449" i="2"/>
  <c r="K437" i="2"/>
  <c r="K425" i="2"/>
  <c r="K413" i="2"/>
  <c r="K401" i="2"/>
  <c r="K389" i="2"/>
  <c r="K377" i="2"/>
  <c r="K365" i="2"/>
  <c r="K353" i="2"/>
  <c r="K341" i="2"/>
  <c r="K329" i="2"/>
  <c r="K317" i="2"/>
  <c r="K305" i="2"/>
  <c r="K293" i="2"/>
  <c r="K281" i="2"/>
  <c r="K269" i="2"/>
  <c r="K257" i="2"/>
  <c r="K245" i="2"/>
  <c r="K233" i="2"/>
  <c r="K593" i="2"/>
  <c r="K581" i="2"/>
  <c r="K521" i="2"/>
  <c r="K557" i="2"/>
  <c r="F73" i="2"/>
  <c r="K262" i="2"/>
  <c r="K625" i="2"/>
  <c r="K613" i="2"/>
  <c r="K108" i="2"/>
  <c r="K589" i="2"/>
  <c r="K577" i="2"/>
  <c r="K565" i="2"/>
  <c r="K553" i="2"/>
  <c r="K541" i="2"/>
  <c r="K529" i="2"/>
  <c r="K517" i="2"/>
  <c r="K433" i="2"/>
  <c r="K409" i="2"/>
  <c r="K397" i="2"/>
  <c r="K385" i="2"/>
  <c r="K373" i="2"/>
  <c r="K361" i="2"/>
  <c r="K349" i="2"/>
  <c r="K325" i="2"/>
  <c r="K277" i="2"/>
  <c r="K265" i="2"/>
  <c r="K253" i="2"/>
  <c r="K241" i="2"/>
  <c r="H117" i="2"/>
  <c r="L117" i="2" s="1"/>
  <c r="K117" i="2" s="1"/>
  <c r="F115" i="2"/>
  <c r="H115" i="2"/>
  <c r="H114" i="2"/>
  <c r="L114" i="2" s="1"/>
  <c r="F114" i="2"/>
  <c r="H113" i="2"/>
  <c r="L113" i="2" s="1"/>
  <c r="F113" i="2"/>
  <c r="F76" i="2"/>
  <c r="K309" i="2"/>
  <c r="K79" i="2"/>
  <c r="F74" i="2"/>
  <c r="K256" i="2"/>
  <c r="H73" i="2"/>
  <c r="F47" i="2"/>
  <c r="F79" i="2"/>
  <c r="K629" i="2"/>
  <c r="K617" i="2"/>
  <c r="F80" i="2"/>
  <c r="H109" i="2"/>
  <c r="L109" i="2" s="1"/>
  <c r="K605" i="2"/>
  <c r="K598" i="2"/>
  <c r="K562" i="2"/>
  <c r="K550" i="2"/>
  <c r="K526" i="2"/>
  <c r="K514" i="2"/>
  <c r="K502" i="2"/>
  <c r="K490" i="2"/>
  <c r="K478" i="2"/>
  <c r="K466" i="2"/>
  <c r="K454" i="2"/>
  <c r="K442" i="2"/>
  <c r="K430" i="2"/>
  <c r="K418" i="2"/>
  <c r="K406" i="2"/>
  <c r="K394" i="2"/>
  <c r="K382" i="2"/>
  <c r="K370" i="2"/>
  <c r="K358" i="2"/>
  <c r="K346" i="2"/>
  <c r="K334" i="2"/>
  <c r="K322" i="2"/>
  <c r="K310" i="2"/>
  <c r="K298" i="2"/>
  <c r="K286" i="2"/>
  <c r="K274" i="2"/>
  <c r="K250" i="2"/>
  <c r="K238" i="2"/>
  <c r="K226" i="2"/>
  <c r="K461" i="2"/>
  <c r="H76" i="2"/>
  <c r="K622" i="2"/>
  <c r="K610" i="2"/>
  <c r="K492" i="2"/>
  <c r="K456" i="2"/>
  <c r="K372" i="2"/>
  <c r="K348" i="2"/>
  <c r="K324" i="2"/>
  <c r="K276" i="2"/>
  <c r="K252" i="2"/>
  <c r="K599" i="2"/>
  <c r="K587" i="2"/>
  <c r="K424" i="2"/>
  <c r="K376" i="2"/>
  <c r="K623" i="2"/>
  <c r="K611" i="2"/>
  <c r="H47" i="2"/>
  <c r="L47" i="2" s="1"/>
  <c r="K48" i="2"/>
  <c r="H42" i="2"/>
  <c r="F42" i="2"/>
  <c r="H40" i="2"/>
  <c r="H39" i="2"/>
  <c r="F39" i="2"/>
  <c r="F18" i="2"/>
  <c r="H70" i="2"/>
  <c r="L70" i="2" s="1"/>
  <c r="K597" i="2"/>
  <c r="K585" i="2"/>
  <c r="K573" i="2"/>
  <c r="K561" i="2"/>
  <c r="K549" i="2"/>
  <c r="K537" i="2"/>
  <c r="K525" i="2"/>
  <c r="K513" i="2"/>
  <c r="K501" i="2"/>
  <c r="K489" i="2"/>
  <c r="K477" i="2"/>
  <c r="K465" i="2"/>
  <c r="K453" i="2"/>
  <c r="K441" i="2"/>
  <c r="K606" i="2"/>
  <c r="K282" i="2"/>
  <c r="K621" i="2"/>
  <c r="K609" i="2"/>
  <c r="K429" i="2"/>
  <c r="K417" i="2"/>
  <c r="K405" i="2"/>
  <c r="K393" i="2"/>
  <c r="K381" i="2"/>
  <c r="K369" i="2"/>
  <c r="K357" i="2"/>
  <c r="K345" i="2"/>
  <c r="K333" i="2"/>
  <c r="K321" i="2"/>
  <c r="K297" i="2"/>
  <c r="K285" i="2"/>
  <c r="K273" i="2"/>
  <c r="K261" i="2"/>
  <c r="K249" i="2"/>
  <c r="K237" i="2"/>
  <c r="K225" i="2"/>
  <c r="F70" i="2"/>
  <c r="F59" i="2"/>
  <c r="K306" i="2"/>
  <c r="K294" i="2"/>
  <c r="K270" i="2"/>
  <c r="K258" i="2"/>
  <c r="K246" i="2"/>
  <c r="K234" i="2"/>
  <c r="K244" i="2"/>
  <c r="K558" i="2"/>
  <c r="K498" i="2"/>
  <c r="K486" i="2"/>
  <c r="K474" i="2"/>
  <c r="K462" i="2"/>
  <c r="K450" i="2"/>
  <c r="K594" i="2"/>
  <c r="K426" i="2"/>
  <c r="K414" i="2"/>
  <c r="K402" i="2"/>
  <c r="K390" i="2"/>
  <c r="K378" i="2"/>
  <c r="K366" i="2"/>
  <c r="K354" i="2"/>
  <c r="K342" i="2"/>
  <c r="K330" i="2"/>
  <c r="K318" i="2"/>
  <c r="H72" i="2"/>
  <c r="L72" i="2" s="1"/>
  <c r="F72" i="2"/>
  <c r="K120" i="2"/>
  <c r="K436" i="2"/>
  <c r="K304" i="2"/>
  <c r="K292" i="2"/>
  <c r="K280" i="2"/>
  <c r="K268" i="2"/>
  <c r="K232" i="2"/>
  <c r="K412" i="2"/>
  <c r="K255" i="2"/>
  <c r="K400" i="2"/>
  <c r="K388" i="2"/>
  <c r="K364" i="2"/>
  <c r="K352" i="2"/>
  <c r="K628" i="2"/>
  <c r="K616" i="2"/>
  <c r="K592" i="2"/>
  <c r="K580" i="2"/>
  <c r="K568" i="2"/>
  <c r="K340" i="2"/>
  <c r="K556" i="2"/>
  <c r="K328" i="2"/>
  <c r="K161" i="2"/>
  <c r="K604" i="2"/>
  <c r="K544" i="2"/>
  <c r="K532" i="2"/>
  <c r="K520" i="2"/>
  <c r="K508" i="2"/>
  <c r="K316" i="2"/>
  <c r="K496" i="2"/>
  <c r="K484" i="2"/>
  <c r="K472" i="2"/>
  <c r="K460" i="2"/>
  <c r="K448" i="2"/>
  <c r="H59" i="2"/>
  <c r="K459" i="2"/>
  <c r="K447" i="2"/>
  <c r="K411" i="2"/>
  <c r="K567" i="2"/>
  <c r="K483" i="2"/>
  <c r="K471" i="2"/>
  <c r="F55" i="2"/>
  <c r="K435" i="2"/>
  <c r="K375" i="2"/>
  <c r="F53" i="2"/>
  <c r="K627" i="2"/>
  <c r="K555" i="2"/>
  <c r="K423" i="2"/>
  <c r="K243" i="2"/>
  <c r="K384" i="2"/>
  <c r="K264" i="2"/>
  <c r="K543" i="2"/>
  <c r="K363" i="2"/>
  <c r="K315" i="2"/>
  <c r="K615" i="2"/>
  <c r="K531" i="2"/>
  <c r="K519" i="2"/>
  <c r="K216" i="2"/>
  <c r="K30" i="2"/>
  <c r="K507" i="2"/>
  <c r="K351" i="2"/>
  <c r="K303" i="2"/>
  <c r="K495" i="2"/>
  <c r="K291" i="2"/>
  <c r="K279" i="2"/>
  <c r="K603" i="2"/>
  <c r="K591" i="2"/>
  <c r="K579" i="2"/>
  <c r="K399" i="2"/>
  <c r="K387" i="2"/>
  <c r="K339" i="2"/>
  <c r="K267" i="2"/>
  <c r="H55" i="2"/>
  <c r="F38" i="2"/>
  <c r="F9" i="2"/>
  <c r="K313" i="2"/>
  <c r="K229" i="2"/>
  <c r="K208" i="2"/>
  <c r="K420" i="2"/>
  <c r="K300" i="2"/>
  <c r="K396" i="2"/>
  <c r="K240" i="2"/>
  <c r="K480" i="2"/>
  <c r="K444" i="2"/>
  <c r="K312" i="2"/>
  <c r="K288" i="2"/>
  <c r="K468" i="2"/>
  <c r="K360" i="2"/>
  <c r="K504" i="2"/>
  <c r="K432" i="2"/>
  <c r="K408" i="2"/>
  <c r="K336" i="2"/>
  <c r="G38" i="2"/>
  <c r="H9" i="2"/>
  <c r="K600" i="2"/>
  <c r="H56" i="2"/>
  <c r="F56" i="2"/>
  <c r="H53" i="2"/>
  <c r="H51" i="2"/>
  <c r="L51" i="2" s="1"/>
  <c r="F51" i="2"/>
  <c r="H46" i="2"/>
  <c r="H50" i="2"/>
  <c r="F50" i="2"/>
  <c r="F49" i="2"/>
  <c r="H49" i="2"/>
  <c r="F46" i="2"/>
  <c r="H45" i="2"/>
  <c r="F45" i="2"/>
  <c r="K528" i="2"/>
  <c r="K421" i="2"/>
  <c r="K552" i="2"/>
  <c r="K481" i="2"/>
  <c r="K289" i="2"/>
  <c r="K624" i="2"/>
  <c r="K612" i="2"/>
  <c r="K588" i="2"/>
  <c r="K445" i="2"/>
  <c r="K493" i="2"/>
  <c r="K457" i="2"/>
  <c r="K540" i="2"/>
  <c r="K516" i="2"/>
  <c r="K337" i="2"/>
  <c r="K630" i="2"/>
  <c r="K415" i="2"/>
  <c r="K403" i="2"/>
  <c r="K391" i="2"/>
  <c r="K355" i="2"/>
  <c r="K319" i="2"/>
  <c r="K247" i="2"/>
  <c r="K235" i="2"/>
  <c r="K564" i="2"/>
  <c r="K301" i="2"/>
  <c r="K505" i="2"/>
  <c r="K469" i="2"/>
  <c r="K576" i="2"/>
  <c r="H41" i="2"/>
  <c r="G41" i="2"/>
  <c r="K38" i="2"/>
  <c r="H37" i="2"/>
  <c r="F37" i="2"/>
  <c r="H36" i="2"/>
  <c r="F36" i="2"/>
  <c r="G31" i="2"/>
  <c r="H31" i="2"/>
  <c r="K582" i="2"/>
  <c r="K534" i="2"/>
  <c r="K439" i="2"/>
  <c r="K618" i="2"/>
  <c r="K487" i="2"/>
  <c r="K451" i="2"/>
  <c r="K259" i="2"/>
  <c r="K510" i="2"/>
  <c r="K8" i="2"/>
  <c r="K586" i="2"/>
  <c r="K443" i="2"/>
  <c r="K359" i="2"/>
  <c r="K343" i="2"/>
  <c r="K570" i="2"/>
  <c r="K522" i="2"/>
  <c r="K499" i="2"/>
  <c r="K463" i="2"/>
  <c r="K295" i="2"/>
  <c r="K546" i="2"/>
  <c r="K307" i="2"/>
  <c r="K538" i="2"/>
  <c r="K475" i="2"/>
  <c r="K427" i="2"/>
  <c r="K574" i="2"/>
  <c r="K331" i="2"/>
  <c r="H28" i="2"/>
  <c r="F28" i="2"/>
  <c r="H17" i="2"/>
  <c r="F17" i="2"/>
  <c r="K438" i="2"/>
  <c r="I49" i="5"/>
  <c r="I48" i="5"/>
  <c r="I47" i="5"/>
  <c r="K33" i="4"/>
  <c r="I11" i="5"/>
  <c r="K18" i="4"/>
  <c r="K11" i="4"/>
  <c r="K19" i="4"/>
  <c r="K39" i="4"/>
  <c r="K40" i="4"/>
  <c r="K25" i="4"/>
  <c r="K26" i="4"/>
  <c r="K13" i="2" l="1"/>
  <c r="K58" i="2"/>
  <c r="K162" i="2"/>
  <c r="K213" i="2"/>
  <c r="K143" i="2"/>
  <c r="K172" i="2"/>
  <c r="K215" i="2"/>
  <c r="K231" i="2"/>
  <c r="K111" i="2"/>
  <c r="K203" i="2"/>
  <c r="K227" i="2"/>
  <c r="K116" i="2"/>
  <c r="K110" i="2"/>
  <c r="K214" i="2"/>
  <c r="K156" i="2"/>
  <c r="K157" i="2"/>
  <c r="K205" i="2"/>
  <c r="J7" i="3"/>
  <c r="K7" i="3" s="1"/>
  <c r="I13" i="5" s="1"/>
  <c r="F13" i="5"/>
  <c r="K112" i="2"/>
  <c r="K81" i="2"/>
  <c r="K200" i="2"/>
  <c r="L210" i="2"/>
  <c r="K210" i="2" s="1"/>
  <c r="K132" i="2"/>
  <c r="L209" i="2"/>
  <c r="K209" i="2" s="1"/>
  <c r="L212" i="2"/>
  <c r="K212" i="2" s="1"/>
  <c r="L217" i="2"/>
  <c r="K217" i="2" s="1"/>
  <c r="L173" i="2"/>
  <c r="K173" i="2" s="1"/>
  <c r="K146" i="2"/>
  <c r="K74" i="2"/>
  <c r="K78" i="2"/>
  <c r="K151" i="2"/>
  <c r="K134" i="2"/>
  <c r="K147" i="2"/>
  <c r="K149" i="2"/>
  <c r="K150" i="2"/>
  <c r="K152" i="2"/>
  <c r="K142" i="2"/>
  <c r="K199" i="2"/>
  <c r="K163" i="2"/>
  <c r="K159" i="2"/>
  <c r="K42" i="3"/>
  <c r="K174" i="2"/>
  <c r="K155" i="2"/>
  <c r="K145" i="2"/>
  <c r="K140" i="2"/>
  <c r="K141" i="2"/>
  <c r="K137" i="2"/>
  <c r="K126" i="2"/>
  <c r="K80" i="2"/>
  <c r="L77" i="2"/>
  <c r="K77" i="2" s="1"/>
  <c r="K54" i="2"/>
  <c r="K52" i="2"/>
  <c r="K43" i="2"/>
  <c r="L29" i="2"/>
  <c r="K29" i="2" s="1"/>
  <c r="K18" i="2"/>
  <c r="K125" i="2"/>
  <c r="K207" i="2"/>
  <c r="K206" i="2"/>
  <c r="K202" i="2"/>
  <c r="K201" i="2"/>
  <c r="L198" i="2"/>
  <c r="K198" i="2" s="1"/>
  <c r="K197" i="2"/>
  <c r="K196" i="2"/>
  <c r="K167" i="2"/>
  <c r="K165" i="2"/>
  <c r="K168" i="2"/>
  <c r="K169" i="2"/>
  <c r="K171" i="2"/>
  <c r="K170" i="2"/>
  <c r="L166" i="2"/>
  <c r="K166" i="2" s="1"/>
  <c r="L164" i="2"/>
  <c r="K164" i="2" s="1"/>
  <c r="L160" i="2"/>
  <c r="K160" i="2" s="1"/>
  <c r="K154" i="2"/>
  <c r="L148" i="2"/>
  <c r="K148" i="2" s="1"/>
  <c r="K144" i="2"/>
  <c r="K138" i="2"/>
  <c r="K118" i="2"/>
  <c r="L131" i="2"/>
  <c r="K131" i="2" s="1"/>
  <c r="K44" i="3"/>
  <c r="K135" i="2"/>
  <c r="K130" i="2"/>
  <c r="K128" i="2"/>
  <c r="L73" i="2"/>
  <c r="K73" i="2" s="1"/>
  <c r="K113" i="2"/>
  <c r="L136" i="2"/>
  <c r="K136" i="2" s="1"/>
  <c r="L129" i="2"/>
  <c r="K129" i="2" s="1"/>
  <c r="L123" i="2"/>
  <c r="K123" i="2" s="1"/>
  <c r="K119" i="2"/>
  <c r="L115" i="2"/>
  <c r="K115" i="2" s="1"/>
  <c r="K114" i="2"/>
  <c r="K47" i="2"/>
  <c r="K109" i="2"/>
  <c r="L76" i="2"/>
  <c r="L39" i="2"/>
  <c r="K39" i="2" s="1"/>
  <c r="L42" i="2"/>
  <c r="K42" i="2" s="1"/>
  <c r="L40" i="2"/>
  <c r="K40" i="2" s="1"/>
  <c r="F28" i="5"/>
  <c r="J22" i="3"/>
  <c r="K70" i="2"/>
  <c r="K51" i="2"/>
  <c r="K72" i="2"/>
  <c r="L28" i="2"/>
  <c r="K28" i="2" s="1"/>
  <c r="L59" i="2"/>
  <c r="K59" i="2" s="1"/>
  <c r="L55" i="2"/>
  <c r="L9" i="2"/>
  <c r="K9" i="2" s="1"/>
  <c r="L56" i="2"/>
  <c r="K56" i="2" s="1"/>
  <c r="L53" i="2"/>
  <c r="K53" i="2" s="1"/>
  <c r="L46" i="2"/>
  <c r="K46" i="2" s="1"/>
  <c r="L50" i="2"/>
  <c r="K50" i="2" s="1"/>
  <c r="L49" i="2"/>
  <c r="K49" i="2" s="1"/>
  <c r="L45" i="2"/>
  <c r="K45" i="2" s="1"/>
  <c r="C19" i="4"/>
  <c r="G19" i="4" s="1"/>
  <c r="C25" i="4"/>
  <c r="G25" i="4" s="1"/>
  <c r="C11" i="4"/>
  <c r="G11" i="4" s="1"/>
  <c r="C40" i="4"/>
  <c r="G40" i="4" s="1"/>
  <c r="C32" i="4"/>
  <c r="G32" i="4" s="1"/>
  <c r="L41" i="2"/>
  <c r="K41" i="2" s="1"/>
  <c r="L37" i="2"/>
  <c r="K37" i="2" s="1"/>
  <c r="L36" i="2"/>
  <c r="K36" i="2" s="1"/>
  <c r="L31" i="2"/>
  <c r="K31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17" i="2"/>
  <c r="K17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55" i="2" l="1"/>
  <c r="K32" i="4"/>
  <c r="K38" i="4"/>
  <c r="K42" i="4" s="1"/>
  <c r="K76" i="2"/>
  <c r="I10" i="5"/>
  <c r="K24" i="4"/>
  <c r="K28" i="4" s="1"/>
  <c r="K17" i="4"/>
  <c r="K21" i="4" s="1"/>
  <c r="K31" i="4"/>
  <c r="K10" i="4"/>
  <c r="K14" i="4" s="1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35" i="4" l="1"/>
  <c r="L35" i="4" s="1"/>
  <c r="L5" i="2"/>
  <c r="Q5" i="1" s="1"/>
  <c r="J44" i="5"/>
  <c r="J35" i="5"/>
  <c r="J34" i="5"/>
  <c r="J39" i="5"/>
  <c r="J28" i="5"/>
  <c r="J30" i="5"/>
  <c r="J19" i="5"/>
  <c r="L14" i="4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<sst xmlns="http://schemas.openxmlformats.org/spreadsheetml/2006/main" count="477" uniqueCount="255">
  <si>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</si>
  <si>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</si>
  <si>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</si>
  <si>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</si>
  <si>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</si>
  <si>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</si>
  <si>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</si>
  <si>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</si>
  <si>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</si>
  <si>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</si>
  <si>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</si>
  <si>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</si>
  <si>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</si>
  <si>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</si>
  <si>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</si>
  <si>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</si>
  <si>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</si>
  <si>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</si>
  <si>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</si>
  <si>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</si>
  <si>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</si>
  <si>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</si>
  <si>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</si>
  <si>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</si>
  <si>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</si>
  <si>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</si>
  <si>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</si>
  <si>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</si>
  <si>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</si>
  <si>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</si>
  <si>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</si>
  <si>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</si>
  <si>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</si>
  <si>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</si>
  <si>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</si>
  <si>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</si>
  <si>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</si>
  <si>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</si>
  <si>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</si>
  <si>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</si>
  <si>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</si>
  <si>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</si>
  <si>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</si>
  <si>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</si>
  <si>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</si>
  <si>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</si>
  <si>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</si>
  <si>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</si>
  <si>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</si>
  <si>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</si>
  <si>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</si>
  <si>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</si>
  <si>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</si>
  <si>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</si>
  <si>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</si>
  <si>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</si>
  <si>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</si>
  <si>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</si>
  <si>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</si>
  <si>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</si>
  <si>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</si>
  <si>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</si>
  <si>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</si>
  <si>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</si>
  <si>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</si>
  <si>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</si>
  <si>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</si>
  <si>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</si>
  <si>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</si>
  <si>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</si>
  <si>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</si>
  <si>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</si>
  <si>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</si>
  <si>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</si>
  <si>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</si>
  <si>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</si>
  <si>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</si>
  <si>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</si>
  <si>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</si>
  <si>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</si>
  <si>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</si>
  <si>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</si>
  <si>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</si>
  <si>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</si>
  <si>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</si>
  <si>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</si>
  <si>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</si>
  <si>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</si>
  <si>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</si>
  <si>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</si>
  <si>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</si>
  <si>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</si>
  <si>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</si>
  <si>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</si>
  <si>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</si>
  <si>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</si>
  <si>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</si>
  <si>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</si>
  <si>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</si>
  <si>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</si>
  <si>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</si>
  <si>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</si>
  <si>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</si>
  <si>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</si>
  <si>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</si>
  <si>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</si>
  <si>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</si>
  <si>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</si>
  <si>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</si>
  <si>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</si>
  <si>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</si>
  <si>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</si>
  <si>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</si>
  <si>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</si>
  <si>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</si>
  <si>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</si>
  <si>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</si>
  <si>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</si>
  <si>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</si>
  <si>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</si>
  <si>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</si>
  <si>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</si>
  <si>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</si>
  <si>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</si>
  <si>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</si>
  <si>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</si>
  <si>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</si>
  <si>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</si>
  <si>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</si>
  <si>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</si>
  <si>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</si>
  <si>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</si>
  <si>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</si>
  <si>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</si>
  <si>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</si>
  <si>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</si>
  <si>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</si>
  <si>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</si>
  <si>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</si>
  <si>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</si>
  <si>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</si>
  <si>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</si>
  <si>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</si>
  <si>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</si>
  <si>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</si>
  <si>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</si>
  <si>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</si>
  <si>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</si>
  <si>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</si>
  <si>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</si>
  <si>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</si>
  <si>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</si>
  <si>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</si>
  <si>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</si>
  <si>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</si>
  <si>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</si>
  <si>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</si>
  <si>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</si>
  <si>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</si>
  <si>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</si>
  <si>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</si>
  <si>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</si>
  <si>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</si>
  <si>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</si>
  <si>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</si>
  <si>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</si>
  <si>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</si>
  <si>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</si>
  <si>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</si>
  <si>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</si>
  <si>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Jonathas Gomes Marques</t>
  </si>
  <si>
    <t>4.3.1</t>
  </si>
  <si>
    <t xml:space="preserve">Serviço de Agendamento do SGA </t>
  </si>
  <si>
    <t xml:space="preserve">1 - Identificar e mensurar as funções de dados e de transação;
2 - Identificar e mensurar as fronteiras da aplicação;
</t>
  </si>
  <si>
    <r>
      <t xml:space="preserve">Realizar a mensuração do tamanho funcional para o produto de software </t>
    </r>
    <r>
      <rPr>
        <b/>
        <sz val="10"/>
        <color rgb="FF0070C0"/>
        <rFont val="Franklin Gothic Medium"/>
        <family val="2"/>
      </rPr>
      <t>Banco de Talentos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 Com destaque:
- Dar suporte à análise de qualidade e produtividade;
- Servir de insumo para a análise de viabilidade do projeto;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</si>
  <si>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Secretaria de Estado de Planejamento e Gestão de MT</t>
  </si>
  <si>
    <t>Banco de Talentos</t>
  </si>
  <si>
    <t>Projeto de Desenvolvimento</t>
  </si>
  <si>
    <t>Estimativa (NESMA)</t>
  </si>
  <si>
    <t>US_01 - Manter Currículo Oficial</t>
  </si>
  <si>
    <t>Manter Currículo Oficial</t>
  </si>
  <si>
    <t>Manter Currículo Oficial - Público Alvo</t>
  </si>
  <si>
    <t>Manter Currículo Oficial - Visualizar Meu Curriculo - Dados Pessoais</t>
  </si>
  <si>
    <t>Manter Currículo Oficial - Visualizar Meu Curriculo - Perfil</t>
  </si>
  <si>
    <t>Manter Currículo Oficial - Visualizar Meu Curriculo - Exibir Mais</t>
  </si>
  <si>
    <t>Manter Currículo Oficial - Visualizar Meu Curriculo - Vinculos Ativos</t>
  </si>
  <si>
    <t>Manter Currículo Oficial - Visualizar Meu Curriculo - Formação</t>
  </si>
  <si>
    <t>Manter Currículo Oficial - Visualizar Meu Curriculo - Capacitação</t>
  </si>
  <si>
    <t>Manter Currículo Oficial - Visualizar Meu Curriculo - Cargo/Função</t>
  </si>
  <si>
    <t>Manter Currículo Oficial - Visualizar Meu Curriculo - Unidades de Atuação</t>
  </si>
  <si>
    <t>Manter Currículo Oficial - Recadastramento</t>
  </si>
  <si>
    <t>Manter Currículo Oficial - Visualizar Meu Curriculo - Habilidades/Experiência</t>
  </si>
  <si>
    <t>Manter Currículo Oficial - Visualizar Meu Curriculo - Cargos/Funções em Outros Entes</t>
  </si>
  <si>
    <t>Manter Currículo Oficial - Visualizar Meu Curriculo - Editar</t>
  </si>
  <si>
    <t>Manter Currículo Oficial - Visualizar Meu Curriculo - Download do Currículo</t>
  </si>
  <si>
    <t>Pertence a US_10</t>
  </si>
  <si>
    <t>US_02 - Manter Perfil</t>
  </si>
  <si>
    <t>US_03 - Manter Formação</t>
  </si>
  <si>
    <t>Manter Formação</t>
  </si>
  <si>
    <t>Manter Perfil - Salvar</t>
  </si>
  <si>
    <t>Manter Perfil</t>
  </si>
  <si>
    <t>Manter Perfil - Exibir Perfil</t>
  </si>
  <si>
    <t>Manter Perfil - Alterar</t>
  </si>
  <si>
    <t>Manter Formação - Alterar</t>
  </si>
  <si>
    <t>Manter Formação - Adicionar</t>
  </si>
  <si>
    <t>Manter Formação - Excluir</t>
  </si>
  <si>
    <t>Manter Formação - Listagem em Ordem Alfabética</t>
  </si>
  <si>
    <t>Manter Formação - Consultar Formação (modal)</t>
  </si>
  <si>
    <t>US_04 - Manter Capacitação</t>
  </si>
  <si>
    <t>Manter Capacitação</t>
  </si>
  <si>
    <t>Manter Capacitação - Alterar/Salvar</t>
  </si>
  <si>
    <t>Manter Capacitação - Excluir</t>
  </si>
  <si>
    <t>Manter Capacitação - Adicionar</t>
  </si>
  <si>
    <t>Manter Capacitação - Exibir Todas as Capacitações</t>
  </si>
  <si>
    <t>Manter Capacitação - Consultar Capacitação (modal)</t>
  </si>
  <si>
    <t>US_05 - Manter Habilidades Experiência Profissional</t>
  </si>
  <si>
    <t>Habilidades Experiência Profissional</t>
  </si>
  <si>
    <t>Habilidades Experiência Profissional - Visualizar Habilidades Cadastradas</t>
  </si>
  <si>
    <t>Habilidades Experiência Profissional - Excluir</t>
  </si>
  <si>
    <t>Habilidades Experiência Profissional - Habilidades/Experiência Profissional (combo-box)</t>
  </si>
  <si>
    <t>Habilidades Experiência Profissional - Sub-habilidade (combo-box)</t>
  </si>
  <si>
    <t>Habilidades Experiência Profissional - Nível (combo-box)</t>
  </si>
  <si>
    <t>Habilidades Experiência Profissional - Consultar Habilidades/Experiência Profissional (combo-box)</t>
  </si>
  <si>
    <t>Habilidades Experiência Profissional - Alterar/Salvar</t>
  </si>
  <si>
    <t>US_06 - Buscar Talentos - Pesquisa Simples</t>
  </si>
  <si>
    <t>Buscar Talentos - Pesquisa Simples - Consultar/Grid</t>
  </si>
  <si>
    <t>Buscar Talentos - Pesquisa Simples - Visualizar Curriculo Pesquisado</t>
  </si>
  <si>
    <t>Buscar Talentos - Pesquisa Simples - Órgão (combo-box)</t>
  </si>
  <si>
    <t>Buscar Talentos - Pesquisa Simples - Competência</t>
  </si>
  <si>
    <t>Buscar Talentos - Pesquisa Simples - Nível de Formação</t>
  </si>
  <si>
    <t>Buscar Talentos - Pesquisa Simples - Área de Formação</t>
  </si>
  <si>
    <t>Buscar Talentos - Pesquisa Simples - Habilidade</t>
  </si>
  <si>
    <t>Buscar Talentos - Pesquisa Simples - Modalidade</t>
  </si>
  <si>
    <t>Buscar Talentos - Pesquisa Simples - Subatividade/Experiência</t>
  </si>
  <si>
    <t>Buscar Talentos - Pesquisa Simples - Nível de Habilidade</t>
  </si>
  <si>
    <t>Buscar Talentos - Pesquisa Simples - Tempo de Experiência</t>
  </si>
  <si>
    <t>Buscar Talentos - Pesquisa Simples - Evento</t>
  </si>
  <si>
    <t>Buscar Talentos - Pesquisa Simples - Download PDF/XLSX</t>
  </si>
  <si>
    <t>US_07 - Buscar Talentos - Pesquisa Avançada</t>
  </si>
  <si>
    <t>Buscar Talentos - Pesquisa Avançada - Pesquisar</t>
  </si>
  <si>
    <t>Buscar Talentos - Pesquisa Avançada - Grid/Exibir Curriculo Pequisado</t>
  </si>
  <si>
    <t>Buscar Talentos - Pesquisa Avançada - Download</t>
  </si>
  <si>
    <t>Buscar Talentos - Pesquisa Avançada - Visualizar Curriculo Pesquisado</t>
  </si>
  <si>
    <t>Buscar Talentos - Pesquisa Avançada - Segundo Campo de Pesquisa</t>
  </si>
  <si>
    <t>US_08 - Buscar Talentos - Relatório</t>
  </si>
  <si>
    <t>Buscar Talentos - Relatório - Exportar PDF e Excel</t>
  </si>
  <si>
    <t>US_10 - Baixar Currículo Gov.MT</t>
  </si>
  <si>
    <t>Baixar Currículo Gov.MT</t>
  </si>
  <si>
    <t>US_111 - Manter Cargos/Funções Outros Entes</t>
  </si>
  <si>
    <t>Manter Cargos/Funções Outros Entes</t>
  </si>
  <si>
    <t>Manter Cargos/Funções Outros Entes - Adicionar/Salvar</t>
  </si>
  <si>
    <t>Manter Cargos/Funções Outros Entes - Alterar</t>
  </si>
  <si>
    <t>Manter Cargos/Funções Outros Entes - Excluir</t>
  </si>
  <si>
    <t>Manter Cargos/Funções Outros Entes - Consultar/Listar</t>
  </si>
  <si>
    <t>- US_01 - [ALT] Manter currículo oficial v.2.0
US_05 - Manter Habilidades_Experiência profissional
US_06 - [ALT] Buscar talentos - pesquisa simples v.3.0
US_07 - [ALT] Buscar talentos - pesquisa avançada v.3.0
US_08 - Buscar talentos - relatório
US_10 - [ALT] Baixar currículo Gov.MT v.3.0
US_11 - Manter Cargos_Funções em outros Entes Federativo_Poder ou Setor Privado v.1.0
US02 - Manter perfil v.1.1
US03 - Manter formação (1)
US04 - Manter Capacitação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</si>
</sst>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2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73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14" fillId="0" borderId="45" xfId="0" applyFont="1" applyBorder="1" applyAlignment="1">
      <alignment horizont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99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0.199288256227758</c:v>
                </c:pt>
                <c:pt idx="1">
                  <c:v>8.8967971530249115E-2</c:v>
                </c:pt>
                <c:pt idx="2">
                  <c:v>0.5266903914590747</c:v>
                </c:pt>
                <c:pt idx="3">
                  <c:v>0.1494661921708185</c:v>
                </c:pt>
                <c:pt idx="4">
                  <c:v>3.5587188612099648E-2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zoomScale="120" zoomScaleNormal="120" zoomScaleSheetLayoutView="100" workbookViewId="0">
      <pane ySplit="3" topLeftCell="A4" activePane="bottomLeft" state="frozen"/>
      <selection activeCell="B11" sqref="B11"/>
      <selection pane="bottomLeft" activeCell="A46" sqref="A46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2" ht="12.75" x14ac:dyDescent="0.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</row>
    <row r="3" spans="1:22" ht="12.75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</row>
    <row r="4" spans="1:22" x14ac:dyDescent="0.25">
      <c r="A4" s="134" t="s">
        <v>1</v>
      </c>
      <c r="B4" s="134"/>
      <c r="C4" s="134"/>
      <c r="D4" s="134"/>
      <c r="E4" s="134"/>
      <c r="F4" s="138" t="s">
        <v>175</v>
      </c>
      <c r="G4" s="138"/>
      <c r="H4" s="138"/>
      <c r="I4" s="138"/>
      <c r="J4" s="138"/>
      <c r="K4" s="138"/>
      <c r="L4" s="138"/>
      <c r="M4" s="138"/>
      <c r="N4" s="138"/>
      <c r="O4" s="143" t="s">
        <v>2</v>
      </c>
      <c r="P4" s="143"/>
      <c r="Q4" s="141">
        <f>Funções!L4</f>
        <v>281</v>
      </c>
      <c r="R4" s="141"/>
      <c r="S4" s="141"/>
      <c r="T4" s="141"/>
      <c r="U4" s="141"/>
      <c r="V4" s="141"/>
    </row>
    <row r="5" spans="1:22" x14ac:dyDescent="0.25">
      <c r="A5" s="134" t="s">
        <v>3</v>
      </c>
      <c r="B5" s="134"/>
      <c r="C5" s="134"/>
      <c r="D5" s="134"/>
      <c r="E5" s="134"/>
      <c r="F5" s="138" t="s">
        <v>176</v>
      </c>
      <c r="G5" s="138"/>
      <c r="H5" s="138"/>
      <c r="I5" s="138"/>
      <c r="J5" s="138"/>
      <c r="K5" s="138"/>
      <c r="L5" s="138"/>
      <c r="M5" s="138"/>
      <c r="N5" s="138"/>
      <c r="O5" s="139" t="s">
        <v>6</v>
      </c>
      <c r="P5" s="139"/>
      <c r="Q5" s="141">
        <f>Funções!L5</f>
        <v>281</v>
      </c>
      <c r="R5" s="141"/>
      <c r="S5" s="141"/>
      <c r="T5" s="141"/>
      <c r="U5" s="141"/>
      <c r="V5" s="141"/>
    </row>
    <row r="6" spans="1:22" x14ac:dyDescent="0.25">
      <c r="A6" s="134" t="s">
        <v>5</v>
      </c>
      <c r="B6" s="134"/>
      <c r="C6" s="134"/>
      <c r="D6" s="134"/>
      <c r="E6" s="134"/>
      <c r="F6" s="135" t="s">
        <v>177</v>
      </c>
      <c r="G6" s="135"/>
      <c r="H6" s="135"/>
      <c r="I6" s="135"/>
      <c r="J6" s="135"/>
      <c r="K6" s="135"/>
      <c r="L6" s="135"/>
      <c r="M6" s="135"/>
      <c r="N6" s="135"/>
      <c r="O6" s="139" t="s">
        <v>4</v>
      </c>
      <c r="P6" s="139"/>
      <c r="Q6" s="141">
        <f>Funções!L6</f>
        <v>281</v>
      </c>
      <c r="R6" s="141"/>
      <c r="S6" s="141"/>
      <c r="T6" s="141"/>
      <c r="U6" s="141"/>
      <c r="V6" s="141"/>
    </row>
    <row r="7" spans="1:22" ht="12.75" x14ac:dyDescent="0.2">
      <c r="A7" s="134" t="s">
        <v>7</v>
      </c>
      <c r="B7" s="134"/>
      <c r="C7" s="134"/>
      <c r="D7" s="134"/>
      <c r="E7" s="134"/>
      <c r="F7" s="138" t="s">
        <v>178</v>
      </c>
      <c r="G7" s="138"/>
      <c r="H7" s="138"/>
      <c r="I7" s="138"/>
      <c r="J7" s="138"/>
      <c r="K7" s="138"/>
      <c r="L7" s="138"/>
      <c r="M7" s="138"/>
      <c r="N7" s="138"/>
      <c r="O7" s="139" t="s">
        <v>8</v>
      </c>
      <c r="P7" s="139"/>
      <c r="Q7" s="139"/>
      <c r="R7" s="140"/>
      <c r="S7" s="140"/>
      <c r="T7" s="140"/>
      <c r="U7" s="140"/>
      <c r="V7" s="140"/>
    </row>
    <row r="8" spans="1:22" ht="12.75" x14ac:dyDescent="0.2">
      <c r="A8" s="134" t="s">
        <v>9</v>
      </c>
      <c r="B8" s="134"/>
      <c r="C8" s="134"/>
      <c r="D8" s="134"/>
      <c r="E8" s="134"/>
      <c r="F8" s="138" t="s">
        <v>172</v>
      </c>
      <c r="G8" s="138"/>
      <c r="H8" s="138"/>
      <c r="I8" s="138"/>
      <c r="J8" s="138"/>
      <c r="K8" s="138"/>
      <c r="L8" s="138"/>
      <c r="M8" s="138"/>
      <c r="N8" s="138"/>
      <c r="O8" s="139" t="s">
        <v>10</v>
      </c>
      <c r="P8" s="139"/>
      <c r="Q8" s="139"/>
      <c r="R8" s="140" t="s">
        <v>171</v>
      </c>
      <c r="S8" s="140"/>
      <c r="T8" s="140"/>
      <c r="U8" s="140"/>
      <c r="V8" s="140"/>
    </row>
    <row r="9" spans="1:22" x14ac:dyDescent="0.25">
      <c r="A9" s="134" t="s">
        <v>11</v>
      </c>
      <c r="B9" s="134"/>
      <c r="C9" s="134"/>
      <c r="D9" s="134"/>
      <c r="E9" s="134"/>
      <c r="F9" s="135" t="s">
        <v>170</v>
      </c>
      <c r="G9" s="135"/>
      <c r="H9" s="135"/>
      <c r="I9" s="135"/>
      <c r="J9" s="135"/>
      <c r="K9" s="135"/>
      <c r="L9" s="135"/>
      <c r="M9" s="135"/>
      <c r="N9" s="135"/>
      <c r="O9" s="136" t="s">
        <v>12</v>
      </c>
      <c r="P9" s="136"/>
      <c r="Q9" s="136"/>
      <c r="R9" s="137">
        <v>45996</v>
      </c>
      <c r="S9" s="137"/>
      <c r="T9" s="137"/>
      <c r="U9" s="137"/>
      <c r="V9" s="137"/>
    </row>
    <row r="10" spans="1:22" x14ac:dyDescent="0.25">
      <c r="A10" s="134" t="s">
        <v>13</v>
      </c>
      <c r="B10" s="134"/>
      <c r="C10" s="134"/>
      <c r="D10" s="134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6" t="s">
        <v>14</v>
      </c>
      <c r="P10" s="136"/>
      <c r="Q10" s="136"/>
      <c r="R10" s="137"/>
      <c r="S10" s="137"/>
      <c r="T10" s="137"/>
      <c r="U10" s="137"/>
      <c r="V10" s="137"/>
    </row>
    <row r="11" spans="1:22" x14ac:dyDescent="0.2">
      <c r="A11" s="130" t="s">
        <v>15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ht="12.75" x14ac:dyDescent="0.2">
      <c r="A12" s="131" t="s">
        <v>174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</row>
    <row r="13" spans="1:22" ht="12.75" x14ac:dyDescent="0.2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</row>
    <row r="14" spans="1:22" ht="12.75" x14ac:dyDescent="0.2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</row>
    <row r="15" spans="1:22" ht="90.75" customHeight="1" x14ac:dyDescent="0.2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</row>
    <row r="16" spans="1:22" x14ac:dyDescent="0.2">
      <c r="A16" s="130" t="s">
        <v>16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22" ht="12.75" x14ac:dyDescent="0.2">
      <c r="A17" s="131" t="s">
        <v>173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</row>
    <row r="18" spans="1:22" ht="12.75" x14ac:dyDescent="0.2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</row>
    <row r="19" spans="1:22" ht="39.75" customHeight="1" x14ac:dyDescent="0.2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</row>
    <row r="20" spans="1:22" ht="145.5" customHeight="1" x14ac:dyDescent="0.2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</row>
    <row r="21" spans="1:22" x14ac:dyDescent="0.2">
      <c r="A21" s="130" t="s">
        <v>17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</row>
    <row r="22" spans="1:22" ht="12.75" x14ac:dyDescent="0.2">
      <c r="A22" s="132" t="s">
        <v>254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</row>
    <row r="23" spans="1:22" ht="12.75" x14ac:dyDescent="0.2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</row>
    <row r="24" spans="1:22" ht="12.75" x14ac:dyDescent="0.2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</row>
    <row r="25" spans="1:22" thickBot="1" x14ac:dyDescent="0.25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</row>
    <row r="26" spans="1:22" thickBot="1" x14ac:dyDescent="0.25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</row>
    <row r="27" spans="1:22" thickBot="1" x14ac:dyDescent="0.25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</row>
    <row r="28" spans="1:22" ht="12.75" x14ac:dyDescent="0.2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</row>
    <row r="29" spans="1:22" ht="12.75" x14ac:dyDescent="0.2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</row>
    <row r="30" spans="1:22" ht="12.75" x14ac:dyDescent="0.2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</row>
    <row r="31" spans="1:22" ht="12.75" x14ac:dyDescent="0.2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</row>
    <row r="32" spans="1:22" ht="12.75" x14ac:dyDescent="0.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</row>
    <row r="33" spans="1:22" ht="12.75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</row>
    <row r="34" spans="1:22" ht="12.75" x14ac:dyDescent="0.2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</row>
    <row r="35" spans="1:22" ht="12.75" x14ac:dyDescent="0.2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 spans="1:22" ht="12.75" x14ac:dyDescent="0.2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</row>
    <row r="37" spans="1:22" ht="12.75" x14ac:dyDescent="0.2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</row>
    <row r="38" spans="1:22" ht="12.75" x14ac:dyDescent="0.2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</row>
    <row r="39" spans="1:22" ht="12.75" x14ac:dyDescent="0.2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</row>
    <row r="40" spans="1:22" ht="12.75" x14ac:dyDescent="0.2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</row>
    <row r="41" spans="1:22" ht="12.75" x14ac:dyDescent="0.2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</row>
    <row r="42" spans="1:22" ht="12.75" x14ac:dyDescent="0.2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</row>
    <row r="43" spans="1:22" ht="12.75" x14ac:dyDescent="0.2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</row>
    <row r="44" spans="1:22" ht="12.75" x14ac:dyDescent="0.2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</row>
    <row r="45" spans="1:22" ht="12.75" x14ac:dyDescent="0.2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</row>
  </sheetData>
  <sheetProtection selectLockedCells="1" selectUnlockedCells="1"/>
  <mergeCells count="35">
    <mergeCell ref="A5:E5"/>
    <mergeCell ref="F5:N5"/>
    <mergeCell ref="O5:P5"/>
    <mergeCell ref="Q5:V5"/>
    <mergeCell ref="A1:V3"/>
    <mergeCell ref="A4:E4"/>
    <mergeCell ref="F4:N4"/>
    <mergeCell ref="O4:P4"/>
    <mergeCell ref="Q4:V4"/>
    <mergeCell ref="A6:E6"/>
    <mergeCell ref="F6:N6"/>
    <mergeCell ref="O6:P6"/>
    <mergeCell ref="Q6:V6"/>
    <mergeCell ref="A7:E7"/>
    <mergeCell ref="F7:N7"/>
    <mergeCell ref="O7:Q7"/>
    <mergeCell ref="R7:V7"/>
    <mergeCell ref="A8:E8"/>
    <mergeCell ref="F8:N8"/>
    <mergeCell ref="O8:Q8"/>
    <mergeCell ref="R8:V8"/>
    <mergeCell ref="A9:E9"/>
    <mergeCell ref="F9:N9"/>
    <mergeCell ref="O9:Q9"/>
    <mergeCell ref="R9:V9"/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632"/>
  <sheetViews>
    <sheetView showGridLines="0" tabSelected="1" zoomScale="130" zoomScaleNormal="130" zoomScaleSheetLayoutView="100" workbookViewId="0">
      <pane ySplit="7" topLeftCell="A32" activePane="bottomLeft" state="frozen"/>
      <selection activeCell="B11" sqref="B11"/>
      <selection pane="bottomLeft" activeCell="A90" sqref="A90"/>
    </sheetView>
  </sheetViews>
  <sheetFormatPr defaultRowHeight="12.75" x14ac:dyDescent="0.2"/>
  <cols>
    <col min="1" max="1" width="66.1406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8" customWidth="1"/>
    <col min="7" max="7" width="9" hidden="1" customWidth="1"/>
    <col min="8" max="8" width="12" customWidth="1"/>
    <col min="9" max="9" width="6.7109375" hidden="1" customWidth="1"/>
    <col min="10" max="10" width="7.28515625" hidden="1" customWidth="1"/>
    <col min="11" max="11" width="12.5703125" customWidth="1"/>
    <col min="12" max="12" width="12" customWidth="1"/>
    <col min="13" max="13" width="6.85546875" customWidth="1"/>
    <col min="14" max="14" width="7.42578125" customWidth="1"/>
    <col min="15" max="15" width="37.42578125" customWidth="1"/>
  </cols>
  <sheetData>
    <row r="1" spans="1:15" ht="13.5" thickBot="1" x14ac:dyDescent="0.25">
      <c r="A1" s="148" t="s">
        <v>157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13.5" thickBot="1" x14ac:dyDescent="0.2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5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</row>
    <row r="4" spans="1:15" x14ac:dyDescent="0.2">
      <c r="A4" s="3" t="str">
        <f>Contagem!A5&amp;" : "&amp;Contagem!F5</f>
        <v>Aplicação : Banco de Talentos</v>
      </c>
      <c r="B4" s="150" t="str">
        <f>Contagem!A8&amp;" : "&amp;Contagem!F8</f>
        <v xml:space="preserve">Projeto : Serviço de Agendamento do SGA </v>
      </c>
      <c r="C4" s="151"/>
      <c r="D4" s="151"/>
      <c r="E4" s="151"/>
      <c r="F4" s="151"/>
      <c r="G4" s="151"/>
      <c r="H4" s="151"/>
      <c r="I4" s="151"/>
      <c r="J4" s="152"/>
      <c r="K4" s="113" t="s">
        <v>2</v>
      </c>
      <c r="L4" s="116">
        <f>SUM(H8:H632)</f>
        <v>281</v>
      </c>
      <c r="M4" s="147"/>
      <c r="N4" s="147"/>
      <c r="O4" s="147"/>
    </row>
    <row r="5" spans="1:15" x14ac:dyDescent="0.2">
      <c r="A5" s="3" t="str">
        <f>Contagem!A9&amp;" : "&amp;Contagem!F9</f>
        <v>Responsável : Jonathas Gomes Marques</v>
      </c>
      <c r="B5" s="150" t="str">
        <f>Contagem!A10&amp;" : "&amp;Contagem!F10</f>
        <v xml:space="preserve">Revisor : </v>
      </c>
      <c r="C5" s="151"/>
      <c r="D5" s="151"/>
      <c r="E5" s="151"/>
      <c r="F5" s="151"/>
      <c r="G5" s="151"/>
      <c r="H5" s="151"/>
      <c r="I5" s="151"/>
      <c r="J5" s="152"/>
      <c r="K5" s="115" t="s">
        <v>6</v>
      </c>
      <c r="L5" s="116">
        <f>SUM(K8:K632)</f>
        <v>281</v>
      </c>
      <c r="M5" s="149"/>
      <c r="N5" s="149"/>
      <c r="O5" s="149"/>
    </row>
    <row r="6" spans="1:15" x14ac:dyDescent="0.2">
      <c r="A6" s="121" t="str">
        <f>Contagem!A4&amp;" : "&amp;Contagem!F4</f>
        <v>Empresa : Secretaria de Estado de Planejamento e Gestão de MT</v>
      </c>
      <c r="B6" s="144" t="str">
        <f>"Tipo da Contagem : "&amp;Contagem!F6</f>
        <v>Tipo da Contagem : Projeto de Desenvolvimento</v>
      </c>
      <c r="C6" s="145"/>
      <c r="D6" s="145"/>
      <c r="E6" s="145"/>
      <c r="F6" s="145"/>
      <c r="G6" s="145"/>
      <c r="H6" s="145"/>
      <c r="I6" s="145"/>
      <c r="J6" s="146"/>
      <c r="K6" s="114" t="s">
        <v>4</v>
      </c>
      <c r="L6" s="116">
        <f>SUM(L8:L632)</f>
        <v>281</v>
      </c>
      <c r="M6" s="147"/>
      <c r="N6" s="147"/>
      <c r="O6" s="147"/>
    </row>
    <row r="7" spans="1:15" ht="13.5" customHeight="1" x14ac:dyDescent="0.25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76" t="s">
        <v>158</v>
      </c>
      <c r="O7" s="77" t="s">
        <v>29</v>
      </c>
    </row>
    <row r="8" spans="1:15" x14ac:dyDescent="0.2">
      <c r="A8" s="126"/>
      <c r="B8" s="4"/>
      <c r="C8" s="4"/>
      <c r="D8" s="7"/>
      <c r="E8" s="7"/>
      <c r="F8" s="8" t="str">
        <f t="shared" ref="F8:F70" si="0">IF(ISBLANK(B8),"",IF(I8="L","Baixa",IF(I8="A","Média",IF(I8="","","Alta"))))</f>
        <v/>
      </c>
      <c r="G8" s="7" t="str">
        <f t="shared" ref="G8:G70" si="1">CONCATENATE(B8,I8)</f>
        <v/>
      </c>
      <c r="H8" s="5" t="str">
        <f t="shared" ref="H8:H70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70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70" si="4">CONCATENATE(B8,C8)</f>
        <v/>
      </c>
      <c r="K8" s="9" t="str">
        <f t="shared" ref="K8:K73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x14ac:dyDescent="0.2">
      <c r="A9" s="128" t="s">
        <v>179</v>
      </c>
      <c r="B9" s="4"/>
      <c r="C9" s="4"/>
      <c r="D9" s="7"/>
      <c r="E9" s="7"/>
      <c r="F9" s="8" t="str">
        <f t="shared" si="0"/>
        <v/>
      </c>
      <c r="G9" s="7" t="str">
        <f t="shared" si="1"/>
        <v/>
      </c>
      <c r="H9" s="5" t="str">
        <f t="shared" si="2"/>
        <v/>
      </c>
      <c r="I9" s="122" t="str">
        <f t="shared" si="3"/>
        <v/>
      </c>
      <c r="J9" s="7" t="str">
        <f t="shared" si="4"/>
        <v/>
      </c>
      <c r="K9" s="9" t="str">
        <f t="shared" si="5"/>
        <v/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">
      <c r="A10" s="126" t="s">
        <v>180</v>
      </c>
      <c r="B10" s="4" t="s">
        <v>98</v>
      </c>
      <c r="C10" s="4" t="s">
        <v>41</v>
      </c>
      <c r="D10" s="7"/>
      <c r="E10" s="7"/>
      <c r="F10" s="8" t="str">
        <f t="shared" ref="F10:F11" si="6">IF(ISBLANK(B10),"",IF(I10="L","Baixa",IF(I10="A","Média",IF(I10="","","Alta"))))</f>
        <v>Baixa</v>
      </c>
      <c r="G10" s="7" t="str">
        <f t="shared" ref="G10:G11" si="7">CONCATENATE(B10,I10)</f>
        <v>ALIL</v>
      </c>
      <c r="H10" s="5">
        <f t="shared" ref="H10:H11" si="8">IF(ISBLANK(B10),"",IF(B10="ALI",IF(I10="L",7,IF(I10="A",10,15)),IF(B10="AIE",IF(I10="L",5,IF(I10="A",7,10)),IF(B10="SE",IF(I10="L",4,IF(I10="A",5,7)),IF(OR(B10="EE",B10="CE"),IF(I10="L",3,IF(I10="A",4,6)),0)))))</f>
        <v>7</v>
      </c>
      <c r="I10" s="122" t="str">
        <f t="shared" ref="I10:I11" si="9">IF(OR(ISBLANK(D10),ISBLANK(E10)),IF(OR(B10="ALI",B10="AIE"),"L",IF(OR(B10="EE",B10="SE",B10="CE"),"A","")),IF(B10="EE",IF(E10&gt;=3,IF(D10&gt;=5,"H","A"),IF(E10&gt;=2,IF(D10&gt;=16,"H",IF(D10&lt;=4,"L","A")),IF(D10&lt;=15,"L","A"))),IF(OR(B10="SE",B10="CE"),IF(E10&gt;=4,IF(D10&gt;=6,"H","A"),IF(E10&gt;=2,IF(D10&gt;=20,"H",IF(D10&lt;=5,"L","A")),IF(D10&lt;=19,"L","A"))),IF(OR(B10="ALI",B10="AIE"),IF(E10&gt;=6,IF(D10&gt;=20,"H","A"),IF(E10&gt;=2,IF(D10&gt;=51,"H",IF(D10&lt;=19,"L","A")),IF(D10&lt;=50,"L","A"))),""))))</f>
        <v>L</v>
      </c>
      <c r="J10" s="7" t="str">
        <f t="shared" ref="J10:J11" si="10">CONCATENATE(B10,C10)</f>
        <v>ALII</v>
      </c>
      <c r="K10" s="9">
        <f t="shared" ref="K10:K11" si="11">IF(OR(H10="",H10=0),L10,H10)</f>
        <v>7</v>
      </c>
      <c r="L10" s="9">
        <f>IF(NOT(ISERROR(VLOOKUP(B10,Deflatores!G$42:H$64,2,FALSE))),VLOOKUP(B10,Deflatores!G$42:H$64,2,FALSE),IF(OR(ISBLANK(C10),ISBLANK(B10)),"",VLOOKUP(C10,Deflatores!G$4:H$38,2,FALSE)*H10+VLOOKUP(C10,Deflatores!G$4:I$38,3,FALSE)))</f>
        <v>7</v>
      </c>
      <c r="M10" s="10"/>
      <c r="N10" s="10"/>
      <c r="O10" s="6"/>
    </row>
    <row r="11" spans="1:15" x14ac:dyDescent="0.2">
      <c r="A11" s="126" t="s">
        <v>181</v>
      </c>
      <c r="B11" s="4" t="s">
        <v>99</v>
      </c>
      <c r="C11" s="4" t="s">
        <v>41</v>
      </c>
      <c r="D11" s="7"/>
      <c r="E11" s="7"/>
      <c r="F11" s="8" t="str">
        <f t="shared" si="6"/>
        <v>Baixa</v>
      </c>
      <c r="G11" s="7" t="str">
        <f t="shared" si="7"/>
        <v>AIEL</v>
      </c>
      <c r="H11" s="5">
        <f t="shared" si="8"/>
        <v>5</v>
      </c>
      <c r="I11" s="122" t="str">
        <f t="shared" si="9"/>
        <v>L</v>
      </c>
      <c r="J11" s="7" t="str">
        <f t="shared" si="10"/>
        <v>AIEI</v>
      </c>
      <c r="K11" s="9">
        <f t="shared" si="11"/>
        <v>5</v>
      </c>
      <c r="L11" s="9">
        <f>IF(NOT(ISERROR(VLOOKUP(B11,Deflatores!G$42:H$64,2,FALSE))),VLOOKUP(B11,Deflatores!G$42:H$64,2,FALSE),IF(OR(ISBLANK(C11),ISBLANK(B11)),"",VLOOKUP(C11,Deflatores!G$4:H$38,2,FALSE)*H11+VLOOKUP(C11,Deflatores!G$4:I$38,3,FALSE)))</f>
        <v>5</v>
      </c>
      <c r="M11" s="10"/>
      <c r="N11" s="10"/>
      <c r="O11" s="6"/>
    </row>
    <row r="12" spans="1:15" x14ac:dyDescent="0.2">
      <c r="A12" s="126" t="s">
        <v>190</v>
      </c>
      <c r="B12" s="4" t="s">
        <v>99</v>
      </c>
      <c r="C12" s="4" t="s">
        <v>41</v>
      </c>
      <c r="D12" s="7"/>
      <c r="E12" s="7"/>
      <c r="F12" s="8" t="str">
        <f t="shared" ref="F12" si="12">IF(ISBLANK(B12),"",IF(I12="L","Baixa",IF(I12="A","Média",IF(I12="","","Alta"))))</f>
        <v>Baixa</v>
      </c>
      <c r="G12" s="7" t="str">
        <f t="shared" ref="G12" si="13">CONCATENATE(B12,I12)</f>
        <v>AIEL</v>
      </c>
      <c r="H12" s="5">
        <f t="shared" ref="H12" si="14">IF(ISBLANK(B12),"",IF(B12="ALI",IF(I12="L",7,IF(I12="A",10,15)),IF(B12="AIE",IF(I12="L",5,IF(I12="A",7,10)),IF(B12="SE",IF(I12="L",4,IF(I12="A",5,7)),IF(OR(B12="EE",B12="CE"),IF(I12="L",3,IF(I12="A",4,6)),0)))))</f>
        <v>5</v>
      </c>
      <c r="I12" s="122" t="str">
        <f t="shared" ref="I12" si="15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>L</v>
      </c>
      <c r="J12" s="7" t="str">
        <f t="shared" ref="J12" si="16">CONCATENATE(B12,C12)</f>
        <v>AIEI</v>
      </c>
      <c r="K12" s="9">
        <f t="shared" ref="K12" si="17">IF(OR(H12="",H12=0),L12,H12)</f>
        <v>5</v>
      </c>
      <c r="L12" s="9">
        <f>IF(NOT(ISERROR(VLOOKUP(B12,Deflatores!G$42:H$64,2,FALSE))),VLOOKUP(B12,Deflatores!G$42:H$64,2,FALSE),IF(OR(ISBLANK(C12),ISBLANK(B12)),"",VLOOKUP(C12,Deflatores!G$4:H$38,2,FALSE)*H12+VLOOKUP(C12,Deflatores!G$4:I$38,3,FALSE)))</f>
        <v>5</v>
      </c>
      <c r="M12" s="10"/>
      <c r="N12" s="10"/>
      <c r="O12" s="6"/>
    </row>
    <row r="13" spans="1:15" x14ac:dyDescent="0.2">
      <c r="A13" s="126" t="s">
        <v>182</v>
      </c>
      <c r="B13" s="4" t="s">
        <v>102</v>
      </c>
      <c r="C13" s="4" t="s">
        <v>41</v>
      </c>
      <c r="D13" s="7"/>
      <c r="E13" s="7"/>
      <c r="F13" s="8" t="str">
        <f t="shared" si="0"/>
        <v>Média</v>
      </c>
      <c r="G13" s="7" t="str">
        <f t="shared" si="1"/>
        <v>CEA</v>
      </c>
      <c r="H13" s="5">
        <f t="shared" si="2"/>
        <v>4</v>
      </c>
      <c r="I13" s="122" t="str">
        <f t="shared" si="3"/>
        <v>A</v>
      </c>
      <c r="J13" s="7" t="str">
        <f t="shared" si="4"/>
        <v>CEI</v>
      </c>
      <c r="K13" s="9">
        <f t="shared" si="5"/>
        <v>4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4</v>
      </c>
      <c r="M13" s="10"/>
      <c r="N13" s="10"/>
      <c r="O13" s="6"/>
    </row>
    <row r="14" spans="1:15" x14ac:dyDescent="0.2">
      <c r="A14" s="126" t="s">
        <v>183</v>
      </c>
      <c r="B14" s="4" t="s">
        <v>102</v>
      </c>
      <c r="C14" s="4" t="s">
        <v>41</v>
      </c>
      <c r="D14" s="7"/>
      <c r="E14" s="7"/>
      <c r="F14" s="8" t="str">
        <f t="shared" ref="F14" si="18">IF(ISBLANK(B14),"",IF(I14="L","Baixa",IF(I14="A","Média",IF(I14="","","Alta"))))</f>
        <v>Média</v>
      </c>
      <c r="G14" s="7" t="str">
        <f t="shared" ref="G14" si="19">CONCATENATE(B14,I14)</f>
        <v>CEA</v>
      </c>
      <c r="H14" s="5">
        <f t="shared" ref="H14" si="20">IF(ISBLANK(B14),"",IF(B14="ALI",IF(I14="L",7,IF(I14="A",10,15)),IF(B14="AIE",IF(I14="L",5,IF(I14="A",7,10)),IF(B14="SE",IF(I14="L",4,IF(I14="A",5,7)),IF(OR(B14="EE",B14="CE"),IF(I14="L",3,IF(I14="A",4,6)),0)))))</f>
        <v>4</v>
      </c>
      <c r="I14" s="122" t="str">
        <f t="shared" ref="I14" si="21"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A</v>
      </c>
      <c r="J14" s="7" t="str">
        <f t="shared" ref="J14" si="22">CONCATENATE(B14,C14)</f>
        <v>CEI</v>
      </c>
      <c r="K14" s="9">
        <f t="shared" ref="K14" si="23">IF(OR(H14="",H14=0),L14,H14)</f>
        <v>4</v>
      </c>
      <c r="L14" s="9">
        <f>IF(NOT(ISERROR(VLOOKUP(B14,Deflatores!G$42:H$64,2,FALSE))),VLOOKUP(B14,Deflatores!G$42:H$64,2,FALSE),IF(OR(ISBLANK(C14),ISBLANK(B14)),"",VLOOKUP(C14,Deflatores!G$4:H$38,2,FALSE)*H14+VLOOKUP(C14,Deflatores!G$4:I$38,3,FALSE)))</f>
        <v>4</v>
      </c>
      <c r="M14" s="10"/>
      <c r="N14" s="10"/>
      <c r="O14" s="6"/>
    </row>
    <row r="15" spans="1:15" x14ac:dyDescent="0.2">
      <c r="A15" s="126" t="s">
        <v>184</v>
      </c>
      <c r="B15" s="4" t="s">
        <v>102</v>
      </c>
      <c r="C15" s="4" t="s">
        <v>41</v>
      </c>
      <c r="D15" s="7"/>
      <c r="E15" s="7"/>
      <c r="F15" s="8" t="str">
        <f t="shared" ref="F15" si="24">IF(ISBLANK(B15),"",IF(I15="L","Baixa",IF(I15="A","Média",IF(I15="","","Alta"))))</f>
        <v>Média</v>
      </c>
      <c r="G15" s="7" t="str">
        <f t="shared" ref="G15" si="25">CONCATENATE(B15,I15)</f>
        <v>CEA</v>
      </c>
      <c r="H15" s="5">
        <f t="shared" ref="H15" si="26">IF(ISBLANK(B15),"",IF(B15="ALI",IF(I15="L",7,IF(I15="A",10,15)),IF(B15="AIE",IF(I15="L",5,IF(I15="A",7,10)),IF(B15="SE",IF(I15="L",4,IF(I15="A",5,7)),IF(OR(B15="EE",B15="CE"),IF(I15="L",3,IF(I15="A",4,6)),0)))))</f>
        <v>4</v>
      </c>
      <c r="I15" s="122" t="str">
        <f t="shared" ref="I15" si="27">IF(OR(ISBLANK(D15),ISBLANK(E15)),IF(OR(B15="ALI",B15="AIE"),"L",IF(OR(B15="EE",B15="SE",B15="CE"),"A","")),IF(B15="EE",IF(E15&gt;=3,IF(D15&gt;=5,"H","A"),IF(E15&gt;=2,IF(D15&gt;=16,"H",IF(D15&lt;=4,"L","A")),IF(D15&lt;=15,"L","A"))),IF(OR(B15="SE",B15="CE"),IF(E15&gt;=4,IF(D15&gt;=6,"H","A"),IF(E15&gt;=2,IF(D15&gt;=20,"H",IF(D15&lt;=5,"L","A")),IF(D15&lt;=19,"L","A"))),IF(OR(B15="ALI",B15="AIE"),IF(E15&gt;=6,IF(D15&gt;=20,"H","A"),IF(E15&gt;=2,IF(D15&gt;=51,"H",IF(D15&lt;=19,"L","A")),IF(D15&lt;=50,"L","A"))),""))))</f>
        <v>A</v>
      </c>
      <c r="J15" s="7" t="str">
        <f t="shared" ref="J15" si="28">CONCATENATE(B15,C15)</f>
        <v>CEI</v>
      </c>
      <c r="K15" s="9">
        <f t="shared" ref="K15" si="29">IF(OR(H15="",H15=0),L15,H15)</f>
        <v>4</v>
      </c>
      <c r="L15" s="9">
        <f>IF(NOT(ISERROR(VLOOKUP(B15,Deflatores!G$42:H$64,2,FALSE))),VLOOKUP(B15,Deflatores!G$42:H$64,2,FALSE),IF(OR(ISBLANK(C15),ISBLANK(B15)),"",VLOOKUP(C15,Deflatores!G$4:H$38,2,FALSE)*H15+VLOOKUP(C15,Deflatores!G$4:I$38,3,FALSE)))</f>
        <v>4</v>
      </c>
      <c r="M15" s="10"/>
      <c r="N15" s="10"/>
      <c r="O15" s="6"/>
    </row>
    <row r="16" spans="1:15" x14ac:dyDescent="0.2">
      <c r="A16" s="126" t="s">
        <v>185</v>
      </c>
      <c r="B16" s="4" t="s">
        <v>103</v>
      </c>
      <c r="C16" s="4" t="s">
        <v>41</v>
      </c>
      <c r="D16" s="7"/>
      <c r="E16" s="7"/>
      <c r="F16" s="8" t="str">
        <f t="shared" ref="F16" si="30">IF(ISBLANK(B16),"",IF(I16="L","Baixa",IF(I16="A","Média",IF(I16="","","Alta"))))</f>
        <v>Média</v>
      </c>
      <c r="G16" s="7" t="str">
        <f t="shared" ref="G16" si="31">CONCATENATE(B16,I16)</f>
        <v>SEA</v>
      </c>
      <c r="H16" s="5">
        <f t="shared" ref="H16" si="32">IF(ISBLANK(B16),"",IF(B16="ALI",IF(I16="L",7,IF(I16="A",10,15)),IF(B16="AIE",IF(I16="L",5,IF(I16="A",7,10)),IF(B16="SE",IF(I16="L",4,IF(I16="A",5,7)),IF(OR(B16="EE",B16="CE"),IF(I16="L",3,IF(I16="A",4,6)),0)))))</f>
        <v>5</v>
      </c>
      <c r="I16" s="122" t="str">
        <f t="shared" ref="I16" si="33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>A</v>
      </c>
      <c r="J16" s="7" t="str">
        <f t="shared" ref="J16" si="34">CONCATENATE(B16,C16)</f>
        <v>SEI</v>
      </c>
      <c r="K16" s="9">
        <f t="shared" ref="K16" si="35">IF(OR(H16="",H16=0),L16,H16)</f>
        <v>5</v>
      </c>
      <c r="L16" s="9">
        <f>IF(NOT(ISERROR(VLOOKUP(B16,Deflatores!G$42:H$64,2,FALSE))),VLOOKUP(B16,Deflatores!G$42:H$64,2,FALSE),IF(OR(ISBLANK(C16),ISBLANK(B16)),"",VLOOKUP(C16,Deflatores!G$4:H$38,2,FALSE)*H16+VLOOKUP(C16,Deflatores!G$4:I$38,3,FALSE)))</f>
        <v>5</v>
      </c>
      <c r="M16" s="10"/>
      <c r="N16" s="10"/>
      <c r="O16" s="6"/>
    </row>
    <row r="17" spans="1:15" x14ac:dyDescent="0.2">
      <c r="A17" s="126" t="s">
        <v>186</v>
      </c>
      <c r="B17" s="4" t="s">
        <v>102</v>
      </c>
      <c r="C17" s="4" t="s">
        <v>41</v>
      </c>
      <c r="D17" s="7"/>
      <c r="E17" s="7"/>
      <c r="F17" s="8" t="str">
        <f t="shared" si="0"/>
        <v>Média</v>
      </c>
      <c r="G17" s="7" t="str">
        <f t="shared" si="1"/>
        <v>CEA</v>
      </c>
      <c r="H17" s="5">
        <f t="shared" si="2"/>
        <v>4</v>
      </c>
      <c r="I17" s="122" t="str">
        <f t="shared" si="3"/>
        <v>A</v>
      </c>
      <c r="J17" s="7" t="str">
        <f t="shared" si="4"/>
        <v>CEI</v>
      </c>
      <c r="K17" s="9">
        <f t="shared" si="5"/>
        <v>4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4</v>
      </c>
      <c r="M17" s="10"/>
      <c r="N17" s="10"/>
      <c r="O17" s="6"/>
    </row>
    <row r="18" spans="1:15" x14ac:dyDescent="0.2">
      <c r="A18" s="126" t="s">
        <v>187</v>
      </c>
      <c r="B18" s="4" t="s">
        <v>102</v>
      </c>
      <c r="C18" s="4" t="s">
        <v>41</v>
      </c>
      <c r="D18" s="7"/>
      <c r="E18" s="7"/>
      <c r="F18" s="8" t="str">
        <f t="shared" si="0"/>
        <v>Média</v>
      </c>
      <c r="G18" s="7" t="str">
        <f t="shared" si="1"/>
        <v>CEA</v>
      </c>
      <c r="H18" s="5">
        <f t="shared" si="2"/>
        <v>4</v>
      </c>
      <c r="I18" s="122" t="str">
        <f t="shared" si="3"/>
        <v>A</v>
      </c>
      <c r="J18" s="7" t="str">
        <f t="shared" si="4"/>
        <v>CEI</v>
      </c>
      <c r="K18" s="9">
        <f t="shared" si="5"/>
        <v>4</v>
      </c>
      <c r="L18" s="9">
        <f>IF(NOT(ISERROR(VLOOKUP(B18,Deflatores!G$42:H$64,2,FALSE))),VLOOKUP(B18,Deflatores!G$42:H$64,2,FALSE),IF(OR(ISBLANK(C18),ISBLANK(B18)),"",VLOOKUP(C18,Deflatores!G$4:H$38,2,FALSE)*H18+VLOOKUP(C18,Deflatores!G$4:I$38,3,FALSE)))</f>
        <v>4</v>
      </c>
      <c r="M18" s="10"/>
      <c r="N18" s="10"/>
      <c r="O18" s="6"/>
    </row>
    <row r="19" spans="1:15" x14ac:dyDescent="0.2">
      <c r="A19" s="126" t="s">
        <v>188</v>
      </c>
      <c r="B19" s="4" t="s">
        <v>103</v>
      </c>
      <c r="C19" s="4" t="s">
        <v>41</v>
      </c>
      <c r="D19" s="7"/>
      <c r="E19" s="7"/>
      <c r="F19" s="8" t="str">
        <f t="shared" si="0"/>
        <v>Média</v>
      </c>
      <c r="G19" s="7" t="str">
        <f t="shared" si="1"/>
        <v>SEA</v>
      </c>
      <c r="H19" s="5">
        <f t="shared" si="2"/>
        <v>5</v>
      </c>
      <c r="I19" s="122" t="str">
        <f t="shared" si="3"/>
        <v>A</v>
      </c>
      <c r="J19" s="7" t="str">
        <f t="shared" si="4"/>
        <v>SEI</v>
      </c>
      <c r="K19" s="9">
        <f t="shared" si="5"/>
        <v>5</v>
      </c>
      <c r="L19" s="9">
        <f>IF(NOT(ISERROR(VLOOKUP(B19,Deflatores!G$42:H$64,2,FALSE))),VLOOKUP(B19,Deflatores!G$42:H$64,2,FALSE),IF(OR(ISBLANK(C19),ISBLANK(B19)),"",VLOOKUP(C19,Deflatores!G$4:H$38,2,FALSE)*H19+VLOOKUP(C19,Deflatores!G$4:I$38,3,FALSE)))</f>
        <v>5</v>
      </c>
      <c r="M19" s="10"/>
      <c r="N19" s="10"/>
      <c r="O19" s="6"/>
    </row>
    <row r="20" spans="1:15" x14ac:dyDescent="0.2">
      <c r="A20" s="126" t="s">
        <v>189</v>
      </c>
      <c r="B20" s="4" t="s">
        <v>103</v>
      </c>
      <c r="C20" s="4" t="s">
        <v>41</v>
      </c>
      <c r="D20" s="7"/>
      <c r="E20" s="7"/>
      <c r="F20" s="8" t="str">
        <f t="shared" ref="F20:F23" si="36">IF(ISBLANK(B20),"",IF(I20="L","Baixa",IF(I20="A","Média",IF(I20="","","Alta"))))</f>
        <v>Média</v>
      </c>
      <c r="G20" s="7" t="str">
        <f t="shared" ref="G20:G23" si="37">CONCATENATE(B20,I20)</f>
        <v>SEA</v>
      </c>
      <c r="H20" s="5">
        <f t="shared" ref="H20:H23" si="38">IF(ISBLANK(B20),"",IF(B20="ALI",IF(I20="L",7,IF(I20="A",10,15)),IF(B20="AIE",IF(I20="L",5,IF(I20="A",7,10)),IF(B20="SE",IF(I20="L",4,IF(I20="A",5,7)),IF(OR(B20="EE",B20="CE"),IF(I20="L",3,IF(I20="A",4,6)),0)))))</f>
        <v>5</v>
      </c>
      <c r="I20" s="122" t="str">
        <f t="shared" ref="I20:I23" si="39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>A</v>
      </c>
      <c r="J20" s="7" t="str">
        <f t="shared" ref="J20:J23" si="40">CONCATENATE(B20,C20)</f>
        <v>SEI</v>
      </c>
      <c r="K20" s="9">
        <f t="shared" ref="K20:K23" si="41">IF(OR(H20="",H20=0),L20,H20)</f>
        <v>5</v>
      </c>
      <c r="L20" s="9">
        <f>IF(NOT(ISERROR(VLOOKUP(B20,Deflatores!G$42:H$64,2,FALSE))),VLOOKUP(B20,Deflatores!G$42:H$64,2,FALSE),IF(OR(ISBLANK(C20),ISBLANK(B20)),"",VLOOKUP(C20,Deflatores!G$4:H$38,2,FALSE)*H20+VLOOKUP(C20,Deflatores!G$4:I$38,3,FALSE)))</f>
        <v>5</v>
      </c>
      <c r="M20" s="10"/>
      <c r="N20" s="10"/>
      <c r="O20" s="6"/>
    </row>
    <row r="21" spans="1:15" x14ac:dyDescent="0.2">
      <c r="A21" s="126" t="s">
        <v>191</v>
      </c>
      <c r="B21" s="4" t="s">
        <v>102</v>
      </c>
      <c r="C21" s="4" t="s">
        <v>41</v>
      </c>
      <c r="D21" s="7"/>
      <c r="E21" s="7"/>
      <c r="F21" s="8" t="str">
        <f t="shared" si="36"/>
        <v>Média</v>
      </c>
      <c r="G21" s="7" t="str">
        <f t="shared" si="37"/>
        <v>CEA</v>
      </c>
      <c r="H21" s="5">
        <f t="shared" si="38"/>
        <v>4</v>
      </c>
      <c r="I21" s="122" t="str">
        <f t="shared" si="39"/>
        <v>A</v>
      </c>
      <c r="J21" s="7" t="str">
        <f t="shared" si="40"/>
        <v>CEI</v>
      </c>
      <c r="K21" s="9">
        <f t="shared" si="41"/>
        <v>4</v>
      </c>
      <c r="L21" s="9">
        <f>IF(NOT(ISERROR(VLOOKUP(B21,Deflatores!G$42:H$64,2,FALSE))),VLOOKUP(B21,Deflatores!G$42:H$64,2,FALSE),IF(OR(ISBLANK(C21),ISBLANK(B21)),"",VLOOKUP(C21,Deflatores!G$4:H$38,2,FALSE)*H21+VLOOKUP(C21,Deflatores!G$4:I$38,3,FALSE)))</f>
        <v>4</v>
      </c>
      <c r="M21" s="10"/>
      <c r="N21" s="10"/>
      <c r="O21" s="6"/>
    </row>
    <row r="22" spans="1:15" x14ac:dyDescent="0.2">
      <c r="A22" s="126" t="s">
        <v>192</v>
      </c>
      <c r="B22" s="4" t="s">
        <v>102</v>
      </c>
      <c r="C22" s="4" t="s">
        <v>41</v>
      </c>
      <c r="D22" s="7"/>
      <c r="E22" s="7"/>
      <c r="F22" s="8" t="str">
        <f t="shared" ref="F22" si="42">IF(ISBLANK(B22),"",IF(I22="L","Baixa",IF(I22="A","Média",IF(I22="","","Alta"))))</f>
        <v>Média</v>
      </c>
      <c r="G22" s="7" t="str">
        <f t="shared" ref="G22" si="43">CONCATENATE(B22,I22)</f>
        <v>CEA</v>
      </c>
      <c r="H22" s="5">
        <f t="shared" ref="H22" si="44">IF(ISBLANK(B22),"",IF(B22="ALI",IF(I22="L",7,IF(I22="A",10,15)),IF(B22="AIE",IF(I22="L",5,IF(I22="A",7,10)),IF(B22="SE",IF(I22="L",4,IF(I22="A",5,7)),IF(OR(B22="EE",B22="CE"),IF(I22="L",3,IF(I22="A",4,6)),0)))))</f>
        <v>4</v>
      </c>
      <c r="I22" s="122" t="str">
        <f t="shared" ref="I22" si="45">IF(OR(ISBLANK(D22),ISBLANK(E22)),IF(OR(B22="ALI",B22="AIE"),"L",IF(OR(B22="EE",B22="SE",B22="CE"),"A","")),IF(B22="EE",IF(E22&gt;=3,IF(D22&gt;=5,"H","A"),IF(E22&gt;=2,IF(D22&gt;=16,"H",IF(D22&lt;=4,"L","A")),IF(D22&lt;=15,"L","A"))),IF(OR(B22="SE",B22="CE"),IF(E22&gt;=4,IF(D22&gt;=6,"H","A"),IF(E22&gt;=2,IF(D22&gt;=20,"H",IF(D22&lt;=5,"L","A")),IF(D22&lt;=19,"L","A"))),IF(OR(B22="ALI",B22="AIE"),IF(E22&gt;=6,IF(D22&gt;=20,"H","A"),IF(E22&gt;=2,IF(D22&gt;=51,"H",IF(D22&lt;=19,"L","A")),IF(D22&lt;=50,"L","A"))),""))))</f>
        <v>A</v>
      </c>
      <c r="J22" s="7" t="str">
        <f t="shared" ref="J22" si="46">CONCATENATE(B22,C22)</f>
        <v>CEI</v>
      </c>
      <c r="K22" s="9">
        <f t="shared" ref="K22" si="47">IF(OR(H22="",H22=0),L22,H22)</f>
        <v>4</v>
      </c>
      <c r="L22" s="9">
        <f>IF(NOT(ISERROR(VLOOKUP(B22,Deflatores!G$42:H$64,2,FALSE))),VLOOKUP(B22,Deflatores!G$42:H$64,2,FALSE),IF(OR(ISBLANK(C22),ISBLANK(B22)),"",VLOOKUP(C22,Deflatores!G$4:H$38,2,FALSE)*H22+VLOOKUP(C22,Deflatores!G$4:I$38,3,FALSE)))</f>
        <v>4</v>
      </c>
      <c r="M22" s="10"/>
      <c r="N22" s="10"/>
      <c r="O22" s="6"/>
    </row>
    <row r="23" spans="1:15" x14ac:dyDescent="0.2">
      <c r="A23" s="126" t="s">
        <v>193</v>
      </c>
      <c r="B23" s="4" t="s">
        <v>100</v>
      </c>
      <c r="C23" s="4" t="s">
        <v>41</v>
      </c>
      <c r="D23" s="7"/>
      <c r="E23" s="7"/>
      <c r="F23" s="8" t="str">
        <f t="shared" si="36"/>
        <v>Média</v>
      </c>
      <c r="G23" s="7" t="str">
        <f t="shared" si="37"/>
        <v>EEA</v>
      </c>
      <c r="H23" s="5">
        <f t="shared" si="38"/>
        <v>4</v>
      </c>
      <c r="I23" s="122" t="str">
        <f t="shared" si="39"/>
        <v>A</v>
      </c>
      <c r="J23" s="7" t="str">
        <f t="shared" si="40"/>
        <v>EEI</v>
      </c>
      <c r="K23" s="9">
        <f t="shared" si="41"/>
        <v>4</v>
      </c>
      <c r="L23" s="9">
        <f>IF(NOT(ISERROR(VLOOKUP(B23,Deflatores!G$42:H$64,2,FALSE))),VLOOKUP(B23,Deflatores!G$42:H$64,2,FALSE),IF(OR(ISBLANK(C23),ISBLANK(B23)),"",VLOOKUP(C23,Deflatores!G$4:H$38,2,FALSE)*H23+VLOOKUP(C23,Deflatores!G$4:I$38,3,FALSE)))</f>
        <v>4</v>
      </c>
      <c r="M23" s="10"/>
      <c r="N23" s="10"/>
      <c r="O23" s="6"/>
    </row>
    <row r="24" spans="1:15" x14ac:dyDescent="0.2">
      <c r="A24" s="126" t="s">
        <v>194</v>
      </c>
      <c r="B24" s="4" t="s">
        <v>97</v>
      </c>
      <c r="C24" s="4"/>
      <c r="D24" s="7"/>
      <c r="E24" s="7"/>
      <c r="F24" s="8" t="str">
        <f t="shared" ref="F24:F27" si="48">IF(ISBLANK(B24),"",IF(I24="L","Baixa",IF(I24="A","Média",IF(I24="","","Alta"))))</f>
        <v/>
      </c>
      <c r="G24" s="7" t="str">
        <f t="shared" ref="G24:G27" si="49">CONCATENATE(B24,I24)</f>
        <v xml:space="preserve">           .</v>
      </c>
      <c r="H24" s="5">
        <f t="shared" ref="H24:H27" si="50">IF(ISBLANK(B24),"",IF(B24="ALI",IF(I24="L",7,IF(I24="A",10,15)),IF(B24="AIE",IF(I24="L",5,IF(I24="A",7,10)),IF(B24="SE",IF(I24="L",4,IF(I24="A",5,7)),IF(OR(B24="EE",B24="CE"),IF(I24="L",3,IF(I24="A",4,6)),0)))))</f>
        <v>0</v>
      </c>
      <c r="I24" s="122" t="str">
        <f t="shared" ref="I24:I27" si="51">IF(OR(ISBLANK(D24),ISBLANK(E24)),IF(OR(B24="ALI",B24="AIE"),"L",IF(OR(B24="EE",B24="SE",B24="CE"),"A","")),IF(B24="EE",IF(E24&gt;=3,IF(D24&gt;=5,"H","A"),IF(E24&gt;=2,IF(D24&gt;=16,"H",IF(D24&lt;=4,"L","A")),IF(D24&lt;=15,"L","A"))),IF(OR(B24="SE",B24="CE"),IF(E24&gt;=4,IF(D24&gt;=6,"H","A"),IF(E24&gt;=2,IF(D24&gt;=20,"H",IF(D24&lt;=5,"L","A")),IF(D24&lt;=19,"L","A"))),IF(OR(B24="ALI",B24="AIE"),IF(E24&gt;=6,IF(D24&gt;=20,"H","A"),IF(E24&gt;=2,IF(D24&gt;=51,"H",IF(D24&lt;=19,"L","A")),IF(D24&lt;=50,"L","A"))),""))))</f>
        <v/>
      </c>
      <c r="J24" s="7" t="str">
        <f t="shared" ref="J24:J27" si="52">CONCATENATE(B24,C24)</f>
        <v xml:space="preserve">           .</v>
      </c>
      <c r="K24" s="9">
        <f t="shared" ref="K24:K27" si="53">IF(OR(H24="",H24=0),L24,H24)</f>
        <v>0</v>
      </c>
      <c r="L24" s="9">
        <f>IF(NOT(ISERROR(VLOOKUP(B24,Deflatores!G$42:H$64,2,FALSE))),VLOOKUP(B24,Deflatores!G$42:H$64,2,FALSE),IF(OR(ISBLANK(C24),ISBLANK(B24)),"",VLOOKUP(C24,Deflatores!G$4:H$38,2,FALSE)*H24+VLOOKUP(C24,Deflatores!G$4:I$38,3,FALSE)))</f>
        <v>0</v>
      </c>
      <c r="M24" s="10"/>
      <c r="N24" s="10"/>
      <c r="O24" s="6" t="s">
        <v>195</v>
      </c>
    </row>
    <row r="25" spans="1:15" x14ac:dyDescent="0.2">
      <c r="A25" s="126"/>
      <c r="B25" s="4"/>
      <c r="C25" s="4"/>
      <c r="D25" s="7"/>
      <c r="E25" s="7"/>
      <c r="F25" s="8" t="str">
        <f t="shared" si="48"/>
        <v/>
      </c>
      <c r="G25" s="7" t="str">
        <f t="shared" si="49"/>
        <v/>
      </c>
      <c r="H25" s="5" t="str">
        <f t="shared" si="50"/>
        <v/>
      </c>
      <c r="I25" s="122" t="str">
        <f t="shared" si="51"/>
        <v/>
      </c>
      <c r="J25" s="7" t="str">
        <f t="shared" si="52"/>
        <v/>
      </c>
      <c r="K25" s="9" t="str">
        <f t="shared" si="53"/>
        <v/>
      </c>
      <c r="L25" s="9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10"/>
      <c r="N25" s="10"/>
      <c r="O25" s="6"/>
    </row>
    <row r="26" spans="1:15" x14ac:dyDescent="0.2">
      <c r="A26" s="128" t="s">
        <v>196</v>
      </c>
      <c r="B26" s="4"/>
      <c r="C26" s="4"/>
      <c r="D26" s="7"/>
      <c r="E26" s="7"/>
      <c r="F26" s="8" t="str">
        <f t="shared" si="48"/>
        <v/>
      </c>
      <c r="G26" s="7" t="str">
        <f t="shared" si="49"/>
        <v/>
      </c>
      <c r="H26" s="5" t="str">
        <f t="shared" si="50"/>
        <v/>
      </c>
      <c r="I26" s="122" t="str">
        <f t="shared" si="51"/>
        <v/>
      </c>
      <c r="J26" s="7" t="str">
        <f t="shared" si="52"/>
        <v/>
      </c>
      <c r="K26" s="9" t="str">
        <f t="shared" si="53"/>
        <v/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">
      <c r="A27" s="126" t="s">
        <v>200</v>
      </c>
      <c r="B27" s="4" t="s">
        <v>98</v>
      </c>
      <c r="C27" s="4" t="s">
        <v>41</v>
      </c>
      <c r="D27" s="7"/>
      <c r="E27" s="7"/>
      <c r="F27" s="8" t="str">
        <f t="shared" si="48"/>
        <v>Baixa</v>
      </c>
      <c r="G27" s="7" t="str">
        <f t="shared" si="49"/>
        <v>ALIL</v>
      </c>
      <c r="H27" s="5">
        <f t="shared" si="50"/>
        <v>7</v>
      </c>
      <c r="I27" s="122" t="str">
        <f t="shared" si="51"/>
        <v>L</v>
      </c>
      <c r="J27" s="7" t="str">
        <f t="shared" si="52"/>
        <v>ALII</v>
      </c>
      <c r="K27" s="9">
        <f t="shared" si="53"/>
        <v>7</v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>7</v>
      </c>
      <c r="M27" s="10"/>
      <c r="N27" s="10"/>
      <c r="O27" s="6"/>
    </row>
    <row r="28" spans="1:15" x14ac:dyDescent="0.2">
      <c r="A28" s="126" t="s">
        <v>201</v>
      </c>
      <c r="B28" s="4" t="s">
        <v>102</v>
      </c>
      <c r="C28" s="4" t="s">
        <v>41</v>
      </c>
      <c r="D28" s="7"/>
      <c r="E28" s="7"/>
      <c r="F28" s="8" t="str">
        <f t="shared" si="0"/>
        <v>Média</v>
      </c>
      <c r="G28" s="7" t="str">
        <f t="shared" si="1"/>
        <v>CEA</v>
      </c>
      <c r="H28" s="5">
        <f t="shared" si="2"/>
        <v>4</v>
      </c>
      <c r="I28" s="122" t="str">
        <f t="shared" si="3"/>
        <v>A</v>
      </c>
      <c r="J28" s="7" t="str">
        <f t="shared" si="4"/>
        <v>CEI</v>
      </c>
      <c r="K28" s="9">
        <f t="shared" si="5"/>
        <v>4</v>
      </c>
      <c r="L28" s="9">
        <f>IF(NOT(ISERROR(VLOOKUP(B28,Deflatores!G$42:H$64,2,FALSE))),VLOOKUP(B28,Deflatores!G$42:H$64,2,FALSE),IF(OR(ISBLANK(C28),ISBLANK(B28)),"",VLOOKUP(C28,Deflatores!G$4:H$38,2,FALSE)*H28+VLOOKUP(C28,Deflatores!G$4:I$38,3,FALSE)))</f>
        <v>4</v>
      </c>
      <c r="M28" s="10"/>
      <c r="N28" s="10"/>
      <c r="O28" s="6"/>
    </row>
    <row r="29" spans="1:15" x14ac:dyDescent="0.2">
      <c r="A29" s="126" t="s">
        <v>202</v>
      </c>
      <c r="B29" s="4" t="s">
        <v>100</v>
      </c>
      <c r="C29" s="4" t="s">
        <v>41</v>
      </c>
      <c r="D29" s="7"/>
      <c r="E29" s="7"/>
      <c r="F29" s="8" t="str">
        <f t="shared" si="0"/>
        <v>Média</v>
      </c>
      <c r="G29" s="7" t="str">
        <f t="shared" si="1"/>
        <v>EEA</v>
      </c>
      <c r="H29" s="5">
        <f t="shared" si="2"/>
        <v>4</v>
      </c>
      <c r="I29" s="122" t="str">
        <f t="shared" si="3"/>
        <v>A</v>
      </c>
      <c r="J29" s="7" t="str">
        <f t="shared" si="4"/>
        <v>EEI</v>
      </c>
      <c r="K29" s="9">
        <f t="shared" si="5"/>
        <v>4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4</v>
      </c>
      <c r="M29" s="10"/>
      <c r="N29" s="10"/>
      <c r="O29" s="6"/>
    </row>
    <row r="30" spans="1:15" x14ac:dyDescent="0.2">
      <c r="A30" s="126" t="s">
        <v>199</v>
      </c>
      <c r="B30" s="4" t="s">
        <v>100</v>
      </c>
      <c r="C30" s="4" t="s">
        <v>41</v>
      </c>
      <c r="D30" s="7"/>
      <c r="E30" s="7"/>
      <c r="F30" s="8" t="str">
        <f t="shared" si="0"/>
        <v>Média</v>
      </c>
      <c r="G30" s="7" t="str">
        <f t="shared" si="1"/>
        <v>EEA</v>
      </c>
      <c r="H30" s="5">
        <f t="shared" si="2"/>
        <v>4</v>
      </c>
      <c r="I30" s="122" t="str">
        <f t="shared" si="3"/>
        <v>A</v>
      </c>
      <c r="J30" s="7" t="str">
        <f t="shared" si="4"/>
        <v>EEI</v>
      </c>
      <c r="K30" s="9">
        <f t="shared" si="5"/>
        <v>4</v>
      </c>
      <c r="L30" s="9">
        <f>IF(NOT(ISERROR(VLOOKUP(B30,Deflatores!G$42:H$64,2,FALSE))),VLOOKUP(B30,Deflatores!G$42:H$64,2,FALSE),IF(OR(ISBLANK(C30),ISBLANK(B30)),"",VLOOKUP(C30,Deflatores!G$4:H$38,2,FALSE)*H30+VLOOKUP(C30,Deflatores!G$4:I$38,3,FALSE)))</f>
        <v>4</v>
      </c>
      <c r="M30" s="10"/>
      <c r="N30" s="10"/>
      <c r="O30" s="6"/>
    </row>
    <row r="31" spans="1:15" x14ac:dyDescent="0.2">
      <c r="A31" s="126"/>
      <c r="B31" s="4"/>
      <c r="C31" s="4"/>
      <c r="D31" s="7"/>
      <c r="E31" s="7"/>
      <c r="F31" s="8" t="str">
        <f t="shared" si="0"/>
        <v/>
      </c>
      <c r="G31" s="7" t="str">
        <f t="shared" si="1"/>
        <v/>
      </c>
      <c r="H31" s="5" t="str">
        <f t="shared" si="2"/>
        <v/>
      </c>
      <c r="I31" s="122" t="str">
        <f t="shared" si="3"/>
        <v/>
      </c>
      <c r="J31" s="7" t="str">
        <f t="shared" si="4"/>
        <v/>
      </c>
      <c r="K31" s="9" t="str">
        <f t="shared" si="5"/>
        <v/>
      </c>
      <c r="L31" s="9" t="str">
        <f>IF(NOT(ISERROR(VLOOKUP(B31,Deflatores!G$42:H$64,2,FALSE))),VLOOKUP(B31,Deflatores!G$42:H$64,2,FALSE),IF(OR(ISBLANK(C31),ISBLANK(B31)),"",VLOOKUP(C31,Deflatores!G$4:H$38,2,FALSE)*H31+VLOOKUP(C31,Deflatores!G$4:I$38,3,FALSE)))</f>
        <v/>
      </c>
      <c r="M31" s="10"/>
      <c r="N31" s="10"/>
      <c r="O31" s="6"/>
    </row>
    <row r="32" spans="1:15" x14ac:dyDescent="0.2">
      <c r="A32" s="128" t="s">
        <v>197</v>
      </c>
      <c r="B32" s="4"/>
      <c r="C32" s="4"/>
      <c r="D32" s="7"/>
      <c r="E32" s="7"/>
      <c r="F32" s="8" t="str">
        <f t="shared" si="0"/>
        <v/>
      </c>
      <c r="G32" s="7" t="str">
        <f t="shared" si="1"/>
        <v/>
      </c>
      <c r="H32" s="5" t="str">
        <f t="shared" si="2"/>
        <v/>
      </c>
      <c r="I32" s="122" t="str">
        <f t="shared" si="3"/>
        <v/>
      </c>
      <c r="J32" s="7" t="str">
        <f t="shared" si="4"/>
        <v/>
      </c>
      <c r="K32" s="9" t="str">
        <f t="shared" si="5"/>
        <v/>
      </c>
      <c r="L32" s="9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10"/>
      <c r="N32" s="10"/>
      <c r="O32" s="6"/>
    </row>
    <row r="33" spans="1:15" x14ac:dyDescent="0.2">
      <c r="A33" s="126" t="s">
        <v>198</v>
      </c>
      <c r="B33" s="4" t="s">
        <v>98</v>
      </c>
      <c r="C33" s="4" t="s">
        <v>41</v>
      </c>
      <c r="D33" s="7"/>
      <c r="E33" s="7"/>
      <c r="F33" s="8" t="str">
        <f t="shared" ref="F33:F35" si="54">IF(ISBLANK(B33),"",IF(I33="L","Baixa",IF(I33="A","Média",IF(I33="","","Alta"))))</f>
        <v>Baixa</v>
      </c>
      <c r="G33" s="7" t="str">
        <f t="shared" ref="G33:G35" si="55">CONCATENATE(B33,I33)</f>
        <v>ALIL</v>
      </c>
      <c r="H33" s="5">
        <f t="shared" ref="H33:H35" si="56">IF(ISBLANK(B33),"",IF(B33="ALI",IF(I33="L",7,IF(I33="A",10,15)),IF(B33="AIE",IF(I33="L",5,IF(I33="A",7,10)),IF(B33="SE",IF(I33="L",4,IF(I33="A",5,7)),IF(OR(B33="EE",B33="CE"),IF(I33="L",3,IF(I33="A",4,6)),0)))))</f>
        <v>7</v>
      </c>
      <c r="I33" s="122" t="str">
        <f t="shared" ref="I33:I35" si="57"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>L</v>
      </c>
      <c r="J33" s="7" t="str">
        <f t="shared" ref="J33:J35" si="58">CONCATENATE(B33,C33)</f>
        <v>ALII</v>
      </c>
      <c r="K33" s="9">
        <f t="shared" ref="K33:K35" si="59">IF(OR(H33="",H33=0),L33,H33)</f>
        <v>7</v>
      </c>
      <c r="L33" s="9">
        <f>IF(NOT(ISERROR(VLOOKUP(B33,Deflatores!G$42:H$64,2,FALSE))),VLOOKUP(B33,Deflatores!G$42:H$64,2,FALSE),IF(OR(ISBLANK(C33),ISBLANK(B33)),"",VLOOKUP(C33,Deflatores!G$4:H$38,2,FALSE)*H33+VLOOKUP(C33,Deflatores!G$4:I$38,3,FALSE)))</f>
        <v>7</v>
      </c>
      <c r="M33" s="10"/>
      <c r="N33" s="10"/>
      <c r="O33" s="6"/>
    </row>
    <row r="34" spans="1:15" x14ac:dyDescent="0.2">
      <c r="A34" s="126" t="s">
        <v>203</v>
      </c>
      <c r="B34" s="4" t="s">
        <v>100</v>
      </c>
      <c r="C34" s="4" t="s">
        <v>41</v>
      </c>
      <c r="D34" s="7"/>
      <c r="E34" s="7"/>
      <c r="F34" s="8" t="str">
        <f t="shared" ref="F34" si="60">IF(ISBLANK(B34),"",IF(I34="L","Baixa",IF(I34="A","Média",IF(I34="","","Alta"))))</f>
        <v>Média</v>
      </c>
      <c r="G34" s="7" t="str">
        <f t="shared" ref="G34" si="61">CONCATENATE(B34,I34)</f>
        <v>EEA</v>
      </c>
      <c r="H34" s="5">
        <f t="shared" ref="H34" si="62">IF(ISBLANK(B34),"",IF(B34="ALI",IF(I34="L",7,IF(I34="A",10,15)),IF(B34="AIE",IF(I34="L",5,IF(I34="A",7,10)),IF(B34="SE",IF(I34="L",4,IF(I34="A",5,7)),IF(OR(B34="EE",B34="CE"),IF(I34="L",3,IF(I34="A",4,6)),0)))))</f>
        <v>4</v>
      </c>
      <c r="I34" s="122" t="str">
        <f t="shared" ref="I34" si="63">IF(OR(ISBLANK(D34),ISBLANK(E34)),IF(OR(B34="ALI",B34="AIE"),"L",IF(OR(B34="EE",B34="SE",B34="CE"),"A","")),IF(B34="EE",IF(E34&gt;=3,IF(D34&gt;=5,"H","A"),IF(E34&gt;=2,IF(D34&gt;=16,"H",IF(D34&lt;=4,"L","A")),IF(D34&lt;=15,"L","A"))),IF(OR(B34="SE",B34="CE"),IF(E34&gt;=4,IF(D34&gt;=6,"H","A"),IF(E34&gt;=2,IF(D34&gt;=20,"H",IF(D34&lt;=5,"L","A")),IF(D34&lt;=19,"L","A"))),IF(OR(B34="ALI",B34="AIE"),IF(E34&gt;=6,IF(D34&gt;=20,"H","A"),IF(E34&gt;=2,IF(D34&gt;=51,"H",IF(D34&lt;=19,"L","A")),IF(D34&lt;=50,"L","A"))),""))))</f>
        <v>A</v>
      </c>
      <c r="J34" s="7" t="str">
        <f t="shared" ref="J34" si="64">CONCATENATE(B34,C34)</f>
        <v>EEI</v>
      </c>
      <c r="K34" s="9">
        <f t="shared" ref="K34" si="65">IF(OR(H34="",H34=0),L34,H34)</f>
        <v>4</v>
      </c>
      <c r="L34" s="9">
        <f>IF(NOT(ISERROR(VLOOKUP(B34,Deflatores!G$42:H$64,2,FALSE))),VLOOKUP(B34,Deflatores!G$42:H$64,2,FALSE),IF(OR(ISBLANK(C34),ISBLANK(B34)),"",VLOOKUP(C34,Deflatores!G$4:H$38,2,FALSE)*H34+VLOOKUP(C34,Deflatores!G$4:I$38,3,FALSE)))</f>
        <v>4</v>
      </c>
      <c r="M34" s="10"/>
      <c r="N34" s="10"/>
      <c r="O34" s="6"/>
    </row>
    <row r="35" spans="1:15" x14ac:dyDescent="0.2">
      <c r="A35" s="126" t="s">
        <v>204</v>
      </c>
      <c r="B35" s="4" t="s">
        <v>100</v>
      </c>
      <c r="C35" s="4" t="s">
        <v>41</v>
      </c>
      <c r="D35" s="7"/>
      <c r="E35" s="7"/>
      <c r="F35" s="8" t="str">
        <f t="shared" si="54"/>
        <v>Média</v>
      </c>
      <c r="G35" s="7" t="str">
        <f t="shared" si="55"/>
        <v>EEA</v>
      </c>
      <c r="H35" s="5">
        <f t="shared" si="56"/>
        <v>4</v>
      </c>
      <c r="I35" s="122" t="str">
        <f t="shared" si="57"/>
        <v>A</v>
      </c>
      <c r="J35" s="7" t="str">
        <f t="shared" si="58"/>
        <v>EEI</v>
      </c>
      <c r="K35" s="9">
        <f t="shared" si="59"/>
        <v>4</v>
      </c>
      <c r="L35" s="9">
        <f>IF(NOT(ISERROR(VLOOKUP(B35,Deflatores!G$42:H$64,2,FALSE))),VLOOKUP(B35,Deflatores!G$42:H$64,2,FALSE),IF(OR(ISBLANK(C35),ISBLANK(B35)),"",VLOOKUP(C35,Deflatores!G$4:H$38,2,FALSE)*H35+VLOOKUP(C35,Deflatores!G$4:I$38,3,FALSE)))</f>
        <v>4</v>
      </c>
      <c r="M35" s="10"/>
      <c r="N35" s="10"/>
      <c r="O35" s="6"/>
    </row>
    <row r="36" spans="1:15" x14ac:dyDescent="0.2">
      <c r="A36" s="126" t="s">
        <v>205</v>
      </c>
      <c r="B36" s="4" t="s">
        <v>102</v>
      </c>
      <c r="C36" s="4" t="s">
        <v>41</v>
      </c>
      <c r="D36" s="7"/>
      <c r="E36" s="7"/>
      <c r="F36" s="8" t="str">
        <f t="shared" si="0"/>
        <v>Média</v>
      </c>
      <c r="G36" s="7" t="str">
        <f t="shared" si="1"/>
        <v>CEA</v>
      </c>
      <c r="H36" s="5">
        <f t="shared" si="2"/>
        <v>4</v>
      </c>
      <c r="I36" s="122" t="str">
        <f t="shared" si="3"/>
        <v>A</v>
      </c>
      <c r="J36" s="7" t="str">
        <f t="shared" si="4"/>
        <v>CEI</v>
      </c>
      <c r="K36" s="9">
        <f t="shared" si="5"/>
        <v>4</v>
      </c>
      <c r="L36" s="9">
        <f>IF(NOT(ISERROR(VLOOKUP(B36,Deflatores!G$42:H$64,2,FALSE))),VLOOKUP(B36,Deflatores!G$42:H$64,2,FALSE),IF(OR(ISBLANK(C36),ISBLANK(B36)),"",VLOOKUP(C36,Deflatores!G$4:H$38,2,FALSE)*H36+VLOOKUP(C36,Deflatores!G$4:I$38,3,FALSE)))</f>
        <v>4</v>
      </c>
      <c r="M36" s="10"/>
      <c r="N36" s="10"/>
      <c r="O36" s="6"/>
    </row>
    <row r="37" spans="1:15" x14ac:dyDescent="0.2">
      <c r="A37" s="126" t="s">
        <v>206</v>
      </c>
      <c r="B37" s="4" t="s">
        <v>103</v>
      </c>
      <c r="C37" s="4" t="s">
        <v>41</v>
      </c>
      <c r="D37" s="7"/>
      <c r="E37" s="7"/>
      <c r="F37" s="8" t="str">
        <f t="shared" si="0"/>
        <v>Média</v>
      </c>
      <c r="G37" s="7" t="str">
        <f t="shared" si="1"/>
        <v>SEA</v>
      </c>
      <c r="H37" s="5">
        <f t="shared" si="2"/>
        <v>5</v>
      </c>
      <c r="I37" s="122" t="str">
        <f t="shared" si="3"/>
        <v>A</v>
      </c>
      <c r="J37" s="7" t="str">
        <f t="shared" si="4"/>
        <v>SEI</v>
      </c>
      <c r="K37" s="9">
        <f t="shared" si="5"/>
        <v>5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5</v>
      </c>
      <c r="M37" s="10"/>
      <c r="N37" s="10"/>
      <c r="O37" s="6"/>
    </row>
    <row r="38" spans="1:15" x14ac:dyDescent="0.2">
      <c r="A38" s="126" t="s">
        <v>207</v>
      </c>
      <c r="B38" s="4" t="s">
        <v>102</v>
      </c>
      <c r="C38" s="4" t="s">
        <v>41</v>
      </c>
      <c r="D38" s="7"/>
      <c r="E38" s="7"/>
      <c r="F38" s="8" t="str">
        <f t="shared" si="0"/>
        <v>Média</v>
      </c>
      <c r="G38" s="7" t="str">
        <f t="shared" si="1"/>
        <v>CEA</v>
      </c>
      <c r="H38" s="5">
        <f t="shared" si="2"/>
        <v>4</v>
      </c>
      <c r="I38" s="122" t="str">
        <f t="shared" si="3"/>
        <v>A</v>
      </c>
      <c r="J38" s="7" t="str">
        <f t="shared" si="4"/>
        <v>CEI</v>
      </c>
      <c r="K38" s="9">
        <f t="shared" si="5"/>
        <v>4</v>
      </c>
      <c r="L38" s="9">
        <f>IF(NOT(ISERROR(VLOOKUP(B38,Deflatores!G$42:H$64,2,FALSE))),VLOOKUP(B38,Deflatores!G$42:H$64,2,FALSE),IF(OR(ISBLANK(C38),ISBLANK(B38)),"",VLOOKUP(C38,Deflatores!G$4:H$38,2,FALSE)*H38+VLOOKUP(C38,Deflatores!G$4:I$38,3,FALSE)))</f>
        <v>4</v>
      </c>
      <c r="M38" s="10"/>
      <c r="N38" s="10"/>
      <c r="O38" s="6"/>
    </row>
    <row r="39" spans="1:15" x14ac:dyDescent="0.2">
      <c r="A39" s="126"/>
      <c r="B39" s="4"/>
      <c r="C39" s="4"/>
      <c r="D39" s="7"/>
      <c r="E39" s="7"/>
      <c r="F39" s="8" t="str">
        <f t="shared" si="0"/>
        <v/>
      </c>
      <c r="G39" s="7" t="str">
        <f t="shared" si="1"/>
        <v/>
      </c>
      <c r="H39" s="5" t="str">
        <f t="shared" si="2"/>
        <v/>
      </c>
      <c r="I39" s="122" t="str">
        <f t="shared" si="3"/>
        <v/>
      </c>
      <c r="J39" s="7" t="str">
        <f t="shared" si="4"/>
        <v/>
      </c>
      <c r="K39" s="9" t="str">
        <f t="shared" si="5"/>
        <v/>
      </c>
      <c r="L39" s="9" t="str">
        <f>IF(NOT(ISERROR(VLOOKUP(B39,Deflatores!G$42:H$64,2,FALSE))),VLOOKUP(B39,Deflatores!G$42:H$64,2,FALSE),IF(OR(ISBLANK(C39),ISBLANK(B39)),"",VLOOKUP(C39,Deflatores!G$4:H$38,2,FALSE)*H39+VLOOKUP(C39,Deflatores!G$4:I$38,3,FALSE)))</f>
        <v/>
      </c>
      <c r="M39" s="10"/>
      <c r="N39" s="10"/>
      <c r="O39" s="6"/>
    </row>
    <row r="40" spans="1:15" x14ac:dyDescent="0.2">
      <c r="A40" s="128" t="s">
        <v>208</v>
      </c>
      <c r="B40" s="4"/>
      <c r="C40" s="4"/>
      <c r="D40" s="7"/>
      <c r="E40" s="7"/>
      <c r="F40" s="8" t="str">
        <f t="shared" si="0"/>
        <v/>
      </c>
      <c r="G40" s="7" t="str">
        <f t="shared" si="1"/>
        <v/>
      </c>
      <c r="H40" s="5" t="str">
        <f t="shared" si="2"/>
        <v/>
      </c>
      <c r="I40" s="122" t="str">
        <f t="shared" si="3"/>
        <v/>
      </c>
      <c r="J40" s="7" t="str">
        <f t="shared" si="4"/>
        <v/>
      </c>
      <c r="K40" s="9" t="str">
        <f t="shared" si="5"/>
        <v/>
      </c>
      <c r="L40" s="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/>
      <c r="N40" s="10"/>
      <c r="O40" s="6"/>
    </row>
    <row r="41" spans="1:15" x14ac:dyDescent="0.2">
      <c r="A41" s="126" t="s">
        <v>209</v>
      </c>
      <c r="B41" s="4" t="s">
        <v>98</v>
      </c>
      <c r="C41" s="4" t="s">
        <v>41</v>
      </c>
      <c r="D41" s="7"/>
      <c r="E41" s="7"/>
      <c r="F41" s="8" t="str">
        <f t="shared" si="0"/>
        <v>Baixa</v>
      </c>
      <c r="G41" s="7" t="str">
        <f t="shared" si="1"/>
        <v>ALIL</v>
      </c>
      <c r="H41" s="5">
        <f t="shared" si="2"/>
        <v>7</v>
      </c>
      <c r="I41" s="122" t="str">
        <f t="shared" si="3"/>
        <v>L</v>
      </c>
      <c r="J41" s="7" t="str">
        <f t="shared" si="4"/>
        <v>ALII</v>
      </c>
      <c r="K41" s="9">
        <f t="shared" si="5"/>
        <v>7</v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>7</v>
      </c>
      <c r="M41" s="10"/>
      <c r="N41" s="10"/>
      <c r="O41" s="6"/>
    </row>
    <row r="42" spans="1:15" x14ac:dyDescent="0.2">
      <c r="A42" s="126" t="s">
        <v>210</v>
      </c>
      <c r="B42" s="4" t="s">
        <v>100</v>
      </c>
      <c r="C42" s="4" t="s">
        <v>41</v>
      </c>
      <c r="D42" s="7"/>
      <c r="E42" s="7"/>
      <c r="F42" s="8" t="str">
        <f t="shared" si="0"/>
        <v>Média</v>
      </c>
      <c r="G42" s="7" t="str">
        <f t="shared" si="1"/>
        <v>EEA</v>
      </c>
      <c r="H42" s="5">
        <f t="shared" si="2"/>
        <v>4</v>
      </c>
      <c r="I42" s="122" t="str">
        <f t="shared" si="3"/>
        <v>A</v>
      </c>
      <c r="J42" s="7" t="str">
        <f t="shared" si="4"/>
        <v>EEI</v>
      </c>
      <c r="K42" s="9">
        <f t="shared" si="5"/>
        <v>4</v>
      </c>
      <c r="L42" s="9">
        <f>IF(NOT(ISERROR(VLOOKUP(B42,Deflatores!G$42:H$64,2,FALSE))),VLOOKUP(B42,Deflatores!G$42:H$64,2,FALSE),IF(OR(ISBLANK(C42),ISBLANK(B42)),"",VLOOKUP(C42,Deflatores!G$4:H$38,2,FALSE)*H42+VLOOKUP(C42,Deflatores!G$4:I$38,3,FALSE)))</f>
        <v>4</v>
      </c>
      <c r="M42" s="10"/>
      <c r="N42" s="10"/>
      <c r="O42" s="6"/>
    </row>
    <row r="43" spans="1:15" ht="15" customHeight="1" x14ac:dyDescent="0.2">
      <c r="A43" s="126" t="s">
        <v>211</v>
      </c>
      <c r="B43" s="4" t="s">
        <v>100</v>
      </c>
      <c r="C43" s="4" t="s">
        <v>41</v>
      </c>
      <c r="D43" s="7"/>
      <c r="E43" s="7"/>
      <c r="F43" s="8" t="str">
        <f t="shared" si="0"/>
        <v>Média</v>
      </c>
      <c r="G43" s="7" t="str">
        <f t="shared" si="1"/>
        <v>EEA</v>
      </c>
      <c r="H43" s="5">
        <f t="shared" si="2"/>
        <v>4</v>
      </c>
      <c r="I43" s="122" t="str">
        <f t="shared" si="3"/>
        <v>A</v>
      </c>
      <c r="J43" s="7" t="str">
        <f t="shared" si="4"/>
        <v>EEI</v>
      </c>
      <c r="K43" s="9">
        <f t="shared" si="5"/>
        <v>4</v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>4</v>
      </c>
      <c r="M43" s="10"/>
      <c r="N43" s="10"/>
      <c r="O43" s="6"/>
    </row>
    <row r="44" spans="1:15" x14ac:dyDescent="0.2">
      <c r="A44" s="126" t="s">
        <v>212</v>
      </c>
      <c r="B44" s="4" t="s">
        <v>100</v>
      </c>
      <c r="C44" s="4" t="s">
        <v>41</v>
      </c>
      <c r="D44" s="7"/>
      <c r="E44" s="7"/>
      <c r="F44" s="8" t="str">
        <f t="shared" ref="F44" si="66">IF(ISBLANK(B44),"",IF(I44="L","Baixa",IF(I44="A","Média",IF(I44="","","Alta"))))</f>
        <v>Média</v>
      </c>
      <c r="G44" s="7" t="str">
        <f t="shared" ref="G44" si="67">CONCATENATE(B44,I44)</f>
        <v>EEA</v>
      </c>
      <c r="H44" s="5">
        <f t="shared" ref="H44" si="68">IF(ISBLANK(B44),"",IF(B44="ALI",IF(I44="L",7,IF(I44="A",10,15)),IF(B44="AIE",IF(I44="L",5,IF(I44="A",7,10)),IF(B44="SE",IF(I44="L",4,IF(I44="A",5,7)),IF(OR(B44="EE",B44="CE"),IF(I44="L",3,IF(I44="A",4,6)),0)))))</f>
        <v>4</v>
      </c>
      <c r="I44" s="122" t="str">
        <f t="shared" ref="I44" si="69">IF(OR(ISBLANK(D44),ISBLANK(E44)),IF(OR(B44="ALI",B44="AIE"),"L",IF(OR(B44="EE",B44="SE",B44="CE"),"A","")),IF(B44="EE",IF(E44&gt;=3,IF(D44&gt;=5,"H","A"),IF(E44&gt;=2,IF(D44&gt;=16,"H",IF(D44&lt;=4,"L","A")),IF(D44&lt;=15,"L","A"))),IF(OR(B44="SE",B44="CE"),IF(E44&gt;=4,IF(D44&gt;=6,"H","A"),IF(E44&gt;=2,IF(D44&gt;=20,"H",IF(D44&lt;=5,"L","A")),IF(D44&lt;=19,"L","A"))),IF(OR(B44="ALI",B44="AIE"),IF(E44&gt;=6,IF(D44&gt;=20,"H","A"),IF(E44&gt;=2,IF(D44&gt;=51,"H",IF(D44&lt;=19,"L","A")),IF(D44&lt;=50,"L","A"))),""))))</f>
        <v>A</v>
      </c>
      <c r="J44" s="7" t="str">
        <f t="shared" ref="J44" si="70">CONCATENATE(B44,C44)</f>
        <v>EEI</v>
      </c>
      <c r="K44" s="9">
        <f t="shared" ref="K44" si="71">IF(OR(H44="",H44=0),L44,H44)</f>
        <v>4</v>
      </c>
      <c r="L44" s="9">
        <f>IF(NOT(ISERROR(VLOOKUP(B44,Deflatores!G$42:H$64,2,FALSE))),VLOOKUP(B44,Deflatores!G$42:H$64,2,FALSE),IF(OR(ISBLANK(C44),ISBLANK(B44)),"",VLOOKUP(C44,Deflatores!G$4:H$38,2,FALSE)*H44+VLOOKUP(C44,Deflatores!G$4:I$38,3,FALSE)))</f>
        <v>4</v>
      </c>
      <c r="M44" s="10"/>
      <c r="N44" s="10"/>
      <c r="O44" s="6"/>
    </row>
    <row r="45" spans="1:15" x14ac:dyDescent="0.2">
      <c r="A45" s="126" t="s">
        <v>213</v>
      </c>
      <c r="B45" s="4" t="s">
        <v>102</v>
      </c>
      <c r="C45" s="4" t="s">
        <v>41</v>
      </c>
      <c r="D45" s="7"/>
      <c r="E45" s="7"/>
      <c r="F45" s="8" t="str">
        <f t="shared" si="0"/>
        <v>Média</v>
      </c>
      <c r="G45" s="7" t="str">
        <f t="shared" si="1"/>
        <v>CEA</v>
      </c>
      <c r="H45" s="5">
        <f t="shared" si="2"/>
        <v>4</v>
      </c>
      <c r="I45" s="122" t="str">
        <f t="shared" si="3"/>
        <v>A</v>
      </c>
      <c r="J45" s="7" t="str">
        <f t="shared" si="4"/>
        <v>CEI</v>
      </c>
      <c r="K45" s="9">
        <f t="shared" si="5"/>
        <v>4</v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>4</v>
      </c>
      <c r="M45" s="10"/>
      <c r="N45" s="10"/>
      <c r="O45" s="6"/>
    </row>
    <row r="46" spans="1:15" x14ac:dyDescent="0.2">
      <c r="A46" s="126" t="s">
        <v>214</v>
      </c>
      <c r="B46" s="4" t="s">
        <v>102</v>
      </c>
      <c r="C46" s="4" t="s">
        <v>41</v>
      </c>
      <c r="D46" s="7"/>
      <c r="E46" s="7"/>
      <c r="F46" s="8" t="str">
        <f t="shared" si="0"/>
        <v>Média</v>
      </c>
      <c r="G46" s="7" t="str">
        <f t="shared" si="1"/>
        <v>CEA</v>
      </c>
      <c r="H46" s="5">
        <f t="shared" si="2"/>
        <v>4</v>
      </c>
      <c r="I46" s="122" t="str">
        <f t="shared" si="3"/>
        <v>A</v>
      </c>
      <c r="J46" s="7" t="str">
        <f t="shared" si="4"/>
        <v>CEI</v>
      </c>
      <c r="K46" s="9">
        <f t="shared" si="5"/>
        <v>4</v>
      </c>
      <c r="L46" s="9">
        <f>IF(NOT(ISERROR(VLOOKUP(B46,Deflatores!G$42:H$64,2,FALSE))),VLOOKUP(B46,Deflatores!G$42:H$64,2,FALSE),IF(OR(ISBLANK(C46),ISBLANK(B46)),"",VLOOKUP(C46,Deflatores!G$4:H$38,2,FALSE)*H46+VLOOKUP(C46,Deflatores!G$4:I$38,3,FALSE)))</f>
        <v>4</v>
      </c>
      <c r="M46" s="10"/>
      <c r="N46" s="10"/>
      <c r="O46" s="6"/>
    </row>
    <row r="47" spans="1:15" x14ac:dyDescent="0.2">
      <c r="A47" s="126"/>
      <c r="B47" s="4"/>
      <c r="C47" s="4"/>
      <c r="D47" s="7"/>
      <c r="E47" s="7"/>
      <c r="F47" s="8" t="str">
        <f t="shared" si="0"/>
        <v/>
      </c>
      <c r="G47" s="7" t="str">
        <f t="shared" si="1"/>
        <v/>
      </c>
      <c r="H47" s="5" t="str">
        <f t="shared" si="2"/>
        <v/>
      </c>
      <c r="I47" s="122" t="str">
        <f t="shared" si="3"/>
        <v/>
      </c>
      <c r="J47" s="7" t="str">
        <f t="shared" si="4"/>
        <v/>
      </c>
      <c r="K47" s="9" t="str">
        <f t="shared" si="5"/>
        <v/>
      </c>
      <c r="L47" s="9" t="str">
        <f>IF(NOT(ISERROR(VLOOKUP(B47,Deflatores!G$42:H$64,2,FALSE))),VLOOKUP(B47,Deflatores!G$42:H$64,2,FALSE),IF(OR(ISBLANK(C47),ISBLANK(B47)),"",VLOOKUP(C47,Deflatores!G$4:H$38,2,FALSE)*H47+VLOOKUP(C47,Deflatores!G$4:I$38,3,FALSE)))</f>
        <v/>
      </c>
      <c r="M47" s="10"/>
      <c r="N47" s="10"/>
      <c r="O47" s="6"/>
    </row>
    <row r="48" spans="1:15" x14ac:dyDescent="0.2">
      <c r="A48" s="128" t="s">
        <v>215</v>
      </c>
      <c r="B48" s="4"/>
      <c r="C48" s="4"/>
      <c r="D48" s="7"/>
      <c r="E48" s="7"/>
      <c r="F48" s="8" t="str">
        <f t="shared" si="0"/>
        <v/>
      </c>
      <c r="G48" s="7" t="str">
        <f t="shared" si="1"/>
        <v/>
      </c>
      <c r="H48" s="5" t="str">
        <f t="shared" si="2"/>
        <v/>
      </c>
      <c r="I48" s="122" t="str">
        <f t="shared" si="3"/>
        <v/>
      </c>
      <c r="J48" s="7" t="str">
        <f t="shared" si="4"/>
        <v/>
      </c>
      <c r="K48" s="9" t="str">
        <f t="shared" si="5"/>
        <v/>
      </c>
      <c r="L48" s="9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10"/>
      <c r="N48" s="10"/>
      <c r="O48" s="6"/>
    </row>
    <row r="49" spans="1:15" x14ac:dyDescent="0.2">
      <c r="A49" s="126" t="s">
        <v>216</v>
      </c>
      <c r="B49" s="4" t="s">
        <v>98</v>
      </c>
      <c r="C49" s="4" t="s">
        <v>41</v>
      </c>
      <c r="D49" s="7"/>
      <c r="E49" s="7"/>
      <c r="F49" s="8" t="str">
        <f t="shared" si="0"/>
        <v>Baixa</v>
      </c>
      <c r="G49" s="7" t="str">
        <f t="shared" si="1"/>
        <v>ALIL</v>
      </c>
      <c r="H49" s="5">
        <f t="shared" si="2"/>
        <v>7</v>
      </c>
      <c r="I49" s="122" t="str">
        <f t="shared" si="3"/>
        <v>L</v>
      </c>
      <c r="J49" s="7" t="str">
        <f t="shared" si="4"/>
        <v>ALII</v>
      </c>
      <c r="K49" s="9">
        <f t="shared" si="5"/>
        <v>7</v>
      </c>
      <c r="L49" s="9">
        <f>IF(NOT(ISERROR(VLOOKUP(B49,Deflatores!G$42:H$64,2,FALSE))),VLOOKUP(B49,Deflatores!G$42:H$64,2,FALSE),IF(OR(ISBLANK(C49),ISBLANK(B49)),"",VLOOKUP(C49,Deflatores!G$4:H$38,2,FALSE)*H49+VLOOKUP(C49,Deflatores!G$4:I$38,3,FALSE)))</f>
        <v>7</v>
      </c>
      <c r="M49" s="10"/>
      <c r="N49" s="10"/>
      <c r="O49" s="6"/>
    </row>
    <row r="50" spans="1:15" x14ac:dyDescent="0.2">
      <c r="A50" s="126" t="s">
        <v>223</v>
      </c>
      <c r="B50" s="4" t="s">
        <v>100</v>
      </c>
      <c r="C50" s="4" t="s">
        <v>41</v>
      </c>
      <c r="D50" s="7"/>
      <c r="E50" s="7"/>
      <c r="F50" s="8" t="str">
        <f t="shared" si="0"/>
        <v>Média</v>
      </c>
      <c r="G50" s="7" t="str">
        <f t="shared" si="1"/>
        <v>EEA</v>
      </c>
      <c r="H50" s="5">
        <f t="shared" si="2"/>
        <v>4</v>
      </c>
      <c r="I50" s="122" t="str">
        <f t="shared" si="3"/>
        <v>A</v>
      </c>
      <c r="J50" s="7" t="str">
        <f t="shared" si="4"/>
        <v>EEI</v>
      </c>
      <c r="K50" s="9">
        <f t="shared" si="5"/>
        <v>4</v>
      </c>
      <c r="L50" s="9">
        <f>IF(NOT(ISERROR(VLOOKUP(B50,Deflatores!G$42:H$64,2,FALSE))),VLOOKUP(B50,Deflatores!G$42:H$64,2,FALSE),IF(OR(ISBLANK(C50),ISBLANK(B50)),"",VLOOKUP(C50,Deflatores!G$4:H$38,2,FALSE)*H50+VLOOKUP(C50,Deflatores!G$4:I$38,3,FALSE)))</f>
        <v>4</v>
      </c>
      <c r="M50" s="10"/>
      <c r="N50" s="10"/>
      <c r="O50" s="6"/>
    </row>
    <row r="51" spans="1:15" x14ac:dyDescent="0.2">
      <c r="A51" s="126" t="s">
        <v>217</v>
      </c>
      <c r="B51" s="4" t="s">
        <v>102</v>
      </c>
      <c r="C51" s="4" t="s">
        <v>41</v>
      </c>
      <c r="D51" s="7"/>
      <c r="E51" s="7"/>
      <c r="F51" s="8" t="str">
        <f t="shared" si="0"/>
        <v>Média</v>
      </c>
      <c r="G51" s="7" t="str">
        <f t="shared" si="1"/>
        <v>CEA</v>
      </c>
      <c r="H51" s="5">
        <f t="shared" si="2"/>
        <v>4</v>
      </c>
      <c r="I51" s="122" t="str">
        <f t="shared" si="3"/>
        <v>A</v>
      </c>
      <c r="J51" s="7" t="str">
        <f t="shared" si="4"/>
        <v>CEI</v>
      </c>
      <c r="K51" s="9">
        <f t="shared" si="5"/>
        <v>4</v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>4</v>
      </c>
      <c r="M51" s="10"/>
      <c r="N51" s="10"/>
      <c r="O51" s="6"/>
    </row>
    <row r="52" spans="1:15" x14ac:dyDescent="0.2">
      <c r="A52" s="126" t="s">
        <v>218</v>
      </c>
      <c r="B52" s="4" t="s">
        <v>100</v>
      </c>
      <c r="C52" s="4" t="s">
        <v>41</v>
      </c>
      <c r="D52" s="7"/>
      <c r="E52" s="7"/>
      <c r="F52" s="8" t="str">
        <f t="shared" si="0"/>
        <v>Média</v>
      </c>
      <c r="G52" s="7" t="str">
        <f t="shared" si="1"/>
        <v>EEA</v>
      </c>
      <c r="H52" s="5">
        <f t="shared" si="2"/>
        <v>4</v>
      </c>
      <c r="I52" s="122" t="str">
        <f t="shared" si="3"/>
        <v>A</v>
      </c>
      <c r="J52" s="7" t="str">
        <f t="shared" si="4"/>
        <v>EEI</v>
      </c>
      <c r="K52" s="9">
        <f t="shared" si="5"/>
        <v>4</v>
      </c>
      <c r="L52" s="9">
        <f>IF(NOT(ISERROR(VLOOKUP(B52,Deflatores!G$42:H$64,2,FALSE))),VLOOKUP(B52,Deflatores!G$42:H$64,2,FALSE),IF(OR(ISBLANK(C52),ISBLANK(B52)),"",VLOOKUP(C52,Deflatores!G$4:H$38,2,FALSE)*H52+VLOOKUP(C52,Deflatores!G$4:I$38,3,FALSE)))</f>
        <v>4</v>
      </c>
      <c r="M52" s="10"/>
      <c r="N52" s="10"/>
      <c r="O52" s="6"/>
    </row>
    <row r="53" spans="1:15" x14ac:dyDescent="0.2">
      <c r="A53" s="126" t="s">
        <v>219</v>
      </c>
      <c r="B53" s="4" t="s">
        <v>102</v>
      </c>
      <c r="C53" s="4" t="s">
        <v>41</v>
      </c>
      <c r="D53" s="7"/>
      <c r="E53" s="7"/>
      <c r="F53" s="8" t="str">
        <f t="shared" si="0"/>
        <v>Média</v>
      </c>
      <c r="G53" s="7" t="str">
        <f t="shared" si="1"/>
        <v>CEA</v>
      </c>
      <c r="H53" s="5">
        <f t="shared" si="2"/>
        <v>4</v>
      </c>
      <c r="I53" s="122" t="str">
        <f t="shared" si="3"/>
        <v>A</v>
      </c>
      <c r="J53" s="7" t="str">
        <f t="shared" si="4"/>
        <v>CEI</v>
      </c>
      <c r="K53" s="9">
        <f t="shared" si="5"/>
        <v>4</v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>4</v>
      </c>
      <c r="M53" s="10"/>
      <c r="N53" s="10"/>
      <c r="O53" s="6"/>
    </row>
    <row r="54" spans="1:15" x14ac:dyDescent="0.2">
      <c r="A54" s="126" t="s">
        <v>220</v>
      </c>
      <c r="B54" s="4" t="s">
        <v>102</v>
      </c>
      <c r="C54" s="4" t="s">
        <v>41</v>
      </c>
      <c r="D54" s="7"/>
      <c r="E54" s="7"/>
      <c r="F54" s="8" t="str">
        <f t="shared" si="0"/>
        <v>Média</v>
      </c>
      <c r="G54" s="7" t="str">
        <f t="shared" si="1"/>
        <v>CEA</v>
      </c>
      <c r="H54" s="5">
        <f t="shared" si="2"/>
        <v>4</v>
      </c>
      <c r="I54" s="122" t="str">
        <f t="shared" si="3"/>
        <v>A</v>
      </c>
      <c r="J54" s="7" t="str">
        <f t="shared" si="4"/>
        <v>CEI</v>
      </c>
      <c r="K54" s="9">
        <f t="shared" si="5"/>
        <v>4</v>
      </c>
      <c r="L54" s="9">
        <f>IF(NOT(ISERROR(VLOOKUP(B54,Deflatores!G$42:H$64,2,FALSE))),VLOOKUP(B54,Deflatores!G$42:H$64,2,FALSE),IF(OR(ISBLANK(C54),ISBLANK(B54)),"",VLOOKUP(C54,Deflatores!G$4:H$38,2,FALSE)*H54+VLOOKUP(C54,Deflatores!G$4:I$38,3,FALSE)))</f>
        <v>4</v>
      </c>
      <c r="M54" s="10"/>
      <c r="N54" s="10"/>
      <c r="O54" s="6"/>
    </row>
    <row r="55" spans="1:15" x14ac:dyDescent="0.2">
      <c r="A55" s="126" t="s">
        <v>221</v>
      </c>
      <c r="B55" s="4" t="s">
        <v>102</v>
      </c>
      <c r="C55" s="4" t="s">
        <v>41</v>
      </c>
      <c r="D55" s="7"/>
      <c r="E55" s="7"/>
      <c r="F55" s="8" t="str">
        <f t="shared" si="0"/>
        <v>Média</v>
      </c>
      <c r="G55" s="7" t="str">
        <f t="shared" si="1"/>
        <v>CEA</v>
      </c>
      <c r="H55" s="5">
        <f t="shared" si="2"/>
        <v>4</v>
      </c>
      <c r="I55" s="122" t="str">
        <f t="shared" si="3"/>
        <v>A</v>
      </c>
      <c r="J55" s="7" t="str">
        <f t="shared" si="4"/>
        <v>CEI</v>
      </c>
      <c r="K55" s="9">
        <f t="shared" si="5"/>
        <v>4</v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>4</v>
      </c>
      <c r="M55" s="10"/>
      <c r="N55" s="10"/>
      <c r="O55" s="6"/>
    </row>
    <row r="56" spans="1:15" ht="25.5" x14ac:dyDescent="0.2">
      <c r="A56" s="126" t="s">
        <v>222</v>
      </c>
      <c r="B56" s="4" t="s">
        <v>102</v>
      </c>
      <c r="C56" s="4" t="s">
        <v>41</v>
      </c>
      <c r="D56" s="7"/>
      <c r="E56" s="7"/>
      <c r="F56" s="8" t="str">
        <f t="shared" si="0"/>
        <v>Média</v>
      </c>
      <c r="G56" s="7" t="str">
        <f t="shared" si="1"/>
        <v>CEA</v>
      </c>
      <c r="H56" s="5">
        <f t="shared" si="2"/>
        <v>4</v>
      </c>
      <c r="I56" s="122" t="str">
        <f t="shared" si="3"/>
        <v>A</v>
      </c>
      <c r="J56" s="7" t="str">
        <f t="shared" si="4"/>
        <v>CEI</v>
      </c>
      <c r="K56" s="9">
        <f t="shared" si="5"/>
        <v>4</v>
      </c>
      <c r="L56" s="9">
        <f>IF(NOT(ISERROR(VLOOKUP(B56,Deflatores!G$42:H$64,2,FALSE))),VLOOKUP(B56,Deflatores!G$42:H$64,2,FALSE),IF(OR(ISBLANK(C56),ISBLANK(B56)),"",VLOOKUP(C56,Deflatores!G$4:H$38,2,FALSE)*H56+VLOOKUP(C56,Deflatores!G$4:I$38,3,FALSE)))</f>
        <v>4</v>
      </c>
      <c r="M56" s="10"/>
      <c r="N56" s="10"/>
      <c r="O56" s="6"/>
    </row>
    <row r="57" spans="1:15" x14ac:dyDescent="0.2">
      <c r="A57" s="126"/>
      <c r="B57" s="4"/>
      <c r="C57" s="4"/>
      <c r="D57" s="7"/>
      <c r="E57" s="7"/>
      <c r="F57" s="8" t="str">
        <f t="shared" ref="F57" si="72">IF(ISBLANK(B57),"",IF(I57="L","Baixa",IF(I57="A","Média",IF(I57="","","Alta"))))</f>
        <v/>
      </c>
      <c r="G57" s="7" t="str">
        <f t="shared" ref="G57" si="73">CONCATENATE(B57,I57)</f>
        <v/>
      </c>
      <c r="H57" s="5" t="str">
        <f t="shared" ref="H57" si="74">IF(ISBLANK(B57),"",IF(B57="ALI",IF(I57="L",7,IF(I57="A",10,15)),IF(B57="AIE",IF(I57="L",5,IF(I57="A",7,10)),IF(B57="SE",IF(I57="L",4,IF(I57="A",5,7)),IF(OR(B57="EE",B57="CE"),IF(I57="L",3,IF(I57="A",4,6)),0)))))</f>
        <v/>
      </c>
      <c r="I57" s="122" t="str">
        <f t="shared" ref="I57" si="75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/>
      </c>
      <c r="J57" s="7" t="str">
        <f t="shared" ref="J57" si="76">CONCATENATE(B57,C57)</f>
        <v/>
      </c>
      <c r="K57" s="9" t="str">
        <f t="shared" ref="K57" si="77">IF(OR(H57="",H57=0),L57,H57)</f>
        <v/>
      </c>
      <c r="L57" s="9" t="str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10"/>
      <c r="N57" s="10"/>
      <c r="O57" s="6"/>
    </row>
    <row r="58" spans="1:15" x14ac:dyDescent="0.2">
      <c r="A58" s="128" t="s">
        <v>224</v>
      </c>
      <c r="B58" s="4"/>
      <c r="C58" s="4"/>
      <c r="D58" s="7"/>
      <c r="E58" s="7"/>
      <c r="F58" s="8" t="str">
        <f t="shared" si="0"/>
        <v/>
      </c>
      <c r="G58" s="7" t="str">
        <f t="shared" si="1"/>
        <v/>
      </c>
      <c r="H58" s="5" t="str">
        <f t="shared" si="2"/>
        <v/>
      </c>
      <c r="I58" s="122" t="str">
        <f t="shared" si="3"/>
        <v/>
      </c>
      <c r="J58" s="7" t="str">
        <f t="shared" si="4"/>
        <v/>
      </c>
      <c r="K58" s="9" t="str">
        <f t="shared" si="5"/>
        <v/>
      </c>
      <c r="L58" s="9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/>
      <c r="N58" s="10"/>
      <c r="O58" s="6"/>
    </row>
    <row r="59" spans="1:15" x14ac:dyDescent="0.2">
      <c r="A59" s="126" t="s">
        <v>225</v>
      </c>
      <c r="B59" s="4" t="s">
        <v>103</v>
      </c>
      <c r="C59" s="4" t="s">
        <v>41</v>
      </c>
      <c r="D59" s="7"/>
      <c r="E59" s="7"/>
      <c r="F59" s="8" t="str">
        <f t="shared" si="0"/>
        <v>Média</v>
      </c>
      <c r="G59" s="7" t="str">
        <f t="shared" si="1"/>
        <v>SEA</v>
      </c>
      <c r="H59" s="5">
        <f t="shared" si="2"/>
        <v>5</v>
      </c>
      <c r="I59" s="122" t="str">
        <f t="shared" si="3"/>
        <v>A</v>
      </c>
      <c r="J59" s="7" t="str">
        <f t="shared" si="4"/>
        <v>SEI</v>
      </c>
      <c r="K59" s="9">
        <f t="shared" si="5"/>
        <v>5</v>
      </c>
      <c r="L59" s="9">
        <f>IF(NOT(ISERROR(VLOOKUP(B59,Deflatores!G$42:H$64,2,FALSE))),VLOOKUP(B59,Deflatores!G$42:H$64,2,FALSE),IF(OR(ISBLANK(C59),ISBLANK(B59)),"",VLOOKUP(C59,Deflatores!G$4:H$38,2,FALSE)*H59+VLOOKUP(C59,Deflatores!G$4:I$38,3,FALSE)))</f>
        <v>5</v>
      </c>
      <c r="M59" s="10"/>
      <c r="N59" s="10"/>
      <c r="O59" s="6"/>
    </row>
    <row r="60" spans="1:15" x14ac:dyDescent="0.2">
      <c r="A60" s="126" t="s">
        <v>226</v>
      </c>
      <c r="B60" s="4" t="s">
        <v>102</v>
      </c>
      <c r="C60" s="4" t="s">
        <v>41</v>
      </c>
      <c r="D60" s="7"/>
      <c r="E60" s="7"/>
      <c r="F60" s="8" t="str">
        <f t="shared" si="0"/>
        <v>Média</v>
      </c>
      <c r="G60" s="7" t="str">
        <f t="shared" si="1"/>
        <v>CEA</v>
      </c>
      <c r="H60" s="5">
        <f t="shared" si="2"/>
        <v>4</v>
      </c>
      <c r="I60" s="122" t="str">
        <f t="shared" si="3"/>
        <v>A</v>
      </c>
      <c r="J60" s="7" t="str">
        <f t="shared" si="4"/>
        <v>CEI</v>
      </c>
      <c r="K60" s="9">
        <f t="shared" si="5"/>
        <v>4</v>
      </c>
      <c r="L60" s="9">
        <f>IF(NOT(ISERROR(VLOOKUP(B60,Deflatores!G$42:H$64,2,FALSE))),VLOOKUP(B60,Deflatores!G$42:H$64,2,FALSE),IF(OR(ISBLANK(C60),ISBLANK(B60)),"",VLOOKUP(C60,Deflatores!G$4:H$38,2,FALSE)*H60+VLOOKUP(C60,Deflatores!G$4:I$38,3,FALSE)))</f>
        <v>4</v>
      </c>
      <c r="M60" s="10"/>
      <c r="N60" s="10"/>
      <c r="O60" s="6"/>
    </row>
    <row r="61" spans="1:15" x14ac:dyDescent="0.2">
      <c r="A61" s="126" t="s">
        <v>227</v>
      </c>
      <c r="B61" s="4" t="s">
        <v>102</v>
      </c>
      <c r="C61" s="4" t="s">
        <v>41</v>
      </c>
      <c r="D61" s="7"/>
      <c r="E61" s="7"/>
      <c r="F61" s="8" t="str">
        <f t="shared" si="0"/>
        <v>Média</v>
      </c>
      <c r="G61" s="7" t="str">
        <f t="shared" si="1"/>
        <v>CEA</v>
      </c>
      <c r="H61" s="5">
        <f t="shared" si="2"/>
        <v>4</v>
      </c>
      <c r="I61" s="122" t="str">
        <f t="shared" si="3"/>
        <v>A</v>
      </c>
      <c r="J61" s="7" t="str">
        <f t="shared" si="4"/>
        <v>CEI</v>
      </c>
      <c r="K61" s="9">
        <f t="shared" si="5"/>
        <v>4</v>
      </c>
      <c r="L61" s="9">
        <f>IF(NOT(ISERROR(VLOOKUP(B61,Deflatores!G$42:H$64,2,FALSE))),VLOOKUP(B61,Deflatores!G$42:H$64,2,FALSE),IF(OR(ISBLANK(C61),ISBLANK(B61)),"",VLOOKUP(C61,Deflatores!G$4:H$38,2,FALSE)*H61+VLOOKUP(C61,Deflatores!G$4:I$38,3,FALSE)))</f>
        <v>4</v>
      </c>
      <c r="M61" s="10"/>
      <c r="N61" s="10"/>
      <c r="O61" s="6"/>
    </row>
    <row r="62" spans="1:15" x14ac:dyDescent="0.2">
      <c r="A62" s="126" t="s">
        <v>228</v>
      </c>
      <c r="B62" s="4" t="s">
        <v>102</v>
      </c>
      <c r="C62" s="4" t="s">
        <v>41</v>
      </c>
      <c r="D62" s="7"/>
      <c r="E62" s="7"/>
      <c r="F62" s="8" t="str">
        <f t="shared" si="0"/>
        <v>Média</v>
      </c>
      <c r="G62" s="7" t="str">
        <f t="shared" si="1"/>
        <v>CEA</v>
      </c>
      <c r="H62" s="5">
        <f t="shared" si="2"/>
        <v>4</v>
      </c>
      <c r="I62" s="122" t="str">
        <f t="shared" si="3"/>
        <v>A</v>
      </c>
      <c r="J62" s="7" t="str">
        <f t="shared" si="4"/>
        <v>CEI</v>
      </c>
      <c r="K62" s="9">
        <f t="shared" si="5"/>
        <v>4</v>
      </c>
      <c r="L62" s="9">
        <f>IF(NOT(ISERROR(VLOOKUP(B62,Deflatores!G$42:H$64,2,FALSE))),VLOOKUP(B62,Deflatores!G$42:H$64,2,FALSE),IF(OR(ISBLANK(C62),ISBLANK(B62)),"",VLOOKUP(C62,Deflatores!G$4:H$38,2,FALSE)*H62+VLOOKUP(C62,Deflatores!G$4:I$38,3,FALSE)))</f>
        <v>4</v>
      </c>
      <c r="M62" s="10"/>
      <c r="N62" s="10"/>
      <c r="O62" s="6"/>
    </row>
    <row r="63" spans="1:15" x14ac:dyDescent="0.2">
      <c r="A63" s="126" t="s">
        <v>229</v>
      </c>
      <c r="B63" s="4" t="s">
        <v>102</v>
      </c>
      <c r="C63" s="4" t="s">
        <v>41</v>
      </c>
      <c r="D63" s="7"/>
      <c r="E63" s="7"/>
      <c r="F63" s="8" t="str">
        <f t="shared" si="0"/>
        <v>Média</v>
      </c>
      <c r="G63" s="7" t="str">
        <f t="shared" si="1"/>
        <v>CEA</v>
      </c>
      <c r="H63" s="5">
        <f t="shared" si="2"/>
        <v>4</v>
      </c>
      <c r="I63" s="122" t="str">
        <f t="shared" si="3"/>
        <v>A</v>
      </c>
      <c r="J63" s="7" t="str">
        <f t="shared" si="4"/>
        <v>CEI</v>
      </c>
      <c r="K63" s="9">
        <f t="shared" si="5"/>
        <v>4</v>
      </c>
      <c r="L63" s="9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10"/>
      <c r="N63" s="10"/>
      <c r="O63" s="6"/>
    </row>
    <row r="64" spans="1:15" x14ac:dyDescent="0.2">
      <c r="A64" s="126" t="s">
        <v>230</v>
      </c>
      <c r="B64" s="4" t="s">
        <v>102</v>
      </c>
      <c r="C64" s="4" t="s">
        <v>41</v>
      </c>
      <c r="D64" s="7"/>
      <c r="E64" s="7"/>
      <c r="F64" s="8" t="str">
        <f t="shared" ref="F64:F66" si="78">IF(ISBLANK(B64),"",IF(I64="L","Baixa",IF(I64="A","Média",IF(I64="","","Alta"))))</f>
        <v>Média</v>
      </c>
      <c r="G64" s="7" t="str">
        <f t="shared" ref="G64:G66" si="79">CONCATENATE(B64,I64)</f>
        <v>CEA</v>
      </c>
      <c r="H64" s="5">
        <f t="shared" ref="H64:H66" si="80">IF(ISBLANK(B64),"",IF(B64="ALI",IF(I64="L",7,IF(I64="A",10,15)),IF(B64="AIE",IF(I64="L",5,IF(I64="A",7,10)),IF(B64="SE",IF(I64="L",4,IF(I64="A",5,7)),IF(OR(B64="EE",B64="CE"),IF(I64="L",3,IF(I64="A",4,6)),0)))))</f>
        <v>4</v>
      </c>
      <c r="I64" s="122" t="str">
        <f t="shared" ref="I64:I66" si="81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>A</v>
      </c>
      <c r="J64" s="7" t="str">
        <f t="shared" ref="J64:J66" si="82">CONCATENATE(B64,C64)</f>
        <v>CEI</v>
      </c>
      <c r="K64" s="9">
        <f t="shared" ref="K64:K66" si="83">IF(OR(H64="",H64=0),L64,H64)</f>
        <v>4</v>
      </c>
      <c r="L64" s="9">
        <f>IF(NOT(ISERROR(VLOOKUP(B64,Deflatores!G$42:H$64,2,FALSE))),VLOOKUP(B64,Deflatores!G$42:H$64,2,FALSE),IF(OR(ISBLANK(C64),ISBLANK(B64)),"",VLOOKUP(C64,Deflatores!G$4:H$38,2,FALSE)*H64+VLOOKUP(C64,Deflatores!G$4:I$38,3,FALSE)))</f>
        <v>4</v>
      </c>
      <c r="M64" s="10"/>
      <c r="N64" s="10"/>
      <c r="O64" s="6"/>
    </row>
    <row r="65" spans="1:15" x14ac:dyDescent="0.2">
      <c r="A65" s="126" t="s">
        <v>232</v>
      </c>
      <c r="B65" s="4" t="s">
        <v>102</v>
      </c>
      <c r="C65" s="4" t="s">
        <v>41</v>
      </c>
      <c r="D65" s="7"/>
      <c r="E65" s="7"/>
      <c r="F65" s="8" t="str">
        <f t="shared" si="78"/>
        <v>Média</v>
      </c>
      <c r="G65" s="7" t="str">
        <f t="shared" si="79"/>
        <v>CEA</v>
      </c>
      <c r="H65" s="5">
        <f t="shared" si="80"/>
        <v>4</v>
      </c>
      <c r="I65" s="122" t="str">
        <f t="shared" si="81"/>
        <v>A</v>
      </c>
      <c r="J65" s="7" t="str">
        <f t="shared" si="82"/>
        <v>CEI</v>
      </c>
      <c r="K65" s="9">
        <f t="shared" si="83"/>
        <v>4</v>
      </c>
      <c r="L65" s="9">
        <f>IF(NOT(ISERROR(VLOOKUP(B65,Deflatores!G$42:H$64,2,FALSE))),VLOOKUP(B65,Deflatores!G$42:H$64,2,FALSE),IF(OR(ISBLANK(C65),ISBLANK(B65)),"",VLOOKUP(C65,Deflatores!G$4:H$38,2,FALSE)*H65+VLOOKUP(C65,Deflatores!G$4:I$38,3,FALSE)))</f>
        <v>4</v>
      </c>
      <c r="M65" s="10"/>
      <c r="N65" s="10"/>
      <c r="O65" s="6"/>
    </row>
    <row r="66" spans="1:15" x14ac:dyDescent="0.2">
      <c r="A66" s="126" t="s">
        <v>231</v>
      </c>
      <c r="B66" s="4" t="s">
        <v>102</v>
      </c>
      <c r="C66" s="4" t="s">
        <v>41</v>
      </c>
      <c r="D66" s="7"/>
      <c r="E66" s="7"/>
      <c r="F66" s="8" t="str">
        <f t="shared" si="78"/>
        <v>Média</v>
      </c>
      <c r="G66" s="7" t="str">
        <f t="shared" si="79"/>
        <v>CEA</v>
      </c>
      <c r="H66" s="5">
        <f t="shared" si="80"/>
        <v>4</v>
      </c>
      <c r="I66" s="122" t="str">
        <f t="shared" si="81"/>
        <v>A</v>
      </c>
      <c r="J66" s="7" t="str">
        <f t="shared" si="82"/>
        <v>CEI</v>
      </c>
      <c r="K66" s="9">
        <f t="shared" si="83"/>
        <v>4</v>
      </c>
      <c r="L66" s="9">
        <f>IF(NOT(ISERROR(VLOOKUP(B66,Deflatores!G$42:H$64,2,FALSE))),VLOOKUP(B66,Deflatores!G$42:H$64,2,FALSE),IF(OR(ISBLANK(C66),ISBLANK(B66)),"",VLOOKUP(C66,Deflatores!G$4:H$38,2,FALSE)*H66+VLOOKUP(C66,Deflatores!G$4:I$38,3,FALSE)))</f>
        <v>4</v>
      </c>
      <c r="M66" s="10"/>
      <c r="N66" s="10"/>
      <c r="O66" s="6"/>
    </row>
    <row r="67" spans="1:15" x14ac:dyDescent="0.2">
      <c r="A67" s="126" t="s">
        <v>233</v>
      </c>
      <c r="B67" s="4" t="s">
        <v>102</v>
      </c>
      <c r="C67" s="4" t="s">
        <v>41</v>
      </c>
      <c r="D67" s="7"/>
      <c r="E67" s="7"/>
      <c r="F67" s="8" t="str">
        <f t="shared" ref="F67:F69" si="84">IF(ISBLANK(B67),"",IF(I67="L","Baixa",IF(I67="A","Média",IF(I67="","","Alta"))))</f>
        <v>Média</v>
      </c>
      <c r="G67" s="7" t="str">
        <f t="shared" ref="G67:G69" si="85">CONCATENATE(B67,I67)</f>
        <v>CEA</v>
      </c>
      <c r="H67" s="5">
        <f t="shared" ref="H67:H69" si="86">IF(ISBLANK(B67),"",IF(B67="ALI",IF(I67="L",7,IF(I67="A",10,15)),IF(B67="AIE",IF(I67="L",5,IF(I67="A",7,10)),IF(B67="SE",IF(I67="L",4,IF(I67="A",5,7)),IF(OR(B67="EE",B67="CE"),IF(I67="L",3,IF(I67="A",4,6)),0)))))</f>
        <v>4</v>
      </c>
      <c r="I67" s="122" t="str">
        <f t="shared" ref="I67:I69" si="87">IF(OR(ISBLANK(D67),ISBLANK(E67)),IF(OR(B67="ALI",B67="AIE"),"L",IF(OR(B67="EE",B67="SE",B67="CE"),"A","")),IF(B67="EE",IF(E67&gt;=3,IF(D67&gt;=5,"H","A"),IF(E67&gt;=2,IF(D67&gt;=16,"H",IF(D67&lt;=4,"L","A")),IF(D67&lt;=15,"L","A"))),IF(OR(B67="SE",B67="CE"),IF(E67&gt;=4,IF(D67&gt;=6,"H","A"),IF(E67&gt;=2,IF(D67&gt;=20,"H",IF(D67&lt;=5,"L","A")),IF(D67&lt;=19,"L","A"))),IF(OR(B67="ALI",B67="AIE"),IF(E67&gt;=6,IF(D67&gt;=20,"H","A"),IF(E67&gt;=2,IF(D67&gt;=51,"H",IF(D67&lt;=19,"L","A")),IF(D67&lt;=50,"L","A"))),""))))</f>
        <v>A</v>
      </c>
      <c r="J67" s="7" t="str">
        <f t="shared" ref="J67:J69" si="88">CONCATENATE(B67,C67)</f>
        <v>CEI</v>
      </c>
      <c r="K67" s="9">
        <f t="shared" ref="K67:K69" si="89">IF(OR(H67="",H67=0),L67,H67)</f>
        <v>4</v>
      </c>
      <c r="L67" s="9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10"/>
      <c r="N67" s="10"/>
      <c r="O67" s="6"/>
    </row>
    <row r="68" spans="1:15" x14ac:dyDescent="0.2">
      <c r="A68" s="126" t="s">
        <v>234</v>
      </c>
      <c r="B68" s="4" t="s">
        <v>102</v>
      </c>
      <c r="C68" s="4" t="s">
        <v>41</v>
      </c>
      <c r="D68" s="7"/>
      <c r="E68" s="7"/>
      <c r="F68" s="8" t="str">
        <f t="shared" si="84"/>
        <v>Média</v>
      </c>
      <c r="G68" s="7" t="str">
        <f t="shared" si="85"/>
        <v>CEA</v>
      </c>
      <c r="H68" s="5">
        <f t="shared" si="86"/>
        <v>4</v>
      </c>
      <c r="I68" s="122" t="str">
        <f t="shared" si="87"/>
        <v>A</v>
      </c>
      <c r="J68" s="7" t="str">
        <f t="shared" si="88"/>
        <v>CEI</v>
      </c>
      <c r="K68" s="9">
        <f t="shared" si="89"/>
        <v>4</v>
      </c>
      <c r="L68" s="9">
        <f>IF(NOT(ISERROR(VLOOKUP(B68,Deflatores!G$42:H$64,2,FALSE))),VLOOKUP(B68,Deflatores!G$42:H$64,2,FALSE),IF(OR(ISBLANK(C68),ISBLANK(B68)),"",VLOOKUP(C68,Deflatores!G$4:H$38,2,FALSE)*H68+VLOOKUP(C68,Deflatores!G$4:I$38,3,FALSE)))</f>
        <v>4</v>
      </c>
      <c r="M68" s="10"/>
      <c r="N68" s="10"/>
      <c r="O68" s="6"/>
    </row>
    <row r="69" spans="1:15" x14ac:dyDescent="0.2">
      <c r="A69" s="126" t="s">
        <v>235</v>
      </c>
      <c r="B69" s="4" t="s">
        <v>102</v>
      </c>
      <c r="C69" s="4" t="s">
        <v>41</v>
      </c>
      <c r="D69" s="7"/>
      <c r="E69" s="7"/>
      <c r="F69" s="8" t="str">
        <f t="shared" si="84"/>
        <v>Média</v>
      </c>
      <c r="G69" s="7" t="str">
        <f t="shared" si="85"/>
        <v>CEA</v>
      </c>
      <c r="H69" s="5">
        <f t="shared" si="86"/>
        <v>4</v>
      </c>
      <c r="I69" s="122" t="str">
        <f t="shared" si="87"/>
        <v>A</v>
      </c>
      <c r="J69" s="7" t="str">
        <f t="shared" si="88"/>
        <v>CEI</v>
      </c>
      <c r="K69" s="9">
        <f t="shared" si="89"/>
        <v>4</v>
      </c>
      <c r="L69" s="9">
        <f>IF(NOT(ISERROR(VLOOKUP(B69,Deflatores!G$42:H$64,2,FALSE))),VLOOKUP(B69,Deflatores!G$42:H$64,2,FALSE),IF(OR(ISBLANK(C69),ISBLANK(B69)),"",VLOOKUP(C69,Deflatores!G$4:H$38,2,FALSE)*H69+VLOOKUP(C69,Deflatores!G$4:I$38,3,FALSE)))</f>
        <v>4</v>
      </c>
      <c r="M69" s="10"/>
      <c r="N69" s="10"/>
      <c r="O69" s="6"/>
    </row>
    <row r="70" spans="1:15" x14ac:dyDescent="0.2">
      <c r="A70" s="126" t="s">
        <v>232</v>
      </c>
      <c r="B70" s="4" t="s">
        <v>102</v>
      </c>
      <c r="C70" s="4" t="s">
        <v>41</v>
      </c>
      <c r="D70" s="7"/>
      <c r="E70" s="7"/>
      <c r="F70" s="8" t="str">
        <f t="shared" si="0"/>
        <v>Média</v>
      </c>
      <c r="G70" s="7" t="str">
        <f t="shared" si="1"/>
        <v>CEA</v>
      </c>
      <c r="H70" s="5">
        <f t="shared" si="2"/>
        <v>4</v>
      </c>
      <c r="I70" s="122" t="str">
        <f t="shared" si="3"/>
        <v>A</v>
      </c>
      <c r="J70" s="7" t="str">
        <f t="shared" si="4"/>
        <v>CEI</v>
      </c>
      <c r="K70" s="9">
        <f t="shared" si="5"/>
        <v>4</v>
      </c>
      <c r="L70" s="9">
        <f>IF(NOT(ISERROR(VLOOKUP(B70,Deflatores!G$42:H$64,2,FALSE))),VLOOKUP(B70,Deflatores!G$42:H$64,2,FALSE),IF(OR(ISBLANK(C70),ISBLANK(B70)),"",VLOOKUP(C70,Deflatores!G$4:H$38,2,FALSE)*H70+VLOOKUP(C70,Deflatores!G$4:I$38,3,FALSE)))</f>
        <v>4</v>
      </c>
      <c r="M70" s="10"/>
      <c r="N70" s="10"/>
      <c r="O70" s="6"/>
    </row>
    <row r="71" spans="1:15" x14ac:dyDescent="0.2">
      <c r="A71" s="126" t="s">
        <v>236</v>
      </c>
      <c r="B71" s="4" t="s">
        <v>102</v>
      </c>
      <c r="C71" s="4" t="s">
        <v>41</v>
      </c>
      <c r="D71" s="7"/>
      <c r="E71" s="7"/>
      <c r="F71" s="8" t="str">
        <f t="shared" ref="F71" si="90">IF(ISBLANK(B71),"",IF(I71="L","Baixa",IF(I71="A","Média",IF(I71="","","Alta"))))</f>
        <v>Média</v>
      </c>
      <c r="G71" s="7" t="str">
        <f t="shared" ref="G71" si="91">CONCATENATE(B71,I71)</f>
        <v>CEA</v>
      </c>
      <c r="H71" s="5">
        <f t="shared" ref="H71" si="92">IF(ISBLANK(B71),"",IF(B71="ALI",IF(I71="L",7,IF(I71="A",10,15)),IF(B71="AIE",IF(I71="L",5,IF(I71="A",7,10)),IF(B71="SE",IF(I71="L",4,IF(I71="A",5,7)),IF(OR(B71="EE",B71="CE"),IF(I71="L",3,IF(I71="A",4,6)),0)))))</f>
        <v>4</v>
      </c>
      <c r="I71" s="122" t="str">
        <f t="shared" ref="I71" si="93"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>A</v>
      </c>
      <c r="J71" s="7" t="str">
        <f t="shared" ref="J71" si="94">CONCATENATE(B71,C71)</f>
        <v>CEI</v>
      </c>
      <c r="K71" s="9">
        <f t="shared" ref="K71" si="95">IF(OR(H71="",H71=0),L71,H71)</f>
        <v>4</v>
      </c>
      <c r="L71" s="9">
        <f>IF(NOT(ISERROR(VLOOKUP(B71,Deflatores!G$42:H$64,2,FALSE))),VLOOKUP(B71,Deflatores!G$42:H$64,2,FALSE),IF(OR(ISBLANK(C71),ISBLANK(B71)),"",VLOOKUP(C71,Deflatores!G$4:H$38,2,FALSE)*H71+VLOOKUP(C71,Deflatores!G$4:I$38,3,FALSE)))</f>
        <v>4</v>
      </c>
      <c r="M71" s="10"/>
      <c r="N71" s="10"/>
      <c r="O71" s="6"/>
    </row>
    <row r="72" spans="1:15" x14ac:dyDescent="0.2">
      <c r="A72" s="126" t="s">
        <v>237</v>
      </c>
      <c r="B72" s="4" t="s">
        <v>100</v>
      </c>
      <c r="C72" s="4" t="s">
        <v>41</v>
      </c>
      <c r="D72" s="7"/>
      <c r="E72" s="7"/>
      <c r="F72" s="8" t="str">
        <f t="shared" ref="F72:F148" si="96">IF(ISBLANK(B72),"",IF(I72="L","Baixa",IF(I72="A","Média",IF(I72="","","Alta"))))</f>
        <v>Média</v>
      </c>
      <c r="G72" s="7" t="str">
        <f t="shared" ref="G72:G148" si="97">CONCATENATE(B72,I72)</f>
        <v>EEA</v>
      </c>
      <c r="H72" s="5">
        <f t="shared" ref="H72:H148" si="98">IF(ISBLANK(B72),"",IF(B72="ALI",IF(I72="L",7,IF(I72="A",10,15)),IF(B72="AIE",IF(I72="L",5,IF(I72="A",7,10)),IF(B72="SE",IF(I72="L",4,IF(I72="A",5,7)),IF(OR(B72="EE",B72="CE"),IF(I72="L",3,IF(I72="A",4,6)),0)))))</f>
        <v>4</v>
      </c>
      <c r="I72" s="122" t="str">
        <f t="shared" ref="I72:I148" si="99">IF(OR(ISBLANK(D72),ISBLANK(E72)),IF(OR(B72="ALI",B72="AIE"),"L",IF(OR(B72="EE",B72="SE",B72="CE"),"A","")),IF(B72="EE",IF(E72&gt;=3,IF(D72&gt;=5,"H","A"),IF(E72&gt;=2,IF(D72&gt;=16,"H",IF(D72&lt;=4,"L","A")),IF(D72&lt;=15,"L","A"))),IF(OR(B72="SE",B72="CE"),IF(E72&gt;=4,IF(D72&gt;=6,"H","A"),IF(E72&gt;=2,IF(D72&gt;=20,"H",IF(D72&lt;=5,"L","A")),IF(D72&lt;=19,"L","A"))),IF(OR(B72="ALI",B72="AIE"),IF(E72&gt;=6,IF(D72&gt;=20,"H","A"),IF(E72&gt;=2,IF(D72&gt;=51,"H",IF(D72&lt;=19,"L","A")),IF(D72&lt;=50,"L","A"))),""))))</f>
        <v>A</v>
      </c>
      <c r="J72" s="7" t="str">
        <f t="shared" ref="J72:J148" si="100">CONCATENATE(B72,C72)</f>
        <v>EEI</v>
      </c>
      <c r="K72" s="9">
        <f t="shared" si="5"/>
        <v>4</v>
      </c>
      <c r="L72" s="9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10"/>
      <c r="N72" s="10"/>
      <c r="O72" s="6"/>
    </row>
    <row r="73" spans="1:15" x14ac:dyDescent="0.2">
      <c r="A73" s="126"/>
      <c r="B73" s="4"/>
      <c r="C73" s="4"/>
      <c r="D73" s="7"/>
      <c r="E73" s="7"/>
      <c r="F73" s="8" t="str">
        <f t="shared" si="96"/>
        <v/>
      </c>
      <c r="G73" s="7" t="str">
        <f t="shared" si="97"/>
        <v/>
      </c>
      <c r="H73" s="5" t="str">
        <f t="shared" si="98"/>
        <v/>
      </c>
      <c r="I73" s="122" t="str">
        <f t="shared" si="99"/>
        <v/>
      </c>
      <c r="J73" s="7" t="str">
        <f t="shared" si="100"/>
        <v/>
      </c>
      <c r="K73" s="9" t="str">
        <f t="shared" si="5"/>
        <v/>
      </c>
      <c r="L73" s="9" t="str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10"/>
      <c r="N73" s="10"/>
      <c r="O73" s="6"/>
    </row>
    <row r="74" spans="1:15" x14ac:dyDescent="0.2">
      <c r="A74" s="128" t="s">
        <v>238</v>
      </c>
      <c r="B74" s="4"/>
      <c r="C74" s="4"/>
      <c r="D74" s="7"/>
      <c r="E74" s="7"/>
      <c r="F74" s="8" t="str">
        <f t="shared" si="96"/>
        <v/>
      </c>
      <c r="G74" s="7" t="str">
        <f t="shared" si="97"/>
        <v/>
      </c>
      <c r="H74" s="5" t="str">
        <f t="shared" si="98"/>
        <v/>
      </c>
      <c r="I74" s="122" t="str">
        <f t="shared" si="99"/>
        <v/>
      </c>
      <c r="J74" s="7" t="str">
        <f t="shared" si="100"/>
        <v/>
      </c>
      <c r="K74" s="9" t="str">
        <f t="shared" ref="K74:K150" si="101">IF(OR(H74="",H74=0),L74,H74)</f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0"/>
      <c r="N74" s="10"/>
      <c r="O74" s="6"/>
    </row>
    <row r="75" spans="1:15" x14ac:dyDescent="0.2">
      <c r="A75" s="126" t="s">
        <v>239</v>
      </c>
      <c r="B75" s="4" t="s">
        <v>102</v>
      </c>
      <c r="C75" s="4" t="s">
        <v>41</v>
      </c>
      <c r="D75" s="7"/>
      <c r="E75" s="7"/>
      <c r="F75" s="8" t="str">
        <f t="shared" ref="F75" si="102">IF(ISBLANK(B75),"",IF(I75="L","Baixa",IF(I75="A","Média",IF(I75="","","Alta"))))</f>
        <v>Média</v>
      </c>
      <c r="G75" s="7" t="str">
        <f t="shared" ref="G75" si="103">CONCATENATE(B75,I75)</f>
        <v>CEA</v>
      </c>
      <c r="H75" s="5">
        <f t="shared" ref="H75" si="104">IF(ISBLANK(B75),"",IF(B75="ALI",IF(I75="L",7,IF(I75="A",10,15)),IF(B75="AIE",IF(I75="L",5,IF(I75="A",7,10)),IF(B75="SE",IF(I75="L",4,IF(I75="A",5,7)),IF(OR(B75="EE",B75="CE"),IF(I75="L",3,IF(I75="A",4,6)),0)))))</f>
        <v>4</v>
      </c>
      <c r="I75" s="122" t="str">
        <f t="shared" ref="I75" si="105"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>A</v>
      </c>
      <c r="J75" s="7" t="str">
        <f t="shared" ref="J75" si="106">CONCATENATE(B75,C75)</f>
        <v>CEI</v>
      </c>
      <c r="K75" s="9">
        <f t="shared" ref="K75" si="107">IF(OR(H75="",H75=0),L75,H75)</f>
        <v>4</v>
      </c>
      <c r="L75" s="9">
        <f>IF(NOT(ISERROR(VLOOKUP(B75,Deflatores!G$42:H$64,2,FALSE))),VLOOKUP(B75,Deflatores!G$42:H$64,2,FALSE),IF(OR(ISBLANK(C75),ISBLANK(B75)),"",VLOOKUP(C75,Deflatores!G$4:H$38,2,FALSE)*H75+VLOOKUP(C75,Deflatores!G$4:I$38,3,FALSE)))</f>
        <v>4</v>
      </c>
      <c r="M75" s="10"/>
      <c r="N75" s="10"/>
      <c r="O75" s="6"/>
    </row>
    <row r="76" spans="1:15" x14ac:dyDescent="0.2">
      <c r="A76" s="126" t="s">
        <v>240</v>
      </c>
      <c r="B76" s="4" t="s">
        <v>102</v>
      </c>
      <c r="C76" s="4" t="s">
        <v>41</v>
      </c>
      <c r="D76" s="7"/>
      <c r="E76" s="7"/>
      <c r="F76" s="8" t="str">
        <f t="shared" si="96"/>
        <v>Média</v>
      </c>
      <c r="G76" s="7" t="str">
        <f t="shared" si="97"/>
        <v>CEA</v>
      </c>
      <c r="H76" s="5">
        <f t="shared" si="98"/>
        <v>4</v>
      </c>
      <c r="I76" s="122" t="str">
        <f t="shared" si="99"/>
        <v>A</v>
      </c>
      <c r="J76" s="7" t="str">
        <f t="shared" si="100"/>
        <v>CEI</v>
      </c>
      <c r="K76" s="9">
        <f t="shared" si="101"/>
        <v>4</v>
      </c>
      <c r="L76" s="9">
        <f>IF(NOT(ISERROR(VLOOKUP(B76,Deflatores!G$42:H$64,2,FALSE))),VLOOKUP(B76,Deflatores!G$42:H$64,2,FALSE),IF(OR(ISBLANK(C76),ISBLANK(B76)),"",VLOOKUP(C76,Deflatores!G$4:H$38,2,FALSE)*H76+VLOOKUP(C76,Deflatores!G$4:I$38,3,FALSE)))</f>
        <v>4</v>
      </c>
      <c r="M76" s="10"/>
      <c r="N76" s="10"/>
      <c r="O76" s="6"/>
    </row>
    <row r="77" spans="1:15" x14ac:dyDescent="0.2">
      <c r="A77" s="126" t="s">
        <v>241</v>
      </c>
      <c r="B77" s="4" t="s">
        <v>102</v>
      </c>
      <c r="C77" s="4" t="s">
        <v>41</v>
      </c>
      <c r="D77" s="7"/>
      <c r="E77" s="7"/>
      <c r="F77" s="8" t="str">
        <f t="shared" si="96"/>
        <v>Média</v>
      </c>
      <c r="G77" s="7" t="str">
        <f t="shared" si="97"/>
        <v>CEA</v>
      </c>
      <c r="H77" s="5">
        <f t="shared" si="98"/>
        <v>4</v>
      </c>
      <c r="I77" s="122" t="str">
        <f t="shared" si="99"/>
        <v>A</v>
      </c>
      <c r="J77" s="7" t="str">
        <f t="shared" si="100"/>
        <v>CEI</v>
      </c>
      <c r="K77" s="9">
        <f t="shared" si="101"/>
        <v>4</v>
      </c>
      <c r="L77" s="9">
        <f>IF(NOT(ISERROR(VLOOKUP(B77,Deflatores!G$42:H$64,2,FALSE))),VLOOKUP(B77,Deflatores!G$42:H$64,2,FALSE),IF(OR(ISBLANK(C77),ISBLANK(B77)),"",VLOOKUP(C77,Deflatores!G$4:H$38,2,FALSE)*H77+VLOOKUP(C77,Deflatores!G$4:I$38,3,FALSE)))</f>
        <v>4</v>
      </c>
      <c r="M77" s="10"/>
      <c r="N77" s="10"/>
      <c r="O77" s="6"/>
    </row>
    <row r="78" spans="1:15" x14ac:dyDescent="0.2">
      <c r="A78" s="126" t="s">
        <v>242</v>
      </c>
      <c r="B78" s="4" t="s">
        <v>102</v>
      </c>
      <c r="C78" s="4" t="s">
        <v>41</v>
      </c>
      <c r="D78" s="7"/>
      <c r="E78" s="7"/>
      <c r="F78" s="8" t="str">
        <f t="shared" si="96"/>
        <v>Média</v>
      </c>
      <c r="G78" s="7" t="str">
        <f t="shared" si="97"/>
        <v>CEA</v>
      </c>
      <c r="H78" s="5">
        <f t="shared" si="98"/>
        <v>4</v>
      </c>
      <c r="I78" s="122" t="str">
        <f t="shared" si="99"/>
        <v>A</v>
      </c>
      <c r="J78" s="7" t="str">
        <f t="shared" si="100"/>
        <v>CEI</v>
      </c>
      <c r="K78" s="9">
        <f t="shared" si="101"/>
        <v>4</v>
      </c>
      <c r="L78" s="9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10"/>
      <c r="N78" s="10"/>
      <c r="O78" s="6"/>
    </row>
    <row r="79" spans="1:15" x14ac:dyDescent="0.2">
      <c r="A79" s="126" t="s">
        <v>243</v>
      </c>
      <c r="B79" s="4" t="s">
        <v>102</v>
      </c>
      <c r="C79" s="4" t="s">
        <v>41</v>
      </c>
      <c r="D79" s="7"/>
      <c r="E79" s="7"/>
      <c r="F79" s="8" t="str">
        <f t="shared" si="96"/>
        <v>Média</v>
      </c>
      <c r="G79" s="7" t="str">
        <f t="shared" si="97"/>
        <v>CEA</v>
      </c>
      <c r="H79" s="5">
        <f t="shared" si="98"/>
        <v>4</v>
      </c>
      <c r="I79" s="122" t="str">
        <f t="shared" si="99"/>
        <v>A</v>
      </c>
      <c r="J79" s="7" t="str">
        <f t="shared" si="100"/>
        <v>CEI</v>
      </c>
      <c r="K79" s="9">
        <f t="shared" si="101"/>
        <v>4</v>
      </c>
      <c r="L79" s="9">
        <f>IF(NOT(ISERROR(VLOOKUP(B79,Deflatores!G$42:H$64,2,FALSE))),VLOOKUP(B79,Deflatores!G$42:H$64,2,FALSE),IF(OR(ISBLANK(C79),ISBLANK(B79)),"",VLOOKUP(C79,Deflatores!G$4:H$38,2,FALSE)*H79+VLOOKUP(C79,Deflatores!G$4:I$38,3,FALSE)))</f>
        <v>4</v>
      </c>
      <c r="M79" s="10"/>
      <c r="N79" s="10"/>
      <c r="O79" s="6"/>
    </row>
    <row r="80" spans="1:15" x14ac:dyDescent="0.2">
      <c r="A80" s="126"/>
      <c r="B80" s="4"/>
      <c r="C80" s="4"/>
      <c r="D80" s="7"/>
      <c r="E80" s="7"/>
      <c r="F80" s="8" t="str">
        <f t="shared" si="96"/>
        <v/>
      </c>
      <c r="G80" s="7" t="str">
        <f t="shared" si="97"/>
        <v/>
      </c>
      <c r="H80" s="5" t="str">
        <f t="shared" si="98"/>
        <v/>
      </c>
      <c r="I80" s="122" t="str">
        <f t="shared" si="99"/>
        <v/>
      </c>
      <c r="J80" s="7" t="str">
        <f t="shared" si="100"/>
        <v/>
      </c>
      <c r="K80" s="9" t="str">
        <f t="shared" si="101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/>
      <c r="N80" s="10"/>
      <c r="O80" s="6"/>
    </row>
    <row r="81" spans="1:15" x14ac:dyDescent="0.2">
      <c r="A81" s="128" t="s">
        <v>244</v>
      </c>
      <c r="B81" s="4"/>
      <c r="C81" s="4"/>
      <c r="D81" s="7"/>
      <c r="E81" s="7"/>
      <c r="F81" s="8" t="str">
        <f t="shared" si="96"/>
        <v/>
      </c>
      <c r="G81" s="7" t="str">
        <f t="shared" si="97"/>
        <v/>
      </c>
      <c r="H81" s="5" t="str">
        <f t="shared" si="98"/>
        <v/>
      </c>
      <c r="I81" s="122" t="str">
        <f t="shared" si="99"/>
        <v/>
      </c>
      <c r="J81" s="7" t="str">
        <f t="shared" si="100"/>
        <v/>
      </c>
      <c r="K81" s="9" t="str">
        <f t="shared" si="101"/>
        <v/>
      </c>
      <c r="L81" s="9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10"/>
      <c r="N81" s="10"/>
      <c r="O81" s="6"/>
    </row>
    <row r="82" spans="1:15" x14ac:dyDescent="0.2">
      <c r="A82" s="126" t="s">
        <v>245</v>
      </c>
      <c r="B82" s="4" t="s">
        <v>102</v>
      </c>
      <c r="C82" s="4" t="s">
        <v>41</v>
      </c>
      <c r="D82" s="7"/>
      <c r="E82" s="7"/>
      <c r="F82" s="8" t="str">
        <f t="shared" ref="F82:F89" si="108">IF(ISBLANK(B82),"",IF(I82="L","Baixa",IF(I82="A","Média",IF(I82="","","Alta"))))</f>
        <v>Média</v>
      </c>
      <c r="G82" s="7" t="str">
        <f t="shared" ref="G82:G89" si="109">CONCATENATE(B82,I82)</f>
        <v>CEA</v>
      </c>
      <c r="H82" s="5">
        <f t="shared" ref="H82:H89" si="110">IF(ISBLANK(B82),"",IF(B82="ALI",IF(I82="L",7,IF(I82="A",10,15)),IF(B82="AIE",IF(I82="L",5,IF(I82="A",7,10)),IF(B82="SE",IF(I82="L",4,IF(I82="A",5,7)),IF(OR(B82="EE",B82="CE"),IF(I82="L",3,IF(I82="A",4,6)),0)))))</f>
        <v>4</v>
      </c>
      <c r="I82" s="122" t="str">
        <f t="shared" ref="I82:I89" si="111">IF(OR(ISBLANK(D82),ISBLANK(E82)),IF(OR(B82="ALI",B82="AIE"),"L",IF(OR(B82="EE",B82="SE",B82="CE"),"A","")),IF(B82="EE",IF(E82&gt;=3,IF(D82&gt;=5,"H","A"),IF(E82&gt;=2,IF(D82&gt;=16,"H",IF(D82&lt;=4,"L","A")),IF(D82&lt;=15,"L","A"))),IF(OR(B82="SE",B82="CE"),IF(E82&gt;=4,IF(D82&gt;=6,"H","A"),IF(E82&gt;=2,IF(D82&gt;=20,"H",IF(D82&lt;=5,"L","A")),IF(D82&lt;=19,"L","A"))),IF(OR(B82="ALI",B82="AIE"),IF(E82&gt;=6,IF(D82&gt;=20,"H","A"),IF(E82&gt;=2,IF(D82&gt;=51,"H",IF(D82&lt;=19,"L","A")),IF(D82&lt;=50,"L","A"))),""))))</f>
        <v>A</v>
      </c>
      <c r="J82" s="7" t="str">
        <f t="shared" ref="J82:J89" si="112">CONCATENATE(B82,C82)</f>
        <v>CEI</v>
      </c>
      <c r="K82" s="9">
        <f t="shared" ref="K82:K89" si="113">IF(OR(H82="",H82=0),L82,H82)</f>
        <v>4</v>
      </c>
      <c r="L82" s="9">
        <f>IF(NOT(ISERROR(VLOOKUP(B82,Deflatores!G$42:H$64,2,FALSE))),VLOOKUP(B82,Deflatores!G$42:H$64,2,FALSE),IF(OR(ISBLANK(C82),ISBLANK(B82)),"",VLOOKUP(C82,Deflatores!G$4:H$38,2,FALSE)*H82+VLOOKUP(C82,Deflatores!G$4:I$38,3,FALSE)))</f>
        <v>4</v>
      </c>
      <c r="M82" s="10"/>
      <c r="N82" s="10"/>
      <c r="O82" s="6"/>
    </row>
    <row r="83" spans="1:15" x14ac:dyDescent="0.2">
      <c r="A83" s="126"/>
      <c r="B83" s="4"/>
      <c r="C83" s="4"/>
      <c r="D83" s="7"/>
      <c r="E83" s="7"/>
      <c r="F83" s="8" t="str">
        <f t="shared" ref="F83" si="114">IF(ISBLANK(B83),"",IF(I83="L","Baixa",IF(I83="A","Média",IF(I83="","","Alta"))))</f>
        <v/>
      </c>
      <c r="G83" s="7" t="str">
        <f t="shared" ref="G83" si="115">CONCATENATE(B83,I83)</f>
        <v/>
      </c>
      <c r="H83" s="5" t="str">
        <f t="shared" ref="H83" si="116">IF(ISBLANK(B83),"",IF(B83="ALI",IF(I83="L",7,IF(I83="A",10,15)),IF(B83="AIE",IF(I83="L",5,IF(I83="A",7,10)),IF(B83="SE",IF(I83="L",4,IF(I83="A",5,7)),IF(OR(B83="EE",B83="CE"),IF(I83="L",3,IF(I83="A",4,6)),0)))))</f>
        <v/>
      </c>
      <c r="I83" s="122" t="str">
        <f t="shared" ref="I83" si="117">IF(OR(ISBLANK(D83),ISBLANK(E83)),IF(OR(B83="ALI",B83="AIE"),"L",IF(OR(B83="EE",B83="SE",B83="CE"),"A","")),IF(B83="EE",IF(E83&gt;=3,IF(D83&gt;=5,"H","A"),IF(E83&gt;=2,IF(D83&gt;=16,"H",IF(D83&lt;=4,"L","A")),IF(D83&lt;=15,"L","A"))),IF(OR(B83="SE",B83="CE"),IF(E83&gt;=4,IF(D83&gt;=6,"H","A"),IF(E83&gt;=2,IF(D83&gt;=20,"H",IF(D83&lt;=5,"L","A")),IF(D83&lt;=19,"L","A"))),IF(OR(B83="ALI",B83="AIE"),IF(E83&gt;=6,IF(D83&gt;=20,"H","A"),IF(E83&gt;=2,IF(D83&gt;=51,"H",IF(D83&lt;=19,"L","A")),IF(D83&lt;=50,"L","A"))),""))))</f>
        <v/>
      </c>
      <c r="J83" s="7" t="str">
        <f t="shared" ref="J83" si="118">CONCATENATE(B83,C83)</f>
        <v/>
      </c>
      <c r="K83" s="9" t="str">
        <f t="shared" ref="K83" si="119">IF(OR(H83="",H83=0),L83,H83)</f>
        <v/>
      </c>
      <c r="L83" s="9" t="str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10"/>
      <c r="N83" s="10"/>
      <c r="O83" s="6"/>
    </row>
    <row r="84" spans="1:15" x14ac:dyDescent="0.2">
      <c r="A84" s="128" t="s">
        <v>246</v>
      </c>
      <c r="B84" s="4"/>
      <c r="C84" s="4"/>
      <c r="D84" s="7"/>
      <c r="E84" s="7"/>
      <c r="F84" s="8" t="str">
        <f t="shared" si="108"/>
        <v/>
      </c>
      <c r="G84" s="7" t="str">
        <f t="shared" si="109"/>
        <v/>
      </c>
      <c r="H84" s="5" t="str">
        <f t="shared" si="110"/>
        <v/>
      </c>
      <c r="I84" s="122" t="str">
        <f t="shared" si="111"/>
        <v/>
      </c>
      <c r="J84" s="7" t="str">
        <f t="shared" si="112"/>
        <v/>
      </c>
      <c r="K84" s="9" t="str">
        <f t="shared" si="113"/>
        <v/>
      </c>
      <c r="L84" s="9" t="str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10"/>
      <c r="N84" s="10"/>
      <c r="O84" s="6"/>
    </row>
    <row r="85" spans="1:15" x14ac:dyDescent="0.2">
      <c r="A85" s="126" t="s">
        <v>247</v>
      </c>
      <c r="B85" s="4" t="s">
        <v>102</v>
      </c>
      <c r="C85" s="4" t="s">
        <v>41</v>
      </c>
      <c r="D85" s="7"/>
      <c r="E85" s="7"/>
      <c r="F85" s="8" t="str">
        <f t="shared" si="108"/>
        <v>Média</v>
      </c>
      <c r="G85" s="7" t="str">
        <f t="shared" si="109"/>
        <v>CEA</v>
      </c>
      <c r="H85" s="5">
        <f t="shared" si="110"/>
        <v>4</v>
      </c>
      <c r="I85" s="122" t="str">
        <f t="shared" si="111"/>
        <v>A</v>
      </c>
      <c r="J85" s="7" t="str">
        <f t="shared" si="112"/>
        <v>CEI</v>
      </c>
      <c r="K85" s="9">
        <f t="shared" si="113"/>
        <v>4</v>
      </c>
      <c r="L85" s="9">
        <f>IF(NOT(ISERROR(VLOOKUP(B85,Deflatores!G$42:H$64,2,FALSE))),VLOOKUP(B85,Deflatores!G$42:H$64,2,FALSE),IF(OR(ISBLANK(C85),ISBLANK(B85)),"",VLOOKUP(C85,Deflatores!G$4:H$38,2,FALSE)*H85+VLOOKUP(C85,Deflatores!G$4:I$38,3,FALSE)))</f>
        <v>4</v>
      </c>
      <c r="M85" s="10"/>
      <c r="N85" s="10"/>
      <c r="O85" s="6"/>
    </row>
    <row r="86" spans="1:15" x14ac:dyDescent="0.2">
      <c r="A86" s="126"/>
      <c r="B86" s="4"/>
      <c r="C86" s="4"/>
      <c r="D86" s="7"/>
      <c r="E86" s="7"/>
      <c r="F86" s="8" t="str">
        <f t="shared" si="108"/>
        <v/>
      </c>
      <c r="G86" s="7" t="str">
        <f t="shared" si="109"/>
        <v/>
      </c>
      <c r="H86" s="5" t="str">
        <f t="shared" si="110"/>
        <v/>
      </c>
      <c r="I86" s="122" t="str">
        <f t="shared" si="111"/>
        <v/>
      </c>
      <c r="J86" s="7" t="str">
        <f t="shared" si="112"/>
        <v/>
      </c>
      <c r="K86" s="9" t="str">
        <f t="shared" si="113"/>
        <v/>
      </c>
      <c r="L86" s="9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0"/>
      <c r="N86" s="10"/>
      <c r="O86" s="6"/>
    </row>
    <row r="87" spans="1:15" x14ac:dyDescent="0.2">
      <c r="A87" s="128" t="s">
        <v>248</v>
      </c>
      <c r="B87" s="4"/>
      <c r="C87" s="4"/>
      <c r="D87" s="7"/>
      <c r="E87" s="7"/>
      <c r="F87" s="8" t="str">
        <f t="shared" si="108"/>
        <v/>
      </c>
      <c r="G87" s="7" t="str">
        <f t="shared" si="109"/>
        <v/>
      </c>
      <c r="H87" s="5" t="str">
        <f t="shared" si="110"/>
        <v/>
      </c>
      <c r="I87" s="122" t="str">
        <f t="shared" si="111"/>
        <v/>
      </c>
      <c r="J87" s="7" t="str">
        <f t="shared" si="112"/>
        <v/>
      </c>
      <c r="K87" s="9" t="str">
        <f t="shared" si="113"/>
        <v/>
      </c>
      <c r="L87" s="9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0"/>
      <c r="N87" s="10"/>
      <c r="O87" s="6"/>
    </row>
    <row r="88" spans="1:15" x14ac:dyDescent="0.2">
      <c r="A88" s="126" t="s">
        <v>249</v>
      </c>
      <c r="B88" s="4" t="s">
        <v>98</v>
      </c>
      <c r="C88" s="4" t="s">
        <v>41</v>
      </c>
      <c r="D88" s="7"/>
      <c r="E88" s="7"/>
      <c r="F88" s="8" t="str">
        <f t="shared" si="108"/>
        <v>Baixa</v>
      </c>
      <c r="G88" s="7" t="str">
        <f t="shared" si="109"/>
        <v>ALIL</v>
      </c>
      <c r="H88" s="5">
        <f t="shared" si="110"/>
        <v>7</v>
      </c>
      <c r="I88" s="122" t="str">
        <f t="shared" si="111"/>
        <v>L</v>
      </c>
      <c r="J88" s="7" t="str">
        <f t="shared" si="112"/>
        <v>ALII</v>
      </c>
      <c r="K88" s="9">
        <f t="shared" si="113"/>
        <v>7</v>
      </c>
      <c r="L88" s="9">
        <f>IF(NOT(ISERROR(VLOOKUP(B88,Deflatores!G$42:H$64,2,FALSE))),VLOOKUP(B88,Deflatores!G$42:H$64,2,FALSE),IF(OR(ISBLANK(C88),ISBLANK(B88)),"",VLOOKUP(C88,Deflatores!G$4:H$38,2,FALSE)*H88+VLOOKUP(C88,Deflatores!G$4:I$38,3,FALSE)))</f>
        <v>7</v>
      </c>
      <c r="M88" s="10"/>
      <c r="N88" s="10"/>
      <c r="O88" s="6"/>
    </row>
    <row r="89" spans="1:15" x14ac:dyDescent="0.2">
      <c r="A89" s="126" t="s">
        <v>250</v>
      </c>
      <c r="B89" s="4" t="s">
        <v>100</v>
      </c>
      <c r="C89" s="4" t="s">
        <v>41</v>
      </c>
      <c r="D89" s="7"/>
      <c r="E89" s="7"/>
      <c r="F89" s="8" t="str">
        <f t="shared" si="108"/>
        <v>Média</v>
      </c>
      <c r="G89" s="7" t="str">
        <f t="shared" si="109"/>
        <v>EEA</v>
      </c>
      <c r="H89" s="5">
        <f t="shared" si="110"/>
        <v>4</v>
      </c>
      <c r="I89" s="122" t="str">
        <f t="shared" si="111"/>
        <v>A</v>
      </c>
      <c r="J89" s="7" t="str">
        <f t="shared" si="112"/>
        <v>EEI</v>
      </c>
      <c r="K89" s="9">
        <f t="shared" si="113"/>
        <v>4</v>
      </c>
      <c r="L89" s="9">
        <f>IF(NOT(ISERROR(VLOOKUP(B89,Deflatores!G$42:H$64,2,FALSE))),VLOOKUP(B89,Deflatores!G$42:H$64,2,FALSE),IF(OR(ISBLANK(C89),ISBLANK(B89)),"",VLOOKUP(C89,Deflatores!G$4:H$38,2,FALSE)*H89+VLOOKUP(C89,Deflatores!G$4:I$38,3,FALSE)))</f>
        <v>4</v>
      </c>
      <c r="M89" s="10"/>
      <c r="N89" s="10"/>
      <c r="O89" s="6"/>
    </row>
    <row r="90" spans="1:15" x14ac:dyDescent="0.2">
      <c r="A90" s="126" t="s">
        <v>251</v>
      </c>
      <c r="B90" s="4" t="s">
        <v>100</v>
      </c>
      <c r="C90" s="4" t="s">
        <v>41</v>
      </c>
      <c r="D90" s="7"/>
      <c r="E90" s="7"/>
      <c r="F90" s="8" t="str">
        <f t="shared" si="96"/>
        <v>Média</v>
      </c>
      <c r="G90" s="7" t="str">
        <f t="shared" si="97"/>
        <v>EEA</v>
      </c>
      <c r="H90" s="5">
        <f t="shared" si="98"/>
        <v>4</v>
      </c>
      <c r="I90" s="122" t="str">
        <f t="shared" si="99"/>
        <v>A</v>
      </c>
      <c r="J90" s="7" t="str">
        <f t="shared" si="100"/>
        <v>EEI</v>
      </c>
      <c r="K90" s="9">
        <f t="shared" si="101"/>
        <v>4</v>
      </c>
      <c r="L90" s="9">
        <f>IF(NOT(ISERROR(VLOOKUP(B90,Deflatores!G$42:H$64,2,FALSE))),VLOOKUP(B90,Deflatores!G$42:H$64,2,FALSE),IF(OR(ISBLANK(C90),ISBLANK(B90)),"",VLOOKUP(C90,Deflatores!G$4:H$38,2,FALSE)*H90+VLOOKUP(C90,Deflatores!G$4:I$38,3,FALSE)))</f>
        <v>4</v>
      </c>
      <c r="M90" s="10"/>
      <c r="N90" s="10"/>
      <c r="O90" s="6"/>
    </row>
    <row r="91" spans="1:15" x14ac:dyDescent="0.2">
      <c r="A91" s="126" t="s">
        <v>252</v>
      </c>
      <c r="B91" s="4" t="s">
        <v>100</v>
      </c>
      <c r="C91" s="4" t="s">
        <v>41</v>
      </c>
      <c r="D91" s="7"/>
      <c r="E91" s="7"/>
      <c r="F91" s="8" t="str">
        <f t="shared" si="96"/>
        <v>Média</v>
      </c>
      <c r="G91" s="7" t="str">
        <f t="shared" si="97"/>
        <v>EEA</v>
      </c>
      <c r="H91" s="5">
        <f t="shared" si="98"/>
        <v>4</v>
      </c>
      <c r="I91" s="122" t="str">
        <f t="shared" si="99"/>
        <v>A</v>
      </c>
      <c r="J91" s="7" t="str">
        <f t="shared" si="100"/>
        <v>EEI</v>
      </c>
      <c r="K91" s="9">
        <f t="shared" si="101"/>
        <v>4</v>
      </c>
      <c r="L91" s="9">
        <f>IF(NOT(ISERROR(VLOOKUP(B91,Deflatores!G$42:H$64,2,FALSE))),VLOOKUP(B91,Deflatores!G$42:H$64,2,FALSE),IF(OR(ISBLANK(C91),ISBLANK(B91)),"",VLOOKUP(C91,Deflatores!G$4:H$38,2,FALSE)*H91+VLOOKUP(C91,Deflatores!G$4:I$38,3,FALSE)))</f>
        <v>4</v>
      </c>
      <c r="M91" s="10"/>
      <c r="N91" s="10"/>
      <c r="O91" s="6"/>
    </row>
    <row r="92" spans="1:15" x14ac:dyDescent="0.2">
      <c r="A92" s="126" t="s">
        <v>253</v>
      </c>
      <c r="B92" s="4" t="s">
        <v>102</v>
      </c>
      <c r="C92" s="4" t="s">
        <v>41</v>
      </c>
      <c r="D92" s="7"/>
      <c r="E92" s="7"/>
      <c r="F92" s="8" t="str">
        <f t="shared" ref="F92:F93" si="120">IF(ISBLANK(B92),"",IF(I92="L","Baixa",IF(I92="A","Média",IF(I92="","","Alta"))))</f>
        <v>Média</v>
      </c>
      <c r="G92" s="7" t="str">
        <f t="shared" ref="G92:G93" si="121">CONCATENATE(B92,I92)</f>
        <v>CEA</v>
      </c>
      <c r="H92" s="5">
        <f t="shared" ref="H92:H93" si="122">IF(ISBLANK(B92),"",IF(B92="ALI",IF(I92="L",7,IF(I92="A",10,15)),IF(B92="AIE",IF(I92="L",5,IF(I92="A",7,10)),IF(B92="SE",IF(I92="L",4,IF(I92="A",5,7)),IF(OR(B92="EE",B92="CE"),IF(I92="L",3,IF(I92="A",4,6)),0)))))</f>
        <v>4</v>
      </c>
      <c r="I92" s="122" t="str">
        <f t="shared" ref="I92:I93" si="123">IF(OR(ISBLANK(D92),ISBLANK(E92)),IF(OR(B92="ALI",B92="AIE"),"L",IF(OR(B92="EE",B92="SE",B92="CE"),"A","")),IF(B92="EE",IF(E92&gt;=3,IF(D92&gt;=5,"H","A"),IF(E92&gt;=2,IF(D92&gt;=16,"H",IF(D92&lt;=4,"L","A")),IF(D92&lt;=15,"L","A"))),IF(OR(B92="SE",B92="CE"),IF(E92&gt;=4,IF(D92&gt;=6,"H","A"),IF(E92&gt;=2,IF(D92&gt;=20,"H",IF(D92&lt;=5,"L","A")),IF(D92&lt;=19,"L","A"))),IF(OR(B92="ALI",B92="AIE"),IF(E92&gt;=6,IF(D92&gt;=20,"H","A"),IF(E92&gt;=2,IF(D92&gt;=51,"H",IF(D92&lt;=19,"L","A")),IF(D92&lt;=50,"L","A"))),""))))</f>
        <v>A</v>
      </c>
      <c r="J92" s="7" t="str">
        <f t="shared" ref="J92:J93" si="124">CONCATENATE(B92,C92)</f>
        <v>CEI</v>
      </c>
      <c r="K92" s="9">
        <f t="shared" ref="K92:K93" si="125">IF(OR(H92="",H92=0),L92,H92)</f>
        <v>4</v>
      </c>
      <c r="L92" s="9">
        <f>IF(NOT(ISERROR(VLOOKUP(B92,Deflatores!G$42:H$64,2,FALSE))),VLOOKUP(B92,Deflatores!G$42:H$64,2,FALSE),IF(OR(ISBLANK(C92),ISBLANK(B92)),"",VLOOKUP(C92,Deflatores!G$4:H$38,2,FALSE)*H92+VLOOKUP(C92,Deflatores!G$4:I$38,3,FALSE)))</f>
        <v>4</v>
      </c>
      <c r="M92" s="10"/>
      <c r="N92" s="10"/>
      <c r="O92" s="6"/>
    </row>
    <row r="93" spans="1:15" x14ac:dyDescent="0.2">
      <c r="A93" s="126"/>
      <c r="B93" s="4"/>
      <c r="C93" s="4"/>
      <c r="D93" s="7"/>
      <c r="E93" s="7"/>
      <c r="F93" s="8" t="str">
        <f t="shared" si="120"/>
        <v/>
      </c>
      <c r="G93" s="7" t="str">
        <f t="shared" si="121"/>
        <v/>
      </c>
      <c r="H93" s="5" t="str">
        <f t="shared" si="122"/>
        <v/>
      </c>
      <c r="I93" s="122" t="str">
        <f t="shared" si="123"/>
        <v/>
      </c>
      <c r="J93" s="7" t="str">
        <f t="shared" si="124"/>
        <v/>
      </c>
      <c r="K93" s="9" t="str">
        <f t="shared" si="125"/>
        <v/>
      </c>
      <c r="L93" s="9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10"/>
      <c r="N93" s="10"/>
      <c r="O93" s="6"/>
    </row>
    <row r="94" spans="1:15" x14ac:dyDescent="0.2">
      <c r="A94" s="126"/>
      <c r="B94" s="4"/>
      <c r="C94" s="4"/>
      <c r="D94" s="7"/>
      <c r="E94" s="7"/>
      <c r="F94" s="8" t="str">
        <f t="shared" ref="F94" si="126">IF(ISBLANK(B94),"",IF(I94="L","Baixa",IF(I94="A","Média",IF(I94="","","Alta"))))</f>
        <v/>
      </c>
      <c r="G94" s="7" t="str">
        <f t="shared" ref="G94" si="127">CONCATENATE(B94,I94)</f>
        <v/>
      </c>
      <c r="H94" s="5" t="str">
        <f t="shared" ref="H94" si="128">IF(ISBLANK(B94),"",IF(B94="ALI",IF(I94="L",7,IF(I94="A",10,15)),IF(B94="AIE",IF(I94="L",5,IF(I94="A",7,10)),IF(B94="SE",IF(I94="L",4,IF(I94="A",5,7)),IF(OR(B94="EE",B94="CE"),IF(I94="L",3,IF(I94="A",4,6)),0)))))</f>
        <v/>
      </c>
      <c r="I94" s="122" t="str">
        <f t="shared" ref="I94" si="129">IF(OR(ISBLANK(D94),ISBLANK(E94)),IF(OR(B94="ALI",B94="AIE"),"L",IF(OR(B94="EE",B94="SE",B94="CE"),"A","")),IF(B94="EE",IF(E94&gt;=3,IF(D94&gt;=5,"H","A"),IF(E94&gt;=2,IF(D94&gt;=16,"H",IF(D94&lt;=4,"L","A")),IF(D94&lt;=15,"L","A"))),IF(OR(B94="SE",B94="CE"),IF(E94&gt;=4,IF(D94&gt;=6,"H","A"),IF(E94&gt;=2,IF(D94&gt;=20,"H",IF(D94&lt;=5,"L","A")),IF(D94&lt;=19,"L","A"))),IF(OR(B94="ALI",B94="AIE"),IF(E94&gt;=6,IF(D94&gt;=20,"H","A"),IF(E94&gt;=2,IF(D94&gt;=51,"H",IF(D94&lt;=19,"L","A")),IF(D94&lt;=50,"L","A"))),""))))</f>
        <v/>
      </c>
      <c r="J94" s="7" t="str">
        <f t="shared" ref="J94" si="130">CONCATENATE(B94,C94)</f>
        <v/>
      </c>
      <c r="K94" s="9" t="str">
        <f t="shared" ref="K94" si="131">IF(OR(H94="",H94=0),L94,H94)</f>
        <v/>
      </c>
      <c r="L94" s="9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/>
      <c r="N94" s="10"/>
      <c r="O94" s="6"/>
    </row>
    <row r="95" spans="1:15" x14ac:dyDescent="0.2">
      <c r="A95" s="126"/>
      <c r="B95" s="4"/>
      <c r="C95" s="4"/>
      <c r="D95" s="7"/>
      <c r="E95" s="7"/>
      <c r="F95" s="8" t="str">
        <f t="shared" si="96"/>
        <v/>
      </c>
      <c r="G95" s="7" t="str">
        <f t="shared" si="97"/>
        <v/>
      </c>
      <c r="H95" s="5" t="str">
        <f t="shared" si="98"/>
        <v/>
      </c>
      <c r="I95" s="122" t="str">
        <f t="shared" si="99"/>
        <v/>
      </c>
      <c r="J95" s="7" t="str">
        <f t="shared" si="100"/>
        <v/>
      </c>
      <c r="K95" s="9" t="str">
        <f t="shared" si="101"/>
        <v/>
      </c>
      <c r="L95" s="9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10"/>
      <c r="N95" s="10"/>
      <c r="O95" s="6"/>
    </row>
    <row r="96" spans="1:15" x14ac:dyDescent="0.2">
      <c r="A96" s="126"/>
      <c r="B96" s="4"/>
      <c r="C96" s="4"/>
      <c r="D96" s="7"/>
      <c r="E96" s="7"/>
      <c r="F96" s="8" t="str">
        <f t="shared" si="96"/>
        <v/>
      </c>
      <c r="G96" s="7" t="str">
        <f t="shared" si="97"/>
        <v/>
      </c>
      <c r="H96" s="5" t="str">
        <f t="shared" si="98"/>
        <v/>
      </c>
      <c r="I96" s="122" t="str">
        <f t="shared" si="99"/>
        <v/>
      </c>
      <c r="J96" s="7" t="str">
        <f t="shared" si="100"/>
        <v/>
      </c>
      <c r="K96" s="9" t="str">
        <f t="shared" si="101"/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0"/>
      <c r="N96" s="10"/>
      <c r="O96" s="6"/>
    </row>
    <row r="97" spans="1:15" x14ac:dyDescent="0.2">
      <c r="A97" s="126"/>
      <c r="B97" s="4"/>
      <c r="C97" s="4"/>
      <c r="D97" s="7"/>
      <c r="E97" s="7"/>
      <c r="F97" s="8" t="str">
        <f t="shared" ref="F97:F100" si="132">IF(ISBLANK(B97),"",IF(I97="L","Baixa",IF(I97="A","Média",IF(I97="","","Alta"))))</f>
        <v/>
      </c>
      <c r="G97" s="7" t="str">
        <f t="shared" ref="G97:G100" si="133">CONCATENATE(B97,I97)</f>
        <v/>
      </c>
      <c r="H97" s="5" t="str">
        <f t="shared" ref="H97:H100" si="134">IF(ISBLANK(B97),"",IF(B97="ALI",IF(I97="L",7,IF(I97="A",10,15)),IF(B97="AIE",IF(I97="L",5,IF(I97="A",7,10)),IF(B97="SE",IF(I97="L",4,IF(I97="A",5,7)),IF(OR(B97="EE",B97="CE"),IF(I97="L",3,IF(I97="A",4,6)),0)))))</f>
        <v/>
      </c>
      <c r="I97" s="122" t="str">
        <f t="shared" ref="I97:I100" si="135"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/>
      </c>
      <c r="J97" s="7" t="str">
        <f t="shared" ref="J97:J100" si="136">CONCATENATE(B97,C97)</f>
        <v/>
      </c>
      <c r="K97" s="9" t="str">
        <f t="shared" ref="K97:K100" si="137">IF(OR(H97="",H97=0),L97,H97)</f>
        <v/>
      </c>
      <c r="L97" s="9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0"/>
      <c r="N97" s="10"/>
      <c r="O97" s="6"/>
    </row>
    <row r="98" spans="1:15" x14ac:dyDescent="0.2">
      <c r="A98" s="126"/>
      <c r="B98" s="4"/>
      <c r="C98" s="4"/>
      <c r="D98" s="7"/>
      <c r="E98" s="7"/>
      <c r="F98" s="8" t="str">
        <f t="shared" ref="F98:F99" si="138">IF(ISBLANK(B98),"",IF(I98="L","Baixa",IF(I98="A","Média",IF(I98="","","Alta"))))</f>
        <v/>
      </c>
      <c r="G98" s="7" t="str">
        <f t="shared" ref="G98:G99" si="139">CONCATENATE(B98,I98)</f>
        <v/>
      </c>
      <c r="H98" s="5" t="str">
        <f t="shared" ref="H98:H99" si="140">IF(ISBLANK(B98),"",IF(B98="ALI",IF(I98="L",7,IF(I98="A",10,15)),IF(B98="AIE",IF(I98="L",5,IF(I98="A",7,10)),IF(B98="SE",IF(I98="L",4,IF(I98="A",5,7)),IF(OR(B98="EE",B98="CE"),IF(I98="L",3,IF(I98="A",4,6)),0)))))</f>
        <v/>
      </c>
      <c r="I98" s="122" t="str">
        <f t="shared" ref="I98:I99" si="141"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/>
      </c>
      <c r="J98" s="7" t="str">
        <f t="shared" ref="J98:J99" si="142">CONCATENATE(B98,C98)</f>
        <v/>
      </c>
      <c r="K98" s="9" t="str">
        <f t="shared" ref="K98:K99" si="143">IF(OR(H98="",H98=0),L98,H98)</f>
        <v/>
      </c>
      <c r="L98" s="9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0"/>
      <c r="N98" s="10"/>
      <c r="O98" s="6"/>
    </row>
    <row r="99" spans="1:15" x14ac:dyDescent="0.2">
      <c r="A99" s="126"/>
      <c r="B99" s="4"/>
      <c r="C99" s="4"/>
      <c r="D99" s="7"/>
      <c r="E99" s="7"/>
      <c r="F99" s="8" t="str">
        <f t="shared" si="138"/>
        <v/>
      </c>
      <c r="G99" s="7" t="str">
        <f t="shared" si="139"/>
        <v/>
      </c>
      <c r="H99" s="5" t="str">
        <f t="shared" si="140"/>
        <v/>
      </c>
      <c r="I99" s="122" t="str">
        <f t="shared" si="141"/>
        <v/>
      </c>
      <c r="J99" s="7" t="str">
        <f t="shared" si="142"/>
        <v/>
      </c>
      <c r="K99" s="9" t="str">
        <f t="shared" si="143"/>
        <v/>
      </c>
      <c r="L99" s="9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0"/>
      <c r="N99" s="10"/>
      <c r="O99" s="6"/>
    </row>
    <row r="100" spans="1:15" x14ac:dyDescent="0.2">
      <c r="A100" s="126"/>
      <c r="B100" s="4"/>
      <c r="C100" s="4"/>
      <c r="D100" s="7"/>
      <c r="E100" s="7"/>
      <c r="F100" s="8" t="str">
        <f t="shared" si="132"/>
        <v/>
      </c>
      <c r="G100" s="7" t="str">
        <f t="shared" si="133"/>
        <v/>
      </c>
      <c r="H100" s="5" t="str">
        <f t="shared" si="134"/>
        <v/>
      </c>
      <c r="I100" s="122" t="str">
        <f t="shared" si="135"/>
        <v/>
      </c>
      <c r="J100" s="7" t="str">
        <f t="shared" si="136"/>
        <v/>
      </c>
      <c r="K100" s="9" t="str">
        <f t="shared" si="137"/>
        <v/>
      </c>
      <c r="L100" s="9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10"/>
      <c r="N100" s="10"/>
      <c r="O100" s="6"/>
    </row>
    <row r="101" spans="1:15" x14ac:dyDescent="0.2">
      <c r="A101" s="126"/>
      <c r="B101" s="4"/>
      <c r="C101" s="4"/>
      <c r="D101" s="7"/>
      <c r="E101" s="7"/>
      <c r="F101" s="8" t="str">
        <f t="shared" ref="F101:F106" si="144">IF(ISBLANK(B101),"",IF(I101="L","Baixa",IF(I101="A","Média",IF(I101="","","Alta"))))</f>
        <v/>
      </c>
      <c r="G101" s="7" t="str">
        <f t="shared" ref="G101:G106" si="145">CONCATENATE(B101,I101)</f>
        <v/>
      </c>
      <c r="H101" s="5" t="str">
        <f t="shared" ref="H101:H106" si="146">IF(ISBLANK(B101),"",IF(B101="ALI",IF(I101="L",7,IF(I101="A",10,15)),IF(B101="AIE",IF(I101="L",5,IF(I101="A",7,10)),IF(B101="SE",IF(I101="L",4,IF(I101="A",5,7)),IF(OR(B101="EE",B101="CE"),IF(I101="L",3,IF(I101="A",4,6)),0)))))</f>
        <v/>
      </c>
      <c r="I101" s="122" t="str">
        <f t="shared" ref="I101:I106" si="147">IF(OR(ISBLANK(D101),ISBLANK(E101)),IF(OR(B101="ALI",B101="AIE"),"L",IF(OR(B101="EE",B101="SE",B101="CE"),"A","")),IF(B101="EE",IF(E101&gt;=3,IF(D101&gt;=5,"H","A"),IF(E101&gt;=2,IF(D101&gt;=16,"H",IF(D101&lt;=4,"L","A")),IF(D101&lt;=15,"L","A"))),IF(OR(B101="SE",B101="CE"),IF(E101&gt;=4,IF(D101&gt;=6,"H","A"),IF(E101&gt;=2,IF(D101&gt;=20,"H",IF(D101&lt;=5,"L","A")),IF(D101&lt;=19,"L","A"))),IF(OR(B101="ALI",B101="AIE"),IF(E101&gt;=6,IF(D101&gt;=20,"H","A"),IF(E101&gt;=2,IF(D101&gt;=51,"H",IF(D101&lt;=19,"L","A")),IF(D101&lt;=50,"L","A"))),""))))</f>
        <v/>
      </c>
      <c r="J101" s="7" t="str">
        <f t="shared" ref="J101:J106" si="148">CONCATENATE(B101,C101)</f>
        <v/>
      </c>
      <c r="K101" s="9" t="str">
        <f t="shared" ref="K101:K106" si="149">IF(OR(H101="",H101=0),L101,H101)</f>
        <v/>
      </c>
      <c r="L101" s="9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10"/>
      <c r="N101" s="10"/>
      <c r="O101" s="6"/>
    </row>
    <row r="102" spans="1:15" x14ac:dyDescent="0.2">
      <c r="A102" s="126"/>
      <c r="B102" s="4"/>
      <c r="C102" s="4"/>
      <c r="D102" s="7"/>
      <c r="E102" s="7"/>
      <c r="F102" s="8" t="str">
        <f t="shared" si="144"/>
        <v/>
      </c>
      <c r="G102" s="7" t="str">
        <f t="shared" si="145"/>
        <v/>
      </c>
      <c r="H102" s="5" t="str">
        <f t="shared" si="146"/>
        <v/>
      </c>
      <c r="I102" s="122" t="str">
        <f t="shared" si="147"/>
        <v/>
      </c>
      <c r="J102" s="7" t="str">
        <f t="shared" si="148"/>
        <v/>
      </c>
      <c r="K102" s="9" t="str">
        <f t="shared" si="149"/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0"/>
      <c r="N102" s="10"/>
      <c r="O102" s="6"/>
    </row>
    <row r="103" spans="1:15" x14ac:dyDescent="0.2">
      <c r="A103" s="126"/>
      <c r="B103" s="4"/>
      <c r="C103" s="4"/>
      <c r="D103" s="7"/>
      <c r="E103" s="7"/>
      <c r="F103" s="8" t="str">
        <f t="shared" ref="F103:F104" si="150">IF(ISBLANK(B103),"",IF(I103="L","Baixa",IF(I103="A","Média",IF(I103="","","Alta"))))</f>
        <v/>
      </c>
      <c r="G103" s="7" t="str">
        <f t="shared" ref="G103:G104" si="151">CONCATENATE(B103,I103)</f>
        <v/>
      </c>
      <c r="H103" s="5" t="str">
        <f t="shared" ref="H103:H104" si="152">IF(ISBLANK(B103),"",IF(B103="ALI",IF(I103="L",7,IF(I103="A",10,15)),IF(B103="AIE",IF(I103="L",5,IF(I103="A",7,10)),IF(B103="SE",IF(I103="L",4,IF(I103="A",5,7)),IF(OR(B103="EE",B103="CE"),IF(I103="L",3,IF(I103="A",4,6)),0)))))</f>
        <v/>
      </c>
      <c r="I103" s="122" t="str">
        <f t="shared" ref="I103:I104" si="153">IF(OR(ISBLANK(D103),ISBLANK(E103)),IF(OR(B103="ALI",B103="AIE"),"L",IF(OR(B103="EE",B103="SE",B103="CE"),"A","")),IF(B103="EE",IF(E103&gt;=3,IF(D103&gt;=5,"H","A"),IF(E103&gt;=2,IF(D103&gt;=16,"H",IF(D103&lt;=4,"L","A")),IF(D103&lt;=15,"L","A"))),IF(OR(B103="SE",B103="CE"),IF(E103&gt;=4,IF(D103&gt;=6,"H","A"),IF(E103&gt;=2,IF(D103&gt;=20,"H",IF(D103&lt;=5,"L","A")),IF(D103&lt;=19,"L","A"))),IF(OR(B103="ALI",B103="AIE"),IF(E103&gt;=6,IF(D103&gt;=20,"H","A"),IF(E103&gt;=2,IF(D103&gt;=51,"H",IF(D103&lt;=19,"L","A")),IF(D103&lt;=50,"L","A"))),""))))</f>
        <v/>
      </c>
      <c r="J103" s="7" t="str">
        <f t="shared" ref="J103:J104" si="154">CONCATENATE(B103,C103)</f>
        <v/>
      </c>
      <c r="K103" s="9" t="str">
        <f t="shared" ref="K103:K104" si="155">IF(OR(H103="",H103=0),L103,H103)</f>
        <v/>
      </c>
      <c r="L103" s="9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10"/>
      <c r="N103" s="10"/>
      <c r="O103" s="6"/>
    </row>
    <row r="104" spans="1:15" x14ac:dyDescent="0.2">
      <c r="A104" s="126"/>
      <c r="B104" s="4"/>
      <c r="C104" s="4"/>
      <c r="D104" s="7"/>
      <c r="E104" s="7"/>
      <c r="F104" s="8" t="str">
        <f t="shared" si="150"/>
        <v/>
      </c>
      <c r="G104" s="7" t="str">
        <f t="shared" si="151"/>
        <v/>
      </c>
      <c r="H104" s="5" t="str">
        <f t="shared" si="152"/>
        <v/>
      </c>
      <c r="I104" s="122" t="str">
        <f t="shared" si="153"/>
        <v/>
      </c>
      <c r="J104" s="7" t="str">
        <f t="shared" si="154"/>
        <v/>
      </c>
      <c r="K104" s="9" t="str">
        <f t="shared" si="155"/>
        <v/>
      </c>
      <c r="L104" s="9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10"/>
      <c r="N104" s="10"/>
      <c r="O104" s="6"/>
    </row>
    <row r="105" spans="1:15" x14ac:dyDescent="0.2">
      <c r="A105" s="126"/>
      <c r="B105" s="4"/>
      <c r="C105" s="4"/>
      <c r="D105" s="7"/>
      <c r="E105" s="7"/>
      <c r="F105" s="8" t="str">
        <f t="shared" ref="F105" si="156">IF(ISBLANK(B105),"",IF(I105="L","Baixa",IF(I105="A","Média",IF(I105="","","Alta"))))</f>
        <v/>
      </c>
      <c r="G105" s="7" t="str">
        <f t="shared" ref="G105" si="157">CONCATENATE(B105,I105)</f>
        <v/>
      </c>
      <c r="H105" s="5" t="str">
        <f t="shared" ref="H105" si="158">IF(ISBLANK(B105),"",IF(B105="ALI",IF(I105="L",7,IF(I105="A",10,15)),IF(B105="AIE",IF(I105="L",5,IF(I105="A",7,10)),IF(B105="SE",IF(I105="L",4,IF(I105="A",5,7)),IF(OR(B105="EE",B105="CE"),IF(I105="L",3,IF(I105="A",4,6)),0)))))</f>
        <v/>
      </c>
      <c r="I105" s="122" t="str">
        <f t="shared" ref="I105" si="159">IF(OR(ISBLANK(D105),ISBLANK(E105)),IF(OR(B105="ALI",B105="AIE"),"L",IF(OR(B105="EE",B105="SE",B105="CE"),"A","")),IF(B105="EE",IF(E105&gt;=3,IF(D105&gt;=5,"H","A"),IF(E105&gt;=2,IF(D105&gt;=16,"H",IF(D105&lt;=4,"L","A")),IF(D105&lt;=15,"L","A"))),IF(OR(B105="SE",B105="CE"),IF(E105&gt;=4,IF(D105&gt;=6,"H","A"),IF(E105&gt;=2,IF(D105&gt;=20,"H",IF(D105&lt;=5,"L","A")),IF(D105&lt;=19,"L","A"))),IF(OR(B105="ALI",B105="AIE"),IF(E105&gt;=6,IF(D105&gt;=20,"H","A"),IF(E105&gt;=2,IF(D105&gt;=51,"H",IF(D105&lt;=19,"L","A")),IF(D105&lt;=50,"L","A"))),""))))</f>
        <v/>
      </c>
      <c r="J105" s="7" t="str">
        <f t="shared" ref="J105" si="160">CONCATENATE(B105,C105)</f>
        <v/>
      </c>
      <c r="K105" s="9" t="str">
        <f t="shared" ref="K105" si="161">IF(OR(H105="",H105=0),L105,H105)</f>
        <v/>
      </c>
      <c r="L105" s="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0"/>
      <c r="N105" s="10"/>
      <c r="O105" s="6"/>
    </row>
    <row r="106" spans="1:15" x14ac:dyDescent="0.2">
      <c r="A106" s="126"/>
      <c r="B106" s="4"/>
      <c r="C106" s="4"/>
      <c r="D106" s="7"/>
      <c r="E106" s="7"/>
      <c r="F106" s="8" t="str">
        <f t="shared" si="144"/>
        <v/>
      </c>
      <c r="G106" s="7" t="str">
        <f t="shared" si="145"/>
        <v/>
      </c>
      <c r="H106" s="5" t="str">
        <f t="shared" si="146"/>
        <v/>
      </c>
      <c r="I106" s="122" t="str">
        <f t="shared" si="147"/>
        <v/>
      </c>
      <c r="J106" s="7" t="str">
        <f t="shared" si="148"/>
        <v/>
      </c>
      <c r="K106" s="9" t="str">
        <f t="shared" si="149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6"/>
    </row>
    <row r="107" spans="1:15" x14ac:dyDescent="0.2">
      <c r="A107" s="129"/>
      <c r="B107" s="4"/>
      <c r="C107" s="4"/>
      <c r="D107" s="7"/>
      <c r="E107" s="7"/>
      <c r="F107" s="8" t="str">
        <f t="shared" ref="F107" si="162">IF(ISBLANK(B107),"",IF(I107="L","Baixa",IF(I107="A","Média",IF(I107="","","Alta"))))</f>
        <v/>
      </c>
      <c r="G107" s="7" t="str">
        <f t="shared" ref="G107" si="163">CONCATENATE(B107,I107)</f>
        <v/>
      </c>
      <c r="H107" s="5" t="str">
        <f t="shared" ref="H107" si="164">IF(ISBLANK(B107),"",IF(B107="ALI",IF(I107="L",7,IF(I107="A",10,15)),IF(B107="AIE",IF(I107="L",5,IF(I107="A",7,10)),IF(B107="SE",IF(I107="L",4,IF(I107="A",5,7)),IF(OR(B107="EE",B107="CE"),IF(I107="L",3,IF(I107="A",4,6)),0)))))</f>
        <v/>
      </c>
      <c r="I107" s="122" t="str">
        <f t="shared" ref="I107" si="165">IF(OR(ISBLANK(D107),ISBLANK(E107)),IF(OR(B107="ALI",B107="AIE"),"L",IF(OR(B107="EE",B107="SE",B107="CE"),"A","")),IF(B107="EE",IF(E107&gt;=3,IF(D107&gt;=5,"H","A"),IF(E107&gt;=2,IF(D107&gt;=16,"H",IF(D107&lt;=4,"L","A")),IF(D107&lt;=15,"L","A"))),IF(OR(B107="SE",B107="CE"),IF(E107&gt;=4,IF(D107&gt;=6,"H","A"),IF(E107&gt;=2,IF(D107&gt;=20,"H",IF(D107&lt;=5,"L","A")),IF(D107&lt;=19,"L","A"))),IF(OR(B107="ALI",B107="AIE"),IF(E107&gt;=6,IF(D107&gt;=20,"H","A"),IF(E107&gt;=2,IF(D107&gt;=51,"H",IF(D107&lt;=19,"L","A")),IF(D107&lt;=50,"L","A"))),""))))</f>
        <v/>
      </c>
      <c r="J107" s="7" t="str">
        <f t="shared" ref="J107" si="166">CONCATENATE(B107,C107)</f>
        <v/>
      </c>
      <c r="K107" s="9" t="str">
        <f t="shared" ref="K107" si="167">IF(OR(H107="",H107=0),L107,H107)</f>
        <v/>
      </c>
      <c r="L107" s="9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10"/>
      <c r="N107" s="10"/>
      <c r="O107" s="6"/>
    </row>
    <row r="108" spans="1:15" x14ac:dyDescent="0.2">
      <c r="A108" s="129"/>
      <c r="B108" s="4"/>
      <c r="C108" s="4"/>
      <c r="D108" s="7"/>
      <c r="E108" s="7"/>
      <c r="F108" s="8" t="str">
        <f t="shared" si="96"/>
        <v/>
      </c>
      <c r="G108" s="7" t="str">
        <f t="shared" si="97"/>
        <v/>
      </c>
      <c r="H108" s="5" t="str">
        <f t="shared" si="98"/>
        <v/>
      </c>
      <c r="I108" s="122" t="str">
        <f t="shared" si="99"/>
        <v/>
      </c>
      <c r="J108" s="7" t="str">
        <f t="shared" si="100"/>
        <v/>
      </c>
      <c r="K108" s="9" t="str">
        <f t="shared" si="101"/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6"/>
    </row>
    <row r="109" spans="1:15" x14ac:dyDescent="0.2">
      <c r="A109" s="126"/>
      <c r="B109" s="4"/>
      <c r="C109" s="4"/>
      <c r="D109" s="7"/>
      <c r="E109" s="7"/>
      <c r="F109" s="8" t="str">
        <f t="shared" si="96"/>
        <v/>
      </c>
      <c r="G109" s="7" t="str">
        <f t="shared" si="97"/>
        <v/>
      </c>
      <c r="H109" s="5" t="str">
        <f t="shared" si="98"/>
        <v/>
      </c>
      <c r="I109" s="122" t="str">
        <f t="shared" si="99"/>
        <v/>
      </c>
      <c r="J109" s="7" t="str">
        <f t="shared" si="100"/>
        <v/>
      </c>
      <c r="K109" s="9" t="str">
        <f t="shared" si="101"/>
        <v/>
      </c>
      <c r="L109" s="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6"/>
    </row>
    <row r="110" spans="1:15" x14ac:dyDescent="0.2">
      <c r="A110" s="126"/>
      <c r="B110" s="4"/>
      <c r="C110" s="4"/>
      <c r="D110" s="7"/>
      <c r="E110" s="7"/>
      <c r="F110" s="8" t="str">
        <f t="shared" si="96"/>
        <v/>
      </c>
      <c r="G110" s="7" t="str">
        <f t="shared" si="97"/>
        <v/>
      </c>
      <c r="H110" s="5" t="str">
        <f t="shared" si="98"/>
        <v/>
      </c>
      <c r="I110" s="122" t="str">
        <f t="shared" si="99"/>
        <v/>
      </c>
      <c r="J110" s="7" t="str">
        <f t="shared" si="100"/>
        <v/>
      </c>
      <c r="K110" s="9" t="str">
        <f t="shared" si="101"/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6"/>
    </row>
    <row r="111" spans="1:15" x14ac:dyDescent="0.2">
      <c r="A111" s="126"/>
      <c r="B111" s="4"/>
      <c r="C111" s="4"/>
      <c r="D111" s="7"/>
      <c r="E111" s="7"/>
      <c r="F111" s="8" t="str">
        <f t="shared" si="96"/>
        <v/>
      </c>
      <c r="G111" s="7" t="str">
        <f t="shared" si="97"/>
        <v/>
      </c>
      <c r="H111" s="5" t="str">
        <f t="shared" si="98"/>
        <v/>
      </c>
      <c r="I111" s="122" t="str">
        <f t="shared" si="99"/>
        <v/>
      </c>
      <c r="J111" s="7" t="str">
        <f t="shared" si="100"/>
        <v/>
      </c>
      <c r="K111" s="9" t="str">
        <f t="shared" si="101"/>
        <v/>
      </c>
      <c r="L111" s="9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6"/>
    </row>
    <row r="112" spans="1:15" x14ac:dyDescent="0.2">
      <c r="A112" s="126"/>
      <c r="B112" s="4"/>
      <c r="C112" s="4"/>
      <c r="D112" s="7"/>
      <c r="E112" s="7"/>
      <c r="F112" s="8" t="str">
        <f t="shared" si="96"/>
        <v/>
      </c>
      <c r="G112" s="7" t="str">
        <f t="shared" si="97"/>
        <v/>
      </c>
      <c r="H112" s="5" t="str">
        <f t="shared" si="98"/>
        <v/>
      </c>
      <c r="I112" s="122" t="str">
        <f t="shared" si="99"/>
        <v/>
      </c>
      <c r="J112" s="7" t="str">
        <f t="shared" si="100"/>
        <v/>
      </c>
      <c r="K112" s="9" t="str">
        <f t="shared" si="101"/>
        <v/>
      </c>
      <c r="L112" s="9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6"/>
    </row>
    <row r="113" spans="1:15" x14ac:dyDescent="0.2">
      <c r="A113" s="126"/>
      <c r="B113" s="4"/>
      <c r="C113" s="4"/>
      <c r="D113" s="7"/>
      <c r="E113" s="7"/>
      <c r="F113" s="8" t="str">
        <f t="shared" si="96"/>
        <v/>
      </c>
      <c r="G113" s="7" t="str">
        <f t="shared" si="97"/>
        <v/>
      </c>
      <c r="H113" s="5" t="str">
        <f t="shared" si="98"/>
        <v/>
      </c>
      <c r="I113" s="122" t="str">
        <f t="shared" si="99"/>
        <v/>
      </c>
      <c r="J113" s="7" t="str">
        <f t="shared" si="100"/>
        <v/>
      </c>
      <c r="K113" s="9" t="str">
        <f t="shared" si="101"/>
        <v/>
      </c>
      <c r="L113" s="9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/>
      <c r="N113" s="10"/>
      <c r="O113" s="6"/>
    </row>
    <row r="114" spans="1:15" x14ac:dyDescent="0.2">
      <c r="A114" s="126"/>
      <c r="B114" s="4"/>
      <c r="C114" s="4"/>
      <c r="D114" s="7"/>
      <c r="E114" s="7"/>
      <c r="F114" s="8" t="str">
        <f t="shared" si="96"/>
        <v/>
      </c>
      <c r="G114" s="7" t="str">
        <f t="shared" si="97"/>
        <v/>
      </c>
      <c r="H114" s="5" t="str">
        <f t="shared" si="98"/>
        <v/>
      </c>
      <c r="I114" s="122" t="str">
        <f t="shared" si="99"/>
        <v/>
      </c>
      <c r="J114" s="7" t="str">
        <f t="shared" si="100"/>
        <v/>
      </c>
      <c r="K114" s="9" t="str">
        <f t="shared" si="101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6"/>
    </row>
    <row r="115" spans="1:15" x14ac:dyDescent="0.2">
      <c r="A115" s="126"/>
      <c r="B115" s="4"/>
      <c r="C115" s="4"/>
      <c r="D115" s="7"/>
      <c r="E115" s="7"/>
      <c r="F115" s="8" t="str">
        <f t="shared" si="96"/>
        <v/>
      </c>
      <c r="G115" s="7" t="str">
        <f t="shared" si="97"/>
        <v/>
      </c>
      <c r="H115" s="5" t="str">
        <f t="shared" si="98"/>
        <v/>
      </c>
      <c r="I115" s="122" t="str">
        <f t="shared" si="99"/>
        <v/>
      </c>
      <c r="J115" s="7" t="str">
        <f t="shared" si="100"/>
        <v/>
      </c>
      <c r="K115" s="9" t="str">
        <f t="shared" si="101"/>
        <v/>
      </c>
      <c r="L115" s="9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/>
      <c r="N115" s="10"/>
      <c r="O115" s="6"/>
    </row>
    <row r="116" spans="1:15" x14ac:dyDescent="0.2">
      <c r="A116" s="126"/>
      <c r="B116" s="4"/>
      <c r="C116" s="4"/>
      <c r="D116" s="7"/>
      <c r="E116" s="7"/>
      <c r="F116" s="8" t="str">
        <f t="shared" si="96"/>
        <v/>
      </c>
      <c r="G116" s="7" t="str">
        <f t="shared" si="97"/>
        <v/>
      </c>
      <c r="H116" s="5" t="str">
        <f t="shared" si="98"/>
        <v/>
      </c>
      <c r="I116" s="122" t="str">
        <f t="shared" si="99"/>
        <v/>
      </c>
      <c r="J116" s="7" t="str">
        <f t="shared" si="100"/>
        <v/>
      </c>
      <c r="K116" s="9" t="str">
        <f t="shared" si="101"/>
        <v/>
      </c>
      <c r="L116" s="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/>
      <c r="N116" s="10"/>
      <c r="O116" s="6"/>
    </row>
    <row r="117" spans="1:15" x14ac:dyDescent="0.2">
      <c r="A117" s="126"/>
      <c r="B117" s="4"/>
      <c r="C117" s="4"/>
      <c r="D117" s="7"/>
      <c r="E117" s="7"/>
      <c r="F117" s="8" t="str">
        <f t="shared" si="96"/>
        <v/>
      </c>
      <c r="G117" s="7" t="str">
        <f t="shared" si="97"/>
        <v/>
      </c>
      <c r="H117" s="5" t="str">
        <f t="shared" si="98"/>
        <v/>
      </c>
      <c r="I117" s="122" t="str">
        <f t="shared" si="99"/>
        <v/>
      </c>
      <c r="J117" s="7" t="str">
        <f t="shared" si="100"/>
        <v/>
      </c>
      <c r="K117" s="9" t="str">
        <f t="shared" si="101"/>
        <v/>
      </c>
      <c r="L117" s="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/>
      <c r="N117" s="10"/>
      <c r="O117" s="6"/>
    </row>
    <row r="118" spans="1:15" x14ac:dyDescent="0.2">
      <c r="A118" s="126"/>
      <c r="B118" s="4"/>
      <c r="C118" s="4"/>
      <c r="D118" s="7"/>
      <c r="E118" s="7"/>
      <c r="F118" s="8" t="str">
        <f t="shared" si="96"/>
        <v/>
      </c>
      <c r="G118" s="7" t="str">
        <f t="shared" si="97"/>
        <v/>
      </c>
      <c r="H118" s="5" t="str">
        <f t="shared" si="98"/>
        <v/>
      </c>
      <c r="I118" s="122" t="str">
        <f t="shared" si="99"/>
        <v/>
      </c>
      <c r="J118" s="7" t="str">
        <f t="shared" si="100"/>
        <v/>
      </c>
      <c r="K118" s="9" t="str">
        <f t="shared" si="101"/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6"/>
    </row>
    <row r="119" spans="1:15" x14ac:dyDescent="0.2">
      <c r="A119" s="128"/>
      <c r="B119" s="4"/>
      <c r="C119" s="4"/>
      <c r="D119" s="7"/>
      <c r="E119" s="7"/>
      <c r="F119" s="8" t="str">
        <f t="shared" si="96"/>
        <v/>
      </c>
      <c r="G119" s="7" t="str">
        <f t="shared" si="97"/>
        <v/>
      </c>
      <c r="H119" s="5" t="str">
        <f t="shared" si="98"/>
        <v/>
      </c>
      <c r="I119" s="122" t="str">
        <f t="shared" si="99"/>
        <v/>
      </c>
      <c r="J119" s="7" t="str">
        <f t="shared" si="100"/>
        <v/>
      </c>
      <c r="K119" s="9" t="str">
        <f t="shared" si="101"/>
        <v/>
      </c>
      <c r="L119" s="9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10"/>
      <c r="N119" s="10"/>
      <c r="O119" s="6"/>
    </row>
    <row r="120" spans="1:15" x14ac:dyDescent="0.2">
      <c r="A120" s="126"/>
      <c r="B120" s="4"/>
      <c r="C120" s="4"/>
      <c r="D120" s="7"/>
      <c r="E120" s="7"/>
      <c r="F120" s="8" t="str">
        <f t="shared" si="96"/>
        <v/>
      </c>
      <c r="G120" s="7" t="str">
        <f t="shared" si="97"/>
        <v/>
      </c>
      <c r="H120" s="5" t="str">
        <f t="shared" si="98"/>
        <v/>
      </c>
      <c r="I120" s="122" t="str">
        <f t="shared" si="99"/>
        <v/>
      </c>
      <c r="J120" s="7" t="str">
        <f t="shared" si="100"/>
        <v/>
      </c>
      <c r="K120" s="9" t="str">
        <f t="shared" si="101"/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">
      <c r="A121" s="126"/>
      <c r="B121" s="4"/>
      <c r="C121" s="4"/>
      <c r="D121" s="7"/>
      <c r="E121" s="7"/>
      <c r="F121" s="8" t="str">
        <f t="shared" ref="F121:F122" si="168">IF(ISBLANK(B121),"",IF(I121="L","Baixa",IF(I121="A","Média",IF(I121="","","Alta"))))</f>
        <v/>
      </c>
      <c r="G121" s="7" t="str">
        <f t="shared" ref="G121:G122" si="169">CONCATENATE(B121,I121)</f>
        <v/>
      </c>
      <c r="H121" s="5" t="str">
        <f t="shared" ref="H121:H122" si="170">IF(ISBLANK(B121),"",IF(B121="ALI",IF(I121="L",7,IF(I121="A",10,15)),IF(B121="AIE",IF(I121="L",5,IF(I121="A",7,10)),IF(B121="SE",IF(I121="L",4,IF(I121="A",5,7)),IF(OR(B121="EE",B121="CE"),IF(I121="L",3,IF(I121="A",4,6)),0)))))</f>
        <v/>
      </c>
      <c r="I121" s="122" t="str">
        <f t="shared" ref="I121:I122" si="171">IF(OR(ISBLANK(D121),ISBLANK(E121)),IF(OR(B121="ALI",B121="AIE"),"L",IF(OR(B121="EE",B121="SE",B121="CE"),"A","")),IF(B121="EE",IF(E121&gt;=3,IF(D121&gt;=5,"H","A"),IF(E121&gt;=2,IF(D121&gt;=16,"H",IF(D121&lt;=4,"L","A")),IF(D121&lt;=15,"L","A"))),IF(OR(B121="SE",B121="CE"),IF(E121&gt;=4,IF(D121&gt;=6,"H","A"),IF(E121&gt;=2,IF(D121&gt;=20,"H",IF(D121&lt;=5,"L","A")),IF(D121&lt;=19,"L","A"))),IF(OR(B121="ALI",B121="AIE"),IF(E121&gt;=6,IF(D121&gt;=20,"H","A"),IF(E121&gt;=2,IF(D121&gt;=51,"H",IF(D121&lt;=19,"L","A")),IF(D121&lt;=50,"L","A"))),""))))</f>
        <v/>
      </c>
      <c r="J121" s="7" t="str">
        <f t="shared" ref="J121:J122" si="172">CONCATENATE(B121,C121)</f>
        <v/>
      </c>
      <c r="K121" s="9" t="str">
        <f t="shared" ref="K121:K122" si="173">IF(OR(H121="",H121=0),L121,H121)</f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">
      <c r="A122" s="126"/>
      <c r="B122" s="4"/>
      <c r="C122" s="4"/>
      <c r="D122" s="7"/>
      <c r="E122" s="7"/>
      <c r="F122" s="8" t="str">
        <f t="shared" si="168"/>
        <v/>
      </c>
      <c r="G122" s="7" t="str">
        <f t="shared" si="169"/>
        <v/>
      </c>
      <c r="H122" s="5" t="str">
        <f t="shared" si="170"/>
        <v/>
      </c>
      <c r="I122" s="122" t="str">
        <f t="shared" si="171"/>
        <v/>
      </c>
      <c r="J122" s="7" t="str">
        <f t="shared" si="172"/>
        <v/>
      </c>
      <c r="K122" s="9" t="str">
        <f t="shared" si="173"/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">
      <c r="A123" s="126"/>
      <c r="B123" s="4"/>
      <c r="C123" s="4"/>
      <c r="D123" s="7"/>
      <c r="E123" s="7"/>
      <c r="F123" s="8" t="str">
        <f t="shared" si="96"/>
        <v/>
      </c>
      <c r="G123" s="7" t="str">
        <f t="shared" si="97"/>
        <v/>
      </c>
      <c r="H123" s="5" t="str">
        <f t="shared" si="98"/>
        <v/>
      </c>
      <c r="I123" s="122" t="str">
        <f t="shared" si="99"/>
        <v/>
      </c>
      <c r="J123" s="7" t="str">
        <f t="shared" si="100"/>
        <v/>
      </c>
      <c r="K123" s="9" t="str">
        <f t="shared" si="101"/>
        <v/>
      </c>
      <c r="L123" s="9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"/>
      <c r="N123" s="10"/>
      <c r="O123" s="6"/>
    </row>
    <row r="124" spans="1:15" x14ac:dyDescent="0.2">
      <c r="A124" s="126"/>
      <c r="B124" s="4"/>
      <c r="C124" s="4"/>
      <c r="D124" s="7"/>
      <c r="E124" s="7"/>
      <c r="F124" s="8" t="str">
        <f t="shared" ref="F124" si="174">IF(ISBLANK(B124),"",IF(I124="L","Baixa",IF(I124="A","Média",IF(I124="","","Alta"))))</f>
        <v/>
      </c>
      <c r="G124" s="7" t="str">
        <f t="shared" ref="G124" si="175">CONCATENATE(B124,I124)</f>
        <v/>
      </c>
      <c r="H124" s="5" t="str">
        <f t="shared" ref="H124" si="176">IF(ISBLANK(B124),"",IF(B124="ALI",IF(I124="L",7,IF(I124="A",10,15)),IF(B124="AIE",IF(I124="L",5,IF(I124="A",7,10)),IF(B124="SE",IF(I124="L",4,IF(I124="A",5,7)),IF(OR(B124="EE",B124="CE"),IF(I124="L",3,IF(I124="A",4,6)),0)))))</f>
        <v/>
      </c>
      <c r="I124" s="122" t="str">
        <f t="shared" ref="I124" si="177">IF(OR(ISBLANK(D124),ISBLANK(E124)),IF(OR(B124="ALI",B124="AIE"),"L",IF(OR(B124="EE",B124="SE",B124="CE"),"A","")),IF(B124="EE",IF(E124&gt;=3,IF(D124&gt;=5,"H","A"),IF(E124&gt;=2,IF(D124&gt;=16,"H",IF(D124&lt;=4,"L","A")),IF(D124&lt;=15,"L","A"))),IF(OR(B124="SE",B124="CE"),IF(E124&gt;=4,IF(D124&gt;=6,"H","A"),IF(E124&gt;=2,IF(D124&gt;=20,"H",IF(D124&lt;=5,"L","A")),IF(D124&lt;=19,"L","A"))),IF(OR(B124="ALI",B124="AIE"),IF(E124&gt;=6,IF(D124&gt;=20,"H","A"),IF(E124&gt;=2,IF(D124&gt;=51,"H",IF(D124&lt;=19,"L","A")),IF(D124&lt;=50,"L","A"))),""))))</f>
        <v/>
      </c>
      <c r="J124" s="7" t="str">
        <f t="shared" ref="J124" si="178">CONCATENATE(B124,C124)</f>
        <v/>
      </c>
      <c r="K124" s="9" t="str">
        <f t="shared" ref="K124" si="179">IF(OR(H124="",H124=0),L124,H124)</f>
        <v/>
      </c>
      <c r="L124" s="9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/>
      <c r="N124" s="10"/>
      <c r="O124" s="6"/>
    </row>
    <row r="125" spans="1:15" x14ac:dyDescent="0.2">
      <c r="A125" s="126"/>
      <c r="B125" s="4"/>
      <c r="C125" s="4"/>
      <c r="D125" s="7"/>
      <c r="E125" s="7"/>
      <c r="F125" s="8" t="str">
        <f t="shared" si="96"/>
        <v/>
      </c>
      <c r="G125" s="7" t="str">
        <f t="shared" si="97"/>
        <v/>
      </c>
      <c r="H125" s="5" t="str">
        <f t="shared" si="98"/>
        <v/>
      </c>
      <c r="I125" s="122" t="str">
        <f t="shared" si="99"/>
        <v/>
      </c>
      <c r="J125" s="7" t="str">
        <f t="shared" si="100"/>
        <v/>
      </c>
      <c r="K125" s="9" t="str">
        <f t="shared" si="101"/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">
      <c r="A126" s="126"/>
      <c r="B126" s="4"/>
      <c r="C126" s="4"/>
      <c r="D126" s="7"/>
      <c r="E126" s="7"/>
      <c r="F126" s="8" t="str">
        <f t="shared" si="96"/>
        <v/>
      </c>
      <c r="G126" s="7" t="str">
        <f t="shared" si="97"/>
        <v/>
      </c>
      <c r="H126" s="5" t="str">
        <f t="shared" si="98"/>
        <v/>
      </c>
      <c r="I126" s="122" t="str">
        <f t="shared" si="99"/>
        <v/>
      </c>
      <c r="J126" s="7" t="str">
        <f t="shared" si="100"/>
        <v/>
      </c>
      <c r="K126" s="9" t="str">
        <f t="shared" si="101"/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">
      <c r="A127" s="126"/>
      <c r="B127" s="4"/>
      <c r="C127" s="4"/>
      <c r="D127" s="7"/>
      <c r="E127" s="7"/>
      <c r="F127" s="8" t="str">
        <f t="shared" ref="F127" si="180">IF(ISBLANK(B127),"",IF(I127="L","Baixa",IF(I127="A","Média",IF(I127="","","Alta"))))</f>
        <v/>
      </c>
      <c r="G127" s="7" t="str">
        <f t="shared" ref="G127" si="181">CONCATENATE(B127,I127)</f>
        <v/>
      </c>
      <c r="H127" s="5" t="str">
        <f t="shared" ref="H127" si="182">IF(ISBLANK(B127),"",IF(B127="ALI",IF(I127="L",7,IF(I127="A",10,15)),IF(B127="AIE",IF(I127="L",5,IF(I127="A",7,10)),IF(B127="SE",IF(I127="L",4,IF(I127="A",5,7)),IF(OR(B127="EE",B127="CE"),IF(I127="L",3,IF(I127="A",4,6)),0)))))</f>
        <v/>
      </c>
      <c r="I127" s="122" t="str">
        <f t="shared" ref="I127" si="183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/>
      </c>
      <c r="J127" s="7" t="str">
        <f t="shared" ref="J127" si="184">CONCATENATE(B127,C127)</f>
        <v/>
      </c>
      <c r="K127" s="9" t="str">
        <f t="shared" ref="K127" si="185">IF(OR(H127="",H127=0),L127,H127)</f>
        <v/>
      </c>
      <c r="L127" s="9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/>
      <c r="N127" s="10"/>
      <c r="O127" s="6"/>
    </row>
    <row r="128" spans="1:15" x14ac:dyDescent="0.2">
      <c r="A128" s="126"/>
      <c r="B128" s="4"/>
      <c r="C128" s="4"/>
      <c r="D128" s="7"/>
      <c r="E128" s="7"/>
      <c r="F128" s="8" t="str">
        <f t="shared" si="96"/>
        <v/>
      </c>
      <c r="G128" s="7" t="str">
        <f t="shared" si="97"/>
        <v/>
      </c>
      <c r="H128" s="5" t="str">
        <f t="shared" si="98"/>
        <v/>
      </c>
      <c r="I128" s="122" t="str">
        <f t="shared" si="99"/>
        <v/>
      </c>
      <c r="J128" s="7" t="str">
        <f t="shared" si="100"/>
        <v/>
      </c>
      <c r="K128" s="9" t="str">
        <f t="shared" si="101"/>
        <v/>
      </c>
      <c r="L128" s="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/>
      <c r="N128" s="10"/>
      <c r="O128" s="6"/>
    </row>
    <row r="129" spans="1:15" x14ac:dyDescent="0.2">
      <c r="A129" s="128"/>
      <c r="B129" s="4"/>
      <c r="C129" s="4"/>
      <c r="D129" s="7"/>
      <c r="E129" s="7"/>
      <c r="F129" s="8" t="str">
        <f t="shared" si="96"/>
        <v/>
      </c>
      <c r="G129" s="7" t="str">
        <f t="shared" si="97"/>
        <v/>
      </c>
      <c r="H129" s="5" t="str">
        <f t="shared" si="98"/>
        <v/>
      </c>
      <c r="I129" s="122" t="str">
        <f t="shared" si="99"/>
        <v/>
      </c>
      <c r="J129" s="7" t="str">
        <f t="shared" si="100"/>
        <v/>
      </c>
      <c r="K129" s="9" t="str">
        <f t="shared" si="101"/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x14ac:dyDescent="0.2">
      <c r="A130" s="126"/>
      <c r="B130" s="4"/>
      <c r="C130" s="4"/>
      <c r="D130" s="7"/>
      <c r="E130" s="7"/>
      <c r="F130" s="8" t="str">
        <f t="shared" si="96"/>
        <v/>
      </c>
      <c r="G130" s="7" t="str">
        <f t="shared" si="97"/>
        <v/>
      </c>
      <c r="H130" s="5" t="str">
        <f t="shared" si="98"/>
        <v/>
      </c>
      <c r="I130" s="122" t="str">
        <f t="shared" si="99"/>
        <v/>
      </c>
      <c r="J130" s="7" t="str">
        <f t="shared" si="100"/>
        <v/>
      </c>
      <c r="K130" s="9" t="str">
        <f t="shared" si="101"/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x14ac:dyDescent="0.2">
      <c r="A131" s="126"/>
      <c r="B131" s="4"/>
      <c r="C131" s="4"/>
      <c r="D131" s="7"/>
      <c r="E131" s="7"/>
      <c r="F131" s="8" t="str">
        <f t="shared" si="96"/>
        <v/>
      </c>
      <c r="G131" s="7" t="str">
        <f t="shared" si="97"/>
        <v/>
      </c>
      <c r="H131" s="5" t="str">
        <f t="shared" si="98"/>
        <v/>
      </c>
      <c r="I131" s="122" t="str">
        <f t="shared" si="99"/>
        <v/>
      </c>
      <c r="J131" s="7" t="str">
        <f t="shared" si="100"/>
        <v/>
      </c>
      <c r="K131" s="9" t="str">
        <f t="shared" si="101"/>
        <v/>
      </c>
      <c r="L131" s="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x14ac:dyDescent="0.2">
      <c r="A132" s="126"/>
      <c r="B132" s="4"/>
      <c r="C132" s="4"/>
      <c r="D132" s="7"/>
      <c r="E132" s="7"/>
      <c r="F132" s="8" t="str">
        <f t="shared" si="96"/>
        <v/>
      </c>
      <c r="G132" s="7" t="str">
        <f t="shared" si="97"/>
        <v/>
      </c>
      <c r="H132" s="5" t="str">
        <f t="shared" si="98"/>
        <v/>
      </c>
      <c r="I132" s="122" t="str">
        <f t="shared" si="99"/>
        <v/>
      </c>
      <c r="J132" s="7" t="str">
        <f t="shared" si="100"/>
        <v/>
      </c>
      <c r="K132" s="9" t="str">
        <f t="shared" si="101"/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">
      <c r="A133" s="126"/>
      <c r="B133" s="4"/>
      <c r="C133" s="4"/>
      <c r="D133" s="7"/>
      <c r="E133" s="7"/>
      <c r="F133" s="8" t="str">
        <f t="shared" ref="F133" si="186">IF(ISBLANK(B133),"",IF(I133="L","Baixa",IF(I133="A","Média",IF(I133="","","Alta"))))</f>
        <v/>
      </c>
      <c r="G133" s="7" t="str">
        <f t="shared" ref="G133" si="187">CONCATENATE(B133,I133)</f>
        <v/>
      </c>
      <c r="H133" s="5" t="str">
        <f t="shared" ref="H133" si="188">IF(ISBLANK(B133),"",IF(B133="ALI",IF(I133="L",7,IF(I133="A",10,15)),IF(B133="AIE",IF(I133="L",5,IF(I133="A",7,10)),IF(B133="SE",IF(I133="L",4,IF(I133="A",5,7)),IF(OR(B133="EE",B133="CE"),IF(I133="L",3,IF(I133="A",4,6)),0)))))</f>
        <v/>
      </c>
      <c r="I133" s="122" t="str">
        <f t="shared" ref="I133" si="189">IF(OR(ISBLANK(D133),ISBLANK(E133)),IF(OR(B133="ALI",B133="AIE"),"L",IF(OR(B133="EE",B133="SE",B133="CE"),"A","")),IF(B133="EE",IF(E133&gt;=3,IF(D133&gt;=5,"H","A"),IF(E133&gt;=2,IF(D133&gt;=16,"H",IF(D133&lt;=4,"L","A")),IF(D133&lt;=15,"L","A"))),IF(OR(B133="SE",B133="CE"),IF(E133&gt;=4,IF(D133&gt;=6,"H","A"),IF(E133&gt;=2,IF(D133&gt;=20,"H",IF(D133&lt;=5,"L","A")),IF(D133&lt;=19,"L","A"))),IF(OR(B133="ALI",B133="AIE"),IF(E133&gt;=6,IF(D133&gt;=20,"H","A"),IF(E133&gt;=2,IF(D133&gt;=51,"H",IF(D133&lt;=19,"L","A")),IF(D133&lt;=50,"L","A"))),""))))</f>
        <v/>
      </c>
      <c r="J133" s="7" t="str">
        <f t="shared" ref="J133" si="190">CONCATENATE(B133,C133)</f>
        <v/>
      </c>
      <c r="K133" s="9" t="str">
        <f t="shared" ref="K133" si="191">IF(OR(H133="",H133=0),L133,H133)</f>
        <v/>
      </c>
      <c r="L133" s="9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10"/>
      <c r="N133" s="10"/>
      <c r="O133" s="6"/>
    </row>
    <row r="134" spans="1:15" x14ac:dyDescent="0.2">
      <c r="A134" s="126"/>
      <c r="B134" s="4"/>
      <c r="C134" s="4"/>
      <c r="D134" s="7"/>
      <c r="E134" s="7"/>
      <c r="F134" s="8" t="str">
        <f t="shared" si="96"/>
        <v/>
      </c>
      <c r="G134" s="7" t="str">
        <f t="shared" si="97"/>
        <v/>
      </c>
      <c r="H134" s="5" t="str">
        <f t="shared" si="98"/>
        <v/>
      </c>
      <c r="I134" s="122" t="str">
        <f t="shared" si="99"/>
        <v/>
      </c>
      <c r="J134" s="7" t="str">
        <f t="shared" si="100"/>
        <v/>
      </c>
      <c r="K134" s="9" t="str">
        <f t="shared" si="101"/>
        <v/>
      </c>
      <c r="L134" s="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/>
      <c r="N134" s="10"/>
      <c r="O134" s="6"/>
    </row>
    <row r="135" spans="1:15" x14ac:dyDescent="0.2">
      <c r="A135" s="126"/>
      <c r="B135" s="4"/>
      <c r="C135" s="4"/>
      <c r="D135" s="7"/>
      <c r="E135" s="7"/>
      <c r="F135" s="8" t="str">
        <f t="shared" si="96"/>
        <v/>
      </c>
      <c r="G135" s="7" t="str">
        <f t="shared" si="97"/>
        <v/>
      </c>
      <c r="H135" s="5" t="str">
        <f t="shared" si="98"/>
        <v/>
      </c>
      <c r="I135" s="122" t="str">
        <f t="shared" si="99"/>
        <v/>
      </c>
      <c r="J135" s="7" t="str">
        <f t="shared" si="100"/>
        <v/>
      </c>
      <c r="K135" s="9" t="str">
        <f t="shared" si="101"/>
        <v/>
      </c>
      <c r="L135" s="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/>
      <c r="N135" s="10"/>
      <c r="O135" s="6"/>
    </row>
    <row r="136" spans="1:15" x14ac:dyDescent="0.2">
      <c r="A136" s="126"/>
      <c r="B136" s="4"/>
      <c r="C136" s="4"/>
      <c r="D136" s="7"/>
      <c r="E136" s="7"/>
      <c r="F136" s="8" t="str">
        <f t="shared" si="96"/>
        <v/>
      </c>
      <c r="G136" s="7" t="str">
        <f t="shared" si="97"/>
        <v/>
      </c>
      <c r="H136" s="5" t="str">
        <f t="shared" si="98"/>
        <v/>
      </c>
      <c r="I136" s="122" t="str">
        <f t="shared" si="99"/>
        <v/>
      </c>
      <c r="J136" s="7" t="str">
        <f t="shared" si="100"/>
        <v/>
      </c>
      <c r="K136" s="9" t="str">
        <f t="shared" si="101"/>
        <v/>
      </c>
      <c r="L136" s="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/>
      <c r="N136" s="10"/>
      <c r="O136" s="6"/>
    </row>
    <row r="137" spans="1:15" x14ac:dyDescent="0.2">
      <c r="A137" s="128"/>
      <c r="B137" s="4"/>
      <c r="C137" s="4"/>
      <c r="D137" s="7"/>
      <c r="E137" s="7"/>
      <c r="F137" s="8" t="str">
        <f t="shared" si="96"/>
        <v/>
      </c>
      <c r="G137" s="7" t="str">
        <f t="shared" si="97"/>
        <v/>
      </c>
      <c r="H137" s="5" t="str">
        <f t="shared" si="98"/>
        <v/>
      </c>
      <c r="I137" s="122" t="str">
        <f t="shared" si="99"/>
        <v/>
      </c>
      <c r="J137" s="7" t="str">
        <f t="shared" si="100"/>
        <v/>
      </c>
      <c r="K137" s="9" t="str">
        <f t="shared" si="101"/>
        <v/>
      </c>
      <c r="L137" s="9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"/>
      <c r="N137" s="10"/>
      <c r="O137" s="6"/>
    </row>
    <row r="138" spans="1:15" x14ac:dyDescent="0.2">
      <c r="A138" s="126"/>
      <c r="B138" s="4"/>
      <c r="C138" s="4"/>
      <c r="D138" s="7"/>
      <c r="E138" s="7"/>
      <c r="F138" s="8" t="str">
        <f t="shared" si="96"/>
        <v/>
      </c>
      <c r="G138" s="7" t="str">
        <f t="shared" si="97"/>
        <v/>
      </c>
      <c r="H138" s="5" t="str">
        <f t="shared" si="98"/>
        <v/>
      </c>
      <c r="I138" s="122" t="str">
        <f t="shared" si="99"/>
        <v/>
      </c>
      <c r="J138" s="7" t="str">
        <f t="shared" si="100"/>
        <v/>
      </c>
      <c r="K138" s="9" t="str">
        <f t="shared" si="101"/>
        <v/>
      </c>
      <c r="L138" s="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/>
      <c r="N138" s="10"/>
      <c r="O138" s="6"/>
    </row>
    <row r="139" spans="1:15" x14ac:dyDescent="0.2">
      <c r="A139" s="126"/>
      <c r="B139" s="4"/>
      <c r="C139" s="4"/>
      <c r="D139" s="7"/>
      <c r="E139" s="7"/>
      <c r="F139" s="8" t="str">
        <f t="shared" si="96"/>
        <v/>
      </c>
      <c r="G139" s="7" t="str">
        <f t="shared" si="97"/>
        <v/>
      </c>
      <c r="H139" s="5" t="str">
        <f t="shared" si="98"/>
        <v/>
      </c>
      <c r="I139" s="122" t="str">
        <f t="shared" si="99"/>
        <v/>
      </c>
      <c r="J139" s="7" t="str">
        <f t="shared" si="100"/>
        <v/>
      </c>
      <c r="K139" s="9" t="str">
        <f t="shared" si="101"/>
        <v/>
      </c>
      <c r="L139" s="9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10"/>
      <c r="N139" s="10"/>
      <c r="O139" s="6"/>
    </row>
    <row r="140" spans="1:15" x14ac:dyDescent="0.2">
      <c r="A140" s="126"/>
      <c r="B140" s="4"/>
      <c r="C140" s="4"/>
      <c r="D140" s="7"/>
      <c r="E140" s="7"/>
      <c r="F140" s="8" t="str">
        <f t="shared" si="96"/>
        <v/>
      </c>
      <c r="G140" s="7" t="str">
        <f t="shared" si="97"/>
        <v/>
      </c>
      <c r="H140" s="5" t="str">
        <f t="shared" si="98"/>
        <v/>
      </c>
      <c r="I140" s="122" t="str">
        <f t="shared" si="99"/>
        <v/>
      </c>
      <c r="J140" s="7" t="str">
        <f t="shared" si="100"/>
        <v/>
      </c>
      <c r="K140" s="9" t="str">
        <f t="shared" si="101"/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">
      <c r="A141" s="126"/>
      <c r="B141" s="4"/>
      <c r="C141" s="4"/>
      <c r="D141" s="7"/>
      <c r="E141" s="7"/>
      <c r="F141" s="8" t="str">
        <f t="shared" si="96"/>
        <v/>
      </c>
      <c r="G141" s="7" t="str">
        <f t="shared" si="97"/>
        <v/>
      </c>
      <c r="H141" s="5" t="str">
        <f t="shared" si="98"/>
        <v/>
      </c>
      <c r="I141" s="122" t="str">
        <f t="shared" si="99"/>
        <v/>
      </c>
      <c r="J141" s="7" t="str">
        <f t="shared" si="100"/>
        <v/>
      </c>
      <c r="K141" s="9" t="str">
        <f t="shared" si="101"/>
        <v/>
      </c>
      <c r="L141" s="9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/>
      <c r="N141" s="10"/>
      <c r="O141" s="6"/>
    </row>
    <row r="142" spans="1:15" x14ac:dyDescent="0.2">
      <c r="A142" s="126"/>
      <c r="B142" s="4"/>
      <c r="C142" s="4"/>
      <c r="D142" s="7"/>
      <c r="E142" s="7"/>
      <c r="F142" s="8" t="str">
        <f t="shared" si="96"/>
        <v/>
      </c>
      <c r="G142" s="7" t="str">
        <f t="shared" si="97"/>
        <v/>
      </c>
      <c r="H142" s="5" t="str">
        <f t="shared" si="98"/>
        <v/>
      </c>
      <c r="I142" s="122" t="str">
        <f t="shared" si="99"/>
        <v/>
      </c>
      <c r="J142" s="7" t="str">
        <f t="shared" si="100"/>
        <v/>
      </c>
      <c r="K142" s="9" t="str">
        <f t="shared" si="101"/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">
      <c r="A143" s="126"/>
      <c r="B143" s="4"/>
      <c r="C143" s="4"/>
      <c r="D143" s="7"/>
      <c r="E143" s="7"/>
      <c r="F143" s="8" t="str">
        <f t="shared" si="96"/>
        <v/>
      </c>
      <c r="G143" s="7" t="str">
        <f t="shared" si="97"/>
        <v/>
      </c>
      <c r="H143" s="5" t="str">
        <f t="shared" si="98"/>
        <v/>
      </c>
      <c r="I143" s="122" t="str">
        <f t="shared" si="99"/>
        <v/>
      </c>
      <c r="J143" s="7" t="str">
        <f t="shared" si="100"/>
        <v/>
      </c>
      <c r="K143" s="9" t="str">
        <f t="shared" si="101"/>
        <v/>
      </c>
      <c r="L143" s="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/>
      <c r="N143" s="10"/>
      <c r="O143" s="6"/>
    </row>
    <row r="144" spans="1:15" x14ac:dyDescent="0.2">
      <c r="A144" s="126"/>
      <c r="B144" s="4"/>
      <c r="C144" s="4"/>
      <c r="D144" s="7"/>
      <c r="E144" s="7"/>
      <c r="F144" s="8" t="str">
        <f t="shared" si="96"/>
        <v/>
      </c>
      <c r="G144" s="7" t="str">
        <f t="shared" si="97"/>
        <v/>
      </c>
      <c r="H144" s="5" t="str">
        <f t="shared" si="98"/>
        <v/>
      </c>
      <c r="I144" s="122" t="str">
        <f t="shared" si="99"/>
        <v/>
      </c>
      <c r="J144" s="7" t="str">
        <f t="shared" si="100"/>
        <v/>
      </c>
      <c r="K144" s="9" t="str">
        <f t="shared" si="101"/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8"/>
      <c r="B145" s="4"/>
      <c r="C145" s="4"/>
      <c r="D145" s="7"/>
      <c r="E145" s="7"/>
      <c r="F145" s="8" t="str">
        <f t="shared" si="96"/>
        <v/>
      </c>
      <c r="G145" s="7" t="str">
        <f t="shared" si="97"/>
        <v/>
      </c>
      <c r="H145" s="5" t="str">
        <f t="shared" si="98"/>
        <v/>
      </c>
      <c r="I145" s="122" t="str">
        <f t="shared" si="99"/>
        <v/>
      </c>
      <c r="J145" s="7" t="str">
        <f t="shared" si="100"/>
        <v/>
      </c>
      <c r="K145" s="9" t="str">
        <f t="shared" si="101"/>
        <v/>
      </c>
      <c r="L145" s="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/>
      <c r="N145" s="10"/>
      <c r="O145" s="6"/>
    </row>
    <row r="146" spans="1:15" x14ac:dyDescent="0.2">
      <c r="A146" s="126"/>
      <c r="B146" s="4"/>
      <c r="C146" s="4"/>
      <c r="D146" s="7"/>
      <c r="E146" s="7"/>
      <c r="F146" s="8" t="str">
        <f t="shared" si="96"/>
        <v/>
      </c>
      <c r="G146" s="7" t="str">
        <f t="shared" si="97"/>
        <v/>
      </c>
      <c r="H146" s="5" t="str">
        <f t="shared" si="98"/>
        <v/>
      </c>
      <c r="I146" s="122" t="str">
        <f t="shared" si="99"/>
        <v/>
      </c>
      <c r="J146" s="7" t="str">
        <f t="shared" si="100"/>
        <v/>
      </c>
      <c r="K146" s="9" t="str">
        <f t="shared" si="101"/>
        <v/>
      </c>
      <c r="L146" s="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/>
      <c r="N146" s="10"/>
      <c r="O146" s="6"/>
    </row>
    <row r="147" spans="1:15" x14ac:dyDescent="0.2">
      <c r="A147" s="126"/>
      <c r="B147" s="4"/>
      <c r="C147" s="4"/>
      <c r="D147" s="7"/>
      <c r="E147" s="7"/>
      <c r="F147" s="8" t="str">
        <f t="shared" si="96"/>
        <v/>
      </c>
      <c r="G147" s="7" t="str">
        <f t="shared" si="97"/>
        <v/>
      </c>
      <c r="H147" s="5" t="str">
        <f t="shared" si="98"/>
        <v/>
      </c>
      <c r="I147" s="122" t="str">
        <f t="shared" si="99"/>
        <v/>
      </c>
      <c r="J147" s="7" t="str">
        <f t="shared" si="100"/>
        <v/>
      </c>
      <c r="K147" s="9" t="str">
        <f t="shared" si="101"/>
        <v/>
      </c>
      <c r="L147" s="9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10"/>
      <c r="N147" s="10"/>
      <c r="O147" s="6"/>
    </row>
    <row r="148" spans="1:15" x14ac:dyDescent="0.2">
      <c r="A148" s="126"/>
      <c r="B148" s="4"/>
      <c r="C148" s="4"/>
      <c r="D148" s="7"/>
      <c r="E148" s="7"/>
      <c r="F148" s="8" t="str">
        <f t="shared" si="96"/>
        <v/>
      </c>
      <c r="G148" s="7" t="str">
        <f t="shared" si="97"/>
        <v/>
      </c>
      <c r="H148" s="5" t="str">
        <f t="shared" si="98"/>
        <v/>
      </c>
      <c r="I148" s="122" t="str">
        <f t="shared" si="99"/>
        <v/>
      </c>
      <c r="J148" s="7" t="str">
        <f t="shared" si="100"/>
        <v/>
      </c>
      <c r="K148" s="9" t="str">
        <f t="shared" si="101"/>
        <v/>
      </c>
      <c r="L148" s="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/>
      <c r="N148" s="10"/>
      <c r="O148" s="6"/>
    </row>
    <row r="149" spans="1:15" x14ac:dyDescent="0.2">
      <c r="A149" s="126"/>
      <c r="B149" s="4"/>
      <c r="C149" s="4"/>
      <c r="D149" s="7"/>
      <c r="E149" s="7"/>
      <c r="F149" s="8" t="str">
        <f t="shared" ref="F149:F217" si="192">IF(ISBLANK(B149),"",IF(I149="L","Baixa",IF(I149="A","Média",IF(I149="","","Alta"))))</f>
        <v/>
      </c>
      <c r="G149" s="7" t="str">
        <f t="shared" ref="G149:G217" si="193">CONCATENATE(B149,I149)</f>
        <v/>
      </c>
      <c r="H149" s="5" t="str">
        <f t="shared" ref="H149:H217" si="194">IF(ISBLANK(B149),"",IF(B149="ALI",IF(I149="L",7,IF(I149="A",10,15)),IF(B149="AIE",IF(I149="L",5,IF(I149="A",7,10)),IF(B149="SE",IF(I149="L",4,IF(I149="A",5,7)),IF(OR(B149="EE",B149="CE"),IF(I149="L",3,IF(I149="A",4,6)),0)))))</f>
        <v/>
      </c>
      <c r="I149" s="122" t="str">
        <f t="shared" ref="I149:I217" si="195">IF(OR(ISBLANK(D149),ISBLANK(E149)),IF(OR(B149="ALI",B149="AIE"),"L",IF(OR(B149="EE",B149="SE",B149="CE"),"A","")),IF(B149="EE",IF(E149&gt;=3,IF(D149&gt;=5,"H","A"),IF(E149&gt;=2,IF(D149&gt;=16,"H",IF(D149&lt;=4,"L","A")),IF(D149&lt;=15,"L","A"))),IF(OR(B149="SE",B149="CE"),IF(E149&gt;=4,IF(D149&gt;=6,"H","A"),IF(E149&gt;=2,IF(D149&gt;=20,"H",IF(D149&lt;=5,"L","A")),IF(D149&lt;=19,"L","A"))),IF(OR(B149="ALI",B149="AIE"),IF(E149&gt;=6,IF(D149&gt;=20,"H","A"),IF(E149&gt;=2,IF(D149&gt;=51,"H",IF(D149&lt;=19,"L","A")),IF(D149&lt;=50,"L","A"))),""))))</f>
        <v/>
      </c>
      <c r="J149" s="7" t="str">
        <f t="shared" ref="J149:J217" si="196">CONCATENATE(B149,C149)</f>
        <v/>
      </c>
      <c r="K149" s="9" t="str">
        <f t="shared" si="101"/>
        <v/>
      </c>
      <c r="L149" s="9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10"/>
      <c r="N149" s="10"/>
      <c r="O149" s="6"/>
    </row>
    <row r="150" spans="1:15" x14ac:dyDescent="0.2">
      <c r="A150" s="126"/>
      <c r="B150" s="4"/>
      <c r="C150" s="4"/>
      <c r="D150" s="7"/>
      <c r="E150" s="7"/>
      <c r="F150" s="8" t="str">
        <f t="shared" si="192"/>
        <v/>
      </c>
      <c r="G150" s="7" t="str">
        <f t="shared" si="193"/>
        <v/>
      </c>
      <c r="H150" s="5" t="str">
        <f t="shared" si="194"/>
        <v/>
      </c>
      <c r="I150" s="122" t="str">
        <f t="shared" si="195"/>
        <v/>
      </c>
      <c r="J150" s="7" t="str">
        <f t="shared" si="196"/>
        <v/>
      </c>
      <c r="K150" s="9" t="str">
        <f t="shared" si="101"/>
        <v/>
      </c>
      <c r="L150" s="9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"/>
      <c r="N150" s="10"/>
      <c r="O150" s="6"/>
    </row>
    <row r="151" spans="1:15" x14ac:dyDescent="0.2">
      <c r="A151" s="126"/>
      <c r="B151" s="4"/>
      <c r="C151" s="4"/>
      <c r="D151" s="7"/>
      <c r="E151" s="7"/>
      <c r="F151" s="8" t="str">
        <f t="shared" si="192"/>
        <v/>
      </c>
      <c r="G151" s="7" t="str">
        <f t="shared" si="193"/>
        <v/>
      </c>
      <c r="H151" s="5" t="str">
        <f t="shared" si="194"/>
        <v/>
      </c>
      <c r="I151" s="122" t="str">
        <f t="shared" si="195"/>
        <v/>
      </c>
      <c r="J151" s="7" t="str">
        <f t="shared" si="196"/>
        <v/>
      </c>
      <c r="K151" s="9" t="str">
        <f t="shared" ref="K151:K226" si="197">IF(OR(H151="",H151=0),L151,H151)</f>
        <v/>
      </c>
      <c r="L151" s="9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10"/>
      <c r="N151" s="10"/>
      <c r="O151" s="6"/>
    </row>
    <row r="152" spans="1:15" x14ac:dyDescent="0.2">
      <c r="A152" s="126"/>
      <c r="B152" s="4"/>
      <c r="C152" s="4"/>
      <c r="D152" s="7"/>
      <c r="E152" s="7"/>
      <c r="F152" s="8" t="str">
        <f t="shared" si="192"/>
        <v/>
      </c>
      <c r="G152" s="7" t="str">
        <f t="shared" si="193"/>
        <v/>
      </c>
      <c r="H152" s="5" t="str">
        <f t="shared" si="194"/>
        <v/>
      </c>
      <c r="I152" s="122" t="str">
        <f t="shared" si="195"/>
        <v/>
      </c>
      <c r="J152" s="7" t="str">
        <f t="shared" si="196"/>
        <v/>
      </c>
      <c r="K152" s="9" t="str">
        <f t="shared" si="197"/>
        <v/>
      </c>
      <c r="L152" s="9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10"/>
      <c r="N152" s="10"/>
      <c r="O152" s="6"/>
    </row>
    <row r="153" spans="1:15" x14ac:dyDescent="0.2">
      <c r="A153" s="128"/>
      <c r="B153" s="4"/>
      <c r="C153" s="4"/>
      <c r="D153" s="7"/>
      <c r="E153" s="7"/>
      <c r="F153" s="8" t="str">
        <f t="shared" ref="F153" si="198">IF(ISBLANK(B153),"",IF(I153="L","Baixa",IF(I153="A","Média",IF(I153="","","Alta"))))</f>
        <v/>
      </c>
      <c r="G153" s="7" t="str">
        <f t="shared" ref="G153" si="199">CONCATENATE(B153,I153)</f>
        <v/>
      </c>
      <c r="H153" s="5" t="str">
        <f t="shared" ref="H153" si="200">IF(ISBLANK(B153),"",IF(B153="ALI",IF(I153="L",7,IF(I153="A",10,15)),IF(B153="AIE",IF(I153="L",5,IF(I153="A",7,10)),IF(B153="SE",IF(I153="L",4,IF(I153="A",5,7)),IF(OR(B153="EE",B153="CE"),IF(I153="L",3,IF(I153="A",4,6)),0)))))</f>
        <v/>
      </c>
      <c r="I153" s="122" t="str">
        <f t="shared" ref="I153" si="201">IF(OR(ISBLANK(D153),ISBLANK(E153)),IF(OR(B153="ALI",B153="AIE"),"L",IF(OR(B153="EE",B153="SE",B153="CE"),"A","")),IF(B153="EE",IF(E153&gt;=3,IF(D153&gt;=5,"H","A"),IF(E153&gt;=2,IF(D153&gt;=16,"H",IF(D153&lt;=4,"L","A")),IF(D153&lt;=15,"L","A"))),IF(OR(B153="SE",B153="CE"),IF(E153&gt;=4,IF(D153&gt;=6,"H","A"),IF(E153&gt;=2,IF(D153&gt;=20,"H",IF(D153&lt;=5,"L","A")),IF(D153&lt;=19,"L","A"))),IF(OR(B153="ALI",B153="AIE"),IF(E153&gt;=6,IF(D153&gt;=20,"H","A"),IF(E153&gt;=2,IF(D153&gt;=51,"H",IF(D153&lt;=19,"L","A")),IF(D153&lt;=50,"L","A"))),""))))</f>
        <v/>
      </c>
      <c r="J153" s="7" t="str">
        <f t="shared" ref="J153" si="202">CONCATENATE(B153,C153)</f>
        <v/>
      </c>
      <c r="K153" s="9" t="str">
        <f t="shared" ref="K153" si="203">IF(OR(H153="",H153=0),L153,H153)</f>
        <v/>
      </c>
      <c r="L153" s="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/>
      <c r="N153" s="10"/>
      <c r="O153" s="6"/>
    </row>
    <row r="154" spans="1:15" x14ac:dyDescent="0.2">
      <c r="A154" s="126"/>
      <c r="B154" s="4"/>
      <c r="C154" s="4"/>
      <c r="D154" s="7"/>
      <c r="E154" s="7"/>
      <c r="F154" s="8" t="str">
        <f t="shared" si="192"/>
        <v/>
      </c>
      <c r="G154" s="7" t="str">
        <f t="shared" si="193"/>
        <v/>
      </c>
      <c r="H154" s="5" t="str">
        <f t="shared" si="194"/>
        <v/>
      </c>
      <c r="I154" s="122" t="str">
        <f t="shared" si="195"/>
        <v/>
      </c>
      <c r="J154" s="7" t="str">
        <f t="shared" si="196"/>
        <v/>
      </c>
      <c r="K154" s="9" t="str">
        <f t="shared" si="197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6"/>
      <c r="B155" s="4"/>
      <c r="C155" s="4"/>
      <c r="D155" s="7"/>
      <c r="E155" s="7"/>
      <c r="F155" s="8" t="str">
        <f t="shared" si="192"/>
        <v/>
      </c>
      <c r="G155" s="7" t="str">
        <f t="shared" si="193"/>
        <v/>
      </c>
      <c r="H155" s="5" t="str">
        <f t="shared" si="194"/>
        <v/>
      </c>
      <c r="I155" s="122" t="str">
        <f t="shared" si="195"/>
        <v/>
      </c>
      <c r="J155" s="7" t="str">
        <f t="shared" si="196"/>
        <v/>
      </c>
      <c r="K155" s="9" t="str">
        <f t="shared" si="197"/>
        <v/>
      </c>
      <c r="L155" s="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/>
      <c r="N155" s="10"/>
      <c r="O155" s="6"/>
    </row>
    <row r="156" spans="1:15" x14ac:dyDescent="0.2">
      <c r="A156" s="126"/>
      <c r="B156" s="4"/>
      <c r="C156" s="4"/>
      <c r="D156" s="7"/>
      <c r="E156" s="7"/>
      <c r="F156" s="8" t="str">
        <f t="shared" si="192"/>
        <v/>
      </c>
      <c r="G156" s="7" t="str">
        <f t="shared" si="193"/>
        <v/>
      </c>
      <c r="H156" s="5" t="str">
        <f t="shared" si="194"/>
        <v/>
      </c>
      <c r="I156" s="122" t="str">
        <f t="shared" si="195"/>
        <v/>
      </c>
      <c r="J156" s="7" t="str">
        <f t="shared" si="196"/>
        <v/>
      </c>
      <c r="K156" s="9" t="str">
        <f t="shared" si="197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">
      <c r="A157" s="126"/>
      <c r="B157" s="4"/>
      <c r="C157" s="4"/>
      <c r="D157" s="7"/>
      <c r="E157" s="7"/>
      <c r="F157" s="8" t="str">
        <f t="shared" si="192"/>
        <v/>
      </c>
      <c r="G157" s="7" t="str">
        <f t="shared" si="193"/>
        <v/>
      </c>
      <c r="H157" s="5" t="str">
        <f t="shared" si="194"/>
        <v/>
      </c>
      <c r="I157" s="122" t="str">
        <f t="shared" si="195"/>
        <v/>
      </c>
      <c r="J157" s="7" t="str">
        <f t="shared" si="196"/>
        <v/>
      </c>
      <c r="K157" s="9" t="str">
        <f t="shared" si="197"/>
        <v/>
      </c>
      <c r="L157" s="9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/>
      <c r="N157" s="10"/>
      <c r="O157" s="6"/>
    </row>
    <row r="158" spans="1:15" x14ac:dyDescent="0.2">
      <c r="A158" s="126"/>
      <c r="B158" s="4"/>
      <c r="C158" s="4"/>
      <c r="D158" s="7"/>
      <c r="E158" s="7"/>
      <c r="F158" s="8" t="str">
        <f t="shared" si="192"/>
        <v/>
      </c>
      <c r="G158" s="7" t="str">
        <f t="shared" si="193"/>
        <v/>
      </c>
      <c r="H158" s="5" t="str">
        <f t="shared" si="194"/>
        <v/>
      </c>
      <c r="I158" s="122" t="str">
        <f t="shared" si="195"/>
        <v/>
      </c>
      <c r="J158" s="7" t="str">
        <f t="shared" si="196"/>
        <v/>
      </c>
      <c r="K158" s="9" t="str">
        <f t="shared" si="197"/>
        <v/>
      </c>
      <c r="L158" s="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">
      <c r="A159" s="126"/>
      <c r="B159" s="4"/>
      <c r="C159" s="4"/>
      <c r="D159" s="7"/>
      <c r="E159" s="7"/>
      <c r="F159" s="8" t="str">
        <f t="shared" si="192"/>
        <v/>
      </c>
      <c r="G159" s="7" t="str">
        <f t="shared" si="193"/>
        <v/>
      </c>
      <c r="H159" s="5" t="str">
        <f t="shared" si="194"/>
        <v/>
      </c>
      <c r="I159" s="122" t="str">
        <f t="shared" si="195"/>
        <v/>
      </c>
      <c r="J159" s="7" t="str">
        <f t="shared" si="196"/>
        <v/>
      </c>
      <c r="K159" s="9" t="str">
        <f t="shared" si="197"/>
        <v/>
      </c>
      <c r="L159" s="9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10"/>
      <c r="N159" s="10"/>
      <c r="O159" s="6"/>
    </row>
    <row r="160" spans="1:15" x14ac:dyDescent="0.2">
      <c r="A160" s="126"/>
      <c r="B160" s="4"/>
      <c r="C160" s="4"/>
      <c r="D160" s="7"/>
      <c r="E160" s="7"/>
      <c r="F160" s="8" t="str">
        <f t="shared" si="192"/>
        <v/>
      </c>
      <c r="G160" s="7" t="str">
        <f t="shared" si="193"/>
        <v/>
      </c>
      <c r="H160" s="5" t="str">
        <f t="shared" si="194"/>
        <v/>
      </c>
      <c r="I160" s="122" t="str">
        <f t="shared" si="195"/>
        <v/>
      </c>
      <c r="J160" s="7" t="str">
        <f t="shared" si="196"/>
        <v/>
      </c>
      <c r="K160" s="9" t="str">
        <f t="shared" si="197"/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">
      <c r="A161" s="128"/>
      <c r="B161" s="4"/>
      <c r="C161" s="4"/>
      <c r="D161" s="7"/>
      <c r="E161" s="7"/>
      <c r="F161" s="8" t="str">
        <f t="shared" si="192"/>
        <v/>
      </c>
      <c r="G161" s="7" t="str">
        <f t="shared" si="193"/>
        <v/>
      </c>
      <c r="H161" s="5" t="str">
        <f t="shared" si="194"/>
        <v/>
      </c>
      <c r="I161" s="122" t="str">
        <f t="shared" si="195"/>
        <v/>
      </c>
      <c r="J161" s="7" t="str">
        <f t="shared" si="196"/>
        <v/>
      </c>
      <c r="K161" s="9" t="str">
        <f t="shared" si="197"/>
        <v/>
      </c>
      <c r="L161" s="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/>
      <c r="N161" s="10"/>
      <c r="O161" s="6"/>
    </row>
    <row r="162" spans="1:15" x14ac:dyDescent="0.2">
      <c r="A162" s="126"/>
      <c r="B162" s="4"/>
      <c r="C162" s="4"/>
      <c r="D162" s="7"/>
      <c r="E162" s="7"/>
      <c r="F162" s="8" t="str">
        <f t="shared" si="192"/>
        <v/>
      </c>
      <c r="G162" s="7" t="str">
        <f t="shared" si="193"/>
        <v/>
      </c>
      <c r="H162" s="5" t="str">
        <f t="shared" si="194"/>
        <v/>
      </c>
      <c r="I162" s="122" t="str">
        <f t="shared" si="195"/>
        <v/>
      </c>
      <c r="J162" s="7" t="str">
        <f t="shared" si="196"/>
        <v/>
      </c>
      <c r="K162" s="9" t="str">
        <f t="shared" si="197"/>
        <v/>
      </c>
      <c r="L162" s="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/>
      <c r="N162" s="10"/>
      <c r="O162" s="6"/>
    </row>
    <row r="163" spans="1:15" x14ac:dyDescent="0.2">
      <c r="A163" s="126"/>
      <c r="B163" s="4"/>
      <c r="C163" s="4"/>
      <c r="D163" s="7"/>
      <c r="E163" s="7"/>
      <c r="F163" s="8" t="str">
        <f t="shared" si="192"/>
        <v/>
      </c>
      <c r="G163" s="7" t="str">
        <f t="shared" si="193"/>
        <v/>
      </c>
      <c r="H163" s="5" t="str">
        <f t="shared" si="194"/>
        <v/>
      </c>
      <c r="I163" s="122" t="str">
        <f t="shared" si="195"/>
        <v/>
      </c>
      <c r="J163" s="7" t="str">
        <f t="shared" si="196"/>
        <v/>
      </c>
      <c r="K163" s="9" t="str">
        <f t="shared" si="197"/>
        <v/>
      </c>
      <c r="L163" s="9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/>
      <c r="N163" s="10"/>
      <c r="O163" s="6"/>
    </row>
    <row r="164" spans="1:15" x14ac:dyDescent="0.2">
      <c r="A164" s="126"/>
      <c r="B164" s="4"/>
      <c r="C164" s="4"/>
      <c r="D164" s="7"/>
      <c r="E164" s="7"/>
      <c r="F164" s="8" t="str">
        <f t="shared" si="192"/>
        <v/>
      </c>
      <c r="G164" s="7" t="str">
        <f t="shared" si="193"/>
        <v/>
      </c>
      <c r="H164" s="5" t="str">
        <f t="shared" si="194"/>
        <v/>
      </c>
      <c r="I164" s="122" t="str">
        <f t="shared" si="195"/>
        <v/>
      </c>
      <c r="J164" s="7" t="str">
        <f t="shared" si="196"/>
        <v/>
      </c>
      <c r="K164" s="9" t="str">
        <f t="shared" si="197"/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x14ac:dyDescent="0.2">
      <c r="A165" s="126"/>
      <c r="B165" s="4"/>
      <c r="C165" s="4"/>
      <c r="D165" s="7"/>
      <c r="E165" s="7"/>
      <c r="F165" s="8" t="str">
        <f t="shared" si="192"/>
        <v/>
      </c>
      <c r="G165" s="7" t="str">
        <f t="shared" si="193"/>
        <v/>
      </c>
      <c r="H165" s="5" t="str">
        <f t="shared" si="194"/>
        <v/>
      </c>
      <c r="I165" s="122" t="str">
        <f t="shared" si="195"/>
        <v/>
      </c>
      <c r="J165" s="7" t="str">
        <f t="shared" si="196"/>
        <v/>
      </c>
      <c r="K165" s="9" t="str">
        <f t="shared" si="197"/>
        <v/>
      </c>
      <c r="L165" s="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/>
      <c r="N165" s="10"/>
      <c r="O165" s="6"/>
    </row>
    <row r="166" spans="1:15" x14ac:dyDescent="0.2">
      <c r="A166" s="126"/>
      <c r="B166" s="4"/>
      <c r="C166" s="4"/>
      <c r="D166" s="7"/>
      <c r="E166" s="7"/>
      <c r="F166" s="8" t="str">
        <f t="shared" si="192"/>
        <v/>
      </c>
      <c r="G166" s="7" t="str">
        <f t="shared" si="193"/>
        <v/>
      </c>
      <c r="H166" s="5" t="str">
        <f t="shared" si="194"/>
        <v/>
      </c>
      <c r="I166" s="122" t="str">
        <f t="shared" si="195"/>
        <v/>
      </c>
      <c r="J166" s="7" t="str">
        <f t="shared" si="196"/>
        <v/>
      </c>
      <c r="K166" s="9" t="str">
        <f t="shared" si="197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">
      <c r="A167" s="126"/>
      <c r="B167" s="4"/>
      <c r="C167" s="4"/>
      <c r="D167" s="7"/>
      <c r="E167" s="7"/>
      <c r="F167" s="8" t="str">
        <f t="shared" si="192"/>
        <v/>
      </c>
      <c r="G167" s="7" t="str">
        <f t="shared" si="193"/>
        <v/>
      </c>
      <c r="H167" s="5" t="str">
        <f t="shared" si="194"/>
        <v/>
      </c>
      <c r="I167" s="122" t="str">
        <f t="shared" si="195"/>
        <v/>
      </c>
      <c r="J167" s="7" t="str">
        <f t="shared" si="196"/>
        <v/>
      </c>
      <c r="K167" s="9" t="str">
        <f t="shared" si="197"/>
        <v/>
      </c>
      <c r="L167" s="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/>
    </row>
    <row r="168" spans="1:15" x14ac:dyDescent="0.2">
      <c r="A168" s="126"/>
      <c r="B168" s="4"/>
      <c r="C168" s="4"/>
      <c r="D168" s="7"/>
      <c r="E168" s="7"/>
      <c r="F168" s="8" t="str">
        <f t="shared" si="192"/>
        <v/>
      </c>
      <c r="G168" s="7" t="str">
        <f t="shared" si="193"/>
        <v/>
      </c>
      <c r="H168" s="5" t="str">
        <f t="shared" si="194"/>
        <v/>
      </c>
      <c r="I168" s="122" t="str">
        <f t="shared" si="195"/>
        <v/>
      </c>
      <c r="J168" s="7" t="str">
        <f t="shared" si="196"/>
        <v/>
      </c>
      <c r="K168" s="9" t="str">
        <f t="shared" si="197"/>
        <v/>
      </c>
      <c r="L168" s="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">
      <c r="A169" s="126"/>
      <c r="B169" s="4"/>
      <c r="C169" s="4"/>
      <c r="D169" s="7"/>
      <c r="E169" s="7"/>
      <c r="F169" s="8" t="str">
        <f t="shared" si="192"/>
        <v/>
      </c>
      <c r="G169" s="7" t="str">
        <f t="shared" si="193"/>
        <v/>
      </c>
      <c r="H169" s="5" t="str">
        <f t="shared" si="194"/>
        <v/>
      </c>
      <c r="I169" s="122" t="str">
        <f t="shared" si="195"/>
        <v/>
      </c>
      <c r="J169" s="7" t="str">
        <f t="shared" si="196"/>
        <v/>
      </c>
      <c r="K169" s="9" t="str">
        <f t="shared" si="197"/>
        <v/>
      </c>
      <c r="L169" s="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">
      <c r="A170" s="126"/>
      <c r="B170" s="4"/>
      <c r="C170" s="4"/>
      <c r="D170" s="7"/>
      <c r="E170" s="7"/>
      <c r="F170" s="8" t="str">
        <f t="shared" si="192"/>
        <v/>
      </c>
      <c r="G170" s="7" t="str">
        <f t="shared" si="193"/>
        <v/>
      </c>
      <c r="H170" s="5" t="str">
        <f t="shared" si="194"/>
        <v/>
      </c>
      <c r="I170" s="122" t="str">
        <f t="shared" si="195"/>
        <v/>
      </c>
      <c r="J170" s="7" t="str">
        <f t="shared" si="196"/>
        <v/>
      </c>
      <c r="K170" s="9" t="str">
        <f t="shared" si="197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">
      <c r="A171" s="128"/>
      <c r="B171" s="4"/>
      <c r="C171" s="4"/>
      <c r="D171" s="7"/>
      <c r="E171" s="7"/>
      <c r="F171" s="8" t="str">
        <f t="shared" si="192"/>
        <v/>
      </c>
      <c r="G171" s="7" t="str">
        <f t="shared" si="193"/>
        <v/>
      </c>
      <c r="H171" s="5" t="str">
        <f t="shared" si="194"/>
        <v/>
      </c>
      <c r="I171" s="122" t="str">
        <f t="shared" si="195"/>
        <v/>
      </c>
      <c r="J171" s="7" t="str">
        <f t="shared" si="196"/>
        <v/>
      </c>
      <c r="K171" s="9" t="str">
        <f t="shared" si="197"/>
        <v/>
      </c>
      <c r="L171" s="9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10"/>
      <c r="N171" s="10"/>
      <c r="O171" s="6"/>
    </row>
    <row r="172" spans="1:15" x14ac:dyDescent="0.2">
      <c r="A172" s="126"/>
      <c r="B172" s="4"/>
      <c r="C172" s="4"/>
      <c r="D172" s="7"/>
      <c r="E172" s="7"/>
      <c r="F172" s="8" t="str">
        <f t="shared" si="192"/>
        <v/>
      </c>
      <c r="G172" s="7" t="str">
        <f t="shared" si="193"/>
        <v/>
      </c>
      <c r="H172" s="5" t="str">
        <f t="shared" si="194"/>
        <v/>
      </c>
      <c r="I172" s="122" t="str">
        <f t="shared" si="195"/>
        <v/>
      </c>
      <c r="J172" s="7" t="str">
        <f t="shared" si="196"/>
        <v/>
      </c>
      <c r="K172" s="9" t="str">
        <f t="shared" si="197"/>
        <v/>
      </c>
      <c r="L172" s="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/>
      <c r="N172" s="10"/>
      <c r="O172" s="6"/>
    </row>
    <row r="173" spans="1:15" x14ac:dyDescent="0.2">
      <c r="A173" s="126"/>
      <c r="B173" s="4"/>
      <c r="C173" s="4"/>
      <c r="D173" s="7"/>
      <c r="E173" s="7"/>
      <c r="F173" s="8" t="str">
        <f t="shared" si="192"/>
        <v/>
      </c>
      <c r="G173" s="7" t="str">
        <f t="shared" si="193"/>
        <v/>
      </c>
      <c r="H173" s="5" t="str">
        <f t="shared" si="194"/>
        <v/>
      </c>
      <c r="I173" s="122" t="str">
        <f t="shared" si="195"/>
        <v/>
      </c>
      <c r="J173" s="7" t="str">
        <f t="shared" si="196"/>
        <v/>
      </c>
      <c r="K173" s="9" t="str">
        <f t="shared" si="197"/>
        <v/>
      </c>
      <c r="L173" s="9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"/>
      <c r="N173" s="10"/>
      <c r="O173" s="6"/>
    </row>
    <row r="174" spans="1:15" x14ac:dyDescent="0.2">
      <c r="A174" s="126"/>
      <c r="B174" s="4"/>
      <c r="C174" s="4"/>
      <c r="D174" s="7"/>
      <c r="E174" s="7"/>
      <c r="F174" s="8" t="str">
        <f t="shared" si="192"/>
        <v/>
      </c>
      <c r="G174" s="7" t="str">
        <f t="shared" si="193"/>
        <v/>
      </c>
      <c r="H174" s="5" t="str">
        <f t="shared" si="194"/>
        <v/>
      </c>
      <c r="I174" s="122" t="str">
        <f t="shared" si="195"/>
        <v/>
      </c>
      <c r="J174" s="7" t="str">
        <f t="shared" si="196"/>
        <v/>
      </c>
      <c r="K174" s="9" t="str">
        <f t="shared" si="197"/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">
      <c r="A175" s="128"/>
      <c r="B175" s="4"/>
      <c r="C175" s="4"/>
      <c r="D175" s="7"/>
      <c r="E175" s="7"/>
      <c r="F175" s="8" t="str">
        <f t="shared" si="192"/>
        <v/>
      </c>
      <c r="G175" s="7" t="str">
        <f t="shared" si="193"/>
        <v/>
      </c>
      <c r="H175" s="5" t="str">
        <f t="shared" si="194"/>
        <v/>
      </c>
      <c r="I175" s="122" t="str">
        <f t="shared" si="195"/>
        <v/>
      </c>
      <c r="J175" s="7" t="str">
        <f t="shared" si="196"/>
        <v/>
      </c>
      <c r="K175" s="9" t="str">
        <f t="shared" si="197"/>
        <v/>
      </c>
      <c r="L175" s="9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10"/>
      <c r="N175" s="10"/>
      <c r="O175" s="6"/>
    </row>
    <row r="176" spans="1:15" x14ac:dyDescent="0.2">
      <c r="A176" s="126"/>
      <c r="B176" s="4"/>
      <c r="C176" s="4"/>
      <c r="D176" s="7"/>
      <c r="E176" s="7"/>
      <c r="F176" s="8" t="str">
        <f t="shared" si="192"/>
        <v/>
      </c>
      <c r="G176" s="7" t="str">
        <f t="shared" si="193"/>
        <v/>
      </c>
      <c r="H176" s="5" t="str">
        <f t="shared" si="194"/>
        <v/>
      </c>
      <c r="I176" s="122" t="str">
        <f t="shared" si="195"/>
        <v/>
      </c>
      <c r="J176" s="7" t="str">
        <f t="shared" si="196"/>
        <v/>
      </c>
      <c r="K176" s="9" t="str">
        <f t="shared" si="197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">
      <c r="A177" s="126"/>
      <c r="B177" s="4"/>
      <c r="C177" s="4"/>
      <c r="D177" s="7"/>
      <c r="E177" s="7"/>
      <c r="F177" s="8" t="str">
        <f t="shared" si="192"/>
        <v/>
      </c>
      <c r="G177" s="7" t="str">
        <f t="shared" si="193"/>
        <v/>
      </c>
      <c r="H177" s="5" t="str">
        <f t="shared" si="194"/>
        <v/>
      </c>
      <c r="I177" s="122" t="str">
        <f t="shared" si="195"/>
        <v/>
      </c>
      <c r="J177" s="7" t="str">
        <f t="shared" si="196"/>
        <v/>
      </c>
      <c r="K177" s="9" t="str">
        <f t="shared" si="197"/>
        <v/>
      </c>
      <c r="L177" s="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ht="14.25" customHeight="1" x14ac:dyDescent="0.2">
      <c r="A178" s="126"/>
      <c r="B178" s="4"/>
      <c r="C178" s="4"/>
      <c r="D178" s="7"/>
      <c r="E178" s="7"/>
      <c r="F178" s="8" t="str">
        <f t="shared" si="192"/>
        <v/>
      </c>
      <c r="G178" s="7" t="str">
        <f t="shared" si="193"/>
        <v/>
      </c>
      <c r="H178" s="5" t="str">
        <f t="shared" si="194"/>
        <v/>
      </c>
      <c r="I178" s="122" t="str">
        <f t="shared" si="195"/>
        <v/>
      </c>
      <c r="J178" s="7" t="str">
        <f t="shared" si="196"/>
        <v/>
      </c>
      <c r="K178" s="9" t="str">
        <f t="shared" si="197"/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">
      <c r="A179" s="126"/>
      <c r="B179" s="4"/>
      <c r="C179" s="4"/>
      <c r="D179" s="7"/>
      <c r="E179" s="7"/>
      <c r="F179" s="8" t="str">
        <f t="shared" ref="F179:F181" si="204">IF(ISBLANK(B179),"",IF(I179="L","Baixa",IF(I179="A","Média",IF(I179="","","Alta"))))</f>
        <v/>
      </c>
      <c r="G179" s="7" t="str">
        <f t="shared" ref="G179:G181" si="205">CONCATENATE(B179,I179)</f>
        <v/>
      </c>
      <c r="H179" s="5" t="str">
        <f t="shared" ref="H179:H181" si="206">IF(ISBLANK(B179),"",IF(B179="ALI",IF(I179="L",7,IF(I179="A",10,15)),IF(B179="AIE",IF(I179="L",5,IF(I179="A",7,10)),IF(B179="SE",IF(I179="L",4,IF(I179="A",5,7)),IF(OR(B179="EE",B179="CE"),IF(I179="L",3,IF(I179="A",4,6)),0)))))</f>
        <v/>
      </c>
      <c r="I179" s="122" t="str">
        <f t="shared" ref="I179:I181" si="207">IF(OR(ISBLANK(D179),ISBLANK(E179)),IF(OR(B179="ALI",B179="AIE"),"L",IF(OR(B179="EE",B179="SE",B179="CE"),"A","")),IF(B179="EE",IF(E179&gt;=3,IF(D179&gt;=5,"H","A"),IF(E179&gt;=2,IF(D179&gt;=16,"H",IF(D179&lt;=4,"L","A")),IF(D179&lt;=15,"L","A"))),IF(OR(B179="SE",B179="CE"),IF(E179&gt;=4,IF(D179&gt;=6,"H","A"),IF(E179&gt;=2,IF(D179&gt;=20,"H",IF(D179&lt;=5,"L","A")),IF(D179&lt;=19,"L","A"))),IF(OR(B179="ALI",B179="AIE"),IF(E179&gt;=6,IF(D179&gt;=20,"H","A"),IF(E179&gt;=2,IF(D179&gt;=51,"H",IF(D179&lt;=19,"L","A")),IF(D179&lt;=50,"L","A"))),""))))</f>
        <v/>
      </c>
      <c r="J179" s="7" t="str">
        <f t="shared" ref="J179:J181" si="208">CONCATENATE(B179,C179)</f>
        <v/>
      </c>
      <c r="K179" s="9" t="str">
        <f t="shared" ref="K179:K181" si="209">IF(OR(H179="",H179=0),L179,H179)</f>
        <v/>
      </c>
      <c r="L179" s="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/>
      <c r="N179" s="10"/>
      <c r="O179" s="6"/>
    </row>
    <row r="180" spans="1:15" x14ac:dyDescent="0.2">
      <c r="A180" s="126"/>
      <c r="B180" s="4"/>
      <c r="C180" s="4"/>
      <c r="D180" s="7"/>
      <c r="E180" s="7"/>
      <c r="F180" s="8" t="str">
        <f t="shared" si="204"/>
        <v/>
      </c>
      <c r="G180" s="7" t="str">
        <f t="shared" si="205"/>
        <v/>
      </c>
      <c r="H180" s="5" t="str">
        <f t="shared" si="206"/>
        <v/>
      </c>
      <c r="I180" s="122" t="str">
        <f t="shared" si="207"/>
        <v/>
      </c>
      <c r="J180" s="7" t="str">
        <f t="shared" si="208"/>
        <v/>
      </c>
      <c r="K180" s="9" t="str">
        <f t="shared" si="209"/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">
      <c r="A181" s="126"/>
      <c r="B181" s="4"/>
      <c r="C181" s="4"/>
      <c r="D181" s="7"/>
      <c r="E181" s="7"/>
      <c r="F181" s="8" t="str">
        <f t="shared" si="204"/>
        <v/>
      </c>
      <c r="G181" s="7" t="str">
        <f t="shared" si="205"/>
        <v/>
      </c>
      <c r="H181" s="5" t="str">
        <f t="shared" si="206"/>
        <v/>
      </c>
      <c r="I181" s="122" t="str">
        <f t="shared" si="207"/>
        <v/>
      </c>
      <c r="J181" s="7" t="str">
        <f t="shared" si="208"/>
        <v/>
      </c>
      <c r="K181" s="9" t="str">
        <f t="shared" si="209"/>
        <v/>
      </c>
      <c r="L181" s="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/>
      <c r="N181" s="10"/>
      <c r="O181" s="6"/>
    </row>
    <row r="182" spans="1:15" x14ac:dyDescent="0.2">
      <c r="A182" s="126"/>
      <c r="B182" s="4"/>
      <c r="C182" s="4"/>
      <c r="D182" s="7"/>
      <c r="E182" s="7"/>
      <c r="F182" s="8" t="str">
        <f t="shared" ref="F182:F195" si="210">IF(ISBLANK(B182),"",IF(I182="L","Baixa",IF(I182="A","Média",IF(I182="","","Alta"))))</f>
        <v/>
      </c>
      <c r="G182" s="7" t="str">
        <f t="shared" ref="G182:G195" si="211">CONCATENATE(B182,I182)</f>
        <v/>
      </c>
      <c r="H182" s="5" t="str">
        <f t="shared" ref="H182:H195" si="212">IF(ISBLANK(B182),"",IF(B182="ALI",IF(I182="L",7,IF(I182="A",10,15)),IF(B182="AIE",IF(I182="L",5,IF(I182="A",7,10)),IF(B182="SE",IF(I182="L",4,IF(I182="A",5,7)),IF(OR(B182="EE",B182="CE"),IF(I182="L",3,IF(I182="A",4,6)),0)))))</f>
        <v/>
      </c>
      <c r="I182" s="122" t="str">
        <f t="shared" ref="I182:I195" si="213"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/>
      </c>
      <c r="J182" s="7" t="str">
        <f t="shared" ref="J182:J195" si="214">CONCATENATE(B182,C182)</f>
        <v/>
      </c>
      <c r="K182" s="9" t="str">
        <f t="shared" ref="K182:K195" si="215">IF(OR(H182="",H182=0),L182,H182)</f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x14ac:dyDescent="0.2">
      <c r="A183" s="126"/>
      <c r="B183" s="4"/>
      <c r="C183" s="4"/>
      <c r="D183" s="7"/>
      <c r="E183" s="7"/>
      <c r="F183" s="8" t="str">
        <f t="shared" si="210"/>
        <v/>
      </c>
      <c r="G183" s="7" t="str">
        <f t="shared" si="211"/>
        <v/>
      </c>
      <c r="H183" s="5" t="str">
        <f t="shared" si="212"/>
        <v/>
      </c>
      <c r="I183" s="122" t="str">
        <f t="shared" si="213"/>
        <v/>
      </c>
      <c r="J183" s="7" t="str">
        <f t="shared" si="214"/>
        <v/>
      </c>
      <c r="K183" s="9" t="str">
        <f t="shared" si="215"/>
        <v/>
      </c>
      <c r="L183" s="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/>
      <c r="N183" s="10"/>
      <c r="O183" s="6"/>
    </row>
    <row r="184" spans="1:15" ht="14.25" customHeight="1" x14ac:dyDescent="0.2">
      <c r="A184" s="126"/>
      <c r="B184" s="4"/>
      <c r="C184" s="4"/>
      <c r="D184" s="7"/>
      <c r="E184" s="7"/>
      <c r="F184" s="8" t="str">
        <f t="shared" ref="F184:F188" si="216">IF(ISBLANK(B184),"",IF(I184="L","Baixa",IF(I184="A","Média",IF(I184="","","Alta"))))</f>
        <v/>
      </c>
      <c r="G184" s="7" t="str">
        <f t="shared" ref="G184:G188" si="217">CONCATENATE(B184,I184)</f>
        <v/>
      </c>
      <c r="H184" s="5" t="str">
        <f t="shared" ref="H184:H188" si="218">IF(ISBLANK(B184),"",IF(B184="ALI",IF(I184="L",7,IF(I184="A",10,15)),IF(B184="AIE",IF(I184="L",5,IF(I184="A",7,10)),IF(B184="SE",IF(I184="L",4,IF(I184="A",5,7)),IF(OR(B184="EE",B184="CE"),IF(I184="L",3,IF(I184="A",4,6)),0)))))</f>
        <v/>
      </c>
      <c r="I184" s="122" t="str">
        <f t="shared" ref="I184:I188" si="219"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/>
      </c>
      <c r="J184" s="7" t="str">
        <f t="shared" ref="J184:J188" si="220">CONCATENATE(B184,C184)</f>
        <v/>
      </c>
      <c r="K184" s="9" t="str">
        <f t="shared" ref="K184:K188" si="221">IF(OR(H184="",H184=0),L184,H184)</f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ht="14.25" customHeight="1" x14ac:dyDescent="0.2">
      <c r="A185" s="126"/>
      <c r="B185" s="4"/>
      <c r="C185" s="4"/>
      <c r="D185" s="7"/>
      <c r="E185" s="7"/>
      <c r="F185" s="8" t="str">
        <f t="shared" si="216"/>
        <v/>
      </c>
      <c r="G185" s="7" t="str">
        <f t="shared" si="217"/>
        <v/>
      </c>
      <c r="H185" s="5" t="str">
        <f t="shared" si="218"/>
        <v/>
      </c>
      <c r="I185" s="122" t="str">
        <f t="shared" si="219"/>
        <v/>
      </c>
      <c r="J185" s="7" t="str">
        <f t="shared" si="220"/>
        <v/>
      </c>
      <c r="K185" s="9" t="str">
        <f t="shared" si="221"/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ht="14.25" customHeight="1" x14ac:dyDescent="0.2">
      <c r="A186" s="126"/>
      <c r="B186" s="4"/>
      <c r="C186" s="4"/>
      <c r="D186" s="7"/>
      <c r="E186" s="7"/>
      <c r="F186" s="8" t="str">
        <f t="shared" si="216"/>
        <v/>
      </c>
      <c r="G186" s="7" t="str">
        <f t="shared" si="217"/>
        <v/>
      </c>
      <c r="H186" s="5" t="str">
        <f t="shared" si="218"/>
        <v/>
      </c>
      <c r="I186" s="122" t="str">
        <f t="shared" si="219"/>
        <v/>
      </c>
      <c r="J186" s="7" t="str">
        <f t="shared" si="220"/>
        <v/>
      </c>
      <c r="K186" s="9" t="str">
        <f t="shared" si="221"/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ht="14.25" customHeight="1" x14ac:dyDescent="0.2">
      <c r="A187" s="126"/>
      <c r="B187" s="4"/>
      <c r="C187" s="4"/>
      <c r="D187" s="7"/>
      <c r="E187" s="7"/>
      <c r="F187" s="8" t="str">
        <f t="shared" si="216"/>
        <v/>
      </c>
      <c r="G187" s="7" t="str">
        <f t="shared" si="217"/>
        <v/>
      </c>
      <c r="H187" s="5" t="str">
        <f t="shared" si="218"/>
        <v/>
      </c>
      <c r="I187" s="122" t="str">
        <f t="shared" si="219"/>
        <v/>
      </c>
      <c r="J187" s="7" t="str">
        <f t="shared" si="220"/>
        <v/>
      </c>
      <c r="K187" s="9" t="str">
        <f t="shared" si="221"/>
        <v/>
      </c>
      <c r="L187" s="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ht="14.25" customHeight="1" x14ac:dyDescent="0.2">
      <c r="A188" s="126"/>
      <c r="B188" s="4"/>
      <c r="C188" s="4"/>
      <c r="D188" s="7"/>
      <c r="E188" s="7"/>
      <c r="F188" s="8" t="str">
        <f t="shared" si="216"/>
        <v/>
      </c>
      <c r="G188" s="7" t="str">
        <f t="shared" si="217"/>
        <v/>
      </c>
      <c r="H188" s="5" t="str">
        <f t="shared" si="218"/>
        <v/>
      </c>
      <c r="I188" s="122" t="str">
        <f t="shared" si="219"/>
        <v/>
      </c>
      <c r="J188" s="7" t="str">
        <f t="shared" si="220"/>
        <v/>
      </c>
      <c r="K188" s="9" t="str">
        <f t="shared" si="221"/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ht="14.25" customHeight="1" x14ac:dyDescent="0.2">
      <c r="A189" s="126"/>
      <c r="B189" s="4"/>
      <c r="C189" s="4"/>
      <c r="D189" s="7"/>
      <c r="E189" s="7"/>
      <c r="F189" s="8" t="str">
        <f t="shared" si="210"/>
        <v/>
      </c>
      <c r="G189" s="7" t="str">
        <f t="shared" si="211"/>
        <v/>
      </c>
      <c r="H189" s="5" t="str">
        <f t="shared" si="212"/>
        <v/>
      </c>
      <c r="I189" s="122" t="str">
        <f t="shared" si="213"/>
        <v/>
      </c>
      <c r="J189" s="7" t="str">
        <f t="shared" si="214"/>
        <v/>
      </c>
      <c r="K189" s="9" t="str">
        <f t="shared" si="215"/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ht="14.25" customHeight="1" x14ac:dyDescent="0.2">
      <c r="A190" s="126"/>
      <c r="B190" s="4"/>
      <c r="C190" s="4"/>
      <c r="D190" s="7"/>
      <c r="E190" s="7"/>
      <c r="F190" s="8" t="str">
        <f t="shared" si="210"/>
        <v/>
      </c>
      <c r="G190" s="7" t="str">
        <f t="shared" si="211"/>
        <v/>
      </c>
      <c r="H190" s="5" t="str">
        <f t="shared" si="212"/>
        <v/>
      </c>
      <c r="I190" s="122" t="str">
        <f t="shared" si="213"/>
        <v/>
      </c>
      <c r="J190" s="7" t="str">
        <f t="shared" si="214"/>
        <v/>
      </c>
      <c r="K190" s="9" t="str">
        <f t="shared" si="215"/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ht="14.25" customHeight="1" x14ac:dyDescent="0.2">
      <c r="A191" s="126"/>
      <c r="B191" s="4"/>
      <c r="C191" s="4"/>
      <c r="D191" s="7"/>
      <c r="E191" s="7"/>
      <c r="F191" s="8" t="str">
        <f t="shared" ref="F191:F192" si="222">IF(ISBLANK(B191),"",IF(I191="L","Baixa",IF(I191="A","Média",IF(I191="","","Alta"))))</f>
        <v/>
      </c>
      <c r="G191" s="7" t="str">
        <f t="shared" ref="G191:G192" si="223">CONCATENATE(B191,I191)</f>
        <v/>
      </c>
      <c r="H191" s="5" t="str">
        <f t="shared" ref="H191:H192" si="224">IF(ISBLANK(B191),"",IF(B191="ALI",IF(I191="L",7,IF(I191="A",10,15)),IF(B191="AIE",IF(I191="L",5,IF(I191="A",7,10)),IF(B191="SE",IF(I191="L",4,IF(I191="A",5,7)),IF(OR(B191="EE",B191="CE"),IF(I191="L",3,IF(I191="A",4,6)),0)))))</f>
        <v/>
      </c>
      <c r="I191" s="122" t="str">
        <f t="shared" ref="I191:I192" si="225">IF(OR(ISBLANK(D191),ISBLANK(E191)),IF(OR(B191="ALI",B191="AIE"),"L",IF(OR(B191="EE",B191="SE",B191="CE"),"A","")),IF(B191="EE",IF(E191&gt;=3,IF(D191&gt;=5,"H","A"),IF(E191&gt;=2,IF(D191&gt;=16,"H",IF(D191&lt;=4,"L","A")),IF(D191&lt;=15,"L","A"))),IF(OR(B191="SE",B191="CE"),IF(E191&gt;=4,IF(D191&gt;=6,"H","A"),IF(E191&gt;=2,IF(D191&gt;=20,"H",IF(D191&lt;=5,"L","A")),IF(D191&lt;=19,"L","A"))),IF(OR(B191="ALI",B191="AIE"),IF(E191&gt;=6,IF(D191&gt;=20,"H","A"),IF(E191&gt;=2,IF(D191&gt;=51,"H",IF(D191&lt;=19,"L","A")),IF(D191&lt;=50,"L","A"))),""))))</f>
        <v/>
      </c>
      <c r="J191" s="7" t="str">
        <f t="shared" ref="J191:J192" si="226">CONCATENATE(B191,C191)</f>
        <v/>
      </c>
      <c r="K191" s="9" t="str">
        <f t="shared" ref="K191:K192" si="227">IF(OR(H191="",H191=0),L191,H191)</f>
        <v/>
      </c>
      <c r="L191" s="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/>
      <c r="N191" s="10"/>
      <c r="O191" s="6"/>
    </row>
    <row r="192" spans="1:15" ht="14.25" customHeight="1" x14ac:dyDescent="0.2">
      <c r="A192" s="126"/>
      <c r="B192" s="4"/>
      <c r="C192" s="4"/>
      <c r="D192" s="7"/>
      <c r="E192" s="7"/>
      <c r="F192" s="8" t="str">
        <f t="shared" si="222"/>
        <v/>
      </c>
      <c r="G192" s="7" t="str">
        <f t="shared" si="223"/>
        <v/>
      </c>
      <c r="H192" s="5" t="str">
        <f t="shared" si="224"/>
        <v/>
      </c>
      <c r="I192" s="122" t="str">
        <f t="shared" si="225"/>
        <v/>
      </c>
      <c r="J192" s="7" t="str">
        <f t="shared" si="226"/>
        <v/>
      </c>
      <c r="K192" s="9" t="str">
        <f t="shared" si="227"/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ht="14.25" customHeight="1" x14ac:dyDescent="0.2">
      <c r="A193" s="126"/>
      <c r="B193" s="4"/>
      <c r="C193" s="4"/>
      <c r="D193" s="7"/>
      <c r="E193" s="7"/>
      <c r="F193" s="8" t="str">
        <f t="shared" ref="F193:F194" si="228">IF(ISBLANK(B193),"",IF(I193="L","Baixa",IF(I193="A","Média",IF(I193="","","Alta"))))</f>
        <v/>
      </c>
      <c r="G193" s="7" t="str">
        <f t="shared" ref="G193:G194" si="229">CONCATENATE(B193,I193)</f>
        <v/>
      </c>
      <c r="H193" s="5" t="str">
        <f t="shared" ref="H193:H194" si="230">IF(ISBLANK(B193),"",IF(B193="ALI",IF(I193="L",7,IF(I193="A",10,15)),IF(B193="AIE",IF(I193="L",5,IF(I193="A",7,10)),IF(B193="SE",IF(I193="L",4,IF(I193="A",5,7)),IF(OR(B193="EE",B193="CE"),IF(I193="L",3,IF(I193="A",4,6)),0)))))</f>
        <v/>
      </c>
      <c r="I193" s="122" t="str">
        <f t="shared" ref="I193:I194" si="231">IF(OR(ISBLANK(D193),ISBLANK(E193)),IF(OR(B193="ALI",B193="AIE"),"L",IF(OR(B193="EE",B193="SE",B193="CE"),"A","")),IF(B193="EE",IF(E193&gt;=3,IF(D193&gt;=5,"H","A"),IF(E193&gt;=2,IF(D193&gt;=16,"H",IF(D193&lt;=4,"L","A")),IF(D193&lt;=15,"L","A"))),IF(OR(B193="SE",B193="CE"),IF(E193&gt;=4,IF(D193&gt;=6,"H","A"),IF(E193&gt;=2,IF(D193&gt;=20,"H",IF(D193&lt;=5,"L","A")),IF(D193&lt;=19,"L","A"))),IF(OR(B193="ALI",B193="AIE"),IF(E193&gt;=6,IF(D193&gt;=20,"H","A"),IF(E193&gt;=2,IF(D193&gt;=51,"H",IF(D193&lt;=19,"L","A")),IF(D193&lt;=50,"L","A"))),""))))</f>
        <v/>
      </c>
      <c r="J193" s="7" t="str">
        <f t="shared" ref="J193:J194" si="232">CONCATENATE(B193,C193)</f>
        <v/>
      </c>
      <c r="K193" s="9" t="str">
        <f t="shared" ref="K193:K194" si="233">IF(OR(H193="",H193=0),L193,H193)</f>
        <v/>
      </c>
      <c r="L193" s="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ht="14.25" customHeight="1" x14ac:dyDescent="0.2">
      <c r="A194" s="126"/>
      <c r="B194" s="4"/>
      <c r="C194" s="4"/>
      <c r="D194" s="7"/>
      <c r="E194" s="7"/>
      <c r="F194" s="8" t="str">
        <f t="shared" si="228"/>
        <v/>
      </c>
      <c r="G194" s="7" t="str">
        <f t="shared" si="229"/>
        <v/>
      </c>
      <c r="H194" s="5" t="str">
        <f t="shared" si="230"/>
        <v/>
      </c>
      <c r="I194" s="122" t="str">
        <f t="shared" si="231"/>
        <v/>
      </c>
      <c r="J194" s="7" t="str">
        <f t="shared" si="232"/>
        <v/>
      </c>
      <c r="K194" s="9" t="str">
        <f t="shared" si="233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ht="14.25" customHeight="1" x14ac:dyDescent="0.2">
      <c r="A195" s="128"/>
      <c r="B195" s="4"/>
      <c r="C195" s="4"/>
      <c r="D195" s="7"/>
      <c r="E195" s="7"/>
      <c r="F195" s="8" t="str">
        <f t="shared" si="210"/>
        <v/>
      </c>
      <c r="G195" s="7" t="str">
        <f t="shared" si="211"/>
        <v/>
      </c>
      <c r="H195" s="5" t="str">
        <f t="shared" si="212"/>
        <v/>
      </c>
      <c r="I195" s="122" t="str">
        <f t="shared" si="213"/>
        <v/>
      </c>
      <c r="J195" s="7" t="str">
        <f t="shared" si="214"/>
        <v/>
      </c>
      <c r="K195" s="9" t="str">
        <f t="shared" si="215"/>
        <v/>
      </c>
      <c r="L195" s="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/>
      <c r="N195" s="10"/>
      <c r="O195" s="6"/>
    </row>
    <row r="196" spans="1:15" x14ac:dyDescent="0.2">
      <c r="A196" s="128"/>
      <c r="B196" s="4"/>
      <c r="C196" s="4"/>
      <c r="D196" s="7"/>
      <c r="E196" s="7"/>
      <c r="F196" s="8" t="str">
        <f t="shared" si="192"/>
        <v/>
      </c>
      <c r="G196" s="7" t="str">
        <f t="shared" si="193"/>
        <v/>
      </c>
      <c r="H196" s="5" t="str">
        <f t="shared" si="194"/>
        <v/>
      </c>
      <c r="I196" s="122" t="str">
        <f t="shared" si="195"/>
        <v/>
      </c>
      <c r="J196" s="7" t="str">
        <f t="shared" si="196"/>
        <v/>
      </c>
      <c r="K196" s="9" t="str">
        <f t="shared" si="197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x14ac:dyDescent="0.2">
      <c r="A197" s="126"/>
      <c r="B197" s="4"/>
      <c r="C197" s="4"/>
      <c r="D197" s="7"/>
      <c r="E197" s="7"/>
      <c r="F197" s="8" t="str">
        <f t="shared" si="192"/>
        <v/>
      </c>
      <c r="G197" s="7" t="str">
        <f t="shared" si="193"/>
        <v/>
      </c>
      <c r="H197" s="5" t="str">
        <f t="shared" si="194"/>
        <v/>
      </c>
      <c r="I197" s="122" t="str">
        <f t="shared" si="195"/>
        <v/>
      </c>
      <c r="J197" s="7" t="str">
        <f t="shared" si="196"/>
        <v/>
      </c>
      <c r="K197" s="9" t="str">
        <f t="shared" si="197"/>
        <v/>
      </c>
      <c r="L197" s="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/>
      <c r="N197" s="10"/>
      <c r="O197" s="6"/>
    </row>
    <row r="198" spans="1:15" x14ac:dyDescent="0.2">
      <c r="A198" s="126"/>
      <c r="B198" s="4"/>
      <c r="C198" s="4"/>
      <c r="D198" s="7"/>
      <c r="E198" s="7"/>
      <c r="F198" s="8" t="str">
        <f t="shared" si="192"/>
        <v/>
      </c>
      <c r="G198" s="7" t="str">
        <f t="shared" si="193"/>
        <v/>
      </c>
      <c r="H198" s="5" t="str">
        <f t="shared" si="194"/>
        <v/>
      </c>
      <c r="I198" s="122" t="str">
        <f t="shared" si="195"/>
        <v/>
      </c>
      <c r="J198" s="7" t="str">
        <f t="shared" si="196"/>
        <v/>
      </c>
      <c r="K198" s="9" t="str">
        <f t="shared" si="197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6"/>
      <c r="B199" s="4"/>
      <c r="C199" s="4"/>
      <c r="D199" s="7"/>
      <c r="E199" s="7"/>
      <c r="F199" s="8" t="str">
        <f t="shared" si="192"/>
        <v/>
      </c>
      <c r="G199" s="7" t="str">
        <f t="shared" si="193"/>
        <v/>
      </c>
      <c r="H199" s="5" t="str">
        <f t="shared" si="194"/>
        <v/>
      </c>
      <c r="I199" s="122" t="str">
        <f t="shared" si="195"/>
        <v/>
      </c>
      <c r="J199" s="7" t="str">
        <f t="shared" si="196"/>
        <v/>
      </c>
      <c r="K199" s="9" t="str">
        <f t="shared" si="197"/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ht="14.25" customHeight="1" x14ac:dyDescent="0.2">
      <c r="A200" s="126"/>
      <c r="B200" s="4"/>
      <c r="C200" s="4"/>
      <c r="D200" s="7"/>
      <c r="E200" s="7"/>
      <c r="F200" s="8" t="str">
        <f t="shared" si="192"/>
        <v/>
      </c>
      <c r="G200" s="7" t="str">
        <f t="shared" si="193"/>
        <v/>
      </c>
      <c r="H200" s="5" t="str">
        <f t="shared" si="194"/>
        <v/>
      </c>
      <c r="I200" s="122" t="str">
        <f t="shared" si="195"/>
        <v/>
      </c>
      <c r="J200" s="7" t="str">
        <f t="shared" si="196"/>
        <v/>
      </c>
      <c r="K200" s="9" t="str">
        <f t="shared" si="197"/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">
      <c r="A201" s="126"/>
      <c r="B201" s="4"/>
      <c r="C201" s="4"/>
      <c r="D201" s="7"/>
      <c r="E201" s="7"/>
      <c r="F201" s="8" t="str">
        <f t="shared" si="192"/>
        <v/>
      </c>
      <c r="G201" s="7" t="str">
        <f t="shared" si="193"/>
        <v/>
      </c>
      <c r="H201" s="5" t="str">
        <f t="shared" si="194"/>
        <v/>
      </c>
      <c r="I201" s="122" t="str">
        <f t="shared" si="195"/>
        <v/>
      </c>
      <c r="J201" s="7" t="str">
        <f t="shared" si="196"/>
        <v/>
      </c>
      <c r="K201" s="9" t="str">
        <f t="shared" si="197"/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x14ac:dyDescent="0.2">
      <c r="A202" s="128"/>
      <c r="B202" s="4"/>
      <c r="C202" s="4"/>
      <c r="D202" s="7"/>
      <c r="E202" s="7"/>
      <c r="F202" s="8" t="str">
        <f t="shared" si="192"/>
        <v/>
      </c>
      <c r="G202" s="7" t="str">
        <f t="shared" si="193"/>
        <v/>
      </c>
      <c r="H202" s="5" t="str">
        <f t="shared" si="194"/>
        <v/>
      </c>
      <c r="I202" s="122" t="str">
        <f t="shared" si="195"/>
        <v/>
      </c>
      <c r="J202" s="7" t="str">
        <f t="shared" si="196"/>
        <v/>
      </c>
      <c r="K202" s="9" t="str">
        <f t="shared" si="197"/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/>
    </row>
    <row r="203" spans="1:15" x14ac:dyDescent="0.2">
      <c r="A203" s="126"/>
      <c r="B203" s="4"/>
      <c r="C203" s="4"/>
      <c r="D203" s="7"/>
      <c r="E203" s="7"/>
      <c r="F203" s="8" t="str">
        <f t="shared" si="192"/>
        <v/>
      </c>
      <c r="G203" s="7" t="str">
        <f t="shared" si="193"/>
        <v/>
      </c>
      <c r="H203" s="5" t="str">
        <f t="shared" si="194"/>
        <v/>
      </c>
      <c r="I203" s="122" t="str">
        <f t="shared" si="195"/>
        <v/>
      </c>
      <c r="J203" s="7" t="str">
        <f t="shared" si="196"/>
        <v/>
      </c>
      <c r="K203" s="9" t="str">
        <f t="shared" si="197"/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">
      <c r="A204" s="126"/>
      <c r="B204" s="4"/>
      <c r="C204" s="4"/>
      <c r="D204" s="7"/>
      <c r="E204" s="7"/>
      <c r="F204" s="8" t="str">
        <f t="shared" si="192"/>
        <v/>
      </c>
      <c r="G204" s="7" t="str">
        <f t="shared" si="193"/>
        <v/>
      </c>
      <c r="H204" s="5" t="str">
        <f t="shared" si="194"/>
        <v/>
      </c>
      <c r="I204" s="122" t="str">
        <f t="shared" si="195"/>
        <v/>
      </c>
      <c r="J204" s="7" t="str">
        <f t="shared" si="196"/>
        <v/>
      </c>
      <c r="K204" s="9" t="str">
        <f t="shared" si="197"/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">
      <c r="A205" s="126"/>
      <c r="B205" s="4"/>
      <c r="C205" s="4"/>
      <c r="D205" s="7"/>
      <c r="E205" s="7"/>
      <c r="F205" s="8" t="str">
        <f t="shared" si="192"/>
        <v/>
      </c>
      <c r="G205" s="7" t="str">
        <f t="shared" si="193"/>
        <v/>
      </c>
      <c r="H205" s="5" t="str">
        <f t="shared" si="194"/>
        <v/>
      </c>
      <c r="I205" s="122" t="str">
        <f t="shared" si="195"/>
        <v/>
      </c>
      <c r="J205" s="7" t="str">
        <f t="shared" si="196"/>
        <v/>
      </c>
      <c r="K205" s="9" t="str">
        <f t="shared" si="197"/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x14ac:dyDescent="0.2">
      <c r="A206" s="126"/>
      <c r="B206" s="4"/>
      <c r="C206" s="4"/>
      <c r="D206" s="7"/>
      <c r="E206" s="7"/>
      <c r="F206" s="8" t="str">
        <f t="shared" si="192"/>
        <v/>
      </c>
      <c r="G206" s="7" t="str">
        <f t="shared" si="193"/>
        <v/>
      </c>
      <c r="H206" s="5" t="str">
        <f t="shared" si="194"/>
        <v/>
      </c>
      <c r="I206" s="122" t="str">
        <f t="shared" si="195"/>
        <v/>
      </c>
      <c r="J206" s="7" t="str">
        <f t="shared" si="196"/>
        <v/>
      </c>
      <c r="K206" s="9" t="str">
        <f t="shared" si="197"/>
        <v/>
      </c>
      <c r="L206" s="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">
      <c r="A207" s="126"/>
      <c r="B207" s="4"/>
      <c r="C207" s="4"/>
      <c r="D207" s="7"/>
      <c r="E207" s="7"/>
      <c r="F207" s="8" t="str">
        <f t="shared" si="192"/>
        <v/>
      </c>
      <c r="G207" s="7" t="str">
        <f t="shared" si="193"/>
        <v/>
      </c>
      <c r="H207" s="5" t="str">
        <f t="shared" si="194"/>
        <v/>
      </c>
      <c r="I207" s="122" t="str">
        <f t="shared" si="195"/>
        <v/>
      </c>
      <c r="J207" s="7" t="str">
        <f t="shared" si="196"/>
        <v/>
      </c>
      <c r="K207" s="9" t="str">
        <f t="shared" si="197"/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x14ac:dyDescent="0.2">
      <c r="A208" s="128"/>
      <c r="B208" s="4"/>
      <c r="C208" s="4"/>
      <c r="D208" s="7"/>
      <c r="E208" s="7"/>
      <c r="F208" s="8" t="str">
        <f t="shared" si="192"/>
        <v/>
      </c>
      <c r="G208" s="7" t="str">
        <f t="shared" si="193"/>
        <v/>
      </c>
      <c r="H208" s="5" t="str">
        <f t="shared" si="194"/>
        <v/>
      </c>
      <c r="I208" s="122" t="str">
        <f t="shared" si="195"/>
        <v/>
      </c>
      <c r="J208" s="7" t="str">
        <f t="shared" si="196"/>
        <v/>
      </c>
      <c r="K208" s="9" t="str">
        <f t="shared" si="197"/>
        <v/>
      </c>
      <c r="L208" s="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/>
      <c r="N208" s="10"/>
      <c r="O208" s="6"/>
    </row>
    <row r="209" spans="1:15" x14ac:dyDescent="0.2">
      <c r="A209" s="126"/>
      <c r="B209" s="4"/>
      <c r="C209" s="4"/>
      <c r="D209" s="7"/>
      <c r="E209" s="7"/>
      <c r="F209" s="8" t="str">
        <f t="shared" si="192"/>
        <v/>
      </c>
      <c r="G209" s="7" t="str">
        <f t="shared" si="193"/>
        <v/>
      </c>
      <c r="H209" s="5" t="str">
        <f t="shared" si="194"/>
        <v/>
      </c>
      <c r="I209" s="122" t="str">
        <f t="shared" si="195"/>
        <v/>
      </c>
      <c r="J209" s="7" t="str">
        <f t="shared" si="196"/>
        <v/>
      </c>
      <c r="K209" s="9" t="str">
        <f t="shared" si="197"/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x14ac:dyDescent="0.2">
      <c r="A210" s="126"/>
      <c r="B210" s="4"/>
      <c r="C210" s="4"/>
      <c r="D210" s="7"/>
      <c r="E210" s="7"/>
      <c r="F210" s="8" t="str">
        <f t="shared" si="192"/>
        <v/>
      </c>
      <c r="G210" s="7" t="str">
        <f t="shared" si="193"/>
        <v/>
      </c>
      <c r="H210" s="5" t="str">
        <f t="shared" si="194"/>
        <v/>
      </c>
      <c r="I210" s="122" t="str">
        <f t="shared" si="195"/>
        <v/>
      </c>
      <c r="J210" s="7" t="str">
        <f t="shared" si="196"/>
        <v/>
      </c>
      <c r="K210" s="9" t="str">
        <f t="shared" si="197"/>
        <v/>
      </c>
      <c r="L210" s="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x14ac:dyDescent="0.2">
      <c r="A211" s="126"/>
      <c r="B211" s="4"/>
      <c r="C211" s="4"/>
      <c r="D211" s="7"/>
      <c r="E211" s="7"/>
      <c r="F211" s="8" t="str">
        <f t="shared" si="192"/>
        <v/>
      </c>
      <c r="G211" s="7" t="str">
        <f t="shared" si="193"/>
        <v/>
      </c>
      <c r="H211" s="5" t="str">
        <f t="shared" si="194"/>
        <v/>
      </c>
      <c r="I211" s="122" t="str">
        <f t="shared" si="195"/>
        <v/>
      </c>
      <c r="J211" s="7" t="str">
        <f t="shared" si="196"/>
        <v/>
      </c>
      <c r="K211" s="9" t="str">
        <f t="shared" si="197"/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x14ac:dyDescent="0.2">
      <c r="A212" s="126"/>
      <c r="B212" s="4"/>
      <c r="C212" s="4"/>
      <c r="D212" s="7"/>
      <c r="E212" s="7"/>
      <c r="F212" s="8" t="str">
        <f t="shared" si="192"/>
        <v/>
      </c>
      <c r="G212" s="7" t="str">
        <f t="shared" si="193"/>
        <v/>
      </c>
      <c r="H212" s="5" t="str">
        <f t="shared" si="194"/>
        <v/>
      </c>
      <c r="I212" s="122" t="str">
        <f t="shared" si="195"/>
        <v/>
      </c>
      <c r="J212" s="7" t="str">
        <f t="shared" si="196"/>
        <v/>
      </c>
      <c r="K212" s="9" t="str">
        <f t="shared" si="197"/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x14ac:dyDescent="0.2">
      <c r="A213" s="126"/>
      <c r="B213" s="4"/>
      <c r="C213" s="4"/>
      <c r="D213" s="7"/>
      <c r="E213" s="7"/>
      <c r="F213" s="8" t="str">
        <f t="shared" si="192"/>
        <v/>
      </c>
      <c r="G213" s="7" t="str">
        <f t="shared" si="193"/>
        <v/>
      </c>
      <c r="H213" s="5" t="str">
        <f t="shared" si="194"/>
        <v/>
      </c>
      <c r="I213" s="122" t="str">
        <f t="shared" si="195"/>
        <v/>
      </c>
      <c r="J213" s="7" t="str">
        <f t="shared" si="196"/>
        <v/>
      </c>
      <c r="K213" s="9" t="str">
        <f t="shared" si="197"/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ht="13.5" customHeight="1" x14ac:dyDescent="0.2">
      <c r="A214" s="126"/>
      <c r="B214" s="4"/>
      <c r="C214" s="4"/>
      <c r="D214" s="7"/>
      <c r="E214" s="7"/>
      <c r="F214" s="8" t="str">
        <f t="shared" si="192"/>
        <v/>
      </c>
      <c r="G214" s="7" t="str">
        <f t="shared" si="193"/>
        <v/>
      </c>
      <c r="H214" s="5" t="str">
        <f t="shared" si="194"/>
        <v/>
      </c>
      <c r="I214" s="122" t="str">
        <f t="shared" si="195"/>
        <v/>
      </c>
      <c r="J214" s="7" t="str">
        <f t="shared" si="196"/>
        <v/>
      </c>
      <c r="K214" s="9" t="str">
        <f t="shared" si="197"/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ht="14.25" customHeight="1" x14ac:dyDescent="0.2">
      <c r="A215" s="126"/>
      <c r="B215" s="4"/>
      <c r="C215" s="4"/>
      <c r="D215" s="7"/>
      <c r="E215" s="7"/>
      <c r="F215" s="8" t="str">
        <f t="shared" si="192"/>
        <v/>
      </c>
      <c r="G215" s="7" t="str">
        <f t="shared" si="193"/>
        <v/>
      </c>
      <c r="H215" s="5" t="str">
        <f t="shared" si="194"/>
        <v/>
      </c>
      <c r="I215" s="122" t="str">
        <f t="shared" si="195"/>
        <v/>
      </c>
      <c r="J215" s="7" t="str">
        <f t="shared" si="196"/>
        <v/>
      </c>
      <c r="K215" s="9" t="str">
        <f t="shared" si="197"/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ht="15" customHeight="1" x14ac:dyDescent="0.2">
      <c r="A216" s="126"/>
      <c r="B216" s="4"/>
      <c r="C216" s="4"/>
      <c r="D216" s="7"/>
      <c r="E216" s="7"/>
      <c r="F216" s="8" t="str">
        <f t="shared" si="192"/>
        <v/>
      </c>
      <c r="G216" s="7" t="str">
        <f t="shared" si="193"/>
        <v/>
      </c>
      <c r="H216" s="5" t="str">
        <f t="shared" si="194"/>
        <v/>
      </c>
      <c r="I216" s="122" t="str">
        <f t="shared" si="195"/>
        <v/>
      </c>
      <c r="J216" s="7" t="str">
        <f t="shared" si="196"/>
        <v/>
      </c>
      <c r="K216" s="9" t="str">
        <f t="shared" si="197"/>
        <v/>
      </c>
      <c r="L216" s="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/>
      <c r="N216" s="10"/>
      <c r="O216" s="6"/>
    </row>
    <row r="217" spans="1:15" x14ac:dyDescent="0.2">
      <c r="A217" s="126"/>
      <c r="B217" s="4"/>
      <c r="C217" s="4"/>
      <c r="D217" s="7"/>
      <c r="E217" s="7"/>
      <c r="F217" s="8" t="str">
        <f t="shared" si="192"/>
        <v/>
      </c>
      <c r="G217" s="7" t="str">
        <f t="shared" si="193"/>
        <v/>
      </c>
      <c r="H217" s="5" t="str">
        <f t="shared" si="194"/>
        <v/>
      </c>
      <c r="I217" s="122" t="str">
        <f t="shared" si="195"/>
        <v/>
      </c>
      <c r="J217" s="7" t="str">
        <f t="shared" si="196"/>
        <v/>
      </c>
      <c r="K217" s="9" t="str">
        <f t="shared" si="197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">
      <c r="A218" s="126"/>
      <c r="B218" s="4"/>
      <c r="C218" s="4"/>
      <c r="D218" s="7"/>
      <c r="E218" s="7"/>
      <c r="F218" s="8" t="str">
        <f t="shared" ref="F218:F223" si="234">IF(ISBLANK(B218),"",IF(I218="L","Baixa",IF(I218="A","Média",IF(I218="","","Alta"))))</f>
        <v/>
      </c>
      <c r="G218" s="7" t="str">
        <f t="shared" ref="G218:G223" si="235">CONCATENATE(B218,I218)</f>
        <v/>
      </c>
      <c r="H218" s="5" t="str">
        <f t="shared" ref="H218:H223" si="236">IF(ISBLANK(B218),"",IF(B218="ALI",IF(I218="L",7,IF(I218="A",10,15)),IF(B218="AIE",IF(I218="L",5,IF(I218="A",7,10)),IF(B218="SE",IF(I218="L",4,IF(I218="A",5,7)),IF(OR(B218="EE",B218="CE"),IF(I218="L",3,IF(I218="A",4,6)),0)))))</f>
        <v/>
      </c>
      <c r="I218" s="122" t="str">
        <f t="shared" ref="I218:I223" si="237">IF(OR(ISBLANK(D218),ISBLANK(E218)),IF(OR(B218="ALI",B218="AIE"),"L",IF(OR(B218="EE",B218="SE",B218="CE"),"A","")),IF(B218="EE",IF(E218&gt;=3,IF(D218&gt;=5,"H","A"),IF(E218&gt;=2,IF(D218&gt;=16,"H",IF(D218&lt;=4,"L","A")),IF(D218&lt;=15,"L","A"))),IF(OR(B218="SE",B218="CE"),IF(E218&gt;=4,IF(D218&gt;=6,"H","A"),IF(E218&gt;=2,IF(D218&gt;=20,"H",IF(D218&lt;=5,"L","A")),IF(D218&lt;=19,"L","A"))),IF(OR(B218="ALI",B218="AIE"),IF(E218&gt;=6,IF(D218&gt;=20,"H","A"),IF(E218&gt;=2,IF(D218&gt;=51,"H",IF(D218&lt;=19,"L","A")),IF(D218&lt;=50,"L","A"))),""))))</f>
        <v/>
      </c>
      <c r="J218" s="7" t="str">
        <f t="shared" ref="J218:J223" si="238">CONCATENATE(B218,C218)</f>
        <v/>
      </c>
      <c r="K218" s="9" t="str">
        <f t="shared" ref="K218:K223" si="239">IF(OR(H218="",H218=0),L218,H218)</f>
        <v/>
      </c>
      <c r="L218" s="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/>
      <c r="N218" s="10"/>
      <c r="O218" s="6"/>
    </row>
    <row r="219" spans="1:15" x14ac:dyDescent="0.2">
      <c r="A219" s="126"/>
      <c r="B219" s="4"/>
      <c r="C219" s="4"/>
      <c r="D219" s="7"/>
      <c r="E219" s="7"/>
      <c r="F219" s="8" t="str">
        <f t="shared" si="234"/>
        <v/>
      </c>
      <c r="G219" s="7" t="str">
        <f t="shared" si="235"/>
        <v/>
      </c>
      <c r="H219" s="5" t="str">
        <f t="shared" si="236"/>
        <v/>
      </c>
      <c r="I219" s="122" t="str">
        <f t="shared" si="237"/>
        <v/>
      </c>
      <c r="J219" s="7" t="str">
        <f t="shared" si="238"/>
        <v/>
      </c>
      <c r="K219" s="9" t="str">
        <f t="shared" si="239"/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">
      <c r="A220" s="126"/>
      <c r="B220" s="4"/>
      <c r="C220" s="4"/>
      <c r="D220" s="7"/>
      <c r="E220" s="7"/>
      <c r="F220" s="8" t="str">
        <f t="shared" si="234"/>
        <v/>
      </c>
      <c r="G220" s="7" t="str">
        <f t="shared" si="235"/>
        <v/>
      </c>
      <c r="H220" s="5" t="str">
        <f t="shared" si="236"/>
        <v/>
      </c>
      <c r="I220" s="122" t="str">
        <f t="shared" si="237"/>
        <v/>
      </c>
      <c r="J220" s="7" t="str">
        <f t="shared" si="238"/>
        <v/>
      </c>
      <c r="K220" s="9" t="str">
        <f t="shared" si="239"/>
        <v/>
      </c>
      <c r="L220" s="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">
      <c r="A221" s="126"/>
      <c r="B221" s="4"/>
      <c r="C221" s="4"/>
      <c r="D221" s="7"/>
      <c r="E221" s="7"/>
      <c r="F221" s="8" t="str">
        <f t="shared" si="234"/>
        <v/>
      </c>
      <c r="G221" s="7" t="str">
        <f t="shared" si="235"/>
        <v/>
      </c>
      <c r="H221" s="5" t="str">
        <f t="shared" si="236"/>
        <v/>
      </c>
      <c r="I221" s="122" t="str">
        <f t="shared" si="237"/>
        <v/>
      </c>
      <c r="J221" s="7" t="str">
        <f t="shared" si="238"/>
        <v/>
      </c>
      <c r="K221" s="9" t="str">
        <f t="shared" si="239"/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">
      <c r="A222" s="126"/>
      <c r="B222" s="4"/>
      <c r="C222" s="4"/>
      <c r="D222" s="7"/>
      <c r="E222" s="7"/>
      <c r="F222" s="8" t="str">
        <f t="shared" si="234"/>
        <v/>
      </c>
      <c r="G222" s="7" t="str">
        <f t="shared" si="235"/>
        <v/>
      </c>
      <c r="H222" s="5" t="str">
        <f t="shared" si="236"/>
        <v/>
      </c>
      <c r="I222" s="122" t="str">
        <f t="shared" si="237"/>
        <v/>
      </c>
      <c r="J222" s="7" t="str">
        <f t="shared" si="238"/>
        <v/>
      </c>
      <c r="K222" s="9" t="str">
        <f t="shared" si="239"/>
        <v/>
      </c>
      <c r="L222" s="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">
      <c r="A223" s="126"/>
      <c r="B223" s="4"/>
      <c r="C223" s="4"/>
      <c r="D223" s="7"/>
      <c r="E223" s="7"/>
      <c r="F223" s="8" t="str">
        <f t="shared" si="234"/>
        <v/>
      </c>
      <c r="G223" s="7" t="str">
        <f t="shared" si="235"/>
        <v/>
      </c>
      <c r="H223" s="5" t="str">
        <f t="shared" si="236"/>
        <v/>
      </c>
      <c r="I223" s="122" t="str">
        <f t="shared" si="237"/>
        <v/>
      </c>
      <c r="J223" s="7" t="str">
        <f t="shared" si="238"/>
        <v/>
      </c>
      <c r="K223" s="9" t="str">
        <f t="shared" si="239"/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x14ac:dyDescent="0.2">
      <c r="A224" s="126"/>
      <c r="B224" s="4"/>
      <c r="C224" s="4"/>
      <c r="D224" s="7"/>
      <c r="E224" s="7"/>
      <c r="F224" s="8" t="str">
        <f t="shared" ref="F224" si="240">IF(ISBLANK(B224),"",IF(I224="L","Baixa",IF(I224="A","Média",IF(I224="","","Alta"))))</f>
        <v/>
      </c>
      <c r="G224" s="7" t="str">
        <f t="shared" ref="G224" si="241">CONCATENATE(B224,I224)</f>
        <v/>
      </c>
      <c r="H224" s="5" t="str">
        <f t="shared" ref="H224" si="242">IF(ISBLANK(B224),"",IF(B224="ALI",IF(I224="L",7,IF(I224="A",10,15)),IF(B224="AIE",IF(I224="L",5,IF(I224="A",7,10)),IF(B224="SE",IF(I224="L",4,IF(I224="A",5,7)),IF(OR(B224="EE",B224="CE"),IF(I224="L",3,IF(I224="A",4,6)),0)))))</f>
        <v/>
      </c>
      <c r="I224" s="122" t="str">
        <f t="shared" ref="I224" si="243">IF(OR(ISBLANK(D224),ISBLANK(E224)),IF(OR(B224="ALI",B224="AIE"),"L",IF(OR(B224="EE",B224="SE",B224="CE"),"A","")),IF(B224="EE",IF(E224&gt;=3,IF(D224&gt;=5,"H","A"),IF(E224&gt;=2,IF(D224&gt;=16,"H",IF(D224&lt;=4,"L","A")),IF(D224&lt;=15,"L","A"))),IF(OR(B224="SE",B224="CE"),IF(E224&gt;=4,IF(D224&gt;=6,"H","A"),IF(E224&gt;=2,IF(D224&gt;=20,"H",IF(D224&lt;=5,"L","A")),IF(D224&lt;=19,"L","A"))),IF(OR(B224="ALI",B224="AIE"),IF(E224&gt;=6,IF(D224&gt;=20,"H","A"),IF(E224&gt;=2,IF(D224&gt;=51,"H",IF(D224&lt;=19,"L","A")),IF(D224&lt;=50,"L","A"))),""))))</f>
        <v/>
      </c>
      <c r="J224" s="7" t="str">
        <f t="shared" ref="J224" si="244">CONCATENATE(B224,C224)</f>
        <v/>
      </c>
      <c r="K224" s="9" t="str">
        <f t="shared" si="197"/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x14ac:dyDescent="0.2">
      <c r="A225" s="129"/>
      <c r="B225" s="4"/>
      <c r="C225" s="4"/>
      <c r="D225" s="7"/>
      <c r="E225" s="7"/>
      <c r="F225" s="8" t="str">
        <f t="shared" ref="F225:F288" si="245">IF(ISBLANK(B225),"",IF(I225="L","Baixa",IF(I225="A","Média",IF(I225="","","Alta"))))</f>
        <v/>
      </c>
      <c r="G225" s="7" t="str">
        <f t="shared" ref="G225:G288" si="246">CONCATENATE(B225,I225)</f>
        <v/>
      </c>
      <c r="H225" s="5" t="str">
        <f t="shared" ref="H225:H288" si="247">IF(ISBLANK(B225),"",IF(B225="ALI",IF(I225="L",7,IF(I225="A",10,15)),IF(B225="AIE",IF(I225="L",5,IF(I225="A",7,10)),IF(B225="SE",IF(I225="L",4,IF(I225="A",5,7)),IF(OR(B225="EE",B225="CE"),IF(I225="L",3,IF(I225="A",4,6)),0)))))</f>
        <v/>
      </c>
      <c r="I225" s="122" t="str">
        <f t="shared" ref="I225:I288" si="248">IF(OR(ISBLANK(D225),ISBLANK(E225)),IF(OR(B225="ALI",B225="AIE"),"L",IF(OR(B225="EE",B225="SE",B225="CE"),"A","")),IF(B225="EE",IF(E225&gt;=3,IF(D225&gt;=5,"H","A"),IF(E225&gt;=2,IF(D225&gt;=16,"H",IF(D225&lt;=4,"L","A")),IF(D225&lt;=15,"L","A"))),IF(OR(B225="SE",B225="CE"),IF(E225&gt;=4,IF(D225&gt;=6,"H","A"),IF(E225&gt;=2,IF(D225&gt;=20,"H",IF(D225&lt;=5,"L","A")),IF(D225&lt;=19,"L","A"))),IF(OR(B225="ALI",B225="AIE"),IF(E225&gt;=6,IF(D225&gt;=20,"H","A"),IF(E225&gt;=2,IF(D225&gt;=51,"H",IF(D225&lt;=19,"L","A")),IF(D225&lt;=50,"L","A"))),""))))</f>
        <v/>
      </c>
      <c r="J225" s="7" t="str">
        <f t="shared" ref="J225:J288" si="249">CONCATENATE(B225,C225)</f>
        <v/>
      </c>
      <c r="K225" s="9" t="str">
        <f t="shared" si="197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x14ac:dyDescent="0.2">
      <c r="A226" s="128"/>
      <c r="B226" s="4"/>
      <c r="C226" s="4"/>
      <c r="D226" s="7"/>
      <c r="E226" s="7"/>
      <c r="F226" s="8" t="str">
        <f t="shared" si="245"/>
        <v/>
      </c>
      <c r="G226" s="7" t="str">
        <f t="shared" si="246"/>
        <v/>
      </c>
      <c r="H226" s="5" t="str">
        <f t="shared" si="247"/>
        <v/>
      </c>
      <c r="I226" s="122" t="str">
        <f t="shared" si="248"/>
        <v/>
      </c>
      <c r="J226" s="7" t="str">
        <f t="shared" si="249"/>
        <v/>
      </c>
      <c r="K226" s="9" t="str">
        <f t="shared" si="197"/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">
      <c r="A227" s="126"/>
      <c r="B227" s="4"/>
      <c r="C227" s="4"/>
      <c r="D227" s="7"/>
      <c r="E227" s="7"/>
      <c r="F227" s="8" t="str">
        <f t="shared" si="245"/>
        <v/>
      </c>
      <c r="G227" s="7" t="str">
        <f t="shared" si="246"/>
        <v/>
      </c>
      <c r="H227" s="5" t="str">
        <f t="shared" si="247"/>
        <v/>
      </c>
      <c r="I227" s="122" t="str">
        <f t="shared" si="248"/>
        <v/>
      </c>
      <c r="J227" s="7" t="str">
        <f t="shared" si="249"/>
        <v/>
      </c>
      <c r="K227" s="9" t="str">
        <f t="shared" ref="K227:K290" si="250">IF(OR(H227="",H227=0),L227,H227)</f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">
      <c r="A228" s="126"/>
      <c r="B228" s="4"/>
      <c r="C228" s="4"/>
      <c r="D228" s="7"/>
      <c r="E228" s="7"/>
      <c r="F228" s="8" t="str">
        <f t="shared" si="245"/>
        <v/>
      </c>
      <c r="G228" s="7" t="str">
        <f t="shared" si="246"/>
        <v/>
      </c>
      <c r="H228" s="5" t="str">
        <f t="shared" si="247"/>
        <v/>
      </c>
      <c r="I228" s="122" t="str">
        <f t="shared" si="248"/>
        <v/>
      </c>
      <c r="J228" s="7" t="str">
        <f t="shared" si="249"/>
        <v/>
      </c>
      <c r="K228" s="9" t="str">
        <f t="shared" si="250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6"/>
      <c r="B229" s="4"/>
      <c r="C229" s="4"/>
      <c r="D229" s="7"/>
      <c r="E229" s="7"/>
      <c r="F229" s="8" t="str">
        <f t="shared" si="245"/>
        <v/>
      </c>
      <c r="G229" s="7" t="str">
        <f t="shared" si="246"/>
        <v/>
      </c>
      <c r="H229" s="5" t="str">
        <f t="shared" si="247"/>
        <v/>
      </c>
      <c r="I229" s="122" t="str">
        <f t="shared" si="248"/>
        <v/>
      </c>
      <c r="J229" s="7" t="str">
        <f t="shared" si="249"/>
        <v/>
      </c>
      <c r="K229" s="9" t="str">
        <f t="shared" si="250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">
      <c r="A230" s="128"/>
      <c r="B230" s="4"/>
      <c r="C230" s="4"/>
      <c r="D230" s="7"/>
      <c r="E230" s="7"/>
      <c r="F230" s="8" t="str">
        <f t="shared" si="245"/>
        <v/>
      </c>
      <c r="G230" s="7" t="str">
        <f t="shared" si="246"/>
        <v/>
      </c>
      <c r="H230" s="5" t="str">
        <f t="shared" si="247"/>
        <v/>
      </c>
      <c r="I230" s="122" t="str">
        <f t="shared" si="248"/>
        <v/>
      </c>
      <c r="J230" s="7" t="str">
        <f t="shared" si="249"/>
        <v/>
      </c>
      <c r="K230" s="9" t="str">
        <f t="shared" si="250"/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 t="shared" si="245"/>
        <v/>
      </c>
      <c r="G231" s="7" t="str">
        <f t="shared" si="246"/>
        <v/>
      </c>
      <c r="H231" s="5" t="str">
        <f t="shared" si="247"/>
        <v/>
      </c>
      <c r="I231" s="122" t="str">
        <f t="shared" si="248"/>
        <v/>
      </c>
      <c r="J231" s="7" t="str">
        <f t="shared" si="249"/>
        <v/>
      </c>
      <c r="K231" s="9" t="str">
        <f t="shared" si="250"/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6"/>
      <c r="B232" s="4"/>
      <c r="C232" s="4"/>
      <c r="D232" s="7"/>
      <c r="E232" s="7"/>
      <c r="F232" s="8" t="str">
        <f t="shared" si="245"/>
        <v/>
      </c>
      <c r="G232" s="7" t="str">
        <f t="shared" si="246"/>
        <v/>
      </c>
      <c r="H232" s="5" t="str">
        <f t="shared" si="247"/>
        <v/>
      </c>
      <c r="I232" s="122" t="str">
        <f t="shared" si="248"/>
        <v/>
      </c>
      <c r="J232" s="7" t="str">
        <f t="shared" si="249"/>
        <v/>
      </c>
      <c r="K232" s="9" t="str">
        <f t="shared" si="250"/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6"/>
      <c r="B233" s="4"/>
      <c r="C233" s="4"/>
      <c r="D233" s="7"/>
      <c r="E233" s="7"/>
      <c r="F233" s="8" t="str">
        <f t="shared" si="245"/>
        <v/>
      </c>
      <c r="G233" s="7" t="str">
        <f t="shared" si="246"/>
        <v/>
      </c>
      <c r="H233" s="5" t="str">
        <f t="shared" si="247"/>
        <v/>
      </c>
      <c r="I233" s="122" t="str">
        <f t="shared" si="248"/>
        <v/>
      </c>
      <c r="J233" s="7" t="str">
        <f t="shared" si="249"/>
        <v/>
      </c>
      <c r="K233" s="9" t="str">
        <f t="shared" si="250"/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x14ac:dyDescent="0.2">
      <c r="A234" s="126"/>
      <c r="B234" s="4"/>
      <c r="C234" s="4"/>
      <c r="D234" s="7"/>
      <c r="E234" s="7"/>
      <c r="F234" s="8" t="str">
        <f t="shared" si="245"/>
        <v/>
      </c>
      <c r="G234" s="7" t="str">
        <f t="shared" si="246"/>
        <v/>
      </c>
      <c r="H234" s="5" t="str">
        <f t="shared" si="247"/>
        <v/>
      </c>
      <c r="I234" s="122" t="str">
        <f t="shared" si="248"/>
        <v/>
      </c>
      <c r="J234" s="7" t="str">
        <f t="shared" si="249"/>
        <v/>
      </c>
      <c r="K234" s="9" t="str">
        <f t="shared" si="250"/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x14ac:dyDescent="0.2">
      <c r="A235" s="126"/>
      <c r="B235" s="4"/>
      <c r="C235" s="4"/>
      <c r="D235" s="7"/>
      <c r="E235" s="7"/>
      <c r="F235" s="8" t="str">
        <f t="shared" si="245"/>
        <v/>
      </c>
      <c r="G235" s="7" t="str">
        <f t="shared" si="246"/>
        <v/>
      </c>
      <c r="H235" s="5" t="str">
        <f t="shared" si="247"/>
        <v/>
      </c>
      <c r="I235" s="122" t="str">
        <f t="shared" si="248"/>
        <v/>
      </c>
      <c r="J235" s="7" t="str">
        <f t="shared" si="249"/>
        <v/>
      </c>
      <c r="K235" s="9" t="str">
        <f t="shared" si="250"/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x14ac:dyDescent="0.2">
      <c r="A236" s="126"/>
      <c r="B236" s="4"/>
      <c r="C236" s="4"/>
      <c r="D236" s="7"/>
      <c r="E236" s="7"/>
      <c r="F236" s="8" t="str">
        <f t="shared" si="245"/>
        <v/>
      </c>
      <c r="G236" s="7" t="str">
        <f t="shared" si="246"/>
        <v/>
      </c>
      <c r="H236" s="5" t="str">
        <f t="shared" si="247"/>
        <v/>
      </c>
      <c r="I236" s="122" t="str">
        <f t="shared" si="248"/>
        <v/>
      </c>
      <c r="J236" s="7" t="str">
        <f t="shared" si="249"/>
        <v/>
      </c>
      <c r="K236" s="9" t="str">
        <f t="shared" si="250"/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">
      <c r="A237" s="126"/>
      <c r="B237" s="4"/>
      <c r="C237" s="4"/>
      <c r="D237" s="7"/>
      <c r="E237" s="7"/>
      <c r="F237" s="8" t="str">
        <f t="shared" si="245"/>
        <v/>
      </c>
      <c r="G237" s="7" t="str">
        <f t="shared" si="246"/>
        <v/>
      </c>
      <c r="H237" s="5" t="str">
        <f t="shared" si="247"/>
        <v/>
      </c>
      <c r="I237" s="122" t="str">
        <f t="shared" si="248"/>
        <v/>
      </c>
      <c r="J237" s="7" t="str">
        <f t="shared" si="249"/>
        <v/>
      </c>
      <c r="K237" s="9" t="str">
        <f t="shared" si="250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">
      <c r="A238" s="126"/>
      <c r="B238" s="4"/>
      <c r="C238" s="4"/>
      <c r="D238" s="7"/>
      <c r="E238" s="7"/>
      <c r="F238" s="8" t="str">
        <f t="shared" si="245"/>
        <v/>
      </c>
      <c r="G238" s="7" t="str">
        <f t="shared" si="246"/>
        <v/>
      </c>
      <c r="H238" s="5" t="str">
        <f t="shared" si="247"/>
        <v/>
      </c>
      <c r="I238" s="122" t="str">
        <f t="shared" si="248"/>
        <v/>
      </c>
      <c r="J238" s="7" t="str">
        <f t="shared" si="249"/>
        <v/>
      </c>
      <c r="K238" s="9" t="str">
        <f t="shared" si="250"/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">
      <c r="A239" s="126"/>
      <c r="B239" s="4"/>
      <c r="C239" s="4"/>
      <c r="D239" s="7"/>
      <c r="E239" s="7"/>
      <c r="F239" s="8" t="str">
        <f t="shared" si="245"/>
        <v/>
      </c>
      <c r="G239" s="7" t="str">
        <f t="shared" si="246"/>
        <v/>
      </c>
      <c r="H239" s="5" t="str">
        <f t="shared" si="247"/>
        <v/>
      </c>
      <c r="I239" s="122" t="str">
        <f t="shared" si="248"/>
        <v/>
      </c>
      <c r="J239" s="7" t="str">
        <f t="shared" si="249"/>
        <v/>
      </c>
      <c r="K239" s="9" t="str">
        <f t="shared" si="250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si="245"/>
        <v/>
      </c>
      <c r="G240" s="7" t="str">
        <f t="shared" si="246"/>
        <v/>
      </c>
      <c r="H240" s="5" t="str">
        <f t="shared" si="247"/>
        <v/>
      </c>
      <c r="I240" s="122" t="str">
        <f t="shared" si="248"/>
        <v/>
      </c>
      <c r="J240" s="7" t="str">
        <f t="shared" si="249"/>
        <v/>
      </c>
      <c r="K240" s="9" t="str">
        <f t="shared" si="250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6"/>
      <c r="B241" s="4"/>
      <c r="C241" s="4"/>
      <c r="D241" s="7"/>
      <c r="E241" s="7"/>
      <c r="F241" s="8" t="str">
        <f t="shared" si="245"/>
        <v/>
      </c>
      <c r="G241" s="7" t="str">
        <f t="shared" si="246"/>
        <v/>
      </c>
      <c r="H241" s="5" t="str">
        <f t="shared" si="247"/>
        <v/>
      </c>
      <c r="I241" s="122" t="str">
        <f t="shared" si="248"/>
        <v/>
      </c>
      <c r="J241" s="7" t="str">
        <f t="shared" si="249"/>
        <v/>
      </c>
      <c r="K241" s="9" t="str">
        <f t="shared" si="250"/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si="245"/>
        <v/>
      </c>
      <c r="G242" s="7" t="str">
        <f t="shared" si="246"/>
        <v/>
      </c>
      <c r="H242" s="5" t="str">
        <f t="shared" si="247"/>
        <v/>
      </c>
      <c r="I242" s="122" t="str">
        <f t="shared" si="248"/>
        <v/>
      </c>
      <c r="J242" s="7" t="str">
        <f t="shared" si="249"/>
        <v/>
      </c>
      <c r="K242" s="9" t="str">
        <f t="shared" si="250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si="245"/>
        <v/>
      </c>
      <c r="G243" s="7" t="str">
        <f t="shared" si="246"/>
        <v/>
      </c>
      <c r="H243" s="5" t="str">
        <f t="shared" si="247"/>
        <v/>
      </c>
      <c r="I243" s="122" t="str">
        <f t="shared" si="248"/>
        <v/>
      </c>
      <c r="J243" s="7" t="str">
        <f t="shared" si="249"/>
        <v/>
      </c>
      <c r="K243" s="9" t="str">
        <f t="shared" si="250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245"/>
        <v/>
      </c>
      <c r="G244" s="7" t="str">
        <f t="shared" si="246"/>
        <v/>
      </c>
      <c r="H244" s="5" t="str">
        <f t="shared" si="247"/>
        <v/>
      </c>
      <c r="I244" s="122" t="str">
        <f t="shared" si="248"/>
        <v/>
      </c>
      <c r="J244" s="7" t="str">
        <f t="shared" si="249"/>
        <v/>
      </c>
      <c r="K244" s="9" t="str">
        <f t="shared" si="250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245"/>
        <v/>
      </c>
      <c r="G245" s="7" t="str">
        <f t="shared" si="246"/>
        <v/>
      </c>
      <c r="H245" s="5" t="str">
        <f t="shared" si="247"/>
        <v/>
      </c>
      <c r="I245" s="122" t="str">
        <f t="shared" si="248"/>
        <v/>
      </c>
      <c r="J245" s="7" t="str">
        <f t="shared" si="249"/>
        <v/>
      </c>
      <c r="K245" s="9" t="str">
        <f t="shared" si="250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6"/>
      <c r="B246" s="4"/>
      <c r="C246" s="4"/>
      <c r="D246" s="7"/>
      <c r="E246" s="7"/>
      <c r="F246" s="8" t="str">
        <f t="shared" si="245"/>
        <v/>
      </c>
      <c r="G246" s="7" t="str">
        <f t="shared" si="246"/>
        <v/>
      </c>
      <c r="H246" s="5" t="str">
        <f t="shared" si="247"/>
        <v/>
      </c>
      <c r="I246" s="122" t="str">
        <f t="shared" si="248"/>
        <v/>
      </c>
      <c r="J246" s="7" t="str">
        <f t="shared" si="249"/>
        <v/>
      </c>
      <c r="K246" s="9" t="str">
        <f t="shared" si="250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6"/>
      <c r="B247" s="4"/>
      <c r="C247" s="4"/>
      <c r="D247" s="7"/>
      <c r="E247" s="7"/>
      <c r="F247" s="8" t="str">
        <f t="shared" si="245"/>
        <v/>
      </c>
      <c r="G247" s="7" t="str">
        <f t="shared" si="246"/>
        <v/>
      </c>
      <c r="H247" s="5" t="str">
        <f t="shared" si="247"/>
        <v/>
      </c>
      <c r="I247" s="122" t="str">
        <f t="shared" si="248"/>
        <v/>
      </c>
      <c r="J247" s="7" t="str">
        <f t="shared" si="249"/>
        <v/>
      </c>
      <c r="K247" s="9" t="str">
        <f t="shared" si="250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6"/>
      <c r="B248" s="4"/>
      <c r="C248" s="4"/>
      <c r="D248" s="7"/>
      <c r="E248" s="7"/>
      <c r="F248" s="8" t="str">
        <f t="shared" si="245"/>
        <v/>
      </c>
      <c r="G248" s="7" t="str">
        <f t="shared" si="246"/>
        <v/>
      </c>
      <c r="H248" s="5" t="str">
        <f t="shared" si="247"/>
        <v/>
      </c>
      <c r="I248" s="122" t="str">
        <f t="shared" si="248"/>
        <v/>
      </c>
      <c r="J248" s="7" t="str">
        <f t="shared" si="249"/>
        <v/>
      </c>
      <c r="K248" s="9" t="str">
        <f t="shared" si="250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6"/>
      <c r="B249" s="4"/>
      <c r="C249" s="4"/>
      <c r="D249" s="7"/>
      <c r="E249" s="7"/>
      <c r="F249" s="8" t="str">
        <f t="shared" si="245"/>
        <v/>
      </c>
      <c r="G249" s="7" t="str">
        <f t="shared" si="246"/>
        <v/>
      </c>
      <c r="H249" s="5" t="str">
        <f t="shared" si="247"/>
        <v/>
      </c>
      <c r="I249" s="122" t="str">
        <f t="shared" si="248"/>
        <v/>
      </c>
      <c r="J249" s="7" t="str">
        <f t="shared" si="249"/>
        <v/>
      </c>
      <c r="K249" s="9" t="str">
        <f t="shared" si="250"/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6"/>
      <c r="B250" s="4"/>
      <c r="C250" s="4"/>
      <c r="D250" s="7"/>
      <c r="E250" s="7"/>
      <c r="F250" s="8" t="str">
        <f t="shared" si="245"/>
        <v/>
      </c>
      <c r="G250" s="7" t="str">
        <f t="shared" si="246"/>
        <v/>
      </c>
      <c r="H250" s="5" t="str">
        <f t="shared" si="247"/>
        <v/>
      </c>
      <c r="I250" s="122" t="str">
        <f t="shared" si="248"/>
        <v/>
      </c>
      <c r="J250" s="7" t="str">
        <f t="shared" si="249"/>
        <v/>
      </c>
      <c r="K250" s="9" t="str">
        <f t="shared" si="250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6"/>
      <c r="B251" s="4"/>
      <c r="C251" s="4"/>
      <c r="D251" s="7"/>
      <c r="E251" s="7"/>
      <c r="F251" s="8" t="str">
        <f t="shared" si="245"/>
        <v/>
      </c>
      <c r="G251" s="7" t="str">
        <f t="shared" si="246"/>
        <v/>
      </c>
      <c r="H251" s="5" t="str">
        <f t="shared" si="247"/>
        <v/>
      </c>
      <c r="I251" s="122" t="str">
        <f t="shared" si="248"/>
        <v/>
      </c>
      <c r="J251" s="7" t="str">
        <f t="shared" si="249"/>
        <v/>
      </c>
      <c r="K251" s="9" t="str">
        <f t="shared" si="250"/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si="245"/>
        <v/>
      </c>
      <c r="G252" s="7" t="str">
        <f t="shared" si="246"/>
        <v/>
      </c>
      <c r="H252" s="5" t="str">
        <f t="shared" si="247"/>
        <v/>
      </c>
      <c r="I252" s="122" t="str">
        <f t="shared" si="248"/>
        <v/>
      </c>
      <c r="J252" s="7" t="str">
        <f t="shared" si="249"/>
        <v/>
      </c>
      <c r="K252" s="9" t="str">
        <f t="shared" si="250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si="245"/>
        <v/>
      </c>
      <c r="G253" s="7" t="str">
        <f t="shared" si="246"/>
        <v/>
      </c>
      <c r="H253" s="5" t="str">
        <f t="shared" si="247"/>
        <v/>
      </c>
      <c r="I253" s="122" t="str">
        <f t="shared" si="248"/>
        <v/>
      </c>
      <c r="J253" s="7" t="str">
        <f t="shared" si="249"/>
        <v/>
      </c>
      <c r="K253" s="9" t="str">
        <f t="shared" si="250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245"/>
        <v/>
      </c>
      <c r="G254" s="7" t="str">
        <f t="shared" si="246"/>
        <v/>
      </c>
      <c r="H254" s="5" t="str">
        <f t="shared" si="247"/>
        <v/>
      </c>
      <c r="I254" s="122" t="str">
        <f t="shared" si="248"/>
        <v/>
      </c>
      <c r="J254" s="7" t="str">
        <f t="shared" si="249"/>
        <v/>
      </c>
      <c r="K254" s="9" t="str">
        <f t="shared" si="250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245"/>
        <v/>
      </c>
      <c r="G255" s="7" t="str">
        <f t="shared" si="246"/>
        <v/>
      </c>
      <c r="H255" s="5" t="str">
        <f t="shared" si="247"/>
        <v/>
      </c>
      <c r="I255" s="122" t="str">
        <f t="shared" si="248"/>
        <v/>
      </c>
      <c r="J255" s="7" t="str">
        <f t="shared" si="249"/>
        <v/>
      </c>
      <c r="K255" s="9" t="str">
        <f t="shared" si="250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 t="shared" si="245"/>
        <v/>
      </c>
      <c r="G256" s="7" t="str">
        <f t="shared" si="246"/>
        <v/>
      </c>
      <c r="H256" s="5" t="str">
        <f t="shared" si="247"/>
        <v/>
      </c>
      <c r="I256" s="122" t="str">
        <f t="shared" si="248"/>
        <v/>
      </c>
      <c r="J256" s="7" t="str">
        <f t="shared" si="249"/>
        <v/>
      </c>
      <c r="K256" s="9" t="str">
        <f t="shared" si="250"/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 t="shared" si="245"/>
        <v/>
      </c>
      <c r="G257" s="7" t="str">
        <f t="shared" si="246"/>
        <v/>
      </c>
      <c r="H257" s="5" t="str">
        <f t="shared" si="247"/>
        <v/>
      </c>
      <c r="I257" s="122" t="str">
        <f t="shared" si="248"/>
        <v/>
      </c>
      <c r="J257" s="7" t="str">
        <f t="shared" si="249"/>
        <v/>
      </c>
      <c r="K257" s="9" t="str">
        <f t="shared" si="250"/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 t="shared" si="245"/>
        <v/>
      </c>
      <c r="G258" s="7" t="str">
        <f t="shared" si="246"/>
        <v/>
      </c>
      <c r="H258" s="5" t="str">
        <f t="shared" si="247"/>
        <v/>
      </c>
      <c r="I258" s="122" t="str">
        <f t="shared" si="248"/>
        <v/>
      </c>
      <c r="J258" s="7" t="str">
        <f t="shared" si="249"/>
        <v/>
      </c>
      <c r="K258" s="9" t="str">
        <f t="shared" si="250"/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 t="shared" si="245"/>
        <v/>
      </c>
      <c r="G259" s="7" t="str">
        <f t="shared" si="246"/>
        <v/>
      </c>
      <c r="H259" s="5" t="str">
        <f t="shared" si="247"/>
        <v/>
      </c>
      <c r="I259" s="122" t="str">
        <f t="shared" si="248"/>
        <v/>
      </c>
      <c r="J259" s="7" t="str">
        <f t="shared" si="249"/>
        <v/>
      </c>
      <c r="K259" s="9" t="str">
        <f t="shared" si="250"/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 t="shared" si="245"/>
        <v/>
      </c>
      <c r="G260" s="7" t="str">
        <f t="shared" si="246"/>
        <v/>
      </c>
      <c r="H260" s="5" t="str">
        <f t="shared" si="247"/>
        <v/>
      </c>
      <c r="I260" s="122" t="str">
        <f t="shared" si="248"/>
        <v/>
      </c>
      <c r="J260" s="7" t="str">
        <f t="shared" si="249"/>
        <v/>
      </c>
      <c r="K260" s="9" t="str">
        <f t="shared" si="250"/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6"/>
      <c r="B261" s="4"/>
      <c r="C261" s="4"/>
      <c r="D261" s="7"/>
      <c r="E261" s="7"/>
      <c r="F261" s="8" t="str">
        <f t="shared" si="245"/>
        <v/>
      </c>
      <c r="G261" s="7" t="str">
        <f t="shared" si="246"/>
        <v/>
      </c>
      <c r="H261" s="5" t="str">
        <f t="shared" si="247"/>
        <v/>
      </c>
      <c r="I261" s="122" t="str">
        <f t="shared" si="248"/>
        <v/>
      </c>
      <c r="J261" s="7" t="str">
        <f t="shared" si="249"/>
        <v/>
      </c>
      <c r="K261" s="9" t="str">
        <f t="shared" si="250"/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6"/>
      <c r="B262" s="4"/>
      <c r="C262" s="4"/>
      <c r="D262" s="7"/>
      <c r="E262" s="7"/>
      <c r="F262" s="8" t="str">
        <f t="shared" si="245"/>
        <v/>
      </c>
      <c r="G262" s="7" t="str">
        <f t="shared" si="246"/>
        <v/>
      </c>
      <c r="H262" s="5" t="str">
        <f t="shared" si="247"/>
        <v/>
      </c>
      <c r="I262" s="122" t="str">
        <f t="shared" si="248"/>
        <v/>
      </c>
      <c r="J262" s="7" t="str">
        <f t="shared" si="249"/>
        <v/>
      </c>
      <c r="K262" s="9" t="str">
        <f t="shared" si="250"/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6"/>
      <c r="B263" s="4"/>
      <c r="C263" s="4"/>
      <c r="D263" s="7"/>
      <c r="E263" s="7"/>
      <c r="F263" s="8" t="str">
        <f t="shared" si="245"/>
        <v/>
      </c>
      <c r="G263" s="7" t="str">
        <f t="shared" si="246"/>
        <v/>
      </c>
      <c r="H263" s="5" t="str">
        <f t="shared" si="247"/>
        <v/>
      </c>
      <c r="I263" s="122" t="str">
        <f t="shared" si="248"/>
        <v/>
      </c>
      <c r="J263" s="7" t="str">
        <f t="shared" si="249"/>
        <v/>
      </c>
      <c r="K263" s="9" t="str">
        <f t="shared" si="250"/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 t="shared" si="245"/>
        <v/>
      </c>
      <c r="G264" s="7" t="str">
        <f t="shared" si="246"/>
        <v/>
      </c>
      <c r="H264" s="5" t="str">
        <f t="shared" si="247"/>
        <v/>
      </c>
      <c r="I264" s="122" t="str">
        <f t="shared" si="248"/>
        <v/>
      </c>
      <c r="J264" s="7" t="str">
        <f t="shared" si="249"/>
        <v/>
      </c>
      <c r="K264" s="9" t="str">
        <f t="shared" si="250"/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6"/>
      <c r="B265" s="4"/>
      <c r="C265" s="4"/>
      <c r="D265" s="7"/>
      <c r="E265" s="7"/>
      <c r="F265" s="8" t="str">
        <f t="shared" si="245"/>
        <v/>
      </c>
      <c r="G265" s="7" t="str">
        <f t="shared" si="246"/>
        <v/>
      </c>
      <c r="H265" s="5" t="str">
        <f t="shared" si="247"/>
        <v/>
      </c>
      <c r="I265" s="122" t="str">
        <f t="shared" si="248"/>
        <v/>
      </c>
      <c r="J265" s="7" t="str">
        <f t="shared" si="249"/>
        <v/>
      </c>
      <c r="K265" s="9" t="str">
        <f t="shared" si="250"/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 t="shared" si="245"/>
        <v/>
      </c>
      <c r="G266" s="7" t="str">
        <f t="shared" si="246"/>
        <v/>
      </c>
      <c r="H266" s="5" t="str">
        <f t="shared" si="247"/>
        <v/>
      </c>
      <c r="I266" s="122" t="str">
        <f t="shared" si="248"/>
        <v/>
      </c>
      <c r="J266" s="7" t="str">
        <f t="shared" si="249"/>
        <v/>
      </c>
      <c r="K266" s="9" t="str">
        <f t="shared" si="250"/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 t="shared" si="245"/>
        <v/>
      </c>
      <c r="G267" s="7" t="str">
        <f t="shared" si="246"/>
        <v/>
      </c>
      <c r="H267" s="5" t="str">
        <f t="shared" si="247"/>
        <v/>
      </c>
      <c r="I267" s="122" t="str">
        <f t="shared" si="248"/>
        <v/>
      </c>
      <c r="J267" s="7" t="str">
        <f t="shared" si="249"/>
        <v/>
      </c>
      <c r="K267" s="9" t="str">
        <f t="shared" si="250"/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6"/>
      <c r="B268" s="4"/>
      <c r="C268" s="4"/>
      <c r="D268" s="7"/>
      <c r="E268" s="7"/>
      <c r="F268" s="8" t="str">
        <f t="shared" si="245"/>
        <v/>
      </c>
      <c r="G268" s="7" t="str">
        <f t="shared" si="246"/>
        <v/>
      </c>
      <c r="H268" s="5" t="str">
        <f t="shared" si="247"/>
        <v/>
      </c>
      <c r="I268" s="122" t="str">
        <f t="shared" si="248"/>
        <v/>
      </c>
      <c r="J268" s="7" t="str">
        <f t="shared" si="249"/>
        <v/>
      </c>
      <c r="K268" s="9" t="str">
        <f t="shared" si="250"/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6"/>
      <c r="B269" s="4"/>
      <c r="C269" s="4"/>
      <c r="D269" s="7"/>
      <c r="E269" s="7"/>
      <c r="F269" s="8" t="str">
        <f t="shared" si="245"/>
        <v/>
      </c>
      <c r="G269" s="7" t="str">
        <f t="shared" si="246"/>
        <v/>
      </c>
      <c r="H269" s="5" t="str">
        <f t="shared" si="247"/>
        <v/>
      </c>
      <c r="I269" s="122" t="str">
        <f t="shared" si="248"/>
        <v/>
      </c>
      <c r="J269" s="7" t="str">
        <f t="shared" si="249"/>
        <v/>
      </c>
      <c r="K269" s="9" t="str">
        <f t="shared" si="250"/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6"/>
      <c r="B270" s="4"/>
      <c r="C270" s="4"/>
      <c r="D270" s="7"/>
      <c r="E270" s="7"/>
      <c r="F270" s="8" t="str">
        <f t="shared" si="245"/>
        <v/>
      </c>
      <c r="G270" s="7" t="str">
        <f t="shared" si="246"/>
        <v/>
      </c>
      <c r="H270" s="5" t="str">
        <f t="shared" si="247"/>
        <v/>
      </c>
      <c r="I270" s="122" t="str">
        <f t="shared" si="248"/>
        <v/>
      </c>
      <c r="J270" s="7" t="str">
        <f t="shared" si="249"/>
        <v/>
      </c>
      <c r="K270" s="9" t="str">
        <f t="shared" si="250"/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si="245"/>
        <v/>
      </c>
      <c r="G271" s="7" t="str">
        <f t="shared" si="246"/>
        <v/>
      </c>
      <c r="H271" s="5" t="str">
        <f t="shared" si="247"/>
        <v/>
      </c>
      <c r="I271" s="122" t="str">
        <f t="shared" si="248"/>
        <v/>
      </c>
      <c r="J271" s="7" t="str">
        <f t="shared" si="249"/>
        <v/>
      </c>
      <c r="K271" s="9" t="str">
        <f t="shared" si="250"/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6"/>
      <c r="B272" s="4"/>
      <c r="C272" s="4"/>
      <c r="D272" s="7"/>
      <c r="E272" s="7"/>
      <c r="F272" s="8" t="str">
        <f t="shared" si="245"/>
        <v/>
      </c>
      <c r="G272" s="7" t="str">
        <f t="shared" si="246"/>
        <v/>
      </c>
      <c r="H272" s="5" t="str">
        <f t="shared" si="247"/>
        <v/>
      </c>
      <c r="I272" s="122" t="str">
        <f t="shared" si="248"/>
        <v/>
      </c>
      <c r="J272" s="7" t="str">
        <f t="shared" si="249"/>
        <v/>
      </c>
      <c r="K272" s="9" t="str">
        <f t="shared" si="250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 t="shared" si="245"/>
        <v/>
      </c>
      <c r="G273" s="7" t="str">
        <f t="shared" si="246"/>
        <v/>
      </c>
      <c r="H273" s="5" t="str">
        <f t="shared" si="247"/>
        <v/>
      </c>
      <c r="I273" s="122" t="str">
        <f t="shared" si="248"/>
        <v/>
      </c>
      <c r="J273" s="7" t="str">
        <f t="shared" si="249"/>
        <v/>
      </c>
      <c r="K273" s="9" t="str">
        <f t="shared" si="250"/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6"/>
      <c r="B274" s="4"/>
      <c r="C274" s="4"/>
      <c r="D274" s="7"/>
      <c r="E274" s="7"/>
      <c r="F274" s="8" t="str">
        <f t="shared" si="245"/>
        <v/>
      </c>
      <c r="G274" s="7" t="str">
        <f t="shared" si="246"/>
        <v/>
      </c>
      <c r="H274" s="5" t="str">
        <f t="shared" si="247"/>
        <v/>
      </c>
      <c r="I274" s="122" t="str">
        <f t="shared" si="248"/>
        <v/>
      </c>
      <c r="J274" s="7" t="str">
        <f t="shared" si="249"/>
        <v/>
      </c>
      <c r="K274" s="9" t="str">
        <f t="shared" si="250"/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6"/>
      <c r="B275" s="4"/>
      <c r="C275" s="4"/>
      <c r="D275" s="7"/>
      <c r="E275" s="7"/>
      <c r="F275" s="8" t="str">
        <f t="shared" si="245"/>
        <v/>
      </c>
      <c r="G275" s="7" t="str">
        <f t="shared" si="246"/>
        <v/>
      </c>
      <c r="H275" s="5" t="str">
        <f t="shared" si="247"/>
        <v/>
      </c>
      <c r="I275" s="122" t="str">
        <f t="shared" si="248"/>
        <v/>
      </c>
      <c r="J275" s="7" t="str">
        <f t="shared" si="249"/>
        <v/>
      </c>
      <c r="K275" s="9" t="str">
        <f t="shared" si="250"/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6"/>
      <c r="B276" s="4"/>
      <c r="C276" s="4"/>
      <c r="D276" s="7"/>
      <c r="E276" s="7"/>
      <c r="F276" s="8" t="str">
        <f t="shared" si="245"/>
        <v/>
      </c>
      <c r="G276" s="7" t="str">
        <f t="shared" si="246"/>
        <v/>
      </c>
      <c r="H276" s="5" t="str">
        <f t="shared" si="247"/>
        <v/>
      </c>
      <c r="I276" s="122" t="str">
        <f t="shared" si="248"/>
        <v/>
      </c>
      <c r="J276" s="7" t="str">
        <f t="shared" si="249"/>
        <v/>
      </c>
      <c r="K276" s="9" t="str">
        <f t="shared" si="250"/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6"/>
      <c r="B277" s="4"/>
      <c r="C277" s="4"/>
      <c r="D277" s="7"/>
      <c r="E277" s="7"/>
      <c r="F277" s="8" t="str">
        <f t="shared" si="245"/>
        <v/>
      </c>
      <c r="G277" s="7" t="str">
        <f t="shared" si="246"/>
        <v/>
      </c>
      <c r="H277" s="5" t="str">
        <f t="shared" si="247"/>
        <v/>
      </c>
      <c r="I277" s="122" t="str">
        <f t="shared" si="248"/>
        <v/>
      </c>
      <c r="J277" s="7" t="str">
        <f t="shared" si="249"/>
        <v/>
      </c>
      <c r="K277" s="9" t="str">
        <f t="shared" si="250"/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6"/>
      <c r="B278" s="4"/>
      <c r="C278" s="4"/>
      <c r="D278" s="7"/>
      <c r="E278" s="7"/>
      <c r="F278" s="8" t="str">
        <f t="shared" si="245"/>
        <v/>
      </c>
      <c r="G278" s="7" t="str">
        <f t="shared" si="246"/>
        <v/>
      </c>
      <c r="H278" s="5" t="str">
        <f t="shared" si="247"/>
        <v/>
      </c>
      <c r="I278" s="122" t="str">
        <f t="shared" si="248"/>
        <v/>
      </c>
      <c r="J278" s="7" t="str">
        <f t="shared" si="249"/>
        <v/>
      </c>
      <c r="K278" s="9" t="str">
        <f t="shared" si="250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6"/>
      <c r="B279" s="4"/>
      <c r="C279" s="4"/>
      <c r="D279" s="7"/>
      <c r="E279" s="7"/>
      <c r="F279" s="8" t="str">
        <f t="shared" si="245"/>
        <v/>
      </c>
      <c r="G279" s="7" t="str">
        <f t="shared" si="246"/>
        <v/>
      </c>
      <c r="H279" s="5" t="str">
        <f t="shared" si="247"/>
        <v/>
      </c>
      <c r="I279" s="122" t="str">
        <f t="shared" si="248"/>
        <v/>
      </c>
      <c r="J279" s="7" t="str">
        <f t="shared" si="249"/>
        <v/>
      </c>
      <c r="K279" s="9" t="str">
        <f t="shared" si="250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6"/>
      <c r="B280" s="4"/>
      <c r="C280" s="4"/>
      <c r="D280" s="7"/>
      <c r="E280" s="7"/>
      <c r="F280" s="8" t="str">
        <f t="shared" si="245"/>
        <v/>
      </c>
      <c r="G280" s="7" t="str">
        <f t="shared" si="246"/>
        <v/>
      </c>
      <c r="H280" s="5" t="str">
        <f t="shared" si="247"/>
        <v/>
      </c>
      <c r="I280" s="122" t="str">
        <f t="shared" si="248"/>
        <v/>
      </c>
      <c r="J280" s="7" t="str">
        <f t="shared" si="249"/>
        <v/>
      </c>
      <c r="K280" s="9" t="str">
        <f t="shared" si="250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6"/>
      <c r="B281" s="4"/>
      <c r="C281" s="4"/>
      <c r="D281" s="7"/>
      <c r="E281" s="7"/>
      <c r="F281" s="8" t="str">
        <f t="shared" si="245"/>
        <v/>
      </c>
      <c r="G281" s="7" t="str">
        <f t="shared" si="246"/>
        <v/>
      </c>
      <c r="H281" s="5" t="str">
        <f t="shared" si="247"/>
        <v/>
      </c>
      <c r="I281" s="122" t="str">
        <f t="shared" si="248"/>
        <v/>
      </c>
      <c r="J281" s="7" t="str">
        <f t="shared" si="249"/>
        <v/>
      </c>
      <c r="K281" s="9" t="str">
        <f t="shared" si="250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6"/>
      <c r="B282" s="4"/>
      <c r="C282" s="4"/>
      <c r="D282" s="7"/>
      <c r="E282" s="7"/>
      <c r="F282" s="8" t="str">
        <f t="shared" si="245"/>
        <v/>
      </c>
      <c r="G282" s="7" t="str">
        <f t="shared" si="246"/>
        <v/>
      </c>
      <c r="H282" s="5" t="str">
        <f t="shared" si="247"/>
        <v/>
      </c>
      <c r="I282" s="122" t="str">
        <f t="shared" si="248"/>
        <v/>
      </c>
      <c r="J282" s="7" t="str">
        <f t="shared" si="249"/>
        <v/>
      </c>
      <c r="K282" s="9" t="str">
        <f t="shared" si="250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245"/>
        <v/>
      </c>
      <c r="G283" s="7" t="str">
        <f t="shared" si="246"/>
        <v/>
      </c>
      <c r="H283" s="5" t="str">
        <f t="shared" si="247"/>
        <v/>
      </c>
      <c r="I283" s="122" t="str">
        <f t="shared" si="248"/>
        <v/>
      </c>
      <c r="J283" s="7" t="str">
        <f t="shared" si="249"/>
        <v/>
      </c>
      <c r="K283" s="9" t="str">
        <f t="shared" si="250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245"/>
        <v/>
      </c>
      <c r="G284" s="7" t="str">
        <f t="shared" si="246"/>
        <v/>
      </c>
      <c r="H284" s="5" t="str">
        <f t="shared" si="247"/>
        <v/>
      </c>
      <c r="I284" s="122" t="str">
        <f t="shared" si="248"/>
        <v/>
      </c>
      <c r="J284" s="7" t="str">
        <f t="shared" si="249"/>
        <v/>
      </c>
      <c r="K284" s="9" t="str">
        <f t="shared" si="250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si="245"/>
        <v/>
      </c>
      <c r="G285" s="7" t="str">
        <f t="shared" si="246"/>
        <v/>
      </c>
      <c r="H285" s="5" t="str">
        <f t="shared" si="247"/>
        <v/>
      </c>
      <c r="I285" s="122" t="str">
        <f t="shared" si="248"/>
        <v/>
      </c>
      <c r="J285" s="7" t="str">
        <f t="shared" si="249"/>
        <v/>
      </c>
      <c r="K285" s="9" t="str">
        <f t="shared" si="250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245"/>
        <v/>
      </c>
      <c r="G286" s="7" t="str">
        <f t="shared" si="246"/>
        <v/>
      </c>
      <c r="H286" s="5" t="str">
        <f t="shared" si="247"/>
        <v/>
      </c>
      <c r="I286" s="122" t="str">
        <f t="shared" si="248"/>
        <v/>
      </c>
      <c r="J286" s="7" t="str">
        <f t="shared" si="249"/>
        <v/>
      </c>
      <c r="K286" s="9" t="str">
        <f t="shared" si="250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245"/>
        <v/>
      </c>
      <c r="G287" s="7" t="str">
        <f t="shared" si="246"/>
        <v/>
      </c>
      <c r="H287" s="5" t="str">
        <f t="shared" si="247"/>
        <v/>
      </c>
      <c r="I287" s="122" t="str">
        <f t="shared" si="248"/>
        <v/>
      </c>
      <c r="J287" s="7" t="str">
        <f t="shared" si="249"/>
        <v/>
      </c>
      <c r="K287" s="9" t="str">
        <f t="shared" si="250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245"/>
        <v/>
      </c>
      <c r="G288" s="7" t="str">
        <f t="shared" si="246"/>
        <v/>
      </c>
      <c r="H288" s="5" t="str">
        <f t="shared" si="247"/>
        <v/>
      </c>
      <c r="I288" s="122" t="str">
        <f t="shared" si="248"/>
        <v/>
      </c>
      <c r="J288" s="7" t="str">
        <f t="shared" si="249"/>
        <v/>
      </c>
      <c r="K288" s="9" t="str">
        <f t="shared" si="250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6"/>
      <c r="B289" s="4"/>
      <c r="C289" s="4"/>
      <c r="D289" s="7"/>
      <c r="E289" s="7"/>
      <c r="F289" s="8" t="str">
        <f t="shared" ref="F289:F352" si="251">IF(ISBLANK(B289),"",IF(I289="L","Baixa",IF(I289="A","Média",IF(I289="","","Alta"))))</f>
        <v/>
      </c>
      <c r="G289" s="7" t="str">
        <f t="shared" ref="G289:G352" si="252">CONCATENATE(B289,I289)</f>
        <v/>
      </c>
      <c r="H289" s="5" t="str">
        <f t="shared" ref="H289:H352" si="253">IF(ISBLANK(B289),"",IF(B289="ALI",IF(I289="L",7,IF(I289="A",10,15)),IF(B289="AIE",IF(I289="L",5,IF(I289="A",7,10)),IF(B289="SE",IF(I289="L",4,IF(I289="A",5,7)),IF(OR(B289="EE",B289="CE"),IF(I289="L",3,IF(I289="A",4,6)),0)))))</f>
        <v/>
      </c>
      <c r="I289" s="122" t="str">
        <f t="shared" ref="I289:I352" si="254">IF(OR(ISBLANK(D289),ISBLANK(E289)),IF(OR(B289="ALI",B289="AIE"),"L",IF(OR(B289="EE",B289="SE",B289="CE"),"A","")),IF(B289="EE",IF(E289&gt;=3,IF(D289&gt;=5,"H","A"),IF(E289&gt;=2,IF(D289&gt;=16,"H",IF(D289&lt;=4,"L","A")),IF(D289&lt;=15,"L","A"))),IF(OR(B289="SE",B289="CE"),IF(E289&gt;=4,IF(D289&gt;=6,"H","A"),IF(E289&gt;=2,IF(D289&gt;=20,"H",IF(D289&lt;=5,"L","A")),IF(D289&lt;=19,"L","A"))),IF(OR(B289="ALI",B289="AIE"),IF(E289&gt;=6,IF(D289&gt;=20,"H","A"),IF(E289&gt;=2,IF(D289&gt;=51,"H",IF(D289&lt;=19,"L","A")),IF(D289&lt;=50,"L","A"))),""))))</f>
        <v/>
      </c>
      <c r="J289" s="7" t="str">
        <f t="shared" ref="J289:J352" si="255">CONCATENATE(B289,C289)</f>
        <v/>
      </c>
      <c r="K289" s="9" t="str">
        <f t="shared" si="250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6"/>
      <c r="B290" s="4"/>
      <c r="C290" s="4"/>
      <c r="D290" s="7"/>
      <c r="E290" s="7"/>
      <c r="F290" s="8" t="str">
        <f t="shared" si="251"/>
        <v/>
      </c>
      <c r="G290" s="7" t="str">
        <f t="shared" si="252"/>
        <v/>
      </c>
      <c r="H290" s="5" t="str">
        <f t="shared" si="253"/>
        <v/>
      </c>
      <c r="I290" s="122" t="str">
        <f t="shared" si="254"/>
        <v/>
      </c>
      <c r="J290" s="7" t="str">
        <f t="shared" si="255"/>
        <v/>
      </c>
      <c r="K290" s="9" t="str">
        <f t="shared" si="250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6"/>
      <c r="B291" s="4"/>
      <c r="C291" s="4"/>
      <c r="D291" s="7"/>
      <c r="E291" s="7"/>
      <c r="F291" s="8" t="str">
        <f t="shared" si="251"/>
        <v/>
      </c>
      <c r="G291" s="7" t="str">
        <f t="shared" si="252"/>
        <v/>
      </c>
      <c r="H291" s="5" t="str">
        <f t="shared" si="253"/>
        <v/>
      </c>
      <c r="I291" s="122" t="str">
        <f t="shared" si="254"/>
        <v/>
      </c>
      <c r="J291" s="7" t="str">
        <f t="shared" si="255"/>
        <v/>
      </c>
      <c r="K291" s="9" t="str">
        <f t="shared" ref="K291:K354" si="256">IF(OR(H291="",H291=0),L291,H291)</f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 t="shared" si="251"/>
        <v/>
      </c>
      <c r="G292" s="7" t="str">
        <f t="shared" si="252"/>
        <v/>
      </c>
      <c r="H292" s="5" t="str">
        <f t="shared" si="253"/>
        <v/>
      </c>
      <c r="I292" s="122" t="str">
        <f t="shared" si="254"/>
        <v/>
      </c>
      <c r="J292" s="7" t="str">
        <f t="shared" si="255"/>
        <v/>
      </c>
      <c r="K292" s="9" t="str">
        <f t="shared" si="256"/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6"/>
      <c r="B293" s="4"/>
      <c r="C293" s="4"/>
      <c r="D293" s="7"/>
      <c r="E293" s="7"/>
      <c r="F293" s="8" t="str">
        <f t="shared" si="251"/>
        <v/>
      </c>
      <c r="G293" s="7" t="str">
        <f t="shared" si="252"/>
        <v/>
      </c>
      <c r="H293" s="5" t="str">
        <f t="shared" si="253"/>
        <v/>
      </c>
      <c r="I293" s="122" t="str">
        <f t="shared" si="254"/>
        <v/>
      </c>
      <c r="J293" s="7" t="str">
        <f t="shared" si="255"/>
        <v/>
      </c>
      <c r="K293" s="9" t="str">
        <f t="shared" si="256"/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 t="shared" si="251"/>
        <v/>
      </c>
      <c r="G294" s="7" t="str">
        <f t="shared" si="252"/>
        <v/>
      </c>
      <c r="H294" s="5" t="str">
        <f t="shared" si="253"/>
        <v/>
      </c>
      <c r="I294" s="122" t="str">
        <f t="shared" si="254"/>
        <v/>
      </c>
      <c r="J294" s="7" t="str">
        <f t="shared" si="255"/>
        <v/>
      </c>
      <c r="K294" s="9" t="str">
        <f t="shared" si="256"/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 t="shared" si="251"/>
        <v/>
      </c>
      <c r="G295" s="7" t="str">
        <f t="shared" si="252"/>
        <v/>
      </c>
      <c r="H295" s="5" t="str">
        <f t="shared" si="253"/>
        <v/>
      </c>
      <c r="I295" s="122" t="str">
        <f t="shared" si="254"/>
        <v/>
      </c>
      <c r="J295" s="7" t="str">
        <f t="shared" si="255"/>
        <v/>
      </c>
      <c r="K295" s="9" t="str">
        <f t="shared" si="256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 t="shared" si="251"/>
        <v/>
      </c>
      <c r="G296" s="7" t="str">
        <f t="shared" si="252"/>
        <v/>
      </c>
      <c r="H296" s="5" t="str">
        <f t="shared" si="253"/>
        <v/>
      </c>
      <c r="I296" s="122" t="str">
        <f t="shared" si="254"/>
        <v/>
      </c>
      <c r="J296" s="7" t="str">
        <f t="shared" si="255"/>
        <v/>
      </c>
      <c r="K296" s="9" t="str">
        <f t="shared" si="256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 t="shared" si="251"/>
        <v/>
      </c>
      <c r="G297" s="7" t="str">
        <f t="shared" si="252"/>
        <v/>
      </c>
      <c r="H297" s="5" t="str">
        <f t="shared" si="253"/>
        <v/>
      </c>
      <c r="I297" s="122" t="str">
        <f t="shared" si="254"/>
        <v/>
      </c>
      <c r="J297" s="7" t="str">
        <f t="shared" si="255"/>
        <v/>
      </c>
      <c r="K297" s="9" t="str">
        <f t="shared" si="256"/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 t="shared" si="251"/>
        <v/>
      </c>
      <c r="G298" s="7" t="str">
        <f t="shared" si="252"/>
        <v/>
      </c>
      <c r="H298" s="5" t="str">
        <f t="shared" si="253"/>
        <v/>
      </c>
      <c r="I298" s="122" t="str">
        <f t="shared" si="254"/>
        <v/>
      </c>
      <c r="J298" s="7" t="str">
        <f t="shared" si="255"/>
        <v/>
      </c>
      <c r="K298" s="9" t="str">
        <f t="shared" si="256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6"/>
      <c r="B299" s="4"/>
      <c r="C299" s="4"/>
      <c r="D299" s="7"/>
      <c r="E299" s="7"/>
      <c r="F299" s="8" t="str">
        <f t="shared" si="251"/>
        <v/>
      </c>
      <c r="G299" s="7" t="str">
        <f t="shared" si="252"/>
        <v/>
      </c>
      <c r="H299" s="5" t="str">
        <f t="shared" si="253"/>
        <v/>
      </c>
      <c r="I299" s="122" t="str">
        <f t="shared" si="254"/>
        <v/>
      </c>
      <c r="J299" s="7" t="str">
        <f t="shared" si="255"/>
        <v/>
      </c>
      <c r="K299" s="9" t="str">
        <f t="shared" si="256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6"/>
      <c r="B300" s="4"/>
      <c r="C300" s="4"/>
      <c r="D300" s="7"/>
      <c r="E300" s="7"/>
      <c r="F300" s="8" t="str">
        <f t="shared" si="251"/>
        <v/>
      </c>
      <c r="G300" s="7" t="str">
        <f t="shared" si="252"/>
        <v/>
      </c>
      <c r="H300" s="5" t="str">
        <f t="shared" si="253"/>
        <v/>
      </c>
      <c r="I300" s="122" t="str">
        <f t="shared" si="254"/>
        <v/>
      </c>
      <c r="J300" s="7" t="str">
        <f t="shared" si="255"/>
        <v/>
      </c>
      <c r="K300" s="9" t="str">
        <f t="shared" si="256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6"/>
      <c r="B301" s="4"/>
      <c r="C301" s="4"/>
      <c r="D301" s="7"/>
      <c r="E301" s="7"/>
      <c r="F301" s="8" t="str">
        <f t="shared" si="251"/>
        <v/>
      </c>
      <c r="G301" s="7" t="str">
        <f t="shared" si="252"/>
        <v/>
      </c>
      <c r="H301" s="5" t="str">
        <f t="shared" si="253"/>
        <v/>
      </c>
      <c r="I301" s="122" t="str">
        <f t="shared" si="254"/>
        <v/>
      </c>
      <c r="J301" s="7" t="str">
        <f t="shared" si="255"/>
        <v/>
      </c>
      <c r="K301" s="9" t="str">
        <f t="shared" si="256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251"/>
        <v/>
      </c>
      <c r="G302" s="7" t="str">
        <f t="shared" si="252"/>
        <v/>
      </c>
      <c r="H302" s="5" t="str">
        <f t="shared" si="253"/>
        <v/>
      </c>
      <c r="I302" s="122" t="str">
        <f t="shared" si="254"/>
        <v/>
      </c>
      <c r="J302" s="7" t="str">
        <f t="shared" si="255"/>
        <v/>
      </c>
      <c r="K302" s="9" t="str">
        <f t="shared" si="256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6"/>
      <c r="B303" s="4"/>
      <c r="C303" s="4"/>
      <c r="D303" s="7"/>
      <c r="E303" s="7"/>
      <c r="F303" s="8" t="str">
        <f t="shared" si="251"/>
        <v/>
      </c>
      <c r="G303" s="7" t="str">
        <f t="shared" si="252"/>
        <v/>
      </c>
      <c r="H303" s="5" t="str">
        <f t="shared" si="253"/>
        <v/>
      </c>
      <c r="I303" s="122" t="str">
        <f t="shared" si="254"/>
        <v/>
      </c>
      <c r="J303" s="7" t="str">
        <f t="shared" si="255"/>
        <v/>
      </c>
      <c r="K303" s="9" t="str">
        <f t="shared" si="256"/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 t="shared" si="251"/>
        <v/>
      </c>
      <c r="G304" s="7" t="str">
        <f t="shared" si="252"/>
        <v/>
      </c>
      <c r="H304" s="5" t="str">
        <f t="shared" si="253"/>
        <v/>
      </c>
      <c r="I304" s="122" t="str">
        <f t="shared" si="254"/>
        <v/>
      </c>
      <c r="J304" s="7" t="str">
        <f t="shared" si="255"/>
        <v/>
      </c>
      <c r="K304" s="9" t="str">
        <f t="shared" si="256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 t="shared" si="251"/>
        <v/>
      </c>
      <c r="G305" s="7" t="str">
        <f t="shared" si="252"/>
        <v/>
      </c>
      <c r="H305" s="5" t="str">
        <f t="shared" si="253"/>
        <v/>
      </c>
      <c r="I305" s="122" t="str">
        <f t="shared" si="254"/>
        <v/>
      </c>
      <c r="J305" s="7" t="str">
        <f t="shared" si="255"/>
        <v/>
      </c>
      <c r="K305" s="9" t="str">
        <f t="shared" si="256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251"/>
        <v/>
      </c>
      <c r="G306" s="7" t="str">
        <f t="shared" si="252"/>
        <v/>
      </c>
      <c r="H306" s="5" t="str">
        <f t="shared" si="253"/>
        <v/>
      </c>
      <c r="I306" s="122" t="str">
        <f t="shared" si="254"/>
        <v/>
      </c>
      <c r="J306" s="7" t="str">
        <f t="shared" si="255"/>
        <v/>
      </c>
      <c r="K306" s="9" t="str">
        <f t="shared" si="256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6"/>
      <c r="B307" s="4"/>
      <c r="C307" s="4"/>
      <c r="D307" s="7"/>
      <c r="E307" s="7"/>
      <c r="F307" s="8" t="str">
        <f t="shared" si="251"/>
        <v/>
      </c>
      <c r="G307" s="7" t="str">
        <f t="shared" si="252"/>
        <v/>
      </c>
      <c r="H307" s="5" t="str">
        <f t="shared" si="253"/>
        <v/>
      </c>
      <c r="I307" s="122" t="str">
        <f t="shared" si="254"/>
        <v/>
      </c>
      <c r="J307" s="7" t="str">
        <f t="shared" si="255"/>
        <v/>
      </c>
      <c r="K307" s="9" t="str">
        <f t="shared" si="256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6"/>
      <c r="B308" s="4"/>
      <c r="C308" s="4"/>
      <c r="D308" s="7"/>
      <c r="E308" s="7"/>
      <c r="F308" s="8" t="str">
        <f t="shared" si="251"/>
        <v/>
      </c>
      <c r="G308" s="7" t="str">
        <f t="shared" si="252"/>
        <v/>
      </c>
      <c r="H308" s="5" t="str">
        <f t="shared" si="253"/>
        <v/>
      </c>
      <c r="I308" s="122" t="str">
        <f t="shared" si="254"/>
        <v/>
      </c>
      <c r="J308" s="7" t="str">
        <f t="shared" si="255"/>
        <v/>
      </c>
      <c r="K308" s="9" t="str">
        <f t="shared" si="256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6"/>
      <c r="B309" s="4"/>
      <c r="C309" s="4"/>
      <c r="D309" s="7"/>
      <c r="E309" s="7"/>
      <c r="F309" s="8" t="str">
        <f t="shared" si="251"/>
        <v/>
      </c>
      <c r="G309" s="7" t="str">
        <f t="shared" si="252"/>
        <v/>
      </c>
      <c r="H309" s="5" t="str">
        <f t="shared" si="253"/>
        <v/>
      </c>
      <c r="I309" s="122" t="str">
        <f t="shared" si="254"/>
        <v/>
      </c>
      <c r="J309" s="7" t="str">
        <f t="shared" si="255"/>
        <v/>
      </c>
      <c r="K309" s="9" t="str">
        <f t="shared" si="256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251"/>
        <v/>
      </c>
      <c r="G310" s="7" t="str">
        <f t="shared" si="252"/>
        <v/>
      </c>
      <c r="H310" s="5" t="str">
        <f t="shared" si="253"/>
        <v/>
      </c>
      <c r="I310" s="122" t="str">
        <f t="shared" si="254"/>
        <v/>
      </c>
      <c r="J310" s="7" t="str">
        <f t="shared" si="255"/>
        <v/>
      </c>
      <c r="K310" s="9" t="str">
        <f t="shared" si="256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6"/>
      <c r="B311" s="4"/>
      <c r="C311" s="4"/>
      <c r="D311" s="7"/>
      <c r="E311" s="7"/>
      <c r="F311" s="8" t="str">
        <f t="shared" si="251"/>
        <v/>
      </c>
      <c r="G311" s="7" t="str">
        <f t="shared" si="252"/>
        <v/>
      </c>
      <c r="H311" s="5" t="str">
        <f t="shared" si="253"/>
        <v/>
      </c>
      <c r="I311" s="122" t="str">
        <f t="shared" si="254"/>
        <v/>
      </c>
      <c r="J311" s="7" t="str">
        <f t="shared" si="255"/>
        <v/>
      </c>
      <c r="K311" s="9" t="str">
        <f t="shared" si="256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251"/>
        <v/>
      </c>
      <c r="G312" s="7" t="str">
        <f t="shared" si="252"/>
        <v/>
      </c>
      <c r="H312" s="5" t="str">
        <f t="shared" si="253"/>
        <v/>
      </c>
      <c r="I312" s="122" t="str">
        <f t="shared" si="254"/>
        <v/>
      </c>
      <c r="J312" s="7" t="str">
        <f t="shared" si="255"/>
        <v/>
      </c>
      <c r="K312" s="9" t="str">
        <f t="shared" si="256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251"/>
        <v/>
      </c>
      <c r="G313" s="7" t="str">
        <f t="shared" si="252"/>
        <v/>
      </c>
      <c r="H313" s="5" t="str">
        <f t="shared" si="253"/>
        <v/>
      </c>
      <c r="I313" s="122" t="str">
        <f t="shared" si="254"/>
        <v/>
      </c>
      <c r="J313" s="7" t="str">
        <f t="shared" si="255"/>
        <v/>
      </c>
      <c r="K313" s="9" t="str">
        <f t="shared" si="256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251"/>
        <v/>
      </c>
      <c r="G314" s="7" t="str">
        <f t="shared" si="252"/>
        <v/>
      </c>
      <c r="H314" s="5" t="str">
        <f t="shared" si="253"/>
        <v/>
      </c>
      <c r="I314" s="122" t="str">
        <f t="shared" si="254"/>
        <v/>
      </c>
      <c r="J314" s="7" t="str">
        <f t="shared" si="255"/>
        <v/>
      </c>
      <c r="K314" s="9" t="str">
        <f t="shared" si="256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6"/>
      <c r="B315" s="4"/>
      <c r="C315" s="4"/>
      <c r="D315" s="7"/>
      <c r="E315" s="7"/>
      <c r="F315" s="8" t="str">
        <f t="shared" si="251"/>
        <v/>
      </c>
      <c r="G315" s="7" t="str">
        <f t="shared" si="252"/>
        <v/>
      </c>
      <c r="H315" s="5" t="str">
        <f t="shared" si="253"/>
        <v/>
      </c>
      <c r="I315" s="122" t="str">
        <f t="shared" si="254"/>
        <v/>
      </c>
      <c r="J315" s="7" t="str">
        <f t="shared" si="255"/>
        <v/>
      </c>
      <c r="K315" s="9" t="str">
        <f t="shared" si="256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6"/>
      <c r="B316" s="4"/>
      <c r="C316" s="4"/>
      <c r="D316" s="7"/>
      <c r="E316" s="7"/>
      <c r="F316" s="8" t="str">
        <f t="shared" si="251"/>
        <v/>
      </c>
      <c r="G316" s="7" t="str">
        <f t="shared" si="252"/>
        <v/>
      </c>
      <c r="H316" s="5" t="str">
        <f t="shared" si="253"/>
        <v/>
      </c>
      <c r="I316" s="122" t="str">
        <f t="shared" si="254"/>
        <v/>
      </c>
      <c r="J316" s="7" t="str">
        <f t="shared" si="255"/>
        <v/>
      </c>
      <c r="K316" s="9" t="str">
        <f t="shared" si="256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6"/>
      <c r="B317" s="4"/>
      <c r="C317" s="4"/>
      <c r="D317" s="7"/>
      <c r="E317" s="7"/>
      <c r="F317" s="8" t="str">
        <f t="shared" si="251"/>
        <v/>
      </c>
      <c r="G317" s="7" t="str">
        <f t="shared" si="252"/>
        <v/>
      </c>
      <c r="H317" s="5" t="str">
        <f t="shared" si="253"/>
        <v/>
      </c>
      <c r="I317" s="122" t="str">
        <f t="shared" si="254"/>
        <v/>
      </c>
      <c r="J317" s="7" t="str">
        <f t="shared" si="255"/>
        <v/>
      </c>
      <c r="K317" s="9" t="str">
        <f t="shared" si="256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251"/>
        <v/>
      </c>
      <c r="G318" s="7" t="str">
        <f t="shared" si="252"/>
        <v/>
      </c>
      <c r="H318" s="5" t="str">
        <f t="shared" si="253"/>
        <v/>
      </c>
      <c r="I318" s="122" t="str">
        <f t="shared" si="254"/>
        <v/>
      </c>
      <c r="J318" s="7" t="str">
        <f t="shared" si="255"/>
        <v/>
      </c>
      <c r="K318" s="9" t="str">
        <f t="shared" si="256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6"/>
      <c r="B319" s="4"/>
      <c r="C319" s="4"/>
      <c r="D319" s="7"/>
      <c r="E319" s="7"/>
      <c r="F319" s="8" t="str">
        <f t="shared" si="251"/>
        <v/>
      </c>
      <c r="G319" s="7" t="str">
        <f t="shared" si="252"/>
        <v/>
      </c>
      <c r="H319" s="5" t="str">
        <f t="shared" si="253"/>
        <v/>
      </c>
      <c r="I319" s="122" t="str">
        <f t="shared" si="254"/>
        <v/>
      </c>
      <c r="J319" s="7" t="str">
        <f t="shared" si="255"/>
        <v/>
      </c>
      <c r="K319" s="9" t="str">
        <f t="shared" si="256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si="251"/>
        <v/>
      </c>
      <c r="G320" s="7" t="str">
        <f t="shared" si="252"/>
        <v/>
      </c>
      <c r="H320" s="5" t="str">
        <f t="shared" si="253"/>
        <v/>
      </c>
      <c r="I320" s="122" t="str">
        <f t="shared" si="254"/>
        <v/>
      </c>
      <c r="J320" s="7" t="str">
        <f t="shared" si="255"/>
        <v/>
      </c>
      <c r="K320" s="9" t="str">
        <f t="shared" si="256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si="251"/>
        <v/>
      </c>
      <c r="G321" s="7" t="str">
        <f t="shared" si="252"/>
        <v/>
      </c>
      <c r="H321" s="5" t="str">
        <f t="shared" si="253"/>
        <v/>
      </c>
      <c r="I321" s="122" t="str">
        <f t="shared" si="254"/>
        <v/>
      </c>
      <c r="J321" s="7" t="str">
        <f t="shared" si="255"/>
        <v/>
      </c>
      <c r="K321" s="9" t="str">
        <f t="shared" si="256"/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251"/>
        <v/>
      </c>
      <c r="G322" s="7" t="str">
        <f t="shared" si="252"/>
        <v/>
      </c>
      <c r="H322" s="5" t="str">
        <f t="shared" si="253"/>
        <v/>
      </c>
      <c r="I322" s="122" t="str">
        <f t="shared" si="254"/>
        <v/>
      </c>
      <c r="J322" s="7" t="str">
        <f t="shared" si="255"/>
        <v/>
      </c>
      <c r="K322" s="9" t="str">
        <f t="shared" si="256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6"/>
      <c r="B323" s="4"/>
      <c r="C323" s="4"/>
      <c r="D323" s="7"/>
      <c r="E323" s="7"/>
      <c r="F323" s="8" t="str">
        <f t="shared" si="251"/>
        <v/>
      </c>
      <c r="G323" s="7" t="str">
        <f t="shared" si="252"/>
        <v/>
      </c>
      <c r="H323" s="5" t="str">
        <f t="shared" si="253"/>
        <v/>
      </c>
      <c r="I323" s="122" t="str">
        <f t="shared" si="254"/>
        <v/>
      </c>
      <c r="J323" s="7" t="str">
        <f t="shared" si="255"/>
        <v/>
      </c>
      <c r="K323" s="9" t="str">
        <f t="shared" si="256"/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6"/>
      <c r="B324" s="4"/>
      <c r="C324" s="4"/>
      <c r="D324" s="7"/>
      <c r="E324" s="7"/>
      <c r="F324" s="8" t="str">
        <f t="shared" si="251"/>
        <v/>
      </c>
      <c r="G324" s="7" t="str">
        <f t="shared" si="252"/>
        <v/>
      </c>
      <c r="H324" s="5" t="str">
        <f t="shared" si="253"/>
        <v/>
      </c>
      <c r="I324" s="122" t="str">
        <f t="shared" si="254"/>
        <v/>
      </c>
      <c r="J324" s="7" t="str">
        <f t="shared" si="255"/>
        <v/>
      </c>
      <c r="K324" s="9" t="str">
        <f t="shared" si="256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6"/>
      <c r="B325" s="4"/>
      <c r="C325" s="4"/>
      <c r="D325" s="7"/>
      <c r="E325" s="7"/>
      <c r="F325" s="8" t="str">
        <f t="shared" si="251"/>
        <v/>
      </c>
      <c r="G325" s="7" t="str">
        <f t="shared" si="252"/>
        <v/>
      </c>
      <c r="H325" s="5" t="str">
        <f t="shared" si="253"/>
        <v/>
      </c>
      <c r="I325" s="122" t="str">
        <f t="shared" si="254"/>
        <v/>
      </c>
      <c r="J325" s="7" t="str">
        <f t="shared" si="255"/>
        <v/>
      </c>
      <c r="K325" s="9" t="str">
        <f t="shared" si="256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251"/>
        <v/>
      </c>
      <c r="G326" s="7" t="str">
        <f t="shared" si="252"/>
        <v/>
      </c>
      <c r="H326" s="5" t="str">
        <f t="shared" si="253"/>
        <v/>
      </c>
      <c r="I326" s="122" t="str">
        <f t="shared" si="254"/>
        <v/>
      </c>
      <c r="J326" s="7" t="str">
        <f t="shared" si="255"/>
        <v/>
      </c>
      <c r="K326" s="9" t="str">
        <f t="shared" si="256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6"/>
      <c r="B327" s="4"/>
      <c r="C327" s="4"/>
      <c r="D327" s="7"/>
      <c r="E327" s="7"/>
      <c r="F327" s="8" t="str">
        <f t="shared" si="251"/>
        <v/>
      </c>
      <c r="G327" s="7" t="str">
        <f t="shared" si="252"/>
        <v/>
      </c>
      <c r="H327" s="5" t="str">
        <f t="shared" si="253"/>
        <v/>
      </c>
      <c r="I327" s="122" t="str">
        <f t="shared" si="254"/>
        <v/>
      </c>
      <c r="J327" s="7" t="str">
        <f t="shared" si="255"/>
        <v/>
      </c>
      <c r="K327" s="9" t="str">
        <f t="shared" si="256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251"/>
        <v/>
      </c>
      <c r="G328" s="7" t="str">
        <f t="shared" si="252"/>
        <v/>
      </c>
      <c r="H328" s="5" t="str">
        <f t="shared" si="253"/>
        <v/>
      </c>
      <c r="I328" s="122" t="str">
        <f t="shared" si="254"/>
        <v/>
      </c>
      <c r="J328" s="7" t="str">
        <f t="shared" si="255"/>
        <v/>
      </c>
      <c r="K328" s="9" t="str">
        <f t="shared" si="256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251"/>
        <v/>
      </c>
      <c r="G329" s="7" t="str">
        <f t="shared" si="252"/>
        <v/>
      </c>
      <c r="H329" s="5" t="str">
        <f t="shared" si="253"/>
        <v/>
      </c>
      <c r="I329" s="122" t="str">
        <f t="shared" si="254"/>
        <v/>
      </c>
      <c r="J329" s="7" t="str">
        <f t="shared" si="255"/>
        <v/>
      </c>
      <c r="K329" s="9" t="str">
        <f t="shared" si="256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251"/>
        <v/>
      </c>
      <c r="G330" s="7" t="str">
        <f t="shared" si="252"/>
        <v/>
      </c>
      <c r="H330" s="5" t="str">
        <f t="shared" si="253"/>
        <v/>
      </c>
      <c r="I330" s="122" t="str">
        <f t="shared" si="254"/>
        <v/>
      </c>
      <c r="J330" s="7" t="str">
        <f t="shared" si="255"/>
        <v/>
      </c>
      <c r="K330" s="9" t="str">
        <f t="shared" si="256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6"/>
      <c r="B331" s="4"/>
      <c r="C331" s="4"/>
      <c r="D331" s="7"/>
      <c r="E331" s="7"/>
      <c r="F331" s="8" t="str">
        <f t="shared" si="251"/>
        <v/>
      </c>
      <c r="G331" s="7" t="str">
        <f t="shared" si="252"/>
        <v/>
      </c>
      <c r="H331" s="5" t="str">
        <f t="shared" si="253"/>
        <v/>
      </c>
      <c r="I331" s="122" t="str">
        <f t="shared" si="254"/>
        <v/>
      </c>
      <c r="J331" s="7" t="str">
        <f t="shared" si="255"/>
        <v/>
      </c>
      <c r="K331" s="9" t="str">
        <f t="shared" si="256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6"/>
      <c r="B332" s="4"/>
      <c r="C332" s="4"/>
      <c r="D332" s="7"/>
      <c r="E332" s="7"/>
      <c r="F332" s="8" t="str">
        <f t="shared" si="251"/>
        <v/>
      </c>
      <c r="G332" s="7" t="str">
        <f t="shared" si="252"/>
        <v/>
      </c>
      <c r="H332" s="5" t="str">
        <f t="shared" si="253"/>
        <v/>
      </c>
      <c r="I332" s="122" t="str">
        <f t="shared" si="254"/>
        <v/>
      </c>
      <c r="J332" s="7" t="str">
        <f t="shared" si="255"/>
        <v/>
      </c>
      <c r="K332" s="9" t="str">
        <f t="shared" si="256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6"/>
      <c r="B333" s="4"/>
      <c r="C333" s="4"/>
      <c r="D333" s="7"/>
      <c r="E333" s="7"/>
      <c r="F333" s="8" t="str">
        <f t="shared" si="251"/>
        <v/>
      </c>
      <c r="G333" s="7" t="str">
        <f t="shared" si="252"/>
        <v/>
      </c>
      <c r="H333" s="5" t="str">
        <f t="shared" si="253"/>
        <v/>
      </c>
      <c r="I333" s="122" t="str">
        <f t="shared" si="254"/>
        <v/>
      </c>
      <c r="J333" s="7" t="str">
        <f t="shared" si="255"/>
        <v/>
      </c>
      <c r="K333" s="9" t="str">
        <f t="shared" si="256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251"/>
        <v/>
      </c>
      <c r="G334" s="7" t="str">
        <f t="shared" si="252"/>
        <v/>
      </c>
      <c r="H334" s="5" t="str">
        <f t="shared" si="253"/>
        <v/>
      </c>
      <c r="I334" s="122" t="str">
        <f t="shared" si="254"/>
        <v/>
      </c>
      <c r="J334" s="7" t="str">
        <f t="shared" si="255"/>
        <v/>
      </c>
      <c r="K334" s="9" t="str">
        <f t="shared" si="256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6"/>
      <c r="B335" s="4"/>
      <c r="C335" s="4"/>
      <c r="D335" s="7"/>
      <c r="E335" s="7"/>
      <c r="F335" s="8" t="str">
        <f t="shared" si="251"/>
        <v/>
      </c>
      <c r="G335" s="7" t="str">
        <f t="shared" si="252"/>
        <v/>
      </c>
      <c r="H335" s="5" t="str">
        <f t="shared" si="253"/>
        <v/>
      </c>
      <c r="I335" s="122" t="str">
        <f t="shared" si="254"/>
        <v/>
      </c>
      <c r="J335" s="7" t="str">
        <f t="shared" si="255"/>
        <v/>
      </c>
      <c r="K335" s="9" t="str">
        <f t="shared" si="256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251"/>
        <v/>
      </c>
      <c r="G336" s="7" t="str">
        <f t="shared" si="252"/>
        <v/>
      </c>
      <c r="H336" s="5" t="str">
        <f t="shared" si="253"/>
        <v/>
      </c>
      <c r="I336" s="122" t="str">
        <f t="shared" si="254"/>
        <v/>
      </c>
      <c r="J336" s="7" t="str">
        <f t="shared" si="255"/>
        <v/>
      </c>
      <c r="K336" s="9" t="str">
        <f t="shared" si="256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251"/>
        <v/>
      </c>
      <c r="G337" s="7" t="str">
        <f t="shared" si="252"/>
        <v/>
      </c>
      <c r="H337" s="5" t="str">
        <f t="shared" si="253"/>
        <v/>
      </c>
      <c r="I337" s="122" t="str">
        <f t="shared" si="254"/>
        <v/>
      </c>
      <c r="J337" s="7" t="str">
        <f t="shared" si="255"/>
        <v/>
      </c>
      <c r="K337" s="9" t="str">
        <f t="shared" si="256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251"/>
        <v/>
      </c>
      <c r="G338" s="7" t="str">
        <f t="shared" si="252"/>
        <v/>
      </c>
      <c r="H338" s="5" t="str">
        <f t="shared" si="253"/>
        <v/>
      </c>
      <c r="I338" s="122" t="str">
        <f t="shared" si="254"/>
        <v/>
      </c>
      <c r="J338" s="7" t="str">
        <f t="shared" si="255"/>
        <v/>
      </c>
      <c r="K338" s="9" t="str">
        <f t="shared" si="256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251"/>
        <v/>
      </c>
      <c r="G339" s="7" t="str">
        <f t="shared" si="252"/>
        <v/>
      </c>
      <c r="H339" s="5" t="str">
        <f t="shared" si="253"/>
        <v/>
      </c>
      <c r="I339" s="122" t="str">
        <f t="shared" si="254"/>
        <v/>
      </c>
      <c r="J339" s="7" t="str">
        <f t="shared" si="255"/>
        <v/>
      </c>
      <c r="K339" s="9" t="str">
        <f t="shared" si="256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251"/>
        <v/>
      </c>
      <c r="G340" s="7" t="str">
        <f t="shared" si="252"/>
        <v/>
      </c>
      <c r="H340" s="5" t="str">
        <f t="shared" si="253"/>
        <v/>
      </c>
      <c r="I340" s="122" t="str">
        <f t="shared" si="254"/>
        <v/>
      </c>
      <c r="J340" s="7" t="str">
        <f t="shared" si="255"/>
        <v/>
      </c>
      <c r="K340" s="9" t="str">
        <f t="shared" si="256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6"/>
      <c r="B341" s="4"/>
      <c r="C341" s="4"/>
      <c r="D341" s="7"/>
      <c r="E341" s="7"/>
      <c r="F341" s="8" t="str">
        <f t="shared" si="251"/>
        <v/>
      </c>
      <c r="G341" s="7" t="str">
        <f t="shared" si="252"/>
        <v/>
      </c>
      <c r="H341" s="5" t="str">
        <f t="shared" si="253"/>
        <v/>
      </c>
      <c r="I341" s="122" t="str">
        <f t="shared" si="254"/>
        <v/>
      </c>
      <c r="J341" s="7" t="str">
        <f t="shared" si="255"/>
        <v/>
      </c>
      <c r="K341" s="9" t="str">
        <f t="shared" si="256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6"/>
      <c r="B342" s="4"/>
      <c r="C342" s="4"/>
      <c r="D342" s="7"/>
      <c r="E342" s="7"/>
      <c r="F342" s="8" t="str">
        <f t="shared" si="251"/>
        <v/>
      </c>
      <c r="G342" s="7" t="str">
        <f t="shared" si="252"/>
        <v/>
      </c>
      <c r="H342" s="5" t="str">
        <f t="shared" si="253"/>
        <v/>
      </c>
      <c r="I342" s="122" t="str">
        <f t="shared" si="254"/>
        <v/>
      </c>
      <c r="J342" s="7" t="str">
        <f t="shared" si="255"/>
        <v/>
      </c>
      <c r="K342" s="9" t="str">
        <f t="shared" si="256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6"/>
      <c r="B343" s="4"/>
      <c r="C343" s="4"/>
      <c r="D343" s="7"/>
      <c r="E343" s="7"/>
      <c r="F343" s="8" t="str">
        <f t="shared" si="251"/>
        <v/>
      </c>
      <c r="G343" s="7" t="str">
        <f t="shared" si="252"/>
        <v/>
      </c>
      <c r="H343" s="5" t="str">
        <f t="shared" si="253"/>
        <v/>
      </c>
      <c r="I343" s="122" t="str">
        <f t="shared" si="254"/>
        <v/>
      </c>
      <c r="J343" s="7" t="str">
        <f t="shared" si="255"/>
        <v/>
      </c>
      <c r="K343" s="9" t="str">
        <f t="shared" si="256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251"/>
        <v/>
      </c>
      <c r="G344" s="7" t="str">
        <f t="shared" si="252"/>
        <v/>
      </c>
      <c r="H344" s="5" t="str">
        <f t="shared" si="253"/>
        <v/>
      </c>
      <c r="I344" s="122" t="str">
        <f t="shared" si="254"/>
        <v/>
      </c>
      <c r="J344" s="7" t="str">
        <f t="shared" si="255"/>
        <v/>
      </c>
      <c r="K344" s="9" t="str">
        <f t="shared" si="256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6"/>
      <c r="B345" s="4"/>
      <c r="C345" s="4"/>
      <c r="D345" s="7"/>
      <c r="E345" s="7"/>
      <c r="F345" s="8" t="str">
        <f t="shared" si="251"/>
        <v/>
      </c>
      <c r="G345" s="7" t="str">
        <f t="shared" si="252"/>
        <v/>
      </c>
      <c r="H345" s="5" t="str">
        <f t="shared" si="253"/>
        <v/>
      </c>
      <c r="I345" s="122" t="str">
        <f t="shared" si="254"/>
        <v/>
      </c>
      <c r="J345" s="7" t="str">
        <f t="shared" si="255"/>
        <v/>
      </c>
      <c r="K345" s="9" t="str">
        <f t="shared" si="256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6"/>
      <c r="B346" s="4"/>
      <c r="C346" s="4"/>
      <c r="D346" s="7"/>
      <c r="E346" s="7"/>
      <c r="F346" s="8" t="str">
        <f t="shared" si="251"/>
        <v/>
      </c>
      <c r="G346" s="7" t="str">
        <f t="shared" si="252"/>
        <v/>
      </c>
      <c r="H346" s="5" t="str">
        <f t="shared" si="253"/>
        <v/>
      </c>
      <c r="I346" s="122" t="str">
        <f t="shared" si="254"/>
        <v/>
      </c>
      <c r="J346" s="7" t="str">
        <f t="shared" si="255"/>
        <v/>
      </c>
      <c r="K346" s="9" t="str">
        <f t="shared" si="256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6"/>
      <c r="B347" s="4"/>
      <c r="C347" s="4"/>
      <c r="D347" s="7"/>
      <c r="E347" s="7"/>
      <c r="F347" s="8" t="str">
        <f t="shared" si="251"/>
        <v/>
      </c>
      <c r="G347" s="7" t="str">
        <f t="shared" si="252"/>
        <v/>
      </c>
      <c r="H347" s="5" t="str">
        <f t="shared" si="253"/>
        <v/>
      </c>
      <c r="I347" s="122" t="str">
        <f t="shared" si="254"/>
        <v/>
      </c>
      <c r="J347" s="7" t="str">
        <f t="shared" si="255"/>
        <v/>
      </c>
      <c r="K347" s="9" t="str">
        <f t="shared" si="256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">
      <c r="A348" s="126"/>
      <c r="B348" s="4"/>
      <c r="C348" s="4"/>
      <c r="D348" s="7"/>
      <c r="E348" s="7"/>
      <c r="F348" s="8" t="str">
        <f t="shared" si="251"/>
        <v/>
      </c>
      <c r="G348" s="7" t="str">
        <f t="shared" si="252"/>
        <v/>
      </c>
      <c r="H348" s="5" t="str">
        <f t="shared" si="253"/>
        <v/>
      </c>
      <c r="I348" s="122" t="str">
        <f t="shared" si="254"/>
        <v/>
      </c>
      <c r="J348" s="7" t="str">
        <f t="shared" si="255"/>
        <v/>
      </c>
      <c r="K348" s="9" t="str">
        <f t="shared" si="256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">
      <c r="A349" s="126"/>
      <c r="B349" s="4"/>
      <c r="C349" s="4"/>
      <c r="D349" s="7"/>
      <c r="E349" s="7"/>
      <c r="F349" s="8" t="str">
        <f t="shared" si="251"/>
        <v/>
      </c>
      <c r="G349" s="7" t="str">
        <f t="shared" si="252"/>
        <v/>
      </c>
      <c r="H349" s="5" t="str">
        <f t="shared" si="253"/>
        <v/>
      </c>
      <c r="I349" s="122" t="str">
        <f t="shared" si="254"/>
        <v/>
      </c>
      <c r="J349" s="7" t="str">
        <f t="shared" si="255"/>
        <v/>
      </c>
      <c r="K349" s="9" t="str">
        <f t="shared" si="256"/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">
      <c r="A350" s="126"/>
      <c r="B350" s="4"/>
      <c r="C350" s="4"/>
      <c r="D350" s="7"/>
      <c r="E350" s="7"/>
      <c r="F350" s="8" t="str">
        <f t="shared" si="251"/>
        <v/>
      </c>
      <c r="G350" s="7" t="str">
        <f t="shared" si="252"/>
        <v/>
      </c>
      <c r="H350" s="5" t="str">
        <f t="shared" si="253"/>
        <v/>
      </c>
      <c r="I350" s="122" t="str">
        <f t="shared" si="254"/>
        <v/>
      </c>
      <c r="J350" s="7" t="str">
        <f t="shared" si="255"/>
        <v/>
      </c>
      <c r="K350" s="9" t="str">
        <f t="shared" si="256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si="251"/>
        <v/>
      </c>
      <c r="G351" s="7" t="str">
        <f t="shared" si="252"/>
        <v/>
      </c>
      <c r="H351" s="5" t="str">
        <f t="shared" si="253"/>
        <v/>
      </c>
      <c r="I351" s="122" t="str">
        <f t="shared" si="254"/>
        <v/>
      </c>
      <c r="J351" s="7" t="str">
        <f t="shared" si="255"/>
        <v/>
      </c>
      <c r="K351" s="9" t="str">
        <f t="shared" si="256"/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">
      <c r="A352" s="126"/>
      <c r="B352" s="4"/>
      <c r="C352" s="4"/>
      <c r="D352" s="7"/>
      <c r="E352" s="7"/>
      <c r="F352" s="8" t="str">
        <f t="shared" si="251"/>
        <v/>
      </c>
      <c r="G352" s="7" t="str">
        <f t="shared" si="252"/>
        <v/>
      </c>
      <c r="H352" s="5" t="str">
        <f t="shared" si="253"/>
        <v/>
      </c>
      <c r="I352" s="122" t="str">
        <f t="shared" si="254"/>
        <v/>
      </c>
      <c r="J352" s="7" t="str">
        <f t="shared" si="255"/>
        <v/>
      </c>
      <c r="K352" s="9" t="str">
        <f t="shared" si="256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ref="F353:F416" si="257">IF(ISBLANK(B353),"",IF(I353="L","Baixa",IF(I353="A","Média",IF(I353="","","Alta"))))</f>
        <v/>
      </c>
      <c r="G353" s="7" t="str">
        <f t="shared" ref="G353:G416" si="258">CONCATENATE(B353,I353)</f>
        <v/>
      </c>
      <c r="H353" s="5" t="str">
        <f t="shared" ref="H353:H416" si="259">IF(ISBLANK(B353),"",IF(B353="ALI",IF(I353="L",7,IF(I353="A",10,15)),IF(B353="AIE",IF(I353="L",5,IF(I353="A",7,10)),IF(B353="SE",IF(I353="L",4,IF(I353="A",5,7)),IF(OR(B353="EE",B353="CE"),IF(I353="L",3,IF(I353="A",4,6)),0)))))</f>
        <v/>
      </c>
      <c r="I353" s="122" t="str">
        <f t="shared" ref="I353:I416" si="260">IF(OR(ISBLANK(D353),ISBLANK(E353)),IF(OR(B353="ALI",B353="AIE"),"L",IF(OR(B353="EE",B353="SE",B353="CE"),"A","")),IF(B353="EE",IF(E353&gt;=3,IF(D353&gt;=5,"H","A"),IF(E353&gt;=2,IF(D353&gt;=16,"H",IF(D353&lt;=4,"L","A")),IF(D353&lt;=15,"L","A"))),IF(OR(B353="SE",B353="CE"),IF(E353&gt;=4,IF(D353&gt;=6,"H","A"),IF(E353&gt;=2,IF(D353&gt;=20,"H",IF(D353&lt;=5,"L","A")),IF(D353&lt;=19,"L","A"))),IF(OR(B353="ALI",B353="AIE"),IF(E353&gt;=6,IF(D353&gt;=20,"H","A"),IF(E353&gt;=2,IF(D353&gt;=51,"H",IF(D353&lt;=19,"L","A")),IF(D353&lt;=50,"L","A"))),""))))</f>
        <v/>
      </c>
      <c r="J353" s="7" t="str">
        <f t="shared" ref="J353:J416" si="261">CONCATENATE(B353,C353)</f>
        <v/>
      </c>
      <c r="K353" s="9" t="str">
        <f t="shared" si="256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">
      <c r="A354" s="126"/>
      <c r="B354" s="4"/>
      <c r="C354" s="4"/>
      <c r="D354" s="7"/>
      <c r="E354" s="7"/>
      <c r="F354" s="8" t="str">
        <f t="shared" si="257"/>
        <v/>
      </c>
      <c r="G354" s="7" t="str">
        <f t="shared" si="258"/>
        <v/>
      </c>
      <c r="H354" s="5" t="str">
        <f t="shared" si="259"/>
        <v/>
      </c>
      <c r="I354" s="122" t="str">
        <f t="shared" si="260"/>
        <v/>
      </c>
      <c r="J354" s="7" t="str">
        <f t="shared" si="261"/>
        <v/>
      </c>
      <c r="K354" s="9" t="str">
        <f t="shared" si="256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x14ac:dyDescent="0.2">
      <c r="A355" s="126"/>
      <c r="B355" s="4"/>
      <c r="C355" s="4"/>
      <c r="D355" s="7"/>
      <c r="E355" s="7"/>
      <c r="F355" s="8" t="str">
        <f t="shared" si="257"/>
        <v/>
      </c>
      <c r="G355" s="7" t="str">
        <f t="shared" si="258"/>
        <v/>
      </c>
      <c r="H355" s="5" t="str">
        <f t="shared" si="259"/>
        <v/>
      </c>
      <c r="I355" s="122" t="str">
        <f t="shared" si="260"/>
        <v/>
      </c>
      <c r="J355" s="7" t="str">
        <f t="shared" si="261"/>
        <v/>
      </c>
      <c r="K355" s="9" t="str">
        <f t="shared" ref="K355:K418" si="262">IF(OR(H355="",H355=0),L355,H355)</f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x14ac:dyDescent="0.2">
      <c r="A356" s="126"/>
      <c r="B356" s="4"/>
      <c r="C356" s="4"/>
      <c r="D356" s="7"/>
      <c r="E356" s="7"/>
      <c r="F356" s="8" t="str">
        <f t="shared" si="257"/>
        <v/>
      </c>
      <c r="G356" s="7" t="str">
        <f t="shared" si="258"/>
        <v/>
      </c>
      <c r="H356" s="5" t="str">
        <f t="shared" si="259"/>
        <v/>
      </c>
      <c r="I356" s="122" t="str">
        <f t="shared" si="260"/>
        <v/>
      </c>
      <c r="J356" s="7" t="str">
        <f t="shared" si="261"/>
        <v/>
      </c>
      <c r="K356" s="9" t="str">
        <f t="shared" si="262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x14ac:dyDescent="0.2">
      <c r="A357" s="126"/>
      <c r="B357" s="4"/>
      <c r="C357" s="4"/>
      <c r="D357" s="7"/>
      <c r="E357" s="7"/>
      <c r="F357" s="8" t="str">
        <f t="shared" si="257"/>
        <v/>
      </c>
      <c r="G357" s="7" t="str">
        <f t="shared" si="258"/>
        <v/>
      </c>
      <c r="H357" s="5" t="str">
        <f t="shared" si="259"/>
        <v/>
      </c>
      <c r="I357" s="122" t="str">
        <f t="shared" si="260"/>
        <v/>
      </c>
      <c r="J357" s="7" t="str">
        <f t="shared" si="261"/>
        <v/>
      </c>
      <c r="K357" s="9" t="str">
        <f t="shared" si="262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x14ac:dyDescent="0.2">
      <c r="A358" s="126"/>
      <c r="B358" s="4"/>
      <c r="C358" s="4"/>
      <c r="D358" s="7"/>
      <c r="E358" s="7"/>
      <c r="F358" s="8" t="str">
        <f t="shared" si="257"/>
        <v/>
      </c>
      <c r="G358" s="7" t="str">
        <f t="shared" si="258"/>
        <v/>
      </c>
      <c r="H358" s="5" t="str">
        <f t="shared" si="259"/>
        <v/>
      </c>
      <c r="I358" s="122" t="str">
        <f t="shared" si="260"/>
        <v/>
      </c>
      <c r="J358" s="7" t="str">
        <f t="shared" si="261"/>
        <v/>
      </c>
      <c r="K358" s="9" t="str">
        <f t="shared" si="262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x14ac:dyDescent="0.2">
      <c r="A359" s="126"/>
      <c r="B359" s="4"/>
      <c r="C359" s="4"/>
      <c r="D359" s="7"/>
      <c r="E359" s="7"/>
      <c r="F359" s="8" t="str">
        <f t="shared" si="257"/>
        <v/>
      </c>
      <c r="G359" s="7" t="str">
        <f t="shared" si="258"/>
        <v/>
      </c>
      <c r="H359" s="5" t="str">
        <f t="shared" si="259"/>
        <v/>
      </c>
      <c r="I359" s="122" t="str">
        <f t="shared" si="260"/>
        <v/>
      </c>
      <c r="J359" s="7" t="str">
        <f t="shared" si="261"/>
        <v/>
      </c>
      <c r="K359" s="9" t="str">
        <f t="shared" si="262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x14ac:dyDescent="0.2">
      <c r="A360" s="126"/>
      <c r="B360" s="4"/>
      <c r="C360" s="4"/>
      <c r="D360" s="7"/>
      <c r="E360" s="7"/>
      <c r="F360" s="8" t="str">
        <f t="shared" si="257"/>
        <v/>
      </c>
      <c r="G360" s="7" t="str">
        <f t="shared" si="258"/>
        <v/>
      </c>
      <c r="H360" s="5" t="str">
        <f t="shared" si="259"/>
        <v/>
      </c>
      <c r="I360" s="122" t="str">
        <f t="shared" si="260"/>
        <v/>
      </c>
      <c r="J360" s="7" t="str">
        <f t="shared" si="261"/>
        <v/>
      </c>
      <c r="K360" s="9" t="str">
        <f t="shared" si="262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x14ac:dyDescent="0.2">
      <c r="A361" s="126"/>
      <c r="B361" s="4"/>
      <c r="C361" s="4"/>
      <c r="D361" s="7"/>
      <c r="E361" s="7"/>
      <c r="F361" s="8" t="str">
        <f t="shared" si="257"/>
        <v/>
      </c>
      <c r="G361" s="7" t="str">
        <f t="shared" si="258"/>
        <v/>
      </c>
      <c r="H361" s="5" t="str">
        <f t="shared" si="259"/>
        <v/>
      </c>
      <c r="I361" s="122" t="str">
        <f t="shared" si="260"/>
        <v/>
      </c>
      <c r="J361" s="7" t="str">
        <f t="shared" si="261"/>
        <v/>
      </c>
      <c r="K361" s="9" t="str">
        <f t="shared" si="262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x14ac:dyDescent="0.2">
      <c r="A362" s="126"/>
      <c r="B362" s="4"/>
      <c r="C362" s="4"/>
      <c r="D362" s="7"/>
      <c r="E362" s="7"/>
      <c r="F362" s="8" t="str">
        <f t="shared" si="257"/>
        <v/>
      </c>
      <c r="G362" s="7" t="str">
        <f t="shared" si="258"/>
        <v/>
      </c>
      <c r="H362" s="5" t="str">
        <f t="shared" si="259"/>
        <v/>
      </c>
      <c r="I362" s="122" t="str">
        <f t="shared" si="260"/>
        <v/>
      </c>
      <c r="J362" s="7" t="str">
        <f t="shared" si="261"/>
        <v/>
      </c>
      <c r="K362" s="9" t="str">
        <f t="shared" si="262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x14ac:dyDescent="0.2">
      <c r="A363" s="126"/>
      <c r="B363" s="4"/>
      <c r="C363" s="4"/>
      <c r="D363" s="7"/>
      <c r="E363" s="7"/>
      <c r="F363" s="8" t="str">
        <f t="shared" si="257"/>
        <v/>
      </c>
      <c r="G363" s="7" t="str">
        <f t="shared" si="258"/>
        <v/>
      </c>
      <c r="H363" s="5" t="str">
        <f t="shared" si="259"/>
        <v/>
      </c>
      <c r="I363" s="122" t="str">
        <f t="shared" si="260"/>
        <v/>
      </c>
      <c r="J363" s="7" t="str">
        <f t="shared" si="261"/>
        <v/>
      </c>
      <c r="K363" s="9" t="str">
        <f t="shared" si="262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x14ac:dyDescent="0.2">
      <c r="A364" s="126"/>
      <c r="B364" s="4"/>
      <c r="C364" s="4"/>
      <c r="D364" s="7"/>
      <c r="E364" s="7"/>
      <c r="F364" s="8" t="str">
        <f t="shared" si="257"/>
        <v/>
      </c>
      <c r="G364" s="7" t="str">
        <f t="shared" si="258"/>
        <v/>
      </c>
      <c r="H364" s="5" t="str">
        <f t="shared" si="259"/>
        <v/>
      </c>
      <c r="I364" s="122" t="str">
        <f t="shared" si="260"/>
        <v/>
      </c>
      <c r="J364" s="7" t="str">
        <f t="shared" si="261"/>
        <v/>
      </c>
      <c r="K364" s="9" t="str">
        <f t="shared" si="262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x14ac:dyDescent="0.2">
      <c r="A365" s="126"/>
      <c r="B365" s="4"/>
      <c r="C365" s="4"/>
      <c r="D365" s="7"/>
      <c r="E365" s="7"/>
      <c r="F365" s="8" t="str">
        <f t="shared" si="257"/>
        <v/>
      </c>
      <c r="G365" s="7" t="str">
        <f t="shared" si="258"/>
        <v/>
      </c>
      <c r="H365" s="5" t="str">
        <f t="shared" si="259"/>
        <v/>
      </c>
      <c r="I365" s="122" t="str">
        <f t="shared" si="260"/>
        <v/>
      </c>
      <c r="J365" s="7" t="str">
        <f t="shared" si="261"/>
        <v/>
      </c>
      <c r="K365" s="9" t="str">
        <f t="shared" si="262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">
      <c r="A366" s="126"/>
      <c r="B366" s="4"/>
      <c r="C366" s="4"/>
      <c r="D366" s="7"/>
      <c r="E366" s="7"/>
      <c r="F366" s="8" t="str">
        <f t="shared" si="257"/>
        <v/>
      </c>
      <c r="G366" s="7" t="str">
        <f t="shared" si="258"/>
        <v/>
      </c>
      <c r="H366" s="5" t="str">
        <f t="shared" si="259"/>
        <v/>
      </c>
      <c r="I366" s="122" t="str">
        <f t="shared" si="260"/>
        <v/>
      </c>
      <c r="J366" s="7" t="str">
        <f t="shared" si="261"/>
        <v/>
      </c>
      <c r="K366" s="9" t="str">
        <f t="shared" si="262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">
      <c r="A367" s="126"/>
      <c r="B367" s="4"/>
      <c r="C367" s="4"/>
      <c r="D367" s="7"/>
      <c r="E367" s="7"/>
      <c r="F367" s="8" t="str">
        <f t="shared" si="257"/>
        <v/>
      </c>
      <c r="G367" s="7" t="str">
        <f t="shared" si="258"/>
        <v/>
      </c>
      <c r="H367" s="5" t="str">
        <f t="shared" si="259"/>
        <v/>
      </c>
      <c r="I367" s="122" t="str">
        <f t="shared" si="260"/>
        <v/>
      </c>
      <c r="J367" s="7" t="str">
        <f t="shared" si="261"/>
        <v/>
      </c>
      <c r="K367" s="9" t="str">
        <f t="shared" si="262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">
      <c r="A368" s="126"/>
      <c r="B368" s="4"/>
      <c r="C368" s="4"/>
      <c r="D368" s="7"/>
      <c r="E368" s="7"/>
      <c r="F368" s="8" t="str">
        <f t="shared" si="257"/>
        <v/>
      </c>
      <c r="G368" s="7" t="str">
        <f t="shared" si="258"/>
        <v/>
      </c>
      <c r="H368" s="5" t="str">
        <f t="shared" si="259"/>
        <v/>
      </c>
      <c r="I368" s="122" t="str">
        <f t="shared" si="260"/>
        <v/>
      </c>
      <c r="J368" s="7" t="str">
        <f t="shared" si="261"/>
        <v/>
      </c>
      <c r="K368" s="9" t="str">
        <f t="shared" si="262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">
      <c r="A369" s="126"/>
      <c r="B369" s="4"/>
      <c r="C369" s="4"/>
      <c r="D369" s="7"/>
      <c r="E369" s="7"/>
      <c r="F369" s="8" t="str">
        <f t="shared" si="257"/>
        <v/>
      </c>
      <c r="G369" s="7" t="str">
        <f t="shared" si="258"/>
        <v/>
      </c>
      <c r="H369" s="5" t="str">
        <f t="shared" si="259"/>
        <v/>
      </c>
      <c r="I369" s="122" t="str">
        <f t="shared" si="260"/>
        <v/>
      </c>
      <c r="J369" s="7" t="str">
        <f t="shared" si="261"/>
        <v/>
      </c>
      <c r="K369" s="9" t="str">
        <f t="shared" si="262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">
      <c r="A370" s="126"/>
      <c r="B370" s="4"/>
      <c r="C370" s="4"/>
      <c r="D370" s="7"/>
      <c r="E370" s="7"/>
      <c r="F370" s="8" t="str">
        <f t="shared" si="257"/>
        <v/>
      </c>
      <c r="G370" s="7" t="str">
        <f t="shared" si="258"/>
        <v/>
      </c>
      <c r="H370" s="5" t="str">
        <f t="shared" si="259"/>
        <v/>
      </c>
      <c r="I370" s="122" t="str">
        <f t="shared" si="260"/>
        <v/>
      </c>
      <c r="J370" s="7" t="str">
        <f t="shared" si="261"/>
        <v/>
      </c>
      <c r="K370" s="9" t="str">
        <f t="shared" si="262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">
      <c r="A371" s="126"/>
      <c r="B371" s="4"/>
      <c r="C371" s="4"/>
      <c r="D371" s="7"/>
      <c r="E371" s="7"/>
      <c r="F371" s="8" t="str">
        <f t="shared" si="257"/>
        <v/>
      </c>
      <c r="G371" s="7" t="str">
        <f t="shared" si="258"/>
        <v/>
      </c>
      <c r="H371" s="5" t="str">
        <f t="shared" si="259"/>
        <v/>
      </c>
      <c r="I371" s="122" t="str">
        <f t="shared" si="260"/>
        <v/>
      </c>
      <c r="J371" s="7" t="str">
        <f t="shared" si="261"/>
        <v/>
      </c>
      <c r="K371" s="9" t="str">
        <f t="shared" si="262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">
      <c r="A372" s="126"/>
      <c r="B372" s="4"/>
      <c r="C372" s="4"/>
      <c r="D372" s="7"/>
      <c r="E372" s="7"/>
      <c r="F372" s="8" t="str">
        <f t="shared" si="257"/>
        <v/>
      </c>
      <c r="G372" s="7" t="str">
        <f t="shared" si="258"/>
        <v/>
      </c>
      <c r="H372" s="5" t="str">
        <f t="shared" si="259"/>
        <v/>
      </c>
      <c r="I372" s="122" t="str">
        <f t="shared" si="260"/>
        <v/>
      </c>
      <c r="J372" s="7" t="str">
        <f t="shared" si="261"/>
        <v/>
      </c>
      <c r="K372" s="9" t="str">
        <f t="shared" si="262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6"/>
      <c r="B373" s="4"/>
      <c r="C373" s="4"/>
      <c r="D373" s="7"/>
      <c r="E373" s="7"/>
      <c r="F373" s="8" t="str">
        <f t="shared" si="257"/>
        <v/>
      </c>
      <c r="G373" s="7" t="str">
        <f t="shared" si="258"/>
        <v/>
      </c>
      <c r="H373" s="5" t="str">
        <f t="shared" si="259"/>
        <v/>
      </c>
      <c r="I373" s="122" t="str">
        <f t="shared" si="260"/>
        <v/>
      </c>
      <c r="J373" s="7" t="str">
        <f t="shared" si="261"/>
        <v/>
      </c>
      <c r="K373" s="9" t="str">
        <f t="shared" si="262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">
      <c r="A374" s="126"/>
      <c r="B374" s="4"/>
      <c r="C374" s="4"/>
      <c r="D374" s="7"/>
      <c r="E374" s="7"/>
      <c r="F374" s="8" t="str">
        <f t="shared" si="257"/>
        <v/>
      </c>
      <c r="G374" s="7" t="str">
        <f t="shared" si="258"/>
        <v/>
      </c>
      <c r="H374" s="5" t="str">
        <f t="shared" si="259"/>
        <v/>
      </c>
      <c r="I374" s="122" t="str">
        <f t="shared" si="260"/>
        <v/>
      </c>
      <c r="J374" s="7" t="str">
        <f t="shared" si="261"/>
        <v/>
      </c>
      <c r="K374" s="9" t="str">
        <f t="shared" si="262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257"/>
        <v/>
      </c>
      <c r="G375" s="7" t="str">
        <f t="shared" si="258"/>
        <v/>
      </c>
      <c r="H375" s="5" t="str">
        <f t="shared" si="259"/>
        <v/>
      </c>
      <c r="I375" s="122" t="str">
        <f t="shared" si="260"/>
        <v/>
      </c>
      <c r="J375" s="7" t="str">
        <f t="shared" si="261"/>
        <v/>
      </c>
      <c r="K375" s="9" t="str">
        <f t="shared" si="262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6"/>
      <c r="B376" s="4"/>
      <c r="C376" s="4"/>
      <c r="D376" s="7"/>
      <c r="E376" s="7"/>
      <c r="F376" s="8" t="str">
        <f t="shared" si="257"/>
        <v/>
      </c>
      <c r="G376" s="7" t="str">
        <f t="shared" si="258"/>
        <v/>
      </c>
      <c r="H376" s="5" t="str">
        <f t="shared" si="259"/>
        <v/>
      </c>
      <c r="I376" s="122" t="str">
        <f t="shared" si="260"/>
        <v/>
      </c>
      <c r="J376" s="7" t="str">
        <f t="shared" si="261"/>
        <v/>
      </c>
      <c r="K376" s="9" t="str">
        <f t="shared" si="262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257"/>
        <v/>
      </c>
      <c r="G377" s="7" t="str">
        <f t="shared" si="258"/>
        <v/>
      </c>
      <c r="H377" s="5" t="str">
        <f t="shared" si="259"/>
        <v/>
      </c>
      <c r="I377" s="122" t="str">
        <f t="shared" si="260"/>
        <v/>
      </c>
      <c r="J377" s="7" t="str">
        <f t="shared" si="261"/>
        <v/>
      </c>
      <c r="K377" s="9" t="str">
        <f t="shared" si="262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6"/>
      <c r="B378" s="4"/>
      <c r="C378" s="4"/>
      <c r="D378" s="7"/>
      <c r="E378" s="7"/>
      <c r="F378" s="8" t="str">
        <f t="shared" si="257"/>
        <v/>
      </c>
      <c r="G378" s="7" t="str">
        <f t="shared" si="258"/>
        <v/>
      </c>
      <c r="H378" s="5" t="str">
        <f t="shared" si="259"/>
        <v/>
      </c>
      <c r="I378" s="122" t="str">
        <f t="shared" si="260"/>
        <v/>
      </c>
      <c r="J378" s="7" t="str">
        <f t="shared" si="261"/>
        <v/>
      </c>
      <c r="K378" s="9" t="str">
        <f t="shared" si="262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6"/>
      <c r="B379" s="4"/>
      <c r="C379" s="4"/>
      <c r="D379" s="7"/>
      <c r="E379" s="7"/>
      <c r="F379" s="8" t="str">
        <f t="shared" si="257"/>
        <v/>
      </c>
      <c r="G379" s="7" t="str">
        <f t="shared" si="258"/>
        <v/>
      </c>
      <c r="H379" s="5" t="str">
        <f t="shared" si="259"/>
        <v/>
      </c>
      <c r="I379" s="122" t="str">
        <f t="shared" si="260"/>
        <v/>
      </c>
      <c r="J379" s="7" t="str">
        <f t="shared" si="261"/>
        <v/>
      </c>
      <c r="K379" s="9" t="str">
        <f t="shared" si="262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6"/>
      <c r="B380" s="4"/>
      <c r="C380" s="4"/>
      <c r="D380" s="7"/>
      <c r="E380" s="7"/>
      <c r="F380" s="8" t="str">
        <f t="shared" si="257"/>
        <v/>
      </c>
      <c r="G380" s="7" t="str">
        <f t="shared" si="258"/>
        <v/>
      </c>
      <c r="H380" s="5" t="str">
        <f t="shared" si="259"/>
        <v/>
      </c>
      <c r="I380" s="122" t="str">
        <f t="shared" si="260"/>
        <v/>
      </c>
      <c r="J380" s="7" t="str">
        <f t="shared" si="261"/>
        <v/>
      </c>
      <c r="K380" s="9" t="str">
        <f t="shared" si="262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257"/>
        <v/>
      </c>
      <c r="G381" s="7" t="str">
        <f t="shared" si="258"/>
        <v/>
      </c>
      <c r="H381" s="5" t="str">
        <f t="shared" si="259"/>
        <v/>
      </c>
      <c r="I381" s="122" t="str">
        <f t="shared" si="260"/>
        <v/>
      </c>
      <c r="J381" s="7" t="str">
        <f t="shared" si="261"/>
        <v/>
      </c>
      <c r="K381" s="9" t="str">
        <f t="shared" si="262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6"/>
      <c r="B382" s="4"/>
      <c r="C382" s="4"/>
      <c r="D382" s="7"/>
      <c r="E382" s="7"/>
      <c r="F382" s="8" t="str">
        <f t="shared" si="257"/>
        <v/>
      </c>
      <c r="G382" s="7" t="str">
        <f t="shared" si="258"/>
        <v/>
      </c>
      <c r="H382" s="5" t="str">
        <f t="shared" si="259"/>
        <v/>
      </c>
      <c r="I382" s="122" t="str">
        <f t="shared" si="260"/>
        <v/>
      </c>
      <c r="J382" s="7" t="str">
        <f t="shared" si="261"/>
        <v/>
      </c>
      <c r="K382" s="9" t="str">
        <f t="shared" si="262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si="257"/>
        <v/>
      </c>
      <c r="G383" s="7" t="str">
        <f t="shared" si="258"/>
        <v/>
      </c>
      <c r="H383" s="5" t="str">
        <f t="shared" si="259"/>
        <v/>
      </c>
      <c r="I383" s="122" t="str">
        <f t="shared" si="260"/>
        <v/>
      </c>
      <c r="J383" s="7" t="str">
        <f t="shared" si="261"/>
        <v/>
      </c>
      <c r="K383" s="9" t="str">
        <f t="shared" si="262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">
      <c r="A384" s="126"/>
      <c r="B384" s="4"/>
      <c r="C384" s="4"/>
      <c r="D384" s="7"/>
      <c r="E384" s="7"/>
      <c r="F384" s="8" t="str">
        <f t="shared" si="257"/>
        <v/>
      </c>
      <c r="G384" s="7" t="str">
        <f t="shared" si="258"/>
        <v/>
      </c>
      <c r="H384" s="5" t="str">
        <f t="shared" si="259"/>
        <v/>
      </c>
      <c r="I384" s="122" t="str">
        <f t="shared" si="260"/>
        <v/>
      </c>
      <c r="J384" s="7" t="str">
        <f t="shared" si="261"/>
        <v/>
      </c>
      <c r="K384" s="9" t="str">
        <f t="shared" si="262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x14ac:dyDescent="0.2">
      <c r="A385" s="126"/>
      <c r="B385" s="4"/>
      <c r="C385" s="4"/>
      <c r="D385" s="7"/>
      <c r="E385" s="7"/>
      <c r="F385" s="8" t="str">
        <f t="shared" si="257"/>
        <v/>
      </c>
      <c r="G385" s="7" t="str">
        <f t="shared" si="258"/>
        <v/>
      </c>
      <c r="H385" s="5" t="str">
        <f t="shared" si="259"/>
        <v/>
      </c>
      <c r="I385" s="122" t="str">
        <f t="shared" si="260"/>
        <v/>
      </c>
      <c r="J385" s="7" t="str">
        <f t="shared" si="261"/>
        <v/>
      </c>
      <c r="K385" s="9" t="str">
        <f t="shared" si="262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x14ac:dyDescent="0.2">
      <c r="A386" s="126"/>
      <c r="B386" s="4"/>
      <c r="C386" s="4"/>
      <c r="D386" s="7"/>
      <c r="E386" s="7"/>
      <c r="F386" s="8" t="str">
        <f t="shared" si="257"/>
        <v/>
      </c>
      <c r="G386" s="7" t="str">
        <f t="shared" si="258"/>
        <v/>
      </c>
      <c r="H386" s="5" t="str">
        <f t="shared" si="259"/>
        <v/>
      </c>
      <c r="I386" s="122" t="str">
        <f t="shared" si="260"/>
        <v/>
      </c>
      <c r="J386" s="7" t="str">
        <f t="shared" si="261"/>
        <v/>
      </c>
      <c r="K386" s="9" t="str">
        <f t="shared" si="262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">
      <c r="A387" s="126"/>
      <c r="B387" s="4"/>
      <c r="C387" s="4"/>
      <c r="D387" s="7"/>
      <c r="E387" s="7"/>
      <c r="F387" s="8" t="str">
        <f t="shared" si="257"/>
        <v/>
      </c>
      <c r="G387" s="7" t="str">
        <f t="shared" si="258"/>
        <v/>
      </c>
      <c r="H387" s="5" t="str">
        <f t="shared" si="259"/>
        <v/>
      </c>
      <c r="I387" s="122" t="str">
        <f t="shared" si="260"/>
        <v/>
      </c>
      <c r="J387" s="7" t="str">
        <f t="shared" si="261"/>
        <v/>
      </c>
      <c r="K387" s="9" t="str">
        <f t="shared" si="262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">
      <c r="A388" s="126"/>
      <c r="B388" s="4"/>
      <c r="C388" s="4"/>
      <c r="D388" s="7"/>
      <c r="E388" s="7"/>
      <c r="F388" s="8" t="str">
        <f t="shared" si="257"/>
        <v/>
      </c>
      <c r="G388" s="7" t="str">
        <f t="shared" si="258"/>
        <v/>
      </c>
      <c r="H388" s="5" t="str">
        <f t="shared" si="259"/>
        <v/>
      </c>
      <c r="I388" s="122" t="str">
        <f t="shared" si="260"/>
        <v/>
      </c>
      <c r="J388" s="7" t="str">
        <f t="shared" si="261"/>
        <v/>
      </c>
      <c r="K388" s="9" t="str">
        <f t="shared" si="262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">
      <c r="A389" s="126"/>
      <c r="B389" s="4"/>
      <c r="C389" s="4"/>
      <c r="D389" s="7"/>
      <c r="E389" s="7"/>
      <c r="F389" s="8" t="str">
        <f t="shared" si="257"/>
        <v/>
      </c>
      <c r="G389" s="7" t="str">
        <f t="shared" si="258"/>
        <v/>
      </c>
      <c r="H389" s="5" t="str">
        <f t="shared" si="259"/>
        <v/>
      </c>
      <c r="I389" s="122" t="str">
        <f t="shared" si="260"/>
        <v/>
      </c>
      <c r="J389" s="7" t="str">
        <f t="shared" si="261"/>
        <v/>
      </c>
      <c r="K389" s="9" t="str">
        <f t="shared" si="262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">
      <c r="A390" s="126"/>
      <c r="B390" s="4"/>
      <c r="C390" s="4"/>
      <c r="D390" s="7"/>
      <c r="E390" s="7"/>
      <c r="F390" s="8" t="str">
        <f t="shared" si="257"/>
        <v/>
      </c>
      <c r="G390" s="7" t="str">
        <f t="shared" si="258"/>
        <v/>
      </c>
      <c r="H390" s="5" t="str">
        <f t="shared" si="259"/>
        <v/>
      </c>
      <c r="I390" s="122" t="str">
        <f t="shared" si="260"/>
        <v/>
      </c>
      <c r="J390" s="7" t="str">
        <f t="shared" si="261"/>
        <v/>
      </c>
      <c r="K390" s="9" t="str">
        <f t="shared" si="262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257"/>
        <v/>
      </c>
      <c r="G391" s="7" t="str">
        <f t="shared" si="258"/>
        <v/>
      </c>
      <c r="H391" s="5" t="str">
        <f t="shared" si="259"/>
        <v/>
      </c>
      <c r="I391" s="122" t="str">
        <f t="shared" si="260"/>
        <v/>
      </c>
      <c r="J391" s="7" t="str">
        <f t="shared" si="261"/>
        <v/>
      </c>
      <c r="K391" s="9" t="str">
        <f t="shared" si="262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si="257"/>
        <v/>
      </c>
      <c r="G392" s="7" t="str">
        <f t="shared" si="258"/>
        <v/>
      </c>
      <c r="H392" s="5" t="str">
        <f t="shared" si="259"/>
        <v/>
      </c>
      <c r="I392" s="122" t="str">
        <f t="shared" si="260"/>
        <v/>
      </c>
      <c r="J392" s="7" t="str">
        <f t="shared" si="261"/>
        <v/>
      </c>
      <c r="K392" s="9" t="str">
        <f t="shared" si="262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257"/>
        <v/>
      </c>
      <c r="G393" s="7" t="str">
        <f t="shared" si="258"/>
        <v/>
      </c>
      <c r="H393" s="5" t="str">
        <f t="shared" si="259"/>
        <v/>
      </c>
      <c r="I393" s="122" t="str">
        <f t="shared" si="260"/>
        <v/>
      </c>
      <c r="J393" s="7" t="str">
        <f t="shared" si="261"/>
        <v/>
      </c>
      <c r="K393" s="9" t="str">
        <f t="shared" si="262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 t="shared" si="257"/>
        <v/>
      </c>
      <c r="G394" s="7" t="str">
        <f t="shared" si="258"/>
        <v/>
      </c>
      <c r="H394" s="5" t="str">
        <f t="shared" si="259"/>
        <v/>
      </c>
      <c r="I394" s="122" t="str">
        <f t="shared" si="260"/>
        <v/>
      </c>
      <c r="J394" s="7" t="str">
        <f t="shared" si="261"/>
        <v/>
      </c>
      <c r="K394" s="9" t="str">
        <f t="shared" si="262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6"/>
      <c r="B395" s="4"/>
      <c r="C395" s="4"/>
      <c r="D395" s="7"/>
      <c r="E395" s="7"/>
      <c r="F395" s="8" t="str">
        <f t="shared" si="257"/>
        <v/>
      </c>
      <c r="G395" s="7" t="str">
        <f t="shared" si="258"/>
        <v/>
      </c>
      <c r="H395" s="5" t="str">
        <f t="shared" si="259"/>
        <v/>
      </c>
      <c r="I395" s="122" t="str">
        <f t="shared" si="260"/>
        <v/>
      </c>
      <c r="J395" s="7" t="str">
        <f t="shared" si="261"/>
        <v/>
      </c>
      <c r="K395" s="9" t="str">
        <f t="shared" si="262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6"/>
      <c r="B396" s="4"/>
      <c r="C396" s="4"/>
      <c r="D396" s="7"/>
      <c r="E396" s="7"/>
      <c r="F396" s="8" t="str">
        <f t="shared" si="257"/>
        <v/>
      </c>
      <c r="G396" s="7" t="str">
        <f t="shared" si="258"/>
        <v/>
      </c>
      <c r="H396" s="5" t="str">
        <f t="shared" si="259"/>
        <v/>
      </c>
      <c r="I396" s="122" t="str">
        <f t="shared" si="260"/>
        <v/>
      </c>
      <c r="J396" s="7" t="str">
        <f t="shared" si="261"/>
        <v/>
      </c>
      <c r="K396" s="9" t="str">
        <f t="shared" si="262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6"/>
      <c r="B397" s="4"/>
      <c r="C397" s="4"/>
      <c r="D397" s="7"/>
      <c r="E397" s="7"/>
      <c r="F397" s="8" t="str">
        <f t="shared" si="257"/>
        <v/>
      </c>
      <c r="G397" s="7" t="str">
        <f t="shared" si="258"/>
        <v/>
      </c>
      <c r="H397" s="5" t="str">
        <f t="shared" si="259"/>
        <v/>
      </c>
      <c r="I397" s="122" t="str">
        <f t="shared" si="260"/>
        <v/>
      </c>
      <c r="J397" s="7" t="str">
        <f t="shared" si="261"/>
        <v/>
      </c>
      <c r="K397" s="9" t="str">
        <f t="shared" si="262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6"/>
      <c r="B398" s="4"/>
      <c r="C398" s="4"/>
      <c r="D398" s="7"/>
      <c r="E398" s="7"/>
      <c r="F398" s="8" t="str">
        <f t="shared" si="257"/>
        <v/>
      </c>
      <c r="G398" s="7" t="str">
        <f t="shared" si="258"/>
        <v/>
      </c>
      <c r="H398" s="5" t="str">
        <f t="shared" si="259"/>
        <v/>
      </c>
      <c r="I398" s="122" t="str">
        <f t="shared" si="260"/>
        <v/>
      </c>
      <c r="J398" s="7" t="str">
        <f t="shared" si="261"/>
        <v/>
      </c>
      <c r="K398" s="9" t="str">
        <f t="shared" si="262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6"/>
      <c r="B399" s="4"/>
      <c r="C399" s="4"/>
      <c r="D399" s="7"/>
      <c r="E399" s="7"/>
      <c r="F399" s="8" t="str">
        <f t="shared" si="257"/>
        <v/>
      </c>
      <c r="G399" s="7" t="str">
        <f t="shared" si="258"/>
        <v/>
      </c>
      <c r="H399" s="5" t="str">
        <f t="shared" si="259"/>
        <v/>
      </c>
      <c r="I399" s="122" t="str">
        <f t="shared" si="260"/>
        <v/>
      </c>
      <c r="J399" s="7" t="str">
        <f t="shared" si="261"/>
        <v/>
      </c>
      <c r="K399" s="9" t="str">
        <f t="shared" si="262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6"/>
      <c r="B400" s="4"/>
      <c r="C400" s="4"/>
      <c r="D400" s="7"/>
      <c r="E400" s="7"/>
      <c r="F400" s="8" t="str">
        <f t="shared" si="257"/>
        <v/>
      </c>
      <c r="G400" s="7" t="str">
        <f t="shared" si="258"/>
        <v/>
      </c>
      <c r="H400" s="5" t="str">
        <f t="shared" si="259"/>
        <v/>
      </c>
      <c r="I400" s="122" t="str">
        <f t="shared" si="260"/>
        <v/>
      </c>
      <c r="J400" s="7" t="str">
        <f t="shared" si="261"/>
        <v/>
      </c>
      <c r="K400" s="9" t="str">
        <f t="shared" si="262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6"/>
      <c r="B401" s="4"/>
      <c r="C401" s="4"/>
      <c r="D401" s="7"/>
      <c r="E401" s="7"/>
      <c r="F401" s="8" t="str">
        <f t="shared" si="257"/>
        <v/>
      </c>
      <c r="G401" s="7" t="str">
        <f t="shared" si="258"/>
        <v/>
      </c>
      <c r="H401" s="5" t="str">
        <f t="shared" si="259"/>
        <v/>
      </c>
      <c r="I401" s="122" t="str">
        <f t="shared" si="260"/>
        <v/>
      </c>
      <c r="J401" s="7" t="str">
        <f t="shared" si="261"/>
        <v/>
      </c>
      <c r="K401" s="9" t="str">
        <f t="shared" si="262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6"/>
      <c r="B402" s="4"/>
      <c r="C402" s="4"/>
      <c r="D402" s="7"/>
      <c r="E402" s="7"/>
      <c r="F402" s="8" t="str">
        <f t="shared" si="257"/>
        <v/>
      </c>
      <c r="G402" s="7" t="str">
        <f t="shared" si="258"/>
        <v/>
      </c>
      <c r="H402" s="5" t="str">
        <f t="shared" si="259"/>
        <v/>
      </c>
      <c r="I402" s="122" t="str">
        <f t="shared" si="260"/>
        <v/>
      </c>
      <c r="J402" s="7" t="str">
        <f t="shared" si="261"/>
        <v/>
      </c>
      <c r="K402" s="9" t="str">
        <f t="shared" si="262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257"/>
        <v/>
      </c>
      <c r="G403" s="7" t="str">
        <f t="shared" si="258"/>
        <v/>
      </c>
      <c r="H403" s="5" t="str">
        <f t="shared" si="259"/>
        <v/>
      </c>
      <c r="I403" s="122" t="str">
        <f t="shared" si="260"/>
        <v/>
      </c>
      <c r="J403" s="7" t="str">
        <f t="shared" si="261"/>
        <v/>
      </c>
      <c r="K403" s="9" t="str">
        <f t="shared" si="262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6"/>
      <c r="B404" s="4"/>
      <c r="C404" s="4"/>
      <c r="D404" s="7"/>
      <c r="E404" s="7"/>
      <c r="F404" s="8" t="str">
        <f t="shared" si="257"/>
        <v/>
      </c>
      <c r="G404" s="7" t="str">
        <f t="shared" si="258"/>
        <v/>
      </c>
      <c r="H404" s="5" t="str">
        <f t="shared" si="259"/>
        <v/>
      </c>
      <c r="I404" s="122" t="str">
        <f t="shared" si="260"/>
        <v/>
      </c>
      <c r="J404" s="7" t="str">
        <f t="shared" si="261"/>
        <v/>
      </c>
      <c r="K404" s="9" t="str">
        <f t="shared" si="262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257"/>
        <v/>
      </c>
      <c r="G405" s="7" t="str">
        <f t="shared" si="258"/>
        <v/>
      </c>
      <c r="H405" s="5" t="str">
        <f t="shared" si="259"/>
        <v/>
      </c>
      <c r="I405" s="122" t="str">
        <f t="shared" si="260"/>
        <v/>
      </c>
      <c r="J405" s="7" t="str">
        <f t="shared" si="261"/>
        <v/>
      </c>
      <c r="K405" s="9" t="str">
        <f t="shared" si="262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257"/>
        <v/>
      </c>
      <c r="G406" s="7" t="str">
        <f t="shared" si="258"/>
        <v/>
      </c>
      <c r="H406" s="5" t="str">
        <f t="shared" si="259"/>
        <v/>
      </c>
      <c r="I406" s="122" t="str">
        <f t="shared" si="260"/>
        <v/>
      </c>
      <c r="J406" s="7" t="str">
        <f t="shared" si="261"/>
        <v/>
      </c>
      <c r="K406" s="9" t="str">
        <f t="shared" si="262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257"/>
        <v/>
      </c>
      <c r="G407" s="7" t="str">
        <f t="shared" si="258"/>
        <v/>
      </c>
      <c r="H407" s="5" t="str">
        <f t="shared" si="259"/>
        <v/>
      </c>
      <c r="I407" s="122" t="str">
        <f t="shared" si="260"/>
        <v/>
      </c>
      <c r="J407" s="7" t="str">
        <f t="shared" si="261"/>
        <v/>
      </c>
      <c r="K407" s="9" t="str">
        <f t="shared" si="262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257"/>
        <v/>
      </c>
      <c r="G408" s="7" t="str">
        <f t="shared" si="258"/>
        <v/>
      </c>
      <c r="H408" s="5" t="str">
        <f t="shared" si="259"/>
        <v/>
      </c>
      <c r="I408" s="122" t="str">
        <f t="shared" si="260"/>
        <v/>
      </c>
      <c r="J408" s="7" t="str">
        <f t="shared" si="261"/>
        <v/>
      </c>
      <c r="K408" s="9" t="str">
        <f t="shared" si="262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257"/>
        <v/>
      </c>
      <c r="G409" s="7" t="str">
        <f t="shared" si="258"/>
        <v/>
      </c>
      <c r="H409" s="5" t="str">
        <f t="shared" si="259"/>
        <v/>
      </c>
      <c r="I409" s="122" t="str">
        <f t="shared" si="260"/>
        <v/>
      </c>
      <c r="J409" s="7" t="str">
        <f t="shared" si="261"/>
        <v/>
      </c>
      <c r="K409" s="9" t="str">
        <f t="shared" si="262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257"/>
        <v/>
      </c>
      <c r="G410" s="7" t="str">
        <f t="shared" si="258"/>
        <v/>
      </c>
      <c r="H410" s="5" t="str">
        <f t="shared" si="259"/>
        <v/>
      </c>
      <c r="I410" s="122" t="str">
        <f t="shared" si="260"/>
        <v/>
      </c>
      <c r="J410" s="7" t="str">
        <f t="shared" si="261"/>
        <v/>
      </c>
      <c r="K410" s="9" t="str">
        <f t="shared" si="262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257"/>
        <v/>
      </c>
      <c r="G411" s="7" t="str">
        <f t="shared" si="258"/>
        <v/>
      </c>
      <c r="H411" s="5" t="str">
        <f t="shared" si="259"/>
        <v/>
      </c>
      <c r="I411" s="122" t="str">
        <f t="shared" si="260"/>
        <v/>
      </c>
      <c r="J411" s="7" t="str">
        <f t="shared" si="261"/>
        <v/>
      </c>
      <c r="K411" s="9" t="str">
        <f t="shared" si="262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257"/>
        <v/>
      </c>
      <c r="G412" s="7" t="str">
        <f t="shared" si="258"/>
        <v/>
      </c>
      <c r="H412" s="5" t="str">
        <f t="shared" si="259"/>
        <v/>
      </c>
      <c r="I412" s="122" t="str">
        <f t="shared" si="260"/>
        <v/>
      </c>
      <c r="J412" s="7" t="str">
        <f t="shared" si="261"/>
        <v/>
      </c>
      <c r="K412" s="9" t="str">
        <f t="shared" si="262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si="257"/>
        <v/>
      </c>
      <c r="G413" s="7" t="str">
        <f t="shared" si="258"/>
        <v/>
      </c>
      <c r="H413" s="5" t="str">
        <f t="shared" si="259"/>
        <v/>
      </c>
      <c r="I413" s="122" t="str">
        <f t="shared" si="260"/>
        <v/>
      </c>
      <c r="J413" s="7" t="str">
        <f t="shared" si="261"/>
        <v/>
      </c>
      <c r="K413" s="9" t="str">
        <f t="shared" si="262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257"/>
        <v/>
      </c>
      <c r="G414" s="7" t="str">
        <f t="shared" si="258"/>
        <v/>
      </c>
      <c r="H414" s="5" t="str">
        <f t="shared" si="259"/>
        <v/>
      </c>
      <c r="I414" s="122" t="str">
        <f t="shared" si="260"/>
        <v/>
      </c>
      <c r="J414" s="7" t="str">
        <f t="shared" si="261"/>
        <v/>
      </c>
      <c r="K414" s="9" t="str">
        <f t="shared" si="262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257"/>
        <v/>
      </c>
      <c r="G415" s="7" t="str">
        <f t="shared" si="258"/>
        <v/>
      </c>
      <c r="H415" s="5" t="str">
        <f t="shared" si="259"/>
        <v/>
      </c>
      <c r="I415" s="122" t="str">
        <f t="shared" si="260"/>
        <v/>
      </c>
      <c r="J415" s="7" t="str">
        <f t="shared" si="261"/>
        <v/>
      </c>
      <c r="K415" s="9" t="str">
        <f t="shared" si="262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257"/>
        <v/>
      </c>
      <c r="G416" s="7" t="str">
        <f t="shared" si="258"/>
        <v/>
      </c>
      <c r="H416" s="5" t="str">
        <f t="shared" si="259"/>
        <v/>
      </c>
      <c r="I416" s="122" t="str">
        <f t="shared" si="260"/>
        <v/>
      </c>
      <c r="J416" s="7" t="str">
        <f t="shared" si="261"/>
        <v/>
      </c>
      <c r="K416" s="9" t="str">
        <f t="shared" si="262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ref="F417:F480" si="263">IF(ISBLANK(B417),"",IF(I417="L","Baixa",IF(I417="A","Média",IF(I417="","","Alta"))))</f>
        <v/>
      </c>
      <c r="G417" s="7" t="str">
        <f t="shared" ref="G417:G480" si="264">CONCATENATE(B417,I417)</f>
        <v/>
      </c>
      <c r="H417" s="5" t="str">
        <f t="shared" ref="H417:H480" si="265">IF(ISBLANK(B417),"",IF(B417="ALI",IF(I417="L",7,IF(I417="A",10,15)),IF(B417="AIE",IF(I417="L",5,IF(I417="A",7,10)),IF(B417="SE",IF(I417="L",4,IF(I417="A",5,7)),IF(OR(B417="EE",B417="CE"),IF(I417="L",3,IF(I417="A",4,6)),0)))))</f>
        <v/>
      </c>
      <c r="I417" s="122" t="str">
        <f t="shared" ref="I417:I480" si="266">IF(OR(ISBLANK(D417),ISBLANK(E417)),IF(OR(B417="ALI",B417="AIE"),"L",IF(OR(B417="EE",B417="SE",B417="CE"),"A","")),IF(B417="EE",IF(E417&gt;=3,IF(D417&gt;=5,"H","A"),IF(E417&gt;=2,IF(D417&gt;=16,"H",IF(D417&lt;=4,"L","A")),IF(D417&lt;=15,"L","A"))),IF(OR(B417="SE",B417="CE"),IF(E417&gt;=4,IF(D417&gt;=6,"H","A"),IF(E417&gt;=2,IF(D417&gt;=20,"H",IF(D417&lt;=5,"L","A")),IF(D417&lt;=19,"L","A"))),IF(OR(B417="ALI",B417="AIE"),IF(E417&gt;=6,IF(D417&gt;=20,"H","A"),IF(E417&gt;=2,IF(D417&gt;=51,"H",IF(D417&lt;=19,"L","A")),IF(D417&lt;=50,"L","A"))),""))))</f>
        <v/>
      </c>
      <c r="J417" s="7" t="str">
        <f t="shared" ref="J417:J480" si="267">CONCATENATE(B417,C417)</f>
        <v/>
      </c>
      <c r="K417" s="9" t="str">
        <f t="shared" si="262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263"/>
        <v/>
      </c>
      <c r="G418" s="7" t="str">
        <f t="shared" si="264"/>
        <v/>
      </c>
      <c r="H418" s="5" t="str">
        <f t="shared" si="265"/>
        <v/>
      </c>
      <c r="I418" s="122" t="str">
        <f t="shared" si="266"/>
        <v/>
      </c>
      <c r="J418" s="7" t="str">
        <f t="shared" si="267"/>
        <v/>
      </c>
      <c r="K418" s="9" t="str">
        <f t="shared" si="262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263"/>
        <v/>
      </c>
      <c r="G419" s="7" t="str">
        <f t="shared" si="264"/>
        <v/>
      </c>
      <c r="H419" s="5" t="str">
        <f t="shared" si="265"/>
        <v/>
      </c>
      <c r="I419" s="122" t="str">
        <f t="shared" si="266"/>
        <v/>
      </c>
      <c r="J419" s="7" t="str">
        <f t="shared" si="267"/>
        <v/>
      </c>
      <c r="K419" s="9" t="str">
        <f t="shared" ref="K419:K482" si="268">IF(OR(H419="",H419=0),L419,H419)</f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263"/>
        <v/>
      </c>
      <c r="G420" s="7" t="str">
        <f t="shared" si="264"/>
        <v/>
      </c>
      <c r="H420" s="5" t="str">
        <f t="shared" si="265"/>
        <v/>
      </c>
      <c r="I420" s="122" t="str">
        <f t="shared" si="266"/>
        <v/>
      </c>
      <c r="J420" s="7" t="str">
        <f t="shared" si="267"/>
        <v/>
      </c>
      <c r="K420" s="9" t="str">
        <f t="shared" si="268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263"/>
        <v/>
      </c>
      <c r="G421" s="7" t="str">
        <f t="shared" si="264"/>
        <v/>
      </c>
      <c r="H421" s="5" t="str">
        <f t="shared" si="265"/>
        <v/>
      </c>
      <c r="I421" s="122" t="str">
        <f t="shared" si="266"/>
        <v/>
      </c>
      <c r="J421" s="7" t="str">
        <f t="shared" si="267"/>
        <v/>
      </c>
      <c r="K421" s="9" t="str">
        <f t="shared" si="268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263"/>
        <v/>
      </c>
      <c r="G422" s="7" t="str">
        <f t="shared" si="264"/>
        <v/>
      </c>
      <c r="H422" s="5" t="str">
        <f t="shared" si="265"/>
        <v/>
      </c>
      <c r="I422" s="122" t="str">
        <f t="shared" si="266"/>
        <v/>
      </c>
      <c r="J422" s="7" t="str">
        <f t="shared" si="267"/>
        <v/>
      </c>
      <c r="K422" s="9" t="str">
        <f t="shared" si="268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263"/>
        <v/>
      </c>
      <c r="G423" s="7" t="str">
        <f t="shared" si="264"/>
        <v/>
      </c>
      <c r="H423" s="5" t="str">
        <f t="shared" si="265"/>
        <v/>
      </c>
      <c r="I423" s="122" t="str">
        <f t="shared" si="266"/>
        <v/>
      </c>
      <c r="J423" s="7" t="str">
        <f t="shared" si="267"/>
        <v/>
      </c>
      <c r="K423" s="9" t="str">
        <f t="shared" si="268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263"/>
        <v/>
      </c>
      <c r="G424" s="7" t="str">
        <f t="shared" si="264"/>
        <v/>
      </c>
      <c r="H424" s="5" t="str">
        <f t="shared" si="265"/>
        <v/>
      </c>
      <c r="I424" s="122" t="str">
        <f t="shared" si="266"/>
        <v/>
      </c>
      <c r="J424" s="7" t="str">
        <f t="shared" si="267"/>
        <v/>
      </c>
      <c r="K424" s="9" t="str">
        <f t="shared" si="268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263"/>
        <v/>
      </c>
      <c r="G425" s="7" t="str">
        <f t="shared" si="264"/>
        <v/>
      </c>
      <c r="H425" s="5" t="str">
        <f t="shared" si="265"/>
        <v/>
      </c>
      <c r="I425" s="122" t="str">
        <f t="shared" si="266"/>
        <v/>
      </c>
      <c r="J425" s="7" t="str">
        <f t="shared" si="267"/>
        <v/>
      </c>
      <c r="K425" s="9" t="str">
        <f t="shared" si="268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263"/>
        <v/>
      </c>
      <c r="G426" s="7" t="str">
        <f t="shared" si="264"/>
        <v/>
      </c>
      <c r="H426" s="5" t="str">
        <f t="shared" si="265"/>
        <v/>
      </c>
      <c r="I426" s="122" t="str">
        <f t="shared" si="266"/>
        <v/>
      </c>
      <c r="J426" s="7" t="str">
        <f t="shared" si="267"/>
        <v/>
      </c>
      <c r="K426" s="9" t="str">
        <f t="shared" si="268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263"/>
        <v/>
      </c>
      <c r="G427" s="7" t="str">
        <f t="shared" si="264"/>
        <v/>
      </c>
      <c r="H427" s="5" t="str">
        <f t="shared" si="265"/>
        <v/>
      </c>
      <c r="I427" s="122" t="str">
        <f t="shared" si="266"/>
        <v/>
      </c>
      <c r="J427" s="7" t="str">
        <f t="shared" si="267"/>
        <v/>
      </c>
      <c r="K427" s="9" t="str">
        <f t="shared" si="268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263"/>
        <v/>
      </c>
      <c r="G428" s="7" t="str">
        <f t="shared" si="264"/>
        <v/>
      </c>
      <c r="H428" s="5" t="str">
        <f t="shared" si="265"/>
        <v/>
      </c>
      <c r="I428" s="122" t="str">
        <f t="shared" si="266"/>
        <v/>
      </c>
      <c r="J428" s="7" t="str">
        <f t="shared" si="267"/>
        <v/>
      </c>
      <c r="K428" s="9" t="str">
        <f t="shared" si="268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263"/>
        <v/>
      </c>
      <c r="G429" s="7" t="str">
        <f t="shared" si="264"/>
        <v/>
      </c>
      <c r="H429" s="5" t="str">
        <f t="shared" si="265"/>
        <v/>
      </c>
      <c r="I429" s="122" t="str">
        <f t="shared" si="266"/>
        <v/>
      </c>
      <c r="J429" s="7" t="str">
        <f t="shared" si="267"/>
        <v/>
      </c>
      <c r="K429" s="9" t="str">
        <f t="shared" si="268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263"/>
        <v/>
      </c>
      <c r="G430" s="7" t="str">
        <f t="shared" si="264"/>
        <v/>
      </c>
      <c r="H430" s="5" t="str">
        <f t="shared" si="265"/>
        <v/>
      </c>
      <c r="I430" s="122" t="str">
        <f t="shared" si="266"/>
        <v/>
      </c>
      <c r="J430" s="7" t="str">
        <f t="shared" si="267"/>
        <v/>
      </c>
      <c r="K430" s="9" t="str">
        <f t="shared" si="268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263"/>
        <v/>
      </c>
      <c r="G431" s="7" t="str">
        <f t="shared" si="264"/>
        <v/>
      </c>
      <c r="H431" s="5" t="str">
        <f t="shared" si="265"/>
        <v/>
      </c>
      <c r="I431" s="122" t="str">
        <f t="shared" si="266"/>
        <v/>
      </c>
      <c r="J431" s="7" t="str">
        <f t="shared" si="267"/>
        <v/>
      </c>
      <c r="K431" s="9" t="str">
        <f t="shared" si="268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263"/>
        <v/>
      </c>
      <c r="G432" s="7" t="str">
        <f t="shared" si="264"/>
        <v/>
      </c>
      <c r="H432" s="5" t="str">
        <f t="shared" si="265"/>
        <v/>
      </c>
      <c r="I432" s="122" t="str">
        <f t="shared" si="266"/>
        <v/>
      </c>
      <c r="J432" s="7" t="str">
        <f t="shared" si="267"/>
        <v/>
      </c>
      <c r="K432" s="9" t="str">
        <f t="shared" si="268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263"/>
        <v/>
      </c>
      <c r="G433" s="7" t="str">
        <f t="shared" si="264"/>
        <v/>
      </c>
      <c r="H433" s="5" t="str">
        <f t="shared" si="265"/>
        <v/>
      </c>
      <c r="I433" s="122" t="str">
        <f t="shared" si="266"/>
        <v/>
      </c>
      <c r="J433" s="7" t="str">
        <f t="shared" si="267"/>
        <v/>
      </c>
      <c r="K433" s="9" t="str">
        <f t="shared" si="268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263"/>
        <v/>
      </c>
      <c r="G434" s="7" t="str">
        <f t="shared" si="264"/>
        <v/>
      </c>
      <c r="H434" s="5" t="str">
        <f t="shared" si="265"/>
        <v/>
      </c>
      <c r="I434" s="122" t="str">
        <f t="shared" si="266"/>
        <v/>
      </c>
      <c r="J434" s="7" t="str">
        <f t="shared" si="267"/>
        <v/>
      </c>
      <c r="K434" s="9" t="str">
        <f t="shared" si="268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263"/>
        <v/>
      </c>
      <c r="G435" s="7" t="str">
        <f t="shared" si="264"/>
        <v/>
      </c>
      <c r="H435" s="5" t="str">
        <f t="shared" si="265"/>
        <v/>
      </c>
      <c r="I435" s="122" t="str">
        <f t="shared" si="266"/>
        <v/>
      </c>
      <c r="J435" s="7" t="str">
        <f t="shared" si="267"/>
        <v/>
      </c>
      <c r="K435" s="9" t="str">
        <f t="shared" si="268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263"/>
        <v/>
      </c>
      <c r="G436" s="7" t="str">
        <f t="shared" si="264"/>
        <v/>
      </c>
      <c r="H436" s="5" t="str">
        <f t="shared" si="265"/>
        <v/>
      </c>
      <c r="I436" s="122" t="str">
        <f t="shared" si="266"/>
        <v/>
      </c>
      <c r="J436" s="7" t="str">
        <f t="shared" si="267"/>
        <v/>
      </c>
      <c r="K436" s="9" t="str">
        <f t="shared" si="268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263"/>
        <v/>
      </c>
      <c r="G437" s="7" t="str">
        <f t="shared" si="264"/>
        <v/>
      </c>
      <c r="H437" s="5" t="str">
        <f t="shared" si="265"/>
        <v/>
      </c>
      <c r="I437" s="122" t="str">
        <f t="shared" si="266"/>
        <v/>
      </c>
      <c r="J437" s="7" t="str">
        <f t="shared" si="267"/>
        <v/>
      </c>
      <c r="K437" s="9" t="str">
        <f t="shared" si="268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263"/>
        <v/>
      </c>
      <c r="G438" s="7" t="str">
        <f t="shared" si="264"/>
        <v/>
      </c>
      <c r="H438" s="5" t="str">
        <f t="shared" si="265"/>
        <v/>
      </c>
      <c r="I438" s="122" t="str">
        <f t="shared" si="266"/>
        <v/>
      </c>
      <c r="J438" s="7" t="str">
        <f t="shared" si="267"/>
        <v/>
      </c>
      <c r="K438" s="9" t="str">
        <f t="shared" si="268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263"/>
        <v/>
      </c>
      <c r="G439" s="7" t="str">
        <f t="shared" si="264"/>
        <v/>
      </c>
      <c r="H439" s="5" t="str">
        <f t="shared" si="265"/>
        <v/>
      </c>
      <c r="I439" s="122" t="str">
        <f t="shared" si="266"/>
        <v/>
      </c>
      <c r="J439" s="7" t="str">
        <f t="shared" si="267"/>
        <v/>
      </c>
      <c r="K439" s="9" t="str">
        <f t="shared" si="268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263"/>
        <v/>
      </c>
      <c r="G440" s="7" t="str">
        <f t="shared" si="264"/>
        <v/>
      </c>
      <c r="H440" s="5" t="str">
        <f t="shared" si="265"/>
        <v/>
      </c>
      <c r="I440" s="122" t="str">
        <f t="shared" si="266"/>
        <v/>
      </c>
      <c r="J440" s="7" t="str">
        <f t="shared" si="267"/>
        <v/>
      </c>
      <c r="K440" s="9" t="str">
        <f t="shared" si="268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263"/>
        <v/>
      </c>
      <c r="G441" s="7" t="str">
        <f t="shared" si="264"/>
        <v/>
      </c>
      <c r="H441" s="5" t="str">
        <f t="shared" si="265"/>
        <v/>
      </c>
      <c r="I441" s="122" t="str">
        <f t="shared" si="266"/>
        <v/>
      </c>
      <c r="J441" s="7" t="str">
        <f t="shared" si="267"/>
        <v/>
      </c>
      <c r="K441" s="9" t="str">
        <f t="shared" si="268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263"/>
        <v/>
      </c>
      <c r="G442" s="7" t="str">
        <f t="shared" si="264"/>
        <v/>
      </c>
      <c r="H442" s="5" t="str">
        <f t="shared" si="265"/>
        <v/>
      </c>
      <c r="I442" s="122" t="str">
        <f t="shared" si="266"/>
        <v/>
      </c>
      <c r="J442" s="7" t="str">
        <f t="shared" si="267"/>
        <v/>
      </c>
      <c r="K442" s="9" t="str">
        <f t="shared" si="268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263"/>
        <v/>
      </c>
      <c r="G443" s="7" t="str">
        <f t="shared" si="264"/>
        <v/>
      </c>
      <c r="H443" s="5" t="str">
        <f t="shared" si="265"/>
        <v/>
      </c>
      <c r="I443" s="122" t="str">
        <f t="shared" si="266"/>
        <v/>
      </c>
      <c r="J443" s="7" t="str">
        <f t="shared" si="267"/>
        <v/>
      </c>
      <c r="K443" s="9" t="str">
        <f t="shared" si="268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263"/>
        <v/>
      </c>
      <c r="G444" s="7" t="str">
        <f t="shared" si="264"/>
        <v/>
      </c>
      <c r="H444" s="5" t="str">
        <f t="shared" si="265"/>
        <v/>
      </c>
      <c r="I444" s="122" t="str">
        <f t="shared" si="266"/>
        <v/>
      </c>
      <c r="J444" s="7" t="str">
        <f t="shared" si="267"/>
        <v/>
      </c>
      <c r="K444" s="9" t="str">
        <f t="shared" si="268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263"/>
        <v/>
      </c>
      <c r="G445" s="7" t="str">
        <f t="shared" si="264"/>
        <v/>
      </c>
      <c r="H445" s="5" t="str">
        <f t="shared" si="265"/>
        <v/>
      </c>
      <c r="I445" s="122" t="str">
        <f t="shared" si="266"/>
        <v/>
      </c>
      <c r="J445" s="7" t="str">
        <f t="shared" si="267"/>
        <v/>
      </c>
      <c r="K445" s="9" t="str">
        <f t="shared" si="268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263"/>
        <v/>
      </c>
      <c r="G446" s="7" t="str">
        <f t="shared" si="264"/>
        <v/>
      </c>
      <c r="H446" s="5" t="str">
        <f t="shared" si="265"/>
        <v/>
      </c>
      <c r="I446" s="122" t="str">
        <f t="shared" si="266"/>
        <v/>
      </c>
      <c r="J446" s="7" t="str">
        <f t="shared" si="267"/>
        <v/>
      </c>
      <c r="K446" s="9" t="str">
        <f t="shared" si="268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263"/>
        <v/>
      </c>
      <c r="G447" s="7" t="str">
        <f t="shared" si="264"/>
        <v/>
      </c>
      <c r="H447" s="5" t="str">
        <f t="shared" si="265"/>
        <v/>
      </c>
      <c r="I447" s="122" t="str">
        <f t="shared" si="266"/>
        <v/>
      </c>
      <c r="J447" s="7" t="str">
        <f t="shared" si="267"/>
        <v/>
      </c>
      <c r="K447" s="9" t="str">
        <f t="shared" si="268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263"/>
        <v/>
      </c>
      <c r="G448" s="7" t="str">
        <f t="shared" si="264"/>
        <v/>
      </c>
      <c r="H448" s="5" t="str">
        <f t="shared" si="265"/>
        <v/>
      </c>
      <c r="I448" s="122" t="str">
        <f t="shared" si="266"/>
        <v/>
      </c>
      <c r="J448" s="7" t="str">
        <f t="shared" si="267"/>
        <v/>
      </c>
      <c r="K448" s="9" t="str">
        <f t="shared" si="268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263"/>
        <v/>
      </c>
      <c r="G449" s="7" t="str">
        <f t="shared" si="264"/>
        <v/>
      </c>
      <c r="H449" s="5" t="str">
        <f t="shared" si="265"/>
        <v/>
      </c>
      <c r="I449" s="122" t="str">
        <f t="shared" si="266"/>
        <v/>
      </c>
      <c r="J449" s="7" t="str">
        <f t="shared" si="267"/>
        <v/>
      </c>
      <c r="K449" s="9" t="str">
        <f t="shared" si="268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263"/>
        <v/>
      </c>
      <c r="G450" s="7" t="str">
        <f t="shared" si="264"/>
        <v/>
      </c>
      <c r="H450" s="5" t="str">
        <f t="shared" si="265"/>
        <v/>
      </c>
      <c r="I450" s="122" t="str">
        <f t="shared" si="266"/>
        <v/>
      </c>
      <c r="J450" s="7" t="str">
        <f t="shared" si="267"/>
        <v/>
      </c>
      <c r="K450" s="9" t="str">
        <f t="shared" si="268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263"/>
        <v/>
      </c>
      <c r="G451" s="7" t="str">
        <f t="shared" si="264"/>
        <v/>
      </c>
      <c r="H451" s="5" t="str">
        <f t="shared" si="265"/>
        <v/>
      </c>
      <c r="I451" s="122" t="str">
        <f t="shared" si="266"/>
        <v/>
      </c>
      <c r="J451" s="7" t="str">
        <f t="shared" si="267"/>
        <v/>
      </c>
      <c r="K451" s="9" t="str">
        <f t="shared" si="268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263"/>
        <v/>
      </c>
      <c r="G452" s="7" t="str">
        <f t="shared" si="264"/>
        <v/>
      </c>
      <c r="H452" s="5" t="str">
        <f t="shared" si="265"/>
        <v/>
      </c>
      <c r="I452" s="122" t="str">
        <f t="shared" si="266"/>
        <v/>
      </c>
      <c r="J452" s="7" t="str">
        <f t="shared" si="267"/>
        <v/>
      </c>
      <c r="K452" s="9" t="str">
        <f t="shared" si="268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263"/>
        <v/>
      </c>
      <c r="G453" s="7" t="str">
        <f t="shared" si="264"/>
        <v/>
      </c>
      <c r="H453" s="5" t="str">
        <f t="shared" si="265"/>
        <v/>
      </c>
      <c r="I453" s="122" t="str">
        <f t="shared" si="266"/>
        <v/>
      </c>
      <c r="J453" s="7" t="str">
        <f t="shared" si="267"/>
        <v/>
      </c>
      <c r="K453" s="9" t="str">
        <f t="shared" si="268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263"/>
        <v/>
      </c>
      <c r="G454" s="7" t="str">
        <f t="shared" si="264"/>
        <v/>
      </c>
      <c r="H454" s="5" t="str">
        <f t="shared" si="265"/>
        <v/>
      </c>
      <c r="I454" s="122" t="str">
        <f t="shared" si="266"/>
        <v/>
      </c>
      <c r="J454" s="7" t="str">
        <f t="shared" si="267"/>
        <v/>
      </c>
      <c r="K454" s="9" t="str">
        <f t="shared" si="268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263"/>
        <v/>
      </c>
      <c r="G455" s="7" t="str">
        <f t="shared" si="264"/>
        <v/>
      </c>
      <c r="H455" s="5" t="str">
        <f t="shared" si="265"/>
        <v/>
      </c>
      <c r="I455" s="122" t="str">
        <f t="shared" si="266"/>
        <v/>
      </c>
      <c r="J455" s="7" t="str">
        <f t="shared" si="267"/>
        <v/>
      </c>
      <c r="K455" s="9" t="str">
        <f t="shared" si="268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263"/>
        <v/>
      </c>
      <c r="G456" s="7" t="str">
        <f t="shared" si="264"/>
        <v/>
      </c>
      <c r="H456" s="5" t="str">
        <f t="shared" si="265"/>
        <v/>
      </c>
      <c r="I456" s="122" t="str">
        <f t="shared" si="266"/>
        <v/>
      </c>
      <c r="J456" s="7" t="str">
        <f t="shared" si="267"/>
        <v/>
      </c>
      <c r="K456" s="9" t="str">
        <f t="shared" si="268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263"/>
        <v/>
      </c>
      <c r="G457" s="7" t="str">
        <f t="shared" si="264"/>
        <v/>
      </c>
      <c r="H457" s="5" t="str">
        <f t="shared" si="265"/>
        <v/>
      </c>
      <c r="I457" s="122" t="str">
        <f t="shared" si="266"/>
        <v/>
      </c>
      <c r="J457" s="7" t="str">
        <f t="shared" si="267"/>
        <v/>
      </c>
      <c r="K457" s="9" t="str">
        <f t="shared" si="268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263"/>
        <v/>
      </c>
      <c r="G458" s="7" t="str">
        <f t="shared" si="264"/>
        <v/>
      </c>
      <c r="H458" s="5" t="str">
        <f t="shared" si="265"/>
        <v/>
      </c>
      <c r="I458" s="122" t="str">
        <f t="shared" si="266"/>
        <v/>
      </c>
      <c r="J458" s="7" t="str">
        <f t="shared" si="267"/>
        <v/>
      </c>
      <c r="K458" s="9" t="str">
        <f t="shared" si="268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si="263"/>
        <v/>
      </c>
      <c r="G459" s="7" t="str">
        <f t="shared" si="264"/>
        <v/>
      </c>
      <c r="H459" s="5" t="str">
        <f t="shared" si="265"/>
        <v/>
      </c>
      <c r="I459" s="122" t="str">
        <f t="shared" si="266"/>
        <v/>
      </c>
      <c r="J459" s="7" t="str">
        <f t="shared" si="267"/>
        <v/>
      </c>
      <c r="K459" s="9" t="str">
        <f t="shared" si="268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si="263"/>
        <v/>
      </c>
      <c r="G460" s="7" t="str">
        <f t="shared" si="264"/>
        <v/>
      </c>
      <c r="H460" s="5" t="str">
        <f t="shared" si="265"/>
        <v/>
      </c>
      <c r="I460" s="122" t="str">
        <f t="shared" si="266"/>
        <v/>
      </c>
      <c r="J460" s="7" t="str">
        <f t="shared" si="267"/>
        <v/>
      </c>
      <c r="K460" s="9" t="str">
        <f t="shared" si="268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si="263"/>
        <v/>
      </c>
      <c r="G461" s="7" t="str">
        <f t="shared" si="264"/>
        <v/>
      </c>
      <c r="H461" s="5" t="str">
        <f t="shared" si="265"/>
        <v/>
      </c>
      <c r="I461" s="122" t="str">
        <f t="shared" si="266"/>
        <v/>
      </c>
      <c r="J461" s="7" t="str">
        <f t="shared" si="267"/>
        <v/>
      </c>
      <c r="K461" s="9" t="str">
        <f t="shared" si="268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263"/>
        <v/>
      </c>
      <c r="G462" s="7" t="str">
        <f t="shared" si="264"/>
        <v/>
      </c>
      <c r="H462" s="5" t="str">
        <f t="shared" si="265"/>
        <v/>
      </c>
      <c r="I462" s="122" t="str">
        <f t="shared" si="266"/>
        <v/>
      </c>
      <c r="J462" s="7" t="str">
        <f t="shared" si="267"/>
        <v/>
      </c>
      <c r="K462" s="9" t="str">
        <f t="shared" si="268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si="263"/>
        <v/>
      </c>
      <c r="G463" s="7" t="str">
        <f t="shared" si="264"/>
        <v/>
      </c>
      <c r="H463" s="5" t="str">
        <f t="shared" si="265"/>
        <v/>
      </c>
      <c r="I463" s="122" t="str">
        <f t="shared" si="266"/>
        <v/>
      </c>
      <c r="J463" s="7" t="str">
        <f t="shared" si="267"/>
        <v/>
      </c>
      <c r="K463" s="9" t="str">
        <f t="shared" si="268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263"/>
        <v/>
      </c>
      <c r="G464" s="7" t="str">
        <f t="shared" si="264"/>
        <v/>
      </c>
      <c r="H464" s="5" t="str">
        <f t="shared" si="265"/>
        <v/>
      </c>
      <c r="I464" s="122" t="str">
        <f t="shared" si="266"/>
        <v/>
      </c>
      <c r="J464" s="7" t="str">
        <f t="shared" si="267"/>
        <v/>
      </c>
      <c r="K464" s="9" t="str">
        <f t="shared" si="268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263"/>
        <v/>
      </c>
      <c r="G465" s="7" t="str">
        <f t="shared" si="264"/>
        <v/>
      </c>
      <c r="H465" s="5" t="str">
        <f t="shared" si="265"/>
        <v/>
      </c>
      <c r="I465" s="122" t="str">
        <f t="shared" si="266"/>
        <v/>
      </c>
      <c r="J465" s="7" t="str">
        <f t="shared" si="267"/>
        <v/>
      </c>
      <c r="K465" s="9" t="str">
        <f t="shared" si="268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263"/>
        <v/>
      </c>
      <c r="G466" s="7" t="str">
        <f t="shared" si="264"/>
        <v/>
      </c>
      <c r="H466" s="5" t="str">
        <f t="shared" si="265"/>
        <v/>
      </c>
      <c r="I466" s="122" t="str">
        <f t="shared" si="266"/>
        <v/>
      </c>
      <c r="J466" s="7" t="str">
        <f t="shared" si="267"/>
        <v/>
      </c>
      <c r="K466" s="9" t="str">
        <f t="shared" si="268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263"/>
        <v/>
      </c>
      <c r="G467" s="7" t="str">
        <f t="shared" si="264"/>
        <v/>
      </c>
      <c r="H467" s="5" t="str">
        <f t="shared" si="265"/>
        <v/>
      </c>
      <c r="I467" s="122" t="str">
        <f t="shared" si="266"/>
        <v/>
      </c>
      <c r="J467" s="7" t="str">
        <f t="shared" si="267"/>
        <v/>
      </c>
      <c r="K467" s="9" t="str">
        <f t="shared" si="268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263"/>
        <v/>
      </c>
      <c r="G468" s="7" t="str">
        <f t="shared" si="264"/>
        <v/>
      </c>
      <c r="H468" s="5" t="str">
        <f t="shared" si="265"/>
        <v/>
      </c>
      <c r="I468" s="122" t="str">
        <f t="shared" si="266"/>
        <v/>
      </c>
      <c r="J468" s="7" t="str">
        <f t="shared" si="267"/>
        <v/>
      </c>
      <c r="K468" s="9" t="str">
        <f t="shared" si="268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263"/>
        <v/>
      </c>
      <c r="G469" s="7" t="str">
        <f t="shared" si="264"/>
        <v/>
      </c>
      <c r="H469" s="5" t="str">
        <f t="shared" si="265"/>
        <v/>
      </c>
      <c r="I469" s="122" t="str">
        <f t="shared" si="266"/>
        <v/>
      </c>
      <c r="J469" s="7" t="str">
        <f t="shared" si="267"/>
        <v/>
      </c>
      <c r="K469" s="9" t="str">
        <f t="shared" si="268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263"/>
        <v/>
      </c>
      <c r="G470" s="7" t="str">
        <f t="shared" si="264"/>
        <v/>
      </c>
      <c r="H470" s="5" t="str">
        <f t="shared" si="265"/>
        <v/>
      </c>
      <c r="I470" s="122" t="str">
        <f t="shared" si="266"/>
        <v/>
      </c>
      <c r="J470" s="7" t="str">
        <f t="shared" si="267"/>
        <v/>
      </c>
      <c r="K470" s="9" t="str">
        <f t="shared" si="268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263"/>
        <v/>
      </c>
      <c r="G471" s="7" t="str">
        <f t="shared" si="264"/>
        <v/>
      </c>
      <c r="H471" s="5" t="str">
        <f t="shared" si="265"/>
        <v/>
      </c>
      <c r="I471" s="122" t="str">
        <f t="shared" si="266"/>
        <v/>
      </c>
      <c r="J471" s="7" t="str">
        <f t="shared" si="267"/>
        <v/>
      </c>
      <c r="K471" s="9" t="str">
        <f t="shared" si="268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263"/>
        <v/>
      </c>
      <c r="G472" s="7" t="str">
        <f t="shared" si="264"/>
        <v/>
      </c>
      <c r="H472" s="5" t="str">
        <f t="shared" si="265"/>
        <v/>
      </c>
      <c r="I472" s="122" t="str">
        <f t="shared" si="266"/>
        <v/>
      </c>
      <c r="J472" s="7" t="str">
        <f t="shared" si="267"/>
        <v/>
      </c>
      <c r="K472" s="9" t="str">
        <f t="shared" si="268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263"/>
        <v/>
      </c>
      <c r="G473" s="7" t="str">
        <f t="shared" si="264"/>
        <v/>
      </c>
      <c r="H473" s="5" t="str">
        <f t="shared" si="265"/>
        <v/>
      </c>
      <c r="I473" s="122" t="str">
        <f t="shared" si="266"/>
        <v/>
      </c>
      <c r="J473" s="7" t="str">
        <f t="shared" si="267"/>
        <v/>
      </c>
      <c r="K473" s="9" t="str">
        <f t="shared" si="268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263"/>
        <v/>
      </c>
      <c r="G474" s="7" t="str">
        <f t="shared" si="264"/>
        <v/>
      </c>
      <c r="H474" s="5" t="str">
        <f t="shared" si="265"/>
        <v/>
      </c>
      <c r="I474" s="122" t="str">
        <f t="shared" si="266"/>
        <v/>
      </c>
      <c r="J474" s="7" t="str">
        <f t="shared" si="267"/>
        <v/>
      </c>
      <c r="K474" s="9" t="str">
        <f t="shared" si="268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263"/>
        <v/>
      </c>
      <c r="G475" s="7" t="str">
        <f t="shared" si="264"/>
        <v/>
      </c>
      <c r="H475" s="5" t="str">
        <f t="shared" si="265"/>
        <v/>
      </c>
      <c r="I475" s="122" t="str">
        <f t="shared" si="266"/>
        <v/>
      </c>
      <c r="J475" s="7" t="str">
        <f t="shared" si="267"/>
        <v/>
      </c>
      <c r="K475" s="9" t="str">
        <f t="shared" si="268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263"/>
        <v/>
      </c>
      <c r="G476" s="7" t="str">
        <f t="shared" si="264"/>
        <v/>
      </c>
      <c r="H476" s="5" t="str">
        <f t="shared" si="265"/>
        <v/>
      </c>
      <c r="I476" s="122" t="str">
        <f t="shared" si="266"/>
        <v/>
      </c>
      <c r="J476" s="7" t="str">
        <f t="shared" si="267"/>
        <v/>
      </c>
      <c r="K476" s="9" t="str">
        <f t="shared" si="268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si="263"/>
        <v/>
      </c>
      <c r="G477" s="7" t="str">
        <f t="shared" si="264"/>
        <v/>
      </c>
      <c r="H477" s="5" t="str">
        <f t="shared" si="265"/>
        <v/>
      </c>
      <c r="I477" s="122" t="str">
        <f t="shared" si="266"/>
        <v/>
      </c>
      <c r="J477" s="7" t="str">
        <f t="shared" si="267"/>
        <v/>
      </c>
      <c r="K477" s="9" t="str">
        <f t="shared" si="268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263"/>
        <v/>
      </c>
      <c r="G478" s="7" t="str">
        <f t="shared" si="264"/>
        <v/>
      </c>
      <c r="H478" s="5" t="str">
        <f t="shared" si="265"/>
        <v/>
      </c>
      <c r="I478" s="122" t="str">
        <f t="shared" si="266"/>
        <v/>
      </c>
      <c r="J478" s="7" t="str">
        <f t="shared" si="267"/>
        <v/>
      </c>
      <c r="K478" s="9" t="str">
        <f t="shared" si="268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263"/>
        <v/>
      </c>
      <c r="G479" s="7" t="str">
        <f t="shared" si="264"/>
        <v/>
      </c>
      <c r="H479" s="5" t="str">
        <f t="shared" si="265"/>
        <v/>
      </c>
      <c r="I479" s="122" t="str">
        <f t="shared" si="266"/>
        <v/>
      </c>
      <c r="J479" s="7" t="str">
        <f t="shared" si="267"/>
        <v/>
      </c>
      <c r="K479" s="9" t="str">
        <f t="shared" si="268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263"/>
        <v/>
      </c>
      <c r="G480" s="7" t="str">
        <f t="shared" si="264"/>
        <v/>
      </c>
      <c r="H480" s="5" t="str">
        <f t="shared" si="265"/>
        <v/>
      </c>
      <c r="I480" s="122" t="str">
        <f t="shared" si="266"/>
        <v/>
      </c>
      <c r="J480" s="7" t="str">
        <f t="shared" si="267"/>
        <v/>
      </c>
      <c r="K480" s="9" t="str">
        <f t="shared" si="268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ref="F481:F544" si="269">IF(ISBLANK(B481),"",IF(I481="L","Baixa",IF(I481="A","Média",IF(I481="","","Alta"))))</f>
        <v/>
      </c>
      <c r="G481" s="7" t="str">
        <f t="shared" ref="G481:G544" si="270">CONCATENATE(B481,I481)</f>
        <v/>
      </c>
      <c r="H481" s="5" t="str">
        <f t="shared" ref="H481:H544" si="271">IF(ISBLANK(B481),"",IF(B481="ALI",IF(I481="L",7,IF(I481="A",10,15)),IF(B481="AIE",IF(I481="L",5,IF(I481="A",7,10)),IF(B481="SE",IF(I481="L",4,IF(I481="A",5,7)),IF(OR(B481="EE",B481="CE"),IF(I481="L",3,IF(I481="A",4,6)),0)))))</f>
        <v/>
      </c>
      <c r="I481" s="122" t="str">
        <f t="shared" ref="I481:I544" si="272">IF(OR(ISBLANK(D481),ISBLANK(E481)),IF(OR(B481="ALI",B481="AIE"),"L",IF(OR(B481="EE",B481="SE",B481="CE"),"A","")),IF(B481="EE",IF(E481&gt;=3,IF(D481&gt;=5,"H","A"),IF(E481&gt;=2,IF(D481&gt;=16,"H",IF(D481&lt;=4,"L","A")),IF(D481&lt;=15,"L","A"))),IF(OR(B481="SE",B481="CE"),IF(E481&gt;=4,IF(D481&gt;=6,"H","A"),IF(E481&gt;=2,IF(D481&gt;=20,"H",IF(D481&lt;=5,"L","A")),IF(D481&lt;=19,"L","A"))),IF(OR(B481="ALI",B481="AIE"),IF(E481&gt;=6,IF(D481&gt;=20,"H","A"),IF(E481&gt;=2,IF(D481&gt;=51,"H",IF(D481&lt;=19,"L","A")),IF(D481&lt;=50,"L","A"))),""))))</f>
        <v/>
      </c>
      <c r="J481" s="7" t="str">
        <f t="shared" ref="J481:J544" si="273">CONCATENATE(B481,C481)</f>
        <v/>
      </c>
      <c r="K481" s="9" t="str">
        <f t="shared" si="268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269"/>
        <v/>
      </c>
      <c r="G482" s="7" t="str">
        <f t="shared" si="270"/>
        <v/>
      </c>
      <c r="H482" s="5" t="str">
        <f t="shared" si="271"/>
        <v/>
      </c>
      <c r="I482" s="122" t="str">
        <f t="shared" si="272"/>
        <v/>
      </c>
      <c r="J482" s="7" t="str">
        <f t="shared" si="273"/>
        <v/>
      </c>
      <c r="K482" s="9" t="str">
        <f t="shared" si="268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269"/>
        <v/>
      </c>
      <c r="G483" s="7" t="str">
        <f t="shared" si="270"/>
        <v/>
      </c>
      <c r="H483" s="5" t="str">
        <f t="shared" si="271"/>
        <v/>
      </c>
      <c r="I483" s="122" t="str">
        <f t="shared" si="272"/>
        <v/>
      </c>
      <c r="J483" s="7" t="str">
        <f t="shared" si="273"/>
        <v/>
      </c>
      <c r="K483" s="9" t="str">
        <f t="shared" ref="K483:K546" si="274">IF(OR(H483="",H483=0),L483,H483)</f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269"/>
        <v/>
      </c>
      <c r="G484" s="7" t="str">
        <f t="shared" si="270"/>
        <v/>
      </c>
      <c r="H484" s="5" t="str">
        <f t="shared" si="271"/>
        <v/>
      </c>
      <c r="I484" s="122" t="str">
        <f t="shared" si="272"/>
        <v/>
      </c>
      <c r="J484" s="7" t="str">
        <f t="shared" si="273"/>
        <v/>
      </c>
      <c r="K484" s="9" t="str">
        <f t="shared" si="274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269"/>
        <v/>
      </c>
      <c r="G485" s="7" t="str">
        <f t="shared" si="270"/>
        <v/>
      </c>
      <c r="H485" s="5" t="str">
        <f t="shared" si="271"/>
        <v/>
      </c>
      <c r="I485" s="122" t="str">
        <f t="shared" si="272"/>
        <v/>
      </c>
      <c r="J485" s="7" t="str">
        <f t="shared" si="273"/>
        <v/>
      </c>
      <c r="K485" s="9" t="str">
        <f t="shared" si="274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269"/>
        <v/>
      </c>
      <c r="G486" s="7" t="str">
        <f t="shared" si="270"/>
        <v/>
      </c>
      <c r="H486" s="5" t="str">
        <f t="shared" si="271"/>
        <v/>
      </c>
      <c r="I486" s="122" t="str">
        <f t="shared" si="272"/>
        <v/>
      </c>
      <c r="J486" s="7" t="str">
        <f t="shared" si="273"/>
        <v/>
      </c>
      <c r="K486" s="9" t="str">
        <f t="shared" si="274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269"/>
        <v/>
      </c>
      <c r="G487" s="7" t="str">
        <f t="shared" si="270"/>
        <v/>
      </c>
      <c r="H487" s="5" t="str">
        <f t="shared" si="271"/>
        <v/>
      </c>
      <c r="I487" s="122" t="str">
        <f t="shared" si="272"/>
        <v/>
      </c>
      <c r="J487" s="7" t="str">
        <f t="shared" si="273"/>
        <v/>
      </c>
      <c r="K487" s="9" t="str">
        <f t="shared" si="274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269"/>
        <v/>
      </c>
      <c r="G488" s="7" t="str">
        <f t="shared" si="270"/>
        <v/>
      </c>
      <c r="H488" s="5" t="str">
        <f t="shared" si="271"/>
        <v/>
      </c>
      <c r="I488" s="122" t="str">
        <f t="shared" si="272"/>
        <v/>
      </c>
      <c r="J488" s="7" t="str">
        <f t="shared" si="273"/>
        <v/>
      </c>
      <c r="K488" s="9" t="str">
        <f t="shared" si="274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269"/>
        <v/>
      </c>
      <c r="G489" s="7" t="str">
        <f t="shared" si="270"/>
        <v/>
      </c>
      <c r="H489" s="5" t="str">
        <f t="shared" si="271"/>
        <v/>
      </c>
      <c r="I489" s="122" t="str">
        <f t="shared" si="272"/>
        <v/>
      </c>
      <c r="J489" s="7" t="str">
        <f t="shared" si="273"/>
        <v/>
      </c>
      <c r="K489" s="9" t="str">
        <f t="shared" si="274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269"/>
        <v/>
      </c>
      <c r="G490" s="7" t="str">
        <f t="shared" si="270"/>
        <v/>
      </c>
      <c r="H490" s="5" t="str">
        <f t="shared" si="271"/>
        <v/>
      </c>
      <c r="I490" s="122" t="str">
        <f t="shared" si="272"/>
        <v/>
      </c>
      <c r="J490" s="7" t="str">
        <f t="shared" si="273"/>
        <v/>
      </c>
      <c r="K490" s="9" t="str">
        <f t="shared" si="274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269"/>
        <v/>
      </c>
      <c r="G491" s="7" t="str">
        <f t="shared" si="270"/>
        <v/>
      </c>
      <c r="H491" s="5" t="str">
        <f t="shared" si="271"/>
        <v/>
      </c>
      <c r="I491" s="122" t="str">
        <f t="shared" si="272"/>
        <v/>
      </c>
      <c r="J491" s="7" t="str">
        <f t="shared" si="273"/>
        <v/>
      </c>
      <c r="K491" s="9" t="str">
        <f t="shared" si="274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269"/>
        <v/>
      </c>
      <c r="G492" s="7" t="str">
        <f t="shared" si="270"/>
        <v/>
      </c>
      <c r="H492" s="5" t="str">
        <f t="shared" si="271"/>
        <v/>
      </c>
      <c r="I492" s="122" t="str">
        <f t="shared" si="272"/>
        <v/>
      </c>
      <c r="J492" s="7" t="str">
        <f t="shared" si="273"/>
        <v/>
      </c>
      <c r="K492" s="9" t="str">
        <f t="shared" si="274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269"/>
        <v/>
      </c>
      <c r="G493" s="7" t="str">
        <f t="shared" si="270"/>
        <v/>
      </c>
      <c r="H493" s="5" t="str">
        <f t="shared" si="271"/>
        <v/>
      </c>
      <c r="I493" s="122" t="str">
        <f t="shared" si="272"/>
        <v/>
      </c>
      <c r="J493" s="7" t="str">
        <f t="shared" si="273"/>
        <v/>
      </c>
      <c r="K493" s="9" t="str">
        <f t="shared" si="274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269"/>
        <v/>
      </c>
      <c r="G494" s="7" t="str">
        <f t="shared" si="270"/>
        <v/>
      </c>
      <c r="H494" s="5" t="str">
        <f t="shared" si="271"/>
        <v/>
      </c>
      <c r="I494" s="122" t="str">
        <f t="shared" si="272"/>
        <v/>
      </c>
      <c r="J494" s="7" t="str">
        <f t="shared" si="273"/>
        <v/>
      </c>
      <c r="K494" s="9" t="str">
        <f t="shared" si="274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269"/>
        <v/>
      </c>
      <c r="G495" s="7" t="str">
        <f t="shared" si="270"/>
        <v/>
      </c>
      <c r="H495" s="5" t="str">
        <f t="shared" si="271"/>
        <v/>
      </c>
      <c r="I495" s="122" t="str">
        <f t="shared" si="272"/>
        <v/>
      </c>
      <c r="J495" s="7" t="str">
        <f t="shared" si="273"/>
        <v/>
      </c>
      <c r="K495" s="9" t="str">
        <f t="shared" si="274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269"/>
        <v/>
      </c>
      <c r="G496" s="7" t="str">
        <f t="shared" si="270"/>
        <v/>
      </c>
      <c r="H496" s="5" t="str">
        <f t="shared" si="271"/>
        <v/>
      </c>
      <c r="I496" s="122" t="str">
        <f t="shared" si="272"/>
        <v/>
      </c>
      <c r="J496" s="7" t="str">
        <f t="shared" si="273"/>
        <v/>
      </c>
      <c r="K496" s="9" t="str">
        <f t="shared" si="274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269"/>
        <v/>
      </c>
      <c r="G497" s="7" t="str">
        <f t="shared" si="270"/>
        <v/>
      </c>
      <c r="H497" s="5" t="str">
        <f t="shared" si="271"/>
        <v/>
      </c>
      <c r="I497" s="122" t="str">
        <f t="shared" si="272"/>
        <v/>
      </c>
      <c r="J497" s="7" t="str">
        <f t="shared" si="273"/>
        <v/>
      </c>
      <c r="K497" s="9" t="str">
        <f t="shared" si="274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269"/>
        <v/>
      </c>
      <c r="G498" s="7" t="str">
        <f t="shared" si="270"/>
        <v/>
      </c>
      <c r="H498" s="5" t="str">
        <f t="shared" si="271"/>
        <v/>
      </c>
      <c r="I498" s="122" t="str">
        <f t="shared" si="272"/>
        <v/>
      </c>
      <c r="J498" s="7" t="str">
        <f t="shared" si="273"/>
        <v/>
      </c>
      <c r="K498" s="9" t="str">
        <f t="shared" si="274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269"/>
        <v/>
      </c>
      <c r="G499" s="7" t="str">
        <f t="shared" si="270"/>
        <v/>
      </c>
      <c r="H499" s="5" t="str">
        <f t="shared" si="271"/>
        <v/>
      </c>
      <c r="I499" s="122" t="str">
        <f t="shared" si="272"/>
        <v/>
      </c>
      <c r="J499" s="7" t="str">
        <f t="shared" si="273"/>
        <v/>
      </c>
      <c r="K499" s="9" t="str">
        <f t="shared" si="274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269"/>
        <v/>
      </c>
      <c r="G500" s="7" t="str">
        <f t="shared" si="270"/>
        <v/>
      </c>
      <c r="H500" s="5" t="str">
        <f t="shared" si="271"/>
        <v/>
      </c>
      <c r="I500" s="122" t="str">
        <f t="shared" si="272"/>
        <v/>
      </c>
      <c r="J500" s="7" t="str">
        <f t="shared" si="273"/>
        <v/>
      </c>
      <c r="K500" s="9" t="str">
        <f t="shared" si="274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269"/>
        <v/>
      </c>
      <c r="G501" s="7" t="str">
        <f t="shared" si="270"/>
        <v/>
      </c>
      <c r="H501" s="5" t="str">
        <f t="shared" si="271"/>
        <v/>
      </c>
      <c r="I501" s="122" t="str">
        <f t="shared" si="272"/>
        <v/>
      </c>
      <c r="J501" s="7" t="str">
        <f t="shared" si="273"/>
        <v/>
      </c>
      <c r="K501" s="9" t="str">
        <f t="shared" si="274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269"/>
        <v/>
      </c>
      <c r="G502" s="7" t="str">
        <f t="shared" si="270"/>
        <v/>
      </c>
      <c r="H502" s="5" t="str">
        <f t="shared" si="271"/>
        <v/>
      </c>
      <c r="I502" s="122" t="str">
        <f t="shared" si="272"/>
        <v/>
      </c>
      <c r="J502" s="7" t="str">
        <f t="shared" si="273"/>
        <v/>
      </c>
      <c r="K502" s="9" t="str">
        <f t="shared" si="274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269"/>
        <v/>
      </c>
      <c r="G503" s="7" t="str">
        <f t="shared" si="270"/>
        <v/>
      </c>
      <c r="H503" s="5" t="str">
        <f t="shared" si="271"/>
        <v/>
      </c>
      <c r="I503" s="122" t="str">
        <f t="shared" si="272"/>
        <v/>
      </c>
      <c r="J503" s="7" t="str">
        <f t="shared" si="273"/>
        <v/>
      </c>
      <c r="K503" s="9" t="str">
        <f t="shared" si="274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269"/>
        <v/>
      </c>
      <c r="G504" s="7" t="str">
        <f t="shared" si="270"/>
        <v/>
      </c>
      <c r="H504" s="5" t="str">
        <f t="shared" si="271"/>
        <v/>
      </c>
      <c r="I504" s="122" t="str">
        <f t="shared" si="272"/>
        <v/>
      </c>
      <c r="J504" s="7" t="str">
        <f t="shared" si="273"/>
        <v/>
      </c>
      <c r="K504" s="9" t="str">
        <f t="shared" si="274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269"/>
        <v/>
      </c>
      <c r="G505" s="7" t="str">
        <f t="shared" si="270"/>
        <v/>
      </c>
      <c r="H505" s="5" t="str">
        <f t="shared" si="271"/>
        <v/>
      </c>
      <c r="I505" s="122" t="str">
        <f t="shared" si="272"/>
        <v/>
      </c>
      <c r="J505" s="7" t="str">
        <f t="shared" si="273"/>
        <v/>
      </c>
      <c r="K505" s="9" t="str">
        <f t="shared" si="274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269"/>
        <v/>
      </c>
      <c r="G506" s="7" t="str">
        <f t="shared" si="270"/>
        <v/>
      </c>
      <c r="H506" s="5" t="str">
        <f t="shared" si="271"/>
        <v/>
      </c>
      <c r="I506" s="122" t="str">
        <f t="shared" si="272"/>
        <v/>
      </c>
      <c r="J506" s="7" t="str">
        <f t="shared" si="273"/>
        <v/>
      </c>
      <c r="K506" s="9" t="str">
        <f t="shared" si="274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269"/>
        <v/>
      </c>
      <c r="G507" s="7" t="str">
        <f t="shared" si="270"/>
        <v/>
      </c>
      <c r="H507" s="5" t="str">
        <f t="shared" si="271"/>
        <v/>
      </c>
      <c r="I507" s="122" t="str">
        <f t="shared" si="272"/>
        <v/>
      </c>
      <c r="J507" s="7" t="str">
        <f t="shared" si="273"/>
        <v/>
      </c>
      <c r="K507" s="9" t="str">
        <f t="shared" si="274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269"/>
        <v/>
      </c>
      <c r="G508" s="7" t="str">
        <f t="shared" si="270"/>
        <v/>
      </c>
      <c r="H508" s="5" t="str">
        <f t="shared" si="271"/>
        <v/>
      </c>
      <c r="I508" s="122" t="str">
        <f t="shared" si="272"/>
        <v/>
      </c>
      <c r="J508" s="7" t="str">
        <f t="shared" si="273"/>
        <v/>
      </c>
      <c r="K508" s="9" t="str">
        <f t="shared" si="274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269"/>
        <v/>
      </c>
      <c r="G509" s="7" t="str">
        <f t="shared" si="270"/>
        <v/>
      </c>
      <c r="H509" s="5" t="str">
        <f t="shared" si="271"/>
        <v/>
      </c>
      <c r="I509" s="122" t="str">
        <f t="shared" si="272"/>
        <v/>
      </c>
      <c r="J509" s="7" t="str">
        <f t="shared" si="273"/>
        <v/>
      </c>
      <c r="K509" s="9" t="str">
        <f t="shared" si="274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269"/>
        <v/>
      </c>
      <c r="G510" s="7" t="str">
        <f t="shared" si="270"/>
        <v/>
      </c>
      <c r="H510" s="5" t="str">
        <f t="shared" si="271"/>
        <v/>
      </c>
      <c r="I510" s="122" t="str">
        <f t="shared" si="272"/>
        <v/>
      </c>
      <c r="J510" s="7" t="str">
        <f t="shared" si="273"/>
        <v/>
      </c>
      <c r="K510" s="9" t="str">
        <f t="shared" si="274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269"/>
        <v/>
      </c>
      <c r="G511" s="7" t="str">
        <f t="shared" si="270"/>
        <v/>
      </c>
      <c r="H511" s="5" t="str">
        <f t="shared" si="271"/>
        <v/>
      </c>
      <c r="I511" s="122" t="str">
        <f t="shared" si="272"/>
        <v/>
      </c>
      <c r="J511" s="7" t="str">
        <f t="shared" si="273"/>
        <v/>
      </c>
      <c r="K511" s="9" t="str">
        <f t="shared" si="274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269"/>
        <v/>
      </c>
      <c r="G512" s="7" t="str">
        <f t="shared" si="270"/>
        <v/>
      </c>
      <c r="H512" s="5" t="str">
        <f t="shared" si="271"/>
        <v/>
      </c>
      <c r="I512" s="122" t="str">
        <f t="shared" si="272"/>
        <v/>
      </c>
      <c r="J512" s="7" t="str">
        <f t="shared" si="273"/>
        <v/>
      </c>
      <c r="K512" s="9" t="str">
        <f t="shared" si="274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269"/>
        <v/>
      </c>
      <c r="G513" s="7" t="str">
        <f t="shared" si="270"/>
        <v/>
      </c>
      <c r="H513" s="5" t="str">
        <f t="shared" si="271"/>
        <v/>
      </c>
      <c r="I513" s="122" t="str">
        <f t="shared" si="272"/>
        <v/>
      </c>
      <c r="J513" s="7" t="str">
        <f t="shared" si="273"/>
        <v/>
      </c>
      <c r="K513" s="9" t="str">
        <f t="shared" si="274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269"/>
        <v/>
      </c>
      <c r="G514" s="7" t="str">
        <f t="shared" si="270"/>
        <v/>
      </c>
      <c r="H514" s="5" t="str">
        <f t="shared" si="271"/>
        <v/>
      </c>
      <c r="I514" s="122" t="str">
        <f t="shared" si="272"/>
        <v/>
      </c>
      <c r="J514" s="7" t="str">
        <f t="shared" si="273"/>
        <v/>
      </c>
      <c r="K514" s="9" t="str">
        <f t="shared" si="274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269"/>
        <v/>
      </c>
      <c r="G515" s="7" t="str">
        <f t="shared" si="270"/>
        <v/>
      </c>
      <c r="H515" s="5" t="str">
        <f t="shared" si="271"/>
        <v/>
      </c>
      <c r="I515" s="122" t="str">
        <f t="shared" si="272"/>
        <v/>
      </c>
      <c r="J515" s="7" t="str">
        <f t="shared" si="273"/>
        <v/>
      </c>
      <c r="K515" s="9" t="str">
        <f t="shared" si="274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269"/>
        <v/>
      </c>
      <c r="G516" s="7" t="str">
        <f t="shared" si="270"/>
        <v/>
      </c>
      <c r="H516" s="5" t="str">
        <f t="shared" si="271"/>
        <v/>
      </c>
      <c r="I516" s="122" t="str">
        <f t="shared" si="272"/>
        <v/>
      </c>
      <c r="J516" s="7" t="str">
        <f t="shared" si="273"/>
        <v/>
      </c>
      <c r="K516" s="9" t="str">
        <f t="shared" si="274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269"/>
        <v/>
      </c>
      <c r="G517" s="7" t="str">
        <f t="shared" si="270"/>
        <v/>
      </c>
      <c r="H517" s="5" t="str">
        <f t="shared" si="271"/>
        <v/>
      </c>
      <c r="I517" s="122" t="str">
        <f t="shared" si="272"/>
        <v/>
      </c>
      <c r="J517" s="7" t="str">
        <f t="shared" si="273"/>
        <v/>
      </c>
      <c r="K517" s="9" t="str">
        <f t="shared" si="274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269"/>
        <v/>
      </c>
      <c r="G518" s="7" t="str">
        <f t="shared" si="270"/>
        <v/>
      </c>
      <c r="H518" s="5" t="str">
        <f t="shared" si="271"/>
        <v/>
      </c>
      <c r="I518" s="122" t="str">
        <f t="shared" si="272"/>
        <v/>
      </c>
      <c r="J518" s="7" t="str">
        <f t="shared" si="273"/>
        <v/>
      </c>
      <c r="K518" s="9" t="str">
        <f t="shared" si="274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269"/>
        <v/>
      </c>
      <c r="G519" s="7" t="str">
        <f t="shared" si="270"/>
        <v/>
      </c>
      <c r="H519" s="5" t="str">
        <f t="shared" si="271"/>
        <v/>
      </c>
      <c r="I519" s="122" t="str">
        <f t="shared" si="272"/>
        <v/>
      </c>
      <c r="J519" s="7" t="str">
        <f t="shared" si="273"/>
        <v/>
      </c>
      <c r="K519" s="9" t="str">
        <f t="shared" si="274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269"/>
        <v/>
      </c>
      <c r="G520" s="7" t="str">
        <f t="shared" si="270"/>
        <v/>
      </c>
      <c r="H520" s="5" t="str">
        <f t="shared" si="271"/>
        <v/>
      </c>
      <c r="I520" s="122" t="str">
        <f t="shared" si="272"/>
        <v/>
      </c>
      <c r="J520" s="7" t="str">
        <f t="shared" si="273"/>
        <v/>
      </c>
      <c r="K520" s="9" t="str">
        <f t="shared" si="274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269"/>
        <v/>
      </c>
      <c r="G521" s="7" t="str">
        <f t="shared" si="270"/>
        <v/>
      </c>
      <c r="H521" s="5" t="str">
        <f t="shared" si="271"/>
        <v/>
      </c>
      <c r="I521" s="122" t="str">
        <f t="shared" si="272"/>
        <v/>
      </c>
      <c r="J521" s="7" t="str">
        <f t="shared" si="273"/>
        <v/>
      </c>
      <c r="K521" s="9" t="str">
        <f t="shared" si="274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269"/>
        <v/>
      </c>
      <c r="G522" s="7" t="str">
        <f t="shared" si="270"/>
        <v/>
      </c>
      <c r="H522" s="5" t="str">
        <f t="shared" si="271"/>
        <v/>
      </c>
      <c r="I522" s="122" t="str">
        <f t="shared" si="272"/>
        <v/>
      </c>
      <c r="J522" s="7" t="str">
        <f t="shared" si="273"/>
        <v/>
      </c>
      <c r="K522" s="9" t="str">
        <f t="shared" si="274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si="269"/>
        <v/>
      </c>
      <c r="G523" s="7" t="str">
        <f t="shared" si="270"/>
        <v/>
      </c>
      <c r="H523" s="5" t="str">
        <f t="shared" si="271"/>
        <v/>
      </c>
      <c r="I523" s="122" t="str">
        <f t="shared" si="272"/>
        <v/>
      </c>
      <c r="J523" s="7" t="str">
        <f t="shared" si="273"/>
        <v/>
      </c>
      <c r="K523" s="9" t="str">
        <f t="shared" si="274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si="269"/>
        <v/>
      </c>
      <c r="G524" s="7" t="str">
        <f t="shared" si="270"/>
        <v/>
      </c>
      <c r="H524" s="5" t="str">
        <f t="shared" si="271"/>
        <v/>
      </c>
      <c r="I524" s="122" t="str">
        <f t="shared" si="272"/>
        <v/>
      </c>
      <c r="J524" s="7" t="str">
        <f t="shared" si="273"/>
        <v/>
      </c>
      <c r="K524" s="9" t="str">
        <f t="shared" si="274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si="269"/>
        <v/>
      </c>
      <c r="G525" s="7" t="str">
        <f t="shared" si="270"/>
        <v/>
      </c>
      <c r="H525" s="5" t="str">
        <f t="shared" si="271"/>
        <v/>
      </c>
      <c r="I525" s="122" t="str">
        <f t="shared" si="272"/>
        <v/>
      </c>
      <c r="J525" s="7" t="str">
        <f t="shared" si="273"/>
        <v/>
      </c>
      <c r="K525" s="9" t="str">
        <f t="shared" si="274"/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269"/>
        <v/>
      </c>
      <c r="G526" s="7" t="str">
        <f t="shared" si="270"/>
        <v/>
      </c>
      <c r="H526" s="5" t="str">
        <f t="shared" si="271"/>
        <v/>
      </c>
      <c r="I526" s="122" t="str">
        <f t="shared" si="272"/>
        <v/>
      </c>
      <c r="J526" s="7" t="str">
        <f t="shared" si="273"/>
        <v/>
      </c>
      <c r="K526" s="9" t="str">
        <f t="shared" si="274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si="269"/>
        <v/>
      </c>
      <c r="G527" s="7" t="str">
        <f t="shared" si="270"/>
        <v/>
      </c>
      <c r="H527" s="5" t="str">
        <f t="shared" si="271"/>
        <v/>
      </c>
      <c r="I527" s="122" t="str">
        <f t="shared" si="272"/>
        <v/>
      </c>
      <c r="J527" s="7" t="str">
        <f t="shared" si="273"/>
        <v/>
      </c>
      <c r="K527" s="9" t="str">
        <f t="shared" si="274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269"/>
        <v/>
      </c>
      <c r="G528" s="7" t="str">
        <f t="shared" si="270"/>
        <v/>
      </c>
      <c r="H528" s="5" t="str">
        <f t="shared" si="271"/>
        <v/>
      </c>
      <c r="I528" s="122" t="str">
        <f t="shared" si="272"/>
        <v/>
      </c>
      <c r="J528" s="7" t="str">
        <f t="shared" si="273"/>
        <v/>
      </c>
      <c r="K528" s="9" t="str">
        <f t="shared" si="274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269"/>
        <v/>
      </c>
      <c r="G529" s="7" t="str">
        <f t="shared" si="270"/>
        <v/>
      </c>
      <c r="H529" s="5" t="str">
        <f t="shared" si="271"/>
        <v/>
      </c>
      <c r="I529" s="122" t="str">
        <f t="shared" si="272"/>
        <v/>
      </c>
      <c r="J529" s="7" t="str">
        <f t="shared" si="273"/>
        <v/>
      </c>
      <c r="K529" s="9" t="str">
        <f t="shared" si="274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269"/>
        <v/>
      </c>
      <c r="G530" s="7" t="str">
        <f t="shared" si="270"/>
        <v/>
      </c>
      <c r="H530" s="5" t="str">
        <f t="shared" si="271"/>
        <v/>
      </c>
      <c r="I530" s="122" t="str">
        <f t="shared" si="272"/>
        <v/>
      </c>
      <c r="J530" s="7" t="str">
        <f t="shared" si="273"/>
        <v/>
      </c>
      <c r="K530" s="9" t="str">
        <f t="shared" si="274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269"/>
        <v/>
      </c>
      <c r="G531" s="7" t="str">
        <f t="shared" si="270"/>
        <v/>
      </c>
      <c r="H531" s="5" t="str">
        <f t="shared" si="271"/>
        <v/>
      </c>
      <c r="I531" s="122" t="str">
        <f t="shared" si="272"/>
        <v/>
      </c>
      <c r="J531" s="7" t="str">
        <f t="shared" si="273"/>
        <v/>
      </c>
      <c r="K531" s="9" t="str">
        <f t="shared" si="274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269"/>
        <v/>
      </c>
      <c r="G532" s="7" t="str">
        <f t="shared" si="270"/>
        <v/>
      </c>
      <c r="H532" s="5" t="str">
        <f t="shared" si="271"/>
        <v/>
      </c>
      <c r="I532" s="122" t="str">
        <f t="shared" si="272"/>
        <v/>
      </c>
      <c r="J532" s="7" t="str">
        <f t="shared" si="273"/>
        <v/>
      </c>
      <c r="K532" s="9" t="str">
        <f t="shared" si="274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269"/>
        <v/>
      </c>
      <c r="G533" s="7" t="str">
        <f t="shared" si="270"/>
        <v/>
      </c>
      <c r="H533" s="5" t="str">
        <f t="shared" si="271"/>
        <v/>
      </c>
      <c r="I533" s="122" t="str">
        <f t="shared" si="272"/>
        <v/>
      </c>
      <c r="J533" s="7" t="str">
        <f t="shared" si="273"/>
        <v/>
      </c>
      <c r="K533" s="9" t="str">
        <f t="shared" si="274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269"/>
        <v/>
      </c>
      <c r="G534" s="7" t="str">
        <f t="shared" si="270"/>
        <v/>
      </c>
      <c r="H534" s="5" t="str">
        <f t="shared" si="271"/>
        <v/>
      </c>
      <c r="I534" s="122" t="str">
        <f t="shared" si="272"/>
        <v/>
      </c>
      <c r="J534" s="7" t="str">
        <f t="shared" si="273"/>
        <v/>
      </c>
      <c r="K534" s="9" t="str">
        <f t="shared" si="274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269"/>
        <v/>
      </c>
      <c r="G535" s="7" t="str">
        <f t="shared" si="270"/>
        <v/>
      </c>
      <c r="H535" s="5" t="str">
        <f t="shared" si="271"/>
        <v/>
      </c>
      <c r="I535" s="122" t="str">
        <f t="shared" si="272"/>
        <v/>
      </c>
      <c r="J535" s="7" t="str">
        <f t="shared" si="273"/>
        <v/>
      </c>
      <c r="K535" s="9" t="str">
        <f t="shared" si="274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269"/>
        <v/>
      </c>
      <c r="G536" s="7" t="str">
        <f t="shared" si="270"/>
        <v/>
      </c>
      <c r="H536" s="5" t="str">
        <f t="shared" si="271"/>
        <v/>
      </c>
      <c r="I536" s="122" t="str">
        <f t="shared" si="272"/>
        <v/>
      </c>
      <c r="J536" s="7" t="str">
        <f t="shared" si="273"/>
        <v/>
      </c>
      <c r="K536" s="9" t="str">
        <f t="shared" si="274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269"/>
        <v/>
      </c>
      <c r="G537" s="7" t="str">
        <f t="shared" si="270"/>
        <v/>
      </c>
      <c r="H537" s="5" t="str">
        <f t="shared" si="271"/>
        <v/>
      </c>
      <c r="I537" s="122" t="str">
        <f t="shared" si="272"/>
        <v/>
      </c>
      <c r="J537" s="7" t="str">
        <f t="shared" si="273"/>
        <v/>
      </c>
      <c r="K537" s="9" t="str">
        <f t="shared" si="274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269"/>
        <v/>
      </c>
      <c r="G538" s="7" t="str">
        <f t="shared" si="270"/>
        <v/>
      </c>
      <c r="H538" s="5" t="str">
        <f t="shared" si="271"/>
        <v/>
      </c>
      <c r="I538" s="122" t="str">
        <f t="shared" si="272"/>
        <v/>
      </c>
      <c r="J538" s="7" t="str">
        <f t="shared" si="273"/>
        <v/>
      </c>
      <c r="K538" s="9" t="str">
        <f t="shared" si="274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269"/>
        <v/>
      </c>
      <c r="G539" s="7" t="str">
        <f t="shared" si="270"/>
        <v/>
      </c>
      <c r="H539" s="5" t="str">
        <f t="shared" si="271"/>
        <v/>
      </c>
      <c r="I539" s="122" t="str">
        <f t="shared" si="272"/>
        <v/>
      </c>
      <c r="J539" s="7" t="str">
        <f t="shared" si="273"/>
        <v/>
      </c>
      <c r="K539" s="9" t="str">
        <f t="shared" si="274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269"/>
        <v/>
      </c>
      <c r="G540" s="7" t="str">
        <f t="shared" si="270"/>
        <v/>
      </c>
      <c r="H540" s="5" t="str">
        <f t="shared" si="271"/>
        <v/>
      </c>
      <c r="I540" s="122" t="str">
        <f t="shared" si="272"/>
        <v/>
      </c>
      <c r="J540" s="7" t="str">
        <f t="shared" si="273"/>
        <v/>
      </c>
      <c r="K540" s="9" t="str">
        <f t="shared" si="274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si="269"/>
        <v/>
      </c>
      <c r="G541" s="7" t="str">
        <f t="shared" si="270"/>
        <v/>
      </c>
      <c r="H541" s="5" t="str">
        <f t="shared" si="271"/>
        <v/>
      </c>
      <c r="I541" s="122" t="str">
        <f t="shared" si="272"/>
        <v/>
      </c>
      <c r="J541" s="7" t="str">
        <f t="shared" si="273"/>
        <v/>
      </c>
      <c r="K541" s="9" t="str">
        <f t="shared" si="274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269"/>
        <v/>
      </c>
      <c r="G542" s="7" t="str">
        <f t="shared" si="270"/>
        <v/>
      </c>
      <c r="H542" s="5" t="str">
        <f t="shared" si="271"/>
        <v/>
      </c>
      <c r="I542" s="122" t="str">
        <f t="shared" si="272"/>
        <v/>
      </c>
      <c r="J542" s="7" t="str">
        <f t="shared" si="273"/>
        <v/>
      </c>
      <c r="K542" s="9" t="str">
        <f t="shared" si="274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269"/>
        <v/>
      </c>
      <c r="G543" s="7" t="str">
        <f t="shared" si="270"/>
        <v/>
      </c>
      <c r="H543" s="5" t="str">
        <f t="shared" si="271"/>
        <v/>
      </c>
      <c r="I543" s="122" t="str">
        <f t="shared" si="272"/>
        <v/>
      </c>
      <c r="J543" s="7" t="str">
        <f t="shared" si="273"/>
        <v/>
      </c>
      <c r="K543" s="9" t="str">
        <f t="shared" si="274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269"/>
        <v/>
      </c>
      <c r="G544" s="7" t="str">
        <f t="shared" si="270"/>
        <v/>
      </c>
      <c r="H544" s="5" t="str">
        <f t="shared" si="271"/>
        <v/>
      </c>
      <c r="I544" s="122" t="str">
        <f t="shared" si="272"/>
        <v/>
      </c>
      <c r="J544" s="7" t="str">
        <f t="shared" si="273"/>
        <v/>
      </c>
      <c r="K544" s="9" t="str">
        <f t="shared" si="274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ref="F545:F608" si="275">IF(ISBLANK(B545),"",IF(I545="L","Baixa",IF(I545="A","Média",IF(I545="","","Alta"))))</f>
        <v/>
      </c>
      <c r="G545" s="7" t="str">
        <f t="shared" ref="G545:G608" si="276">CONCATENATE(B545,I545)</f>
        <v/>
      </c>
      <c r="H545" s="5" t="str">
        <f t="shared" ref="H545:H608" si="277">IF(ISBLANK(B545),"",IF(B545="ALI",IF(I545="L",7,IF(I545="A",10,15)),IF(B545="AIE",IF(I545="L",5,IF(I545="A",7,10)),IF(B545="SE",IF(I545="L",4,IF(I545="A",5,7)),IF(OR(B545="EE",B545="CE"),IF(I545="L",3,IF(I545="A",4,6)),0)))))</f>
        <v/>
      </c>
      <c r="I545" s="122" t="str">
        <f t="shared" ref="I545:I608" si="278">IF(OR(ISBLANK(D545),ISBLANK(E545)),IF(OR(B545="ALI",B545="AIE"),"L",IF(OR(B545="EE",B545="SE",B545="CE"),"A","")),IF(B545="EE",IF(E545&gt;=3,IF(D545&gt;=5,"H","A"),IF(E545&gt;=2,IF(D545&gt;=16,"H",IF(D545&lt;=4,"L","A")),IF(D545&lt;=15,"L","A"))),IF(OR(B545="SE",B545="CE"),IF(E545&gt;=4,IF(D545&gt;=6,"H","A"),IF(E545&gt;=2,IF(D545&gt;=20,"H",IF(D545&lt;=5,"L","A")),IF(D545&lt;=19,"L","A"))),IF(OR(B545="ALI",B545="AIE"),IF(E545&gt;=6,IF(D545&gt;=20,"H","A"),IF(E545&gt;=2,IF(D545&gt;=51,"H",IF(D545&lt;=19,"L","A")),IF(D545&lt;=50,"L","A"))),""))))</f>
        <v/>
      </c>
      <c r="J545" s="7" t="str">
        <f t="shared" ref="J545:J608" si="279">CONCATENATE(B545,C545)</f>
        <v/>
      </c>
      <c r="K545" s="9" t="str">
        <f t="shared" si="274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275"/>
        <v/>
      </c>
      <c r="G546" s="7" t="str">
        <f t="shared" si="276"/>
        <v/>
      </c>
      <c r="H546" s="5" t="str">
        <f t="shared" si="277"/>
        <v/>
      </c>
      <c r="I546" s="122" t="str">
        <f t="shared" si="278"/>
        <v/>
      </c>
      <c r="J546" s="7" t="str">
        <f t="shared" si="279"/>
        <v/>
      </c>
      <c r="K546" s="9" t="str">
        <f t="shared" si="274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275"/>
        <v/>
      </c>
      <c r="G547" s="7" t="str">
        <f t="shared" si="276"/>
        <v/>
      </c>
      <c r="H547" s="5" t="str">
        <f t="shared" si="277"/>
        <v/>
      </c>
      <c r="I547" s="122" t="str">
        <f t="shared" si="278"/>
        <v/>
      </c>
      <c r="J547" s="7" t="str">
        <f t="shared" si="279"/>
        <v/>
      </c>
      <c r="K547" s="9" t="str">
        <f t="shared" ref="K547:K610" si="280">IF(OR(H547="",H547=0),L547,H547)</f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275"/>
        <v/>
      </c>
      <c r="G548" s="7" t="str">
        <f t="shared" si="276"/>
        <v/>
      </c>
      <c r="H548" s="5" t="str">
        <f t="shared" si="277"/>
        <v/>
      </c>
      <c r="I548" s="122" t="str">
        <f t="shared" si="278"/>
        <v/>
      </c>
      <c r="J548" s="7" t="str">
        <f t="shared" si="279"/>
        <v/>
      </c>
      <c r="K548" s="9" t="str">
        <f t="shared" si="280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275"/>
        <v/>
      </c>
      <c r="G549" s="7" t="str">
        <f t="shared" si="276"/>
        <v/>
      </c>
      <c r="H549" s="5" t="str">
        <f t="shared" si="277"/>
        <v/>
      </c>
      <c r="I549" s="122" t="str">
        <f t="shared" si="278"/>
        <v/>
      </c>
      <c r="J549" s="7" t="str">
        <f t="shared" si="279"/>
        <v/>
      </c>
      <c r="K549" s="9" t="str">
        <f t="shared" si="280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275"/>
        <v/>
      </c>
      <c r="G550" s="7" t="str">
        <f t="shared" si="276"/>
        <v/>
      </c>
      <c r="H550" s="5" t="str">
        <f t="shared" si="277"/>
        <v/>
      </c>
      <c r="I550" s="122" t="str">
        <f t="shared" si="278"/>
        <v/>
      </c>
      <c r="J550" s="7" t="str">
        <f t="shared" si="279"/>
        <v/>
      </c>
      <c r="K550" s="9" t="str">
        <f t="shared" si="280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275"/>
        <v/>
      </c>
      <c r="G551" s="7" t="str">
        <f t="shared" si="276"/>
        <v/>
      </c>
      <c r="H551" s="5" t="str">
        <f t="shared" si="277"/>
        <v/>
      </c>
      <c r="I551" s="122" t="str">
        <f t="shared" si="278"/>
        <v/>
      </c>
      <c r="J551" s="7" t="str">
        <f t="shared" si="279"/>
        <v/>
      </c>
      <c r="K551" s="9" t="str">
        <f t="shared" si="280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275"/>
        <v/>
      </c>
      <c r="G552" s="7" t="str">
        <f t="shared" si="276"/>
        <v/>
      </c>
      <c r="H552" s="5" t="str">
        <f t="shared" si="277"/>
        <v/>
      </c>
      <c r="I552" s="122" t="str">
        <f t="shared" si="278"/>
        <v/>
      </c>
      <c r="J552" s="7" t="str">
        <f t="shared" si="279"/>
        <v/>
      </c>
      <c r="K552" s="9" t="str">
        <f t="shared" si="280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275"/>
        <v/>
      </c>
      <c r="G553" s="7" t="str">
        <f t="shared" si="276"/>
        <v/>
      </c>
      <c r="H553" s="5" t="str">
        <f t="shared" si="277"/>
        <v/>
      </c>
      <c r="I553" s="122" t="str">
        <f t="shared" si="278"/>
        <v/>
      </c>
      <c r="J553" s="7" t="str">
        <f t="shared" si="279"/>
        <v/>
      </c>
      <c r="K553" s="9" t="str">
        <f t="shared" si="280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275"/>
        <v/>
      </c>
      <c r="G554" s="7" t="str">
        <f t="shared" si="276"/>
        <v/>
      </c>
      <c r="H554" s="5" t="str">
        <f t="shared" si="277"/>
        <v/>
      </c>
      <c r="I554" s="122" t="str">
        <f t="shared" si="278"/>
        <v/>
      </c>
      <c r="J554" s="7" t="str">
        <f t="shared" si="279"/>
        <v/>
      </c>
      <c r="K554" s="9" t="str">
        <f t="shared" si="280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275"/>
        <v/>
      </c>
      <c r="G555" s="7" t="str">
        <f t="shared" si="276"/>
        <v/>
      </c>
      <c r="H555" s="5" t="str">
        <f t="shared" si="277"/>
        <v/>
      </c>
      <c r="I555" s="122" t="str">
        <f t="shared" si="278"/>
        <v/>
      </c>
      <c r="J555" s="7" t="str">
        <f t="shared" si="279"/>
        <v/>
      </c>
      <c r="K555" s="9" t="str">
        <f t="shared" si="280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275"/>
        <v/>
      </c>
      <c r="G556" s="7" t="str">
        <f t="shared" si="276"/>
        <v/>
      </c>
      <c r="H556" s="5" t="str">
        <f t="shared" si="277"/>
        <v/>
      </c>
      <c r="I556" s="122" t="str">
        <f t="shared" si="278"/>
        <v/>
      </c>
      <c r="J556" s="7" t="str">
        <f t="shared" si="279"/>
        <v/>
      </c>
      <c r="K556" s="9" t="str">
        <f t="shared" si="280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275"/>
        <v/>
      </c>
      <c r="G557" s="7" t="str">
        <f t="shared" si="276"/>
        <v/>
      </c>
      <c r="H557" s="5" t="str">
        <f t="shared" si="277"/>
        <v/>
      </c>
      <c r="I557" s="122" t="str">
        <f t="shared" si="278"/>
        <v/>
      </c>
      <c r="J557" s="7" t="str">
        <f t="shared" si="279"/>
        <v/>
      </c>
      <c r="K557" s="9" t="str">
        <f t="shared" si="280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275"/>
        <v/>
      </c>
      <c r="G558" s="7" t="str">
        <f t="shared" si="276"/>
        <v/>
      </c>
      <c r="H558" s="5" t="str">
        <f t="shared" si="277"/>
        <v/>
      </c>
      <c r="I558" s="122" t="str">
        <f t="shared" si="278"/>
        <v/>
      </c>
      <c r="J558" s="7" t="str">
        <f t="shared" si="279"/>
        <v/>
      </c>
      <c r="K558" s="9" t="str">
        <f t="shared" si="280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275"/>
        <v/>
      </c>
      <c r="G559" s="7" t="str">
        <f t="shared" si="276"/>
        <v/>
      </c>
      <c r="H559" s="5" t="str">
        <f t="shared" si="277"/>
        <v/>
      </c>
      <c r="I559" s="122" t="str">
        <f t="shared" si="278"/>
        <v/>
      </c>
      <c r="J559" s="7" t="str">
        <f t="shared" si="279"/>
        <v/>
      </c>
      <c r="K559" s="9" t="str">
        <f t="shared" si="280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275"/>
        <v/>
      </c>
      <c r="G560" s="7" t="str">
        <f t="shared" si="276"/>
        <v/>
      </c>
      <c r="H560" s="5" t="str">
        <f t="shared" si="277"/>
        <v/>
      </c>
      <c r="I560" s="122" t="str">
        <f t="shared" si="278"/>
        <v/>
      </c>
      <c r="J560" s="7" t="str">
        <f t="shared" si="279"/>
        <v/>
      </c>
      <c r="K560" s="9" t="str">
        <f t="shared" si="280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275"/>
        <v/>
      </c>
      <c r="G561" s="7" t="str">
        <f t="shared" si="276"/>
        <v/>
      </c>
      <c r="H561" s="5" t="str">
        <f t="shared" si="277"/>
        <v/>
      </c>
      <c r="I561" s="122" t="str">
        <f t="shared" si="278"/>
        <v/>
      </c>
      <c r="J561" s="7" t="str">
        <f t="shared" si="279"/>
        <v/>
      </c>
      <c r="K561" s="9" t="str">
        <f t="shared" si="280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275"/>
        <v/>
      </c>
      <c r="G562" s="7" t="str">
        <f t="shared" si="276"/>
        <v/>
      </c>
      <c r="H562" s="5" t="str">
        <f t="shared" si="277"/>
        <v/>
      </c>
      <c r="I562" s="122" t="str">
        <f t="shared" si="278"/>
        <v/>
      </c>
      <c r="J562" s="7" t="str">
        <f t="shared" si="279"/>
        <v/>
      </c>
      <c r="K562" s="9" t="str">
        <f t="shared" si="280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275"/>
        <v/>
      </c>
      <c r="G563" s="7" t="str">
        <f t="shared" si="276"/>
        <v/>
      </c>
      <c r="H563" s="5" t="str">
        <f t="shared" si="277"/>
        <v/>
      </c>
      <c r="I563" s="122" t="str">
        <f t="shared" si="278"/>
        <v/>
      </c>
      <c r="J563" s="7" t="str">
        <f t="shared" si="279"/>
        <v/>
      </c>
      <c r="K563" s="9" t="str">
        <f t="shared" si="280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275"/>
        <v/>
      </c>
      <c r="G564" s="7" t="str">
        <f t="shared" si="276"/>
        <v/>
      </c>
      <c r="H564" s="5" t="str">
        <f t="shared" si="277"/>
        <v/>
      </c>
      <c r="I564" s="122" t="str">
        <f t="shared" si="278"/>
        <v/>
      </c>
      <c r="J564" s="7" t="str">
        <f t="shared" si="279"/>
        <v/>
      </c>
      <c r="K564" s="9" t="str">
        <f t="shared" si="280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275"/>
        <v/>
      </c>
      <c r="G565" s="7" t="str">
        <f t="shared" si="276"/>
        <v/>
      </c>
      <c r="H565" s="5" t="str">
        <f t="shared" si="277"/>
        <v/>
      </c>
      <c r="I565" s="122" t="str">
        <f t="shared" si="278"/>
        <v/>
      </c>
      <c r="J565" s="7" t="str">
        <f t="shared" si="279"/>
        <v/>
      </c>
      <c r="K565" s="9" t="str">
        <f t="shared" si="280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275"/>
        <v/>
      </c>
      <c r="G566" s="7" t="str">
        <f t="shared" si="276"/>
        <v/>
      </c>
      <c r="H566" s="5" t="str">
        <f t="shared" si="277"/>
        <v/>
      </c>
      <c r="I566" s="122" t="str">
        <f t="shared" si="278"/>
        <v/>
      </c>
      <c r="J566" s="7" t="str">
        <f t="shared" si="279"/>
        <v/>
      </c>
      <c r="K566" s="9" t="str">
        <f t="shared" si="280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275"/>
        <v/>
      </c>
      <c r="G567" s="7" t="str">
        <f t="shared" si="276"/>
        <v/>
      </c>
      <c r="H567" s="5" t="str">
        <f t="shared" si="277"/>
        <v/>
      </c>
      <c r="I567" s="122" t="str">
        <f t="shared" si="278"/>
        <v/>
      </c>
      <c r="J567" s="7" t="str">
        <f t="shared" si="279"/>
        <v/>
      </c>
      <c r="K567" s="9" t="str">
        <f t="shared" si="280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275"/>
        <v/>
      </c>
      <c r="G568" s="7" t="str">
        <f t="shared" si="276"/>
        <v/>
      </c>
      <c r="H568" s="5" t="str">
        <f t="shared" si="277"/>
        <v/>
      </c>
      <c r="I568" s="122" t="str">
        <f t="shared" si="278"/>
        <v/>
      </c>
      <c r="J568" s="7" t="str">
        <f t="shared" si="279"/>
        <v/>
      </c>
      <c r="K568" s="9" t="str">
        <f t="shared" si="280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275"/>
        <v/>
      </c>
      <c r="G569" s="7" t="str">
        <f t="shared" si="276"/>
        <v/>
      </c>
      <c r="H569" s="5" t="str">
        <f t="shared" si="277"/>
        <v/>
      </c>
      <c r="I569" s="122" t="str">
        <f t="shared" si="278"/>
        <v/>
      </c>
      <c r="J569" s="7" t="str">
        <f t="shared" si="279"/>
        <v/>
      </c>
      <c r="K569" s="9" t="str">
        <f t="shared" si="280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275"/>
        <v/>
      </c>
      <c r="G570" s="7" t="str">
        <f t="shared" si="276"/>
        <v/>
      </c>
      <c r="H570" s="5" t="str">
        <f t="shared" si="277"/>
        <v/>
      </c>
      <c r="I570" s="122" t="str">
        <f t="shared" si="278"/>
        <v/>
      </c>
      <c r="J570" s="7" t="str">
        <f t="shared" si="279"/>
        <v/>
      </c>
      <c r="K570" s="9" t="str">
        <f t="shared" si="280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275"/>
        <v/>
      </c>
      <c r="G571" s="7" t="str">
        <f t="shared" si="276"/>
        <v/>
      </c>
      <c r="H571" s="5" t="str">
        <f t="shared" si="277"/>
        <v/>
      </c>
      <c r="I571" s="122" t="str">
        <f t="shared" si="278"/>
        <v/>
      </c>
      <c r="J571" s="7" t="str">
        <f t="shared" si="279"/>
        <v/>
      </c>
      <c r="K571" s="9" t="str">
        <f t="shared" si="280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275"/>
        <v/>
      </c>
      <c r="G572" s="7" t="str">
        <f t="shared" si="276"/>
        <v/>
      </c>
      <c r="H572" s="5" t="str">
        <f t="shared" si="277"/>
        <v/>
      </c>
      <c r="I572" s="122" t="str">
        <f t="shared" si="278"/>
        <v/>
      </c>
      <c r="J572" s="7" t="str">
        <f t="shared" si="279"/>
        <v/>
      </c>
      <c r="K572" s="9" t="str">
        <f t="shared" si="280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275"/>
        <v/>
      </c>
      <c r="G573" s="7" t="str">
        <f t="shared" si="276"/>
        <v/>
      </c>
      <c r="H573" s="5" t="str">
        <f t="shared" si="277"/>
        <v/>
      </c>
      <c r="I573" s="122" t="str">
        <f t="shared" si="278"/>
        <v/>
      </c>
      <c r="J573" s="7" t="str">
        <f t="shared" si="279"/>
        <v/>
      </c>
      <c r="K573" s="9" t="str">
        <f t="shared" si="280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275"/>
        <v/>
      </c>
      <c r="G574" s="7" t="str">
        <f t="shared" si="276"/>
        <v/>
      </c>
      <c r="H574" s="5" t="str">
        <f t="shared" si="277"/>
        <v/>
      </c>
      <c r="I574" s="122" t="str">
        <f t="shared" si="278"/>
        <v/>
      </c>
      <c r="J574" s="7" t="str">
        <f t="shared" si="279"/>
        <v/>
      </c>
      <c r="K574" s="9" t="str">
        <f t="shared" si="280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275"/>
        <v/>
      </c>
      <c r="G575" s="7" t="str">
        <f t="shared" si="276"/>
        <v/>
      </c>
      <c r="H575" s="5" t="str">
        <f t="shared" si="277"/>
        <v/>
      </c>
      <c r="I575" s="122" t="str">
        <f t="shared" si="278"/>
        <v/>
      </c>
      <c r="J575" s="7" t="str">
        <f t="shared" si="279"/>
        <v/>
      </c>
      <c r="K575" s="9" t="str">
        <f t="shared" si="280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275"/>
        <v/>
      </c>
      <c r="G576" s="7" t="str">
        <f t="shared" si="276"/>
        <v/>
      </c>
      <c r="H576" s="5" t="str">
        <f t="shared" si="277"/>
        <v/>
      </c>
      <c r="I576" s="122" t="str">
        <f t="shared" si="278"/>
        <v/>
      </c>
      <c r="J576" s="7" t="str">
        <f t="shared" si="279"/>
        <v/>
      </c>
      <c r="K576" s="9" t="str">
        <f t="shared" si="280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275"/>
        <v/>
      </c>
      <c r="G577" s="7" t="str">
        <f t="shared" si="276"/>
        <v/>
      </c>
      <c r="H577" s="5" t="str">
        <f t="shared" si="277"/>
        <v/>
      </c>
      <c r="I577" s="122" t="str">
        <f t="shared" si="278"/>
        <v/>
      </c>
      <c r="J577" s="7" t="str">
        <f t="shared" si="279"/>
        <v/>
      </c>
      <c r="K577" s="9" t="str">
        <f t="shared" si="280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275"/>
        <v/>
      </c>
      <c r="G578" s="7" t="str">
        <f t="shared" si="276"/>
        <v/>
      </c>
      <c r="H578" s="5" t="str">
        <f t="shared" si="277"/>
        <v/>
      </c>
      <c r="I578" s="122" t="str">
        <f t="shared" si="278"/>
        <v/>
      </c>
      <c r="J578" s="7" t="str">
        <f t="shared" si="279"/>
        <v/>
      </c>
      <c r="K578" s="9" t="str">
        <f t="shared" si="280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275"/>
        <v/>
      </c>
      <c r="G579" s="7" t="str">
        <f t="shared" si="276"/>
        <v/>
      </c>
      <c r="H579" s="5" t="str">
        <f t="shared" si="277"/>
        <v/>
      </c>
      <c r="I579" s="122" t="str">
        <f t="shared" si="278"/>
        <v/>
      </c>
      <c r="J579" s="7" t="str">
        <f t="shared" si="279"/>
        <v/>
      </c>
      <c r="K579" s="9" t="str">
        <f t="shared" si="280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275"/>
        <v/>
      </c>
      <c r="G580" s="7" t="str">
        <f t="shared" si="276"/>
        <v/>
      </c>
      <c r="H580" s="5" t="str">
        <f t="shared" si="277"/>
        <v/>
      </c>
      <c r="I580" s="122" t="str">
        <f t="shared" si="278"/>
        <v/>
      </c>
      <c r="J580" s="7" t="str">
        <f t="shared" si="279"/>
        <v/>
      </c>
      <c r="K580" s="9" t="str">
        <f t="shared" si="280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275"/>
        <v/>
      </c>
      <c r="G581" s="7" t="str">
        <f t="shared" si="276"/>
        <v/>
      </c>
      <c r="H581" s="5" t="str">
        <f t="shared" si="277"/>
        <v/>
      </c>
      <c r="I581" s="122" t="str">
        <f t="shared" si="278"/>
        <v/>
      </c>
      <c r="J581" s="7" t="str">
        <f t="shared" si="279"/>
        <v/>
      </c>
      <c r="K581" s="9" t="str">
        <f t="shared" si="280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275"/>
        <v/>
      </c>
      <c r="G582" s="7" t="str">
        <f t="shared" si="276"/>
        <v/>
      </c>
      <c r="H582" s="5" t="str">
        <f t="shared" si="277"/>
        <v/>
      </c>
      <c r="I582" s="122" t="str">
        <f t="shared" si="278"/>
        <v/>
      </c>
      <c r="J582" s="7" t="str">
        <f t="shared" si="279"/>
        <v/>
      </c>
      <c r="K582" s="9" t="str">
        <f t="shared" si="280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275"/>
        <v/>
      </c>
      <c r="G583" s="7" t="str">
        <f t="shared" si="276"/>
        <v/>
      </c>
      <c r="H583" s="5" t="str">
        <f t="shared" si="277"/>
        <v/>
      </c>
      <c r="I583" s="122" t="str">
        <f t="shared" si="278"/>
        <v/>
      </c>
      <c r="J583" s="7" t="str">
        <f t="shared" si="279"/>
        <v/>
      </c>
      <c r="K583" s="9" t="str">
        <f t="shared" si="280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275"/>
        <v/>
      </c>
      <c r="G584" s="7" t="str">
        <f t="shared" si="276"/>
        <v/>
      </c>
      <c r="H584" s="5" t="str">
        <f t="shared" si="277"/>
        <v/>
      </c>
      <c r="I584" s="122" t="str">
        <f t="shared" si="278"/>
        <v/>
      </c>
      <c r="J584" s="7" t="str">
        <f t="shared" si="279"/>
        <v/>
      </c>
      <c r="K584" s="9" t="str">
        <f t="shared" si="280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275"/>
        <v/>
      </c>
      <c r="G585" s="7" t="str">
        <f t="shared" si="276"/>
        <v/>
      </c>
      <c r="H585" s="5" t="str">
        <f t="shared" si="277"/>
        <v/>
      </c>
      <c r="I585" s="122" t="str">
        <f t="shared" si="278"/>
        <v/>
      </c>
      <c r="J585" s="7" t="str">
        <f t="shared" si="279"/>
        <v/>
      </c>
      <c r="K585" s="9" t="str">
        <f t="shared" si="280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275"/>
        <v/>
      </c>
      <c r="G586" s="7" t="str">
        <f t="shared" si="276"/>
        <v/>
      </c>
      <c r="H586" s="5" t="str">
        <f t="shared" si="277"/>
        <v/>
      </c>
      <c r="I586" s="122" t="str">
        <f t="shared" si="278"/>
        <v/>
      </c>
      <c r="J586" s="7" t="str">
        <f t="shared" si="279"/>
        <v/>
      </c>
      <c r="K586" s="9" t="str">
        <f t="shared" si="280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si="275"/>
        <v/>
      </c>
      <c r="G587" s="7" t="str">
        <f t="shared" si="276"/>
        <v/>
      </c>
      <c r="H587" s="5" t="str">
        <f t="shared" si="277"/>
        <v/>
      </c>
      <c r="I587" s="122" t="str">
        <f t="shared" si="278"/>
        <v/>
      </c>
      <c r="J587" s="7" t="str">
        <f t="shared" si="279"/>
        <v/>
      </c>
      <c r="K587" s="9" t="str">
        <f t="shared" si="280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si="275"/>
        <v/>
      </c>
      <c r="G588" s="7" t="str">
        <f t="shared" si="276"/>
        <v/>
      </c>
      <c r="H588" s="5" t="str">
        <f t="shared" si="277"/>
        <v/>
      </c>
      <c r="I588" s="122" t="str">
        <f t="shared" si="278"/>
        <v/>
      </c>
      <c r="J588" s="7" t="str">
        <f t="shared" si="279"/>
        <v/>
      </c>
      <c r="K588" s="9" t="str">
        <f t="shared" si="280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si="275"/>
        <v/>
      </c>
      <c r="G589" s="7" t="str">
        <f t="shared" si="276"/>
        <v/>
      </c>
      <c r="H589" s="5" t="str">
        <f t="shared" si="277"/>
        <v/>
      </c>
      <c r="I589" s="122" t="str">
        <f t="shared" si="278"/>
        <v/>
      </c>
      <c r="J589" s="7" t="str">
        <f t="shared" si="279"/>
        <v/>
      </c>
      <c r="K589" s="9" t="str">
        <f t="shared" si="280"/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275"/>
        <v/>
      </c>
      <c r="G590" s="7" t="str">
        <f t="shared" si="276"/>
        <v/>
      </c>
      <c r="H590" s="5" t="str">
        <f t="shared" si="277"/>
        <v/>
      </c>
      <c r="I590" s="122" t="str">
        <f t="shared" si="278"/>
        <v/>
      </c>
      <c r="J590" s="7" t="str">
        <f t="shared" si="279"/>
        <v/>
      </c>
      <c r="K590" s="9" t="str">
        <f t="shared" si="280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si="275"/>
        <v/>
      </c>
      <c r="G591" s="7" t="str">
        <f t="shared" si="276"/>
        <v/>
      </c>
      <c r="H591" s="5" t="str">
        <f t="shared" si="277"/>
        <v/>
      </c>
      <c r="I591" s="122" t="str">
        <f t="shared" si="278"/>
        <v/>
      </c>
      <c r="J591" s="7" t="str">
        <f t="shared" si="279"/>
        <v/>
      </c>
      <c r="K591" s="9" t="str">
        <f t="shared" si="280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275"/>
        <v/>
      </c>
      <c r="G592" s="7" t="str">
        <f t="shared" si="276"/>
        <v/>
      </c>
      <c r="H592" s="5" t="str">
        <f t="shared" si="277"/>
        <v/>
      </c>
      <c r="I592" s="122" t="str">
        <f t="shared" si="278"/>
        <v/>
      </c>
      <c r="J592" s="7" t="str">
        <f t="shared" si="279"/>
        <v/>
      </c>
      <c r="K592" s="9" t="str">
        <f t="shared" si="280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275"/>
        <v/>
      </c>
      <c r="G593" s="7" t="str">
        <f t="shared" si="276"/>
        <v/>
      </c>
      <c r="H593" s="5" t="str">
        <f t="shared" si="277"/>
        <v/>
      </c>
      <c r="I593" s="122" t="str">
        <f t="shared" si="278"/>
        <v/>
      </c>
      <c r="J593" s="7" t="str">
        <f t="shared" si="279"/>
        <v/>
      </c>
      <c r="K593" s="9" t="str">
        <f t="shared" si="280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275"/>
        <v/>
      </c>
      <c r="G594" s="7" t="str">
        <f t="shared" si="276"/>
        <v/>
      </c>
      <c r="H594" s="5" t="str">
        <f t="shared" si="277"/>
        <v/>
      </c>
      <c r="I594" s="122" t="str">
        <f t="shared" si="278"/>
        <v/>
      </c>
      <c r="J594" s="7" t="str">
        <f t="shared" si="279"/>
        <v/>
      </c>
      <c r="K594" s="9" t="str">
        <f t="shared" si="280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275"/>
        <v/>
      </c>
      <c r="G595" s="7" t="str">
        <f t="shared" si="276"/>
        <v/>
      </c>
      <c r="H595" s="5" t="str">
        <f t="shared" si="277"/>
        <v/>
      </c>
      <c r="I595" s="122" t="str">
        <f t="shared" si="278"/>
        <v/>
      </c>
      <c r="J595" s="7" t="str">
        <f t="shared" si="279"/>
        <v/>
      </c>
      <c r="K595" s="9" t="str">
        <f t="shared" si="280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275"/>
        <v/>
      </c>
      <c r="G596" s="7" t="str">
        <f t="shared" si="276"/>
        <v/>
      </c>
      <c r="H596" s="5" t="str">
        <f t="shared" si="277"/>
        <v/>
      </c>
      <c r="I596" s="122" t="str">
        <f t="shared" si="278"/>
        <v/>
      </c>
      <c r="J596" s="7" t="str">
        <f t="shared" si="279"/>
        <v/>
      </c>
      <c r="K596" s="9" t="str">
        <f t="shared" si="280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275"/>
        <v/>
      </c>
      <c r="G597" s="7" t="str">
        <f t="shared" si="276"/>
        <v/>
      </c>
      <c r="H597" s="5" t="str">
        <f t="shared" si="277"/>
        <v/>
      </c>
      <c r="I597" s="122" t="str">
        <f t="shared" si="278"/>
        <v/>
      </c>
      <c r="J597" s="7" t="str">
        <f t="shared" si="279"/>
        <v/>
      </c>
      <c r="K597" s="9" t="str">
        <f t="shared" si="280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275"/>
        <v/>
      </c>
      <c r="G598" s="7" t="str">
        <f t="shared" si="276"/>
        <v/>
      </c>
      <c r="H598" s="5" t="str">
        <f t="shared" si="277"/>
        <v/>
      </c>
      <c r="I598" s="122" t="str">
        <f t="shared" si="278"/>
        <v/>
      </c>
      <c r="J598" s="7" t="str">
        <f t="shared" si="279"/>
        <v/>
      </c>
      <c r="K598" s="9" t="str">
        <f t="shared" si="280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275"/>
        <v/>
      </c>
      <c r="G599" s="7" t="str">
        <f t="shared" si="276"/>
        <v/>
      </c>
      <c r="H599" s="5" t="str">
        <f t="shared" si="277"/>
        <v/>
      </c>
      <c r="I599" s="122" t="str">
        <f t="shared" si="278"/>
        <v/>
      </c>
      <c r="J599" s="7" t="str">
        <f t="shared" si="279"/>
        <v/>
      </c>
      <c r="K599" s="9" t="str">
        <f t="shared" si="280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275"/>
        <v/>
      </c>
      <c r="G600" s="7" t="str">
        <f t="shared" si="276"/>
        <v/>
      </c>
      <c r="H600" s="5" t="str">
        <f t="shared" si="277"/>
        <v/>
      </c>
      <c r="I600" s="122" t="str">
        <f t="shared" si="278"/>
        <v/>
      </c>
      <c r="J600" s="7" t="str">
        <f t="shared" si="279"/>
        <v/>
      </c>
      <c r="K600" s="9" t="str">
        <f t="shared" si="280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275"/>
        <v/>
      </c>
      <c r="G601" s="7" t="str">
        <f t="shared" si="276"/>
        <v/>
      </c>
      <c r="H601" s="5" t="str">
        <f t="shared" si="277"/>
        <v/>
      </c>
      <c r="I601" s="122" t="str">
        <f t="shared" si="278"/>
        <v/>
      </c>
      <c r="J601" s="7" t="str">
        <f t="shared" si="279"/>
        <v/>
      </c>
      <c r="K601" s="9" t="str">
        <f t="shared" si="280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275"/>
        <v/>
      </c>
      <c r="G602" s="7" t="str">
        <f t="shared" si="276"/>
        <v/>
      </c>
      <c r="H602" s="5" t="str">
        <f t="shared" si="277"/>
        <v/>
      </c>
      <c r="I602" s="122" t="str">
        <f t="shared" si="278"/>
        <v/>
      </c>
      <c r="J602" s="7" t="str">
        <f t="shared" si="279"/>
        <v/>
      </c>
      <c r="K602" s="9" t="str">
        <f t="shared" si="280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275"/>
        <v/>
      </c>
      <c r="G603" s="7" t="str">
        <f t="shared" si="276"/>
        <v/>
      </c>
      <c r="H603" s="5" t="str">
        <f t="shared" si="277"/>
        <v/>
      </c>
      <c r="I603" s="122" t="str">
        <f t="shared" si="278"/>
        <v/>
      </c>
      <c r="J603" s="7" t="str">
        <f t="shared" si="279"/>
        <v/>
      </c>
      <c r="K603" s="9" t="str">
        <f t="shared" si="280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275"/>
        <v/>
      </c>
      <c r="G604" s="7" t="str">
        <f t="shared" si="276"/>
        <v/>
      </c>
      <c r="H604" s="5" t="str">
        <f t="shared" si="277"/>
        <v/>
      </c>
      <c r="I604" s="122" t="str">
        <f t="shared" si="278"/>
        <v/>
      </c>
      <c r="J604" s="7" t="str">
        <f t="shared" si="279"/>
        <v/>
      </c>
      <c r="K604" s="9" t="str">
        <f t="shared" si="280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si="275"/>
        <v/>
      </c>
      <c r="G605" s="7" t="str">
        <f t="shared" si="276"/>
        <v/>
      </c>
      <c r="H605" s="5" t="str">
        <f t="shared" si="277"/>
        <v/>
      </c>
      <c r="I605" s="122" t="str">
        <f t="shared" si="278"/>
        <v/>
      </c>
      <c r="J605" s="7" t="str">
        <f t="shared" si="279"/>
        <v/>
      </c>
      <c r="K605" s="9" t="str">
        <f t="shared" si="280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275"/>
        <v/>
      </c>
      <c r="G606" s="7" t="str">
        <f t="shared" si="276"/>
        <v/>
      </c>
      <c r="H606" s="5" t="str">
        <f t="shared" si="277"/>
        <v/>
      </c>
      <c r="I606" s="122" t="str">
        <f t="shared" si="278"/>
        <v/>
      </c>
      <c r="J606" s="7" t="str">
        <f t="shared" si="279"/>
        <v/>
      </c>
      <c r="K606" s="9" t="str">
        <f t="shared" si="280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275"/>
        <v/>
      </c>
      <c r="G607" s="7" t="str">
        <f t="shared" si="276"/>
        <v/>
      </c>
      <c r="H607" s="5" t="str">
        <f t="shared" si="277"/>
        <v/>
      </c>
      <c r="I607" s="122" t="str">
        <f t="shared" si="278"/>
        <v/>
      </c>
      <c r="J607" s="7" t="str">
        <f t="shared" si="279"/>
        <v/>
      </c>
      <c r="K607" s="9" t="str">
        <f t="shared" si="280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275"/>
        <v/>
      </c>
      <c r="G608" s="7" t="str">
        <f t="shared" si="276"/>
        <v/>
      </c>
      <c r="H608" s="5" t="str">
        <f t="shared" si="277"/>
        <v/>
      </c>
      <c r="I608" s="122" t="str">
        <f t="shared" si="278"/>
        <v/>
      </c>
      <c r="J608" s="7" t="str">
        <f t="shared" si="279"/>
        <v/>
      </c>
      <c r="K608" s="9" t="str">
        <f t="shared" si="280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ref="F609:F632" si="281">IF(ISBLANK(B609),"",IF(I609="L","Baixa",IF(I609="A","Média",IF(I609="","","Alta"))))</f>
        <v/>
      </c>
      <c r="G609" s="7" t="str">
        <f t="shared" ref="G609:G632" si="282">CONCATENATE(B609,I609)</f>
        <v/>
      </c>
      <c r="H609" s="5" t="str">
        <f t="shared" ref="H609:H632" si="283">IF(ISBLANK(B609),"",IF(B609="ALI",IF(I609="L",7,IF(I609="A",10,15)),IF(B609="AIE",IF(I609="L",5,IF(I609="A",7,10)),IF(B609="SE",IF(I609="L",4,IF(I609="A",5,7)),IF(OR(B609="EE",B609="CE"),IF(I609="L",3,IF(I609="A",4,6)),0)))))</f>
        <v/>
      </c>
      <c r="I609" s="122" t="str">
        <f t="shared" ref="I609:I632" si="284">IF(OR(ISBLANK(D609),ISBLANK(E609)),IF(OR(B609="ALI",B609="AIE"),"L",IF(OR(B609="EE",B609="SE",B609="CE"),"A","")),IF(B609="EE",IF(E609&gt;=3,IF(D609&gt;=5,"H","A"),IF(E609&gt;=2,IF(D609&gt;=16,"H",IF(D609&lt;=4,"L","A")),IF(D609&lt;=15,"L","A"))),IF(OR(B609="SE",B609="CE"),IF(E609&gt;=4,IF(D609&gt;=6,"H","A"),IF(E609&gt;=2,IF(D609&gt;=20,"H",IF(D609&lt;=5,"L","A")),IF(D609&lt;=19,"L","A"))),IF(OR(B609="ALI",B609="AIE"),IF(E609&gt;=6,IF(D609&gt;=20,"H","A"),IF(E609&gt;=2,IF(D609&gt;=51,"H",IF(D609&lt;=19,"L","A")),IF(D609&lt;=50,"L","A"))),""))))</f>
        <v/>
      </c>
      <c r="J609" s="7" t="str">
        <f t="shared" ref="J609:J632" si="285">CONCATENATE(B609,C609)</f>
        <v/>
      </c>
      <c r="K609" s="9" t="str">
        <f t="shared" si="280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281"/>
        <v/>
      </c>
      <c r="G610" s="7" t="str">
        <f t="shared" si="282"/>
        <v/>
      </c>
      <c r="H610" s="5" t="str">
        <f t="shared" si="283"/>
        <v/>
      </c>
      <c r="I610" s="122" t="str">
        <f t="shared" si="284"/>
        <v/>
      </c>
      <c r="J610" s="7" t="str">
        <f t="shared" si="285"/>
        <v/>
      </c>
      <c r="K610" s="9" t="str">
        <f t="shared" si="280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281"/>
        <v/>
      </c>
      <c r="G611" s="7" t="str">
        <f t="shared" si="282"/>
        <v/>
      </c>
      <c r="H611" s="5" t="str">
        <f t="shared" si="283"/>
        <v/>
      </c>
      <c r="I611" s="122" t="str">
        <f t="shared" si="284"/>
        <v/>
      </c>
      <c r="J611" s="7" t="str">
        <f t="shared" si="285"/>
        <v/>
      </c>
      <c r="K611" s="9" t="str">
        <f t="shared" ref="K611:K632" si="286">IF(OR(H611="",H611=0),L611,H611)</f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281"/>
        <v/>
      </c>
      <c r="G612" s="7" t="str">
        <f t="shared" si="282"/>
        <v/>
      </c>
      <c r="H612" s="5" t="str">
        <f t="shared" si="283"/>
        <v/>
      </c>
      <c r="I612" s="122" t="str">
        <f t="shared" si="284"/>
        <v/>
      </c>
      <c r="J612" s="7" t="str">
        <f t="shared" si="285"/>
        <v/>
      </c>
      <c r="K612" s="9" t="str">
        <f t="shared" si="286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281"/>
        <v/>
      </c>
      <c r="G613" s="7" t="str">
        <f t="shared" si="282"/>
        <v/>
      </c>
      <c r="H613" s="5" t="str">
        <f t="shared" si="283"/>
        <v/>
      </c>
      <c r="I613" s="122" t="str">
        <f t="shared" si="284"/>
        <v/>
      </c>
      <c r="J613" s="7" t="str">
        <f t="shared" si="285"/>
        <v/>
      </c>
      <c r="K613" s="9" t="str">
        <f t="shared" si="286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281"/>
        <v/>
      </c>
      <c r="G614" s="7" t="str">
        <f t="shared" si="282"/>
        <v/>
      </c>
      <c r="H614" s="5" t="str">
        <f t="shared" si="283"/>
        <v/>
      </c>
      <c r="I614" s="122" t="str">
        <f t="shared" si="284"/>
        <v/>
      </c>
      <c r="J614" s="7" t="str">
        <f t="shared" si="285"/>
        <v/>
      </c>
      <c r="K614" s="9" t="str">
        <f t="shared" si="286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281"/>
        <v/>
      </c>
      <c r="G615" s="7" t="str">
        <f t="shared" si="282"/>
        <v/>
      </c>
      <c r="H615" s="5" t="str">
        <f t="shared" si="283"/>
        <v/>
      </c>
      <c r="I615" s="122" t="str">
        <f t="shared" si="284"/>
        <v/>
      </c>
      <c r="J615" s="7" t="str">
        <f t="shared" si="285"/>
        <v/>
      </c>
      <c r="K615" s="9" t="str">
        <f t="shared" si="286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281"/>
        <v/>
      </c>
      <c r="G616" s="7" t="str">
        <f t="shared" si="282"/>
        <v/>
      </c>
      <c r="H616" s="5" t="str">
        <f t="shared" si="283"/>
        <v/>
      </c>
      <c r="I616" s="122" t="str">
        <f t="shared" si="284"/>
        <v/>
      </c>
      <c r="J616" s="7" t="str">
        <f t="shared" si="285"/>
        <v/>
      </c>
      <c r="K616" s="9" t="str">
        <f t="shared" si="286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281"/>
        <v/>
      </c>
      <c r="G617" s="7" t="str">
        <f t="shared" si="282"/>
        <v/>
      </c>
      <c r="H617" s="5" t="str">
        <f t="shared" si="283"/>
        <v/>
      </c>
      <c r="I617" s="122" t="str">
        <f t="shared" si="284"/>
        <v/>
      </c>
      <c r="J617" s="7" t="str">
        <f t="shared" si="285"/>
        <v/>
      </c>
      <c r="K617" s="9" t="str">
        <f t="shared" si="286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281"/>
        <v/>
      </c>
      <c r="G618" s="7" t="str">
        <f t="shared" si="282"/>
        <v/>
      </c>
      <c r="H618" s="5" t="str">
        <f t="shared" si="283"/>
        <v/>
      </c>
      <c r="I618" s="122" t="str">
        <f t="shared" si="284"/>
        <v/>
      </c>
      <c r="J618" s="7" t="str">
        <f t="shared" si="285"/>
        <v/>
      </c>
      <c r="K618" s="9" t="str">
        <f t="shared" si="286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281"/>
        <v/>
      </c>
      <c r="G619" s="7" t="str">
        <f t="shared" si="282"/>
        <v/>
      </c>
      <c r="H619" s="5" t="str">
        <f t="shared" si="283"/>
        <v/>
      </c>
      <c r="I619" s="122" t="str">
        <f t="shared" si="284"/>
        <v/>
      </c>
      <c r="J619" s="7" t="str">
        <f t="shared" si="285"/>
        <v/>
      </c>
      <c r="K619" s="9" t="str">
        <f t="shared" si="286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281"/>
        <v/>
      </c>
      <c r="G620" s="7" t="str">
        <f t="shared" si="282"/>
        <v/>
      </c>
      <c r="H620" s="5" t="str">
        <f t="shared" si="283"/>
        <v/>
      </c>
      <c r="I620" s="122" t="str">
        <f t="shared" si="284"/>
        <v/>
      </c>
      <c r="J620" s="7" t="str">
        <f t="shared" si="285"/>
        <v/>
      </c>
      <c r="K620" s="9" t="str">
        <f t="shared" si="286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281"/>
        <v/>
      </c>
      <c r="G621" s="7" t="str">
        <f t="shared" si="282"/>
        <v/>
      </c>
      <c r="H621" s="5" t="str">
        <f t="shared" si="283"/>
        <v/>
      </c>
      <c r="I621" s="122" t="str">
        <f t="shared" si="284"/>
        <v/>
      </c>
      <c r="J621" s="7" t="str">
        <f t="shared" si="285"/>
        <v/>
      </c>
      <c r="K621" s="9" t="str">
        <f t="shared" si="286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281"/>
        <v/>
      </c>
      <c r="G622" s="7" t="str">
        <f t="shared" si="282"/>
        <v/>
      </c>
      <c r="H622" s="5" t="str">
        <f t="shared" si="283"/>
        <v/>
      </c>
      <c r="I622" s="122" t="str">
        <f t="shared" si="284"/>
        <v/>
      </c>
      <c r="J622" s="7" t="str">
        <f t="shared" si="285"/>
        <v/>
      </c>
      <c r="K622" s="9" t="str">
        <f t="shared" si="286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281"/>
        <v/>
      </c>
      <c r="G623" s="7" t="str">
        <f t="shared" si="282"/>
        <v/>
      </c>
      <c r="H623" s="5" t="str">
        <f t="shared" si="283"/>
        <v/>
      </c>
      <c r="I623" s="122" t="str">
        <f t="shared" si="284"/>
        <v/>
      </c>
      <c r="J623" s="7" t="str">
        <f t="shared" si="285"/>
        <v/>
      </c>
      <c r="K623" s="9" t="str">
        <f t="shared" si="286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281"/>
        <v/>
      </c>
      <c r="G624" s="7" t="str">
        <f t="shared" si="282"/>
        <v/>
      </c>
      <c r="H624" s="5" t="str">
        <f t="shared" si="283"/>
        <v/>
      </c>
      <c r="I624" s="122" t="str">
        <f t="shared" si="284"/>
        <v/>
      </c>
      <c r="J624" s="7" t="str">
        <f t="shared" si="285"/>
        <v/>
      </c>
      <c r="K624" s="9" t="str">
        <f t="shared" si="286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281"/>
        <v/>
      </c>
      <c r="G625" s="7" t="str">
        <f t="shared" si="282"/>
        <v/>
      </c>
      <c r="H625" s="5" t="str">
        <f t="shared" si="283"/>
        <v/>
      </c>
      <c r="I625" s="122" t="str">
        <f t="shared" si="284"/>
        <v/>
      </c>
      <c r="J625" s="7" t="str">
        <f t="shared" si="285"/>
        <v/>
      </c>
      <c r="K625" s="9" t="str">
        <f t="shared" si="286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281"/>
        <v/>
      </c>
      <c r="G626" s="7" t="str">
        <f t="shared" si="282"/>
        <v/>
      </c>
      <c r="H626" s="5" t="str">
        <f t="shared" si="283"/>
        <v/>
      </c>
      <c r="I626" s="122" t="str">
        <f t="shared" si="284"/>
        <v/>
      </c>
      <c r="J626" s="7" t="str">
        <f t="shared" si="285"/>
        <v/>
      </c>
      <c r="K626" s="9" t="str">
        <f t="shared" si="286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281"/>
        <v/>
      </c>
      <c r="G627" s="7" t="str">
        <f t="shared" si="282"/>
        <v/>
      </c>
      <c r="H627" s="5" t="str">
        <f t="shared" si="283"/>
        <v/>
      </c>
      <c r="I627" s="122" t="str">
        <f t="shared" si="284"/>
        <v/>
      </c>
      <c r="J627" s="7" t="str">
        <f t="shared" si="285"/>
        <v/>
      </c>
      <c r="K627" s="9" t="str">
        <f t="shared" si="286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">
      <c r="A628" s="126"/>
      <c r="B628" s="4"/>
      <c r="C628" s="4"/>
      <c r="D628" s="7"/>
      <c r="E628" s="7"/>
      <c r="F628" s="8" t="str">
        <f t="shared" si="281"/>
        <v/>
      </c>
      <c r="G628" s="7" t="str">
        <f t="shared" si="282"/>
        <v/>
      </c>
      <c r="H628" s="5" t="str">
        <f t="shared" si="283"/>
        <v/>
      </c>
      <c r="I628" s="122" t="str">
        <f t="shared" si="284"/>
        <v/>
      </c>
      <c r="J628" s="7" t="str">
        <f t="shared" si="285"/>
        <v/>
      </c>
      <c r="K628" s="9" t="str">
        <f t="shared" si="286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">
      <c r="A629" s="126"/>
      <c r="B629" s="4"/>
      <c r="C629" s="4"/>
      <c r="D629" s="7"/>
      <c r="E629" s="7"/>
      <c r="F629" s="8" t="str">
        <f t="shared" si="281"/>
        <v/>
      </c>
      <c r="G629" s="7" t="str">
        <f t="shared" si="282"/>
        <v/>
      </c>
      <c r="H629" s="5" t="str">
        <f t="shared" si="283"/>
        <v/>
      </c>
      <c r="I629" s="122" t="str">
        <f t="shared" si="284"/>
        <v/>
      </c>
      <c r="J629" s="7" t="str">
        <f t="shared" si="285"/>
        <v/>
      </c>
      <c r="K629" s="9" t="str">
        <f t="shared" si="286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">
      <c r="A630" s="126"/>
      <c r="B630" s="4"/>
      <c r="C630" s="4"/>
      <c r="D630" s="7"/>
      <c r="E630" s="7"/>
      <c r="F630" s="8" t="str">
        <f t="shared" si="281"/>
        <v/>
      </c>
      <c r="G630" s="7" t="str">
        <f t="shared" si="282"/>
        <v/>
      </c>
      <c r="H630" s="5" t="str">
        <f t="shared" si="283"/>
        <v/>
      </c>
      <c r="I630" s="122" t="str">
        <f t="shared" si="284"/>
        <v/>
      </c>
      <c r="J630" s="7" t="str">
        <f t="shared" si="285"/>
        <v/>
      </c>
      <c r="K630" s="9" t="str">
        <f t="shared" si="286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">
      <c r="A631" s="126"/>
      <c r="B631" s="4"/>
      <c r="C631" s="4"/>
      <c r="D631" s="7"/>
      <c r="E631" s="7"/>
      <c r="F631" s="8" t="str">
        <f t="shared" si="281"/>
        <v/>
      </c>
      <c r="G631" s="7" t="str">
        <f t="shared" si="282"/>
        <v/>
      </c>
      <c r="H631" s="5" t="str">
        <f t="shared" si="283"/>
        <v/>
      </c>
      <c r="I631" s="122" t="str">
        <f t="shared" si="284"/>
        <v/>
      </c>
      <c r="J631" s="7" t="str">
        <f t="shared" si="285"/>
        <v/>
      </c>
      <c r="K631" s="9" t="str">
        <f t="shared" si="286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ht="13.5" thickBot="1" x14ac:dyDescent="0.25">
      <c r="A632" s="127"/>
      <c r="B632" s="11"/>
      <c r="C632" s="11"/>
      <c r="D632" s="12"/>
      <c r="E632" s="12"/>
      <c r="F632" s="13" t="str">
        <f t="shared" si="281"/>
        <v/>
      </c>
      <c r="G632" s="14" t="str">
        <f t="shared" si="282"/>
        <v/>
      </c>
      <c r="H632" s="15" t="str">
        <f t="shared" si="283"/>
        <v/>
      </c>
      <c r="I632" s="123" t="str">
        <f t="shared" si="284"/>
        <v/>
      </c>
      <c r="J632" s="124" t="str">
        <f t="shared" si="285"/>
        <v/>
      </c>
      <c r="K632" s="16" t="str">
        <f t="shared" si="286"/>
        <v/>
      </c>
      <c r="L632" s="16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7"/>
      <c r="N632" s="17"/>
      <c r="O632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46:C151 C96:C101 C108:C143 C225:C632 C160:C194 C207:C223 C32:C56 C73:C81 C88:C92">
    <cfRule type="cellIs" dxfId="98" priority="643" stopIfTrue="1" operator="equal">
      <formula>"I"</formula>
    </cfRule>
    <cfRule type="cellIs" dxfId="97" priority="644" stopIfTrue="1" operator="equal">
      <formula>"A"</formula>
    </cfRule>
    <cfRule type="cellIs" dxfId="96" priority="645" stopIfTrue="1" operator="equal">
      <formula>"E"</formula>
    </cfRule>
  </conditionalFormatting>
  <conditionalFormatting sqref="C152 C154:C159">
    <cfRule type="cellIs" dxfId="95" priority="550" stopIfTrue="1" operator="equal">
      <formula>"I"</formula>
    </cfRule>
    <cfRule type="cellIs" dxfId="94" priority="551" stopIfTrue="1" operator="equal">
      <formula>"A"</formula>
    </cfRule>
    <cfRule type="cellIs" dxfId="93" priority="552" stopIfTrue="1" operator="equal">
      <formula>"E"</formula>
    </cfRule>
  </conditionalFormatting>
  <conditionalFormatting sqref="C144:C145">
    <cfRule type="cellIs" dxfId="92" priority="556" stopIfTrue="1" operator="equal">
      <formula>"I"</formula>
    </cfRule>
    <cfRule type="cellIs" dxfId="91" priority="557" stopIfTrue="1" operator="equal">
      <formula>"A"</formula>
    </cfRule>
    <cfRule type="cellIs" dxfId="90" priority="558" stopIfTrue="1" operator="equal">
      <formula>"E"</formula>
    </cfRule>
  </conditionalFormatting>
  <conditionalFormatting sqref="C198">
    <cfRule type="cellIs" dxfId="89" priority="541" stopIfTrue="1" operator="equal">
      <formula>"I"</formula>
    </cfRule>
    <cfRule type="cellIs" dxfId="88" priority="542" stopIfTrue="1" operator="equal">
      <formula>"A"</formula>
    </cfRule>
    <cfRule type="cellIs" dxfId="87" priority="543" stopIfTrue="1" operator="equal">
      <formula>"E"</formula>
    </cfRule>
  </conditionalFormatting>
  <conditionalFormatting sqref="C196:C197 C200:C206">
    <cfRule type="cellIs" dxfId="86" priority="544" stopIfTrue="1" operator="equal">
      <formula>"I"</formula>
    </cfRule>
    <cfRule type="cellIs" dxfId="85" priority="545" stopIfTrue="1" operator="equal">
      <formula>"A"</formula>
    </cfRule>
    <cfRule type="cellIs" dxfId="84" priority="546" stopIfTrue="1" operator="equal">
      <formula>"E"</formula>
    </cfRule>
  </conditionalFormatting>
  <conditionalFormatting sqref="C199">
    <cfRule type="cellIs" dxfId="83" priority="538" stopIfTrue="1" operator="equal">
      <formula>"I"</formula>
    </cfRule>
    <cfRule type="cellIs" dxfId="82" priority="539" stopIfTrue="1" operator="equal">
      <formula>"A"</formula>
    </cfRule>
    <cfRule type="cellIs" dxfId="81" priority="540" stopIfTrue="1" operator="equal">
      <formula>"E"</formula>
    </cfRule>
  </conditionalFormatting>
  <conditionalFormatting sqref="C26">
    <cfRule type="cellIs" dxfId="80" priority="424" stopIfTrue="1" operator="equal">
      <formula>"I"</formula>
    </cfRule>
    <cfRule type="cellIs" dxfId="79" priority="425" stopIfTrue="1" operator="equal">
      <formula>"A"</formula>
    </cfRule>
    <cfRule type="cellIs" dxfId="78" priority="426" stopIfTrue="1" operator="equal">
      <formula>"E"</formula>
    </cfRule>
  </conditionalFormatting>
  <conditionalFormatting sqref="C153">
    <cfRule type="cellIs" dxfId="77" priority="469" stopIfTrue="1" operator="equal">
      <formula>"I"</formula>
    </cfRule>
    <cfRule type="cellIs" dxfId="76" priority="470" stopIfTrue="1" operator="equal">
      <formula>"A"</formula>
    </cfRule>
    <cfRule type="cellIs" dxfId="75" priority="471" stopIfTrue="1" operator="equal">
      <formula>"E"</formula>
    </cfRule>
  </conditionalFormatting>
  <conditionalFormatting sqref="C25">
    <cfRule type="cellIs" dxfId="74" priority="454" stopIfTrue="1" operator="equal">
      <formula>"I"</formula>
    </cfRule>
    <cfRule type="cellIs" dxfId="73" priority="455" stopIfTrue="1" operator="equal">
      <formula>"A"</formula>
    </cfRule>
    <cfRule type="cellIs" dxfId="72" priority="456" stopIfTrue="1" operator="equal">
      <formula>"E"</formula>
    </cfRule>
  </conditionalFormatting>
  <conditionalFormatting sqref="C107">
    <cfRule type="cellIs" dxfId="71" priority="400" stopIfTrue="1" operator="equal">
      <formula>"I"</formula>
    </cfRule>
    <cfRule type="cellIs" dxfId="70" priority="401" stopIfTrue="1" operator="equal">
      <formula>"A"</formula>
    </cfRule>
    <cfRule type="cellIs" dxfId="69" priority="402" stopIfTrue="1" operator="equal">
      <formula>"E"</formula>
    </cfRule>
  </conditionalFormatting>
  <conditionalFormatting sqref="C10:C24">
    <cfRule type="cellIs" dxfId="62" priority="289" stopIfTrue="1" operator="equal">
      <formula>"I"</formula>
    </cfRule>
    <cfRule type="cellIs" dxfId="61" priority="290" stopIfTrue="1" operator="equal">
      <formula>"A"</formula>
    </cfRule>
    <cfRule type="cellIs" dxfId="60" priority="291" stopIfTrue="1" operator="equal">
      <formula>"E"</formula>
    </cfRule>
  </conditionalFormatting>
  <conditionalFormatting sqref="C57:C72">
    <cfRule type="cellIs" dxfId="59" priority="286" stopIfTrue="1" operator="equal">
      <formula>"I"</formula>
    </cfRule>
    <cfRule type="cellIs" dxfId="58" priority="287" stopIfTrue="1" operator="equal">
      <formula>"A"</formula>
    </cfRule>
    <cfRule type="cellIs" dxfId="57" priority="288" stopIfTrue="1" operator="equal">
      <formula>"E"</formula>
    </cfRule>
  </conditionalFormatting>
  <conditionalFormatting sqref="C82">
    <cfRule type="cellIs" dxfId="56" priority="241" stopIfTrue="1" operator="equal">
      <formula>"I"</formula>
    </cfRule>
    <cfRule type="cellIs" dxfId="55" priority="242" stopIfTrue="1" operator="equal">
      <formula>"A"</formula>
    </cfRule>
    <cfRule type="cellIs" dxfId="54" priority="243" stopIfTrue="1" operator="equal">
      <formula>"E"</formula>
    </cfRule>
  </conditionalFormatting>
  <conditionalFormatting sqref="C94">
    <cfRule type="cellIs" dxfId="53" priority="232" stopIfTrue="1" operator="equal">
      <formula>"I"</formula>
    </cfRule>
    <cfRule type="cellIs" dxfId="52" priority="233" stopIfTrue="1" operator="equal">
      <formula>"A"</formula>
    </cfRule>
    <cfRule type="cellIs" dxfId="51" priority="234" stopIfTrue="1" operator="equal">
      <formula>"E"</formula>
    </cfRule>
  </conditionalFormatting>
  <conditionalFormatting sqref="C93">
    <cfRule type="cellIs" dxfId="50" priority="226" stopIfTrue="1" operator="equal">
      <formula>"I"</formula>
    </cfRule>
    <cfRule type="cellIs" dxfId="49" priority="227" stopIfTrue="1" operator="equal">
      <formula>"A"</formula>
    </cfRule>
    <cfRule type="cellIs" dxfId="48" priority="228" stopIfTrue="1" operator="equal">
      <formula>"E"</formula>
    </cfRule>
  </conditionalFormatting>
  <conditionalFormatting sqref="C83">
    <cfRule type="cellIs" dxfId="47" priority="229" stopIfTrue="1" operator="equal">
      <formula>"I"</formula>
    </cfRule>
    <cfRule type="cellIs" dxfId="46" priority="230" stopIfTrue="1" operator="equal">
      <formula>"A"</formula>
    </cfRule>
    <cfRule type="cellIs" dxfId="45" priority="231" stopIfTrue="1" operator="equal">
      <formula>"E"</formula>
    </cfRule>
  </conditionalFormatting>
  <conditionalFormatting sqref="C102:C106">
    <cfRule type="cellIs" dxfId="41" priority="160" stopIfTrue="1" operator="equal">
      <formula>"I"</formula>
    </cfRule>
    <cfRule type="cellIs" dxfId="40" priority="161" stopIfTrue="1" operator="equal">
      <formula>"A"</formula>
    </cfRule>
    <cfRule type="cellIs" dxfId="39" priority="162" stopIfTrue="1" operator="equal">
      <formula>"E"</formula>
    </cfRule>
  </conditionalFormatting>
  <conditionalFormatting sqref="C95">
    <cfRule type="cellIs" dxfId="38" priority="211" stopIfTrue="1" operator="equal">
      <formula>"I"</formula>
    </cfRule>
    <cfRule type="cellIs" dxfId="37" priority="212" stopIfTrue="1" operator="equal">
      <formula>"A"</formula>
    </cfRule>
    <cfRule type="cellIs" dxfId="36" priority="213" stopIfTrue="1" operator="equal">
      <formula>"E"</formula>
    </cfRule>
  </conditionalFormatting>
  <conditionalFormatting sqref="C224">
    <cfRule type="cellIs" dxfId="35" priority="115" stopIfTrue="1" operator="equal">
      <formula>"I"</formula>
    </cfRule>
    <cfRule type="cellIs" dxfId="34" priority="116" stopIfTrue="1" operator="equal">
      <formula>"A"</formula>
    </cfRule>
    <cfRule type="cellIs" dxfId="33" priority="117" stopIfTrue="1" operator="equal">
      <formula>"E"</formula>
    </cfRule>
  </conditionalFormatting>
  <conditionalFormatting sqref="C195">
    <cfRule type="cellIs" dxfId="32" priority="76" stopIfTrue="1" operator="equal">
      <formula>"I"</formula>
    </cfRule>
    <cfRule type="cellIs" dxfId="31" priority="77" stopIfTrue="1" operator="equal">
      <formula>"A"</formula>
    </cfRule>
    <cfRule type="cellIs" dxfId="30" priority="78" stopIfTrue="1" operator="equal">
      <formula>"E"</formula>
    </cfRule>
  </conditionalFormatting>
  <conditionalFormatting sqref="C27:C31">
    <cfRule type="cellIs" dxfId="29" priority="31" stopIfTrue="1" operator="equal">
      <formula>"I"</formula>
    </cfRule>
    <cfRule type="cellIs" dxfId="28" priority="32" stopIfTrue="1" operator="equal">
      <formula>"A"</formula>
    </cfRule>
    <cfRule type="cellIs" dxfId="27" priority="33" stopIfTrue="1" operator="equal">
      <formula>"E"</formula>
    </cfRule>
  </conditionalFormatting>
  <conditionalFormatting sqref="C84:C87">
    <cfRule type="cellIs" dxfId="26" priority="19" stopIfTrue="1" operator="equal">
      <formula>"I"</formula>
    </cfRule>
    <cfRule type="cellIs" dxfId="25" priority="20" stopIfTrue="1" operator="equal">
      <formula>"A"</formula>
    </cfRule>
    <cfRule type="cellIs" dxfId="24" priority="21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632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632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1" firstPageNumber="0" fitToHeight="0" orientation="landscape" horizontalDpi="300" verticalDpi="300" r:id="rId1"/>
  <headerFooter alignWithMargins="0">
    <oddFooter>&amp;CPágina &amp;P de &amp;N</oddFooter>
  </headerFooter>
  <rowBreaks count="2" manualBreakCount="2">
    <brk id="60" max="14" man="1"/>
    <brk id="90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Normal="100" zoomScaleSheetLayoutView="100" workbookViewId="0">
      <pane ySplit="1" topLeftCell="A2" activePane="bottomLeft" state="frozen"/>
      <selection activeCell="B11" sqref="B11"/>
      <selection pane="bottomLeft" activeCell="F30" sqref="F30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42" t="s">
        <v>30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22"/>
    </row>
    <row r="2" spans="1:12" ht="14.85" customHeight="1" x14ac:dyDescent="0.2">
      <c r="A2" s="158" t="s">
        <v>31</v>
      </c>
      <c r="B2" s="158"/>
      <c r="C2" s="158"/>
      <c r="D2" s="158"/>
      <c r="E2" s="158"/>
      <c r="F2" s="158"/>
      <c r="G2" s="156" t="s">
        <v>32</v>
      </c>
      <c r="H2" s="156" t="s">
        <v>33</v>
      </c>
      <c r="I2" s="156"/>
      <c r="J2" s="156" t="s">
        <v>2</v>
      </c>
      <c r="K2" s="157" t="s">
        <v>34</v>
      </c>
    </row>
    <row r="3" spans="1:12" ht="14.85" customHeight="1" x14ac:dyDescent="0.2">
      <c r="A3" s="23" t="s">
        <v>35</v>
      </c>
      <c r="B3" s="156" t="s">
        <v>36</v>
      </c>
      <c r="C3" s="156"/>
      <c r="D3" s="156"/>
      <c r="E3" s="156"/>
      <c r="F3" s="24" t="s">
        <v>28</v>
      </c>
      <c r="G3" s="156"/>
      <c r="H3" s="24" t="s">
        <v>37</v>
      </c>
      <c r="I3" s="24" t="s">
        <v>38</v>
      </c>
      <c r="J3" s="156"/>
      <c r="K3" s="157"/>
    </row>
    <row r="4" spans="1:12" x14ac:dyDescent="0.2">
      <c r="A4" s="3" t="s">
        <v>39</v>
      </c>
      <c r="B4" s="139" t="s">
        <v>40</v>
      </c>
      <c r="C4" s="139"/>
      <c r="D4" s="139"/>
      <c r="E4" s="139"/>
      <c r="F4" s="2"/>
      <c r="G4" s="25" t="s">
        <v>41</v>
      </c>
      <c r="H4" s="104">
        <v>1</v>
      </c>
      <c r="I4" s="105"/>
      <c r="J4" s="106">
        <f>SUMIF(Funções!$C$8:$C$632,Deflatores!G4,Funções!$H$8:$H$632)</f>
        <v>281</v>
      </c>
      <c r="K4" s="107">
        <f>IF(H4="",COUNTIF(Funções!C$8:C$632,G4)*I4,H4*J4)</f>
        <v>281</v>
      </c>
    </row>
    <row r="5" spans="1:12" x14ac:dyDescent="0.2">
      <c r="A5" s="3" t="s">
        <v>42</v>
      </c>
      <c r="B5" s="139" t="s">
        <v>43</v>
      </c>
      <c r="C5" s="139"/>
      <c r="D5" s="139"/>
      <c r="E5" s="139"/>
      <c r="F5" s="2" t="s">
        <v>48</v>
      </c>
      <c r="G5" s="25" t="s">
        <v>44</v>
      </c>
      <c r="H5" s="104">
        <v>0.5</v>
      </c>
      <c r="I5" s="105"/>
      <c r="J5" s="106">
        <f>SUMIF(Funções!$C$8:$C$632,Deflatores!G5,Funções!$H$8:$H$632)</f>
        <v>0</v>
      </c>
      <c r="K5" s="107">
        <f>IF(H5="",COUNTIF(Funções!C$8:C$632,G5)*I5,H5*J5)</f>
        <v>0</v>
      </c>
    </row>
    <row r="6" spans="1:12" x14ac:dyDescent="0.2">
      <c r="A6" s="3" t="s">
        <v>45</v>
      </c>
      <c r="B6" s="139" t="s">
        <v>46</v>
      </c>
      <c r="C6" s="139"/>
      <c r="D6" s="139"/>
      <c r="E6" s="139"/>
      <c r="F6" s="2" t="s">
        <v>48</v>
      </c>
      <c r="G6" s="25" t="s">
        <v>47</v>
      </c>
      <c r="H6" s="104">
        <v>0.4</v>
      </c>
      <c r="I6" s="105"/>
      <c r="J6" s="106">
        <f>SUMIF(Funções!$C$8:$C$632,Deflatores!G6,Funções!$H$8:$H$632)</f>
        <v>0</v>
      </c>
      <c r="K6" s="107">
        <f>IF(H6="",COUNTIF(Funções!C$8:C$632,G6)*I6,H6*J6)</f>
        <v>0</v>
      </c>
    </row>
    <row r="7" spans="1:12" x14ac:dyDescent="0.2">
      <c r="A7" s="3"/>
      <c r="B7" s="139" t="s">
        <v>150</v>
      </c>
      <c r="C7" s="139"/>
      <c r="D7" s="139"/>
      <c r="E7" s="139"/>
      <c r="F7" s="2" t="s">
        <v>48</v>
      </c>
      <c r="G7" s="25" t="s">
        <v>49</v>
      </c>
      <c r="H7" s="104">
        <v>0.5</v>
      </c>
      <c r="I7" s="105"/>
      <c r="J7" s="106">
        <f>SUMIF(Funções!$C$8:$C$632,Deflatores!G7,Funções!$H$8:$H$632)</f>
        <v>0</v>
      </c>
      <c r="K7" s="107">
        <f>IF(H7="",COUNTIF(Funções!C$8:C$632,G7)*I7,H7*J7)</f>
        <v>0</v>
      </c>
    </row>
    <row r="8" spans="1:12" x14ac:dyDescent="0.2">
      <c r="A8" s="3"/>
      <c r="B8" s="139" t="s">
        <v>151</v>
      </c>
      <c r="C8" s="139"/>
      <c r="D8" s="139"/>
      <c r="E8" s="139"/>
      <c r="F8" s="2" t="s">
        <v>48</v>
      </c>
      <c r="G8" s="25" t="s">
        <v>50</v>
      </c>
      <c r="H8" s="104">
        <v>0.75</v>
      </c>
      <c r="I8" s="105"/>
      <c r="J8" s="106">
        <f>SUMIF(Funções!$C$8:$C$632,Deflatores!G8,Funções!$H$8:$H$632)</f>
        <v>0</v>
      </c>
      <c r="K8" s="107">
        <f>IF(H8="",COUNTIF(Funções!C$8:C$632,G8)*I8,H8*J8)</f>
        <v>0</v>
      </c>
    </row>
    <row r="9" spans="1:12" x14ac:dyDescent="0.2">
      <c r="A9" s="3"/>
      <c r="B9" s="139" t="s">
        <v>152</v>
      </c>
      <c r="C9" s="139"/>
      <c r="D9" s="139"/>
      <c r="E9" s="139"/>
      <c r="F9" s="2" t="s">
        <v>48</v>
      </c>
      <c r="G9" s="25" t="s">
        <v>51</v>
      </c>
      <c r="H9" s="104">
        <v>0.9</v>
      </c>
      <c r="I9" s="105"/>
      <c r="J9" s="106">
        <f>SUMIF(Funções!$C$8:$C$632,Deflatores!G9,Funções!$H$8:$H$632)</f>
        <v>0</v>
      </c>
      <c r="K9" s="107">
        <f>IF(H9="",COUNTIF(Funções!C$8:C$632,G9)*I9,H9*J9)</f>
        <v>0</v>
      </c>
    </row>
    <row r="10" spans="1:12" x14ac:dyDescent="0.2">
      <c r="A10" s="3"/>
      <c r="B10" s="139" t="s">
        <v>52</v>
      </c>
      <c r="C10" s="139"/>
      <c r="D10" s="139"/>
      <c r="E10" s="139"/>
      <c r="F10" s="2" t="s">
        <v>53</v>
      </c>
      <c r="G10" s="25" t="s">
        <v>54</v>
      </c>
      <c r="H10" s="104">
        <v>1</v>
      </c>
      <c r="I10" s="105"/>
      <c r="J10" s="106">
        <f>SUMIF(Funções!$C$8:$C$632,Deflatores!G10,Funções!$H$8:$H$632)</f>
        <v>0</v>
      </c>
      <c r="K10" s="107">
        <f>IF(H10="",COUNTIF(Funções!C$8:C$632,G10)*I10,H10*J10)</f>
        <v>0</v>
      </c>
    </row>
    <row r="11" spans="1:12" x14ac:dyDescent="0.2">
      <c r="A11" s="3"/>
      <c r="B11" s="139" t="s">
        <v>55</v>
      </c>
      <c r="C11" s="139"/>
      <c r="D11" s="139"/>
      <c r="E11" s="139"/>
      <c r="F11" s="2" t="s">
        <v>56</v>
      </c>
      <c r="G11" s="25" t="s">
        <v>57</v>
      </c>
      <c r="H11" s="104">
        <v>0.5</v>
      </c>
      <c r="I11" s="105"/>
      <c r="J11" s="106">
        <f>SUMIF(Funções!$C$8:$C$632,Deflatores!G11,Funções!$H$8:$H$632)</f>
        <v>0</v>
      </c>
      <c r="K11" s="107">
        <f>IF(H11="",COUNTIF(Funções!C$8:C$632,G11)*I11,H11*J11)</f>
        <v>0</v>
      </c>
    </row>
    <row r="12" spans="1:12" ht="13.5" customHeight="1" x14ac:dyDescent="0.2">
      <c r="A12" s="3"/>
      <c r="B12" s="139" t="s">
        <v>146</v>
      </c>
      <c r="C12" s="139"/>
      <c r="D12" s="139"/>
      <c r="E12" s="139"/>
      <c r="F12" s="2" t="s">
        <v>56</v>
      </c>
      <c r="G12" s="25" t="s">
        <v>58</v>
      </c>
      <c r="H12" s="104">
        <v>0.5</v>
      </c>
      <c r="I12" s="105"/>
      <c r="J12" s="106">
        <f>SUMIF(Funções!$C$8:$C$632,Deflatores!G12,Funções!$H$8:$H$632)</f>
        <v>0</v>
      </c>
      <c r="K12" s="107">
        <f>IF(H12="",COUNTIF(Funções!C$8:C$632,G12)*I12,H12*J12)</f>
        <v>0</v>
      </c>
    </row>
    <row r="13" spans="1:12" ht="13.5" customHeight="1" x14ac:dyDescent="0.2">
      <c r="A13" s="3"/>
      <c r="B13" s="139" t="s">
        <v>147</v>
      </c>
      <c r="C13" s="139"/>
      <c r="D13" s="139"/>
      <c r="E13" s="139"/>
      <c r="F13" s="2" t="s">
        <v>56</v>
      </c>
      <c r="G13" s="25" t="s">
        <v>59</v>
      </c>
      <c r="H13" s="104">
        <v>0.75</v>
      </c>
      <c r="I13" s="105"/>
      <c r="J13" s="106">
        <f>SUMIF(Funções!$C$8:$C$632,Deflatores!G13,Funções!$H$8:$H$632)</f>
        <v>0</v>
      </c>
      <c r="K13" s="107">
        <f>IF(H13="",COUNTIF(Funções!C$8:C$632,G13)*I13,H13*J13)</f>
        <v>0</v>
      </c>
    </row>
    <row r="14" spans="1:12" ht="13.5" customHeight="1" x14ac:dyDescent="0.2">
      <c r="A14" s="3"/>
      <c r="B14" s="139" t="s">
        <v>148</v>
      </c>
      <c r="C14" s="139"/>
      <c r="D14" s="139"/>
      <c r="E14" s="139"/>
      <c r="F14" s="2" t="s">
        <v>56</v>
      </c>
      <c r="G14" s="25" t="s">
        <v>149</v>
      </c>
      <c r="H14" s="104">
        <v>0.9</v>
      </c>
      <c r="I14" s="105"/>
      <c r="J14" s="106">
        <f>SUMIF(Funções!$C$8:$C$632,Deflatores!G14,Funções!$H$8:$H$632)</f>
        <v>0</v>
      </c>
      <c r="K14" s="107">
        <f>IF(H14="",COUNTIF(Funções!C$8:C$632,G14)*I14,H14*J14)</f>
        <v>0</v>
      </c>
    </row>
    <row r="15" spans="1:12" ht="13.5" customHeight="1" x14ac:dyDescent="0.2">
      <c r="A15" s="3"/>
      <c r="B15" s="139" t="s">
        <v>60</v>
      </c>
      <c r="C15" s="139"/>
      <c r="D15" s="139"/>
      <c r="E15" s="139"/>
      <c r="F15" s="2" t="s">
        <v>56</v>
      </c>
      <c r="G15" s="25" t="s">
        <v>61</v>
      </c>
      <c r="H15" s="104">
        <v>0</v>
      </c>
      <c r="I15" s="105"/>
      <c r="J15" s="106">
        <f>SUMIF(Funções!$C$8:$C$632,Deflatores!G15,Funções!$H$8:$H$632)</f>
        <v>0</v>
      </c>
      <c r="K15" s="107">
        <f>IF(H15="",COUNTIF(Funções!C$8:C$632,G15)*I15,H15*J15)</f>
        <v>0</v>
      </c>
    </row>
    <row r="16" spans="1:12" ht="13.5" customHeight="1" x14ac:dyDescent="0.2">
      <c r="A16" s="3"/>
      <c r="B16" s="139" t="s">
        <v>62</v>
      </c>
      <c r="C16" s="139"/>
      <c r="D16" s="139"/>
      <c r="E16" s="139"/>
      <c r="F16" s="2" t="s">
        <v>63</v>
      </c>
      <c r="G16" s="25" t="s">
        <v>64</v>
      </c>
      <c r="H16" s="104">
        <v>1</v>
      </c>
      <c r="I16" s="105"/>
      <c r="J16" s="106">
        <f>SUMIF(Funções!$C$8:$C$632,Deflatores!G16,Funções!$H$8:$H$632)</f>
        <v>0</v>
      </c>
      <c r="K16" s="107">
        <f>IF(H16="",COUNTIF(Funções!C$8:C$632,G16)*I16,H16*J16)</f>
        <v>0</v>
      </c>
    </row>
    <row r="17" spans="1:11" x14ac:dyDescent="0.2">
      <c r="A17" s="3"/>
      <c r="B17" s="139" t="s">
        <v>168</v>
      </c>
      <c r="C17" s="139"/>
      <c r="D17" s="139"/>
      <c r="E17" s="139"/>
      <c r="F17" s="2" t="s">
        <v>65</v>
      </c>
      <c r="G17" s="25" t="s">
        <v>161</v>
      </c>
      <c r="H17" s="104">
        <v>1</v>
      </c>
      <c r="I17" s="105"/>
      <c r="J17" s="106">
        <f>SUMIF(Funções!$C$8:$C$632,Deflatores!G17,Funções!$H$8:$H$632)</f>
        <v>0</v>
      </c>
      <c r="K17" s="107">
        <f>IF(H17="",COUNTIF(Funções!C$8:C$632,G17)*I17,H17*J17)</f>
        <v>0</v>
      </c>
    </row>
    <row r="18" spans="1:11" ht="13.5" customHeight="1" x14ac:dyDescent="0.2">
      <c r="A18" s="3"/>
      <c r="B18" s="139" t="s">
        <v>169</v>
      </c>
      <c r="C18" s="139"/>
      <c r="D18" s="139"/>
      <c r="E18" s="139"/>
      <c r="F18" s="2" t="s">
        <v>65</v>
      </c>
      <c r="G18" s="25" t="s">
        <v>162</v>
      </c>
      <c r="H18" s="104">
        <v>0.3</v>
      </c>
      <c r="I18" s="105"/>
      <c r="J18" s="106">
        <f>SUMIF(Funções!$C$8:$C$632,Deflatores!G18,Funções!$H$8:$H$632)</f>
        <v>0</v>
      </c>
      <c r="K18" s="107">
        <f>IF(H18="",COUNTIF(Funções!C$8:C$632,G18)*I18,H18*J18)</f>
        <v>0</v>
      </c>
    </row>
    <row r="19" spans="1:11" ht="13.5" customHeight="1" x14ac:dyDescent="0.2">
      <c r="A19" s="3"/>
      <c r="B19" s="139" t="s">
        <v>66</v>
      </c>
      <c r="C19" s="139"/>
      <c r="D19" s="139"/>
      <c r="E19" s="139"/>
      <c r="F19" s="2" t="s">
        <v>67</v>
      </c>
      <c r="G19" s="25" t="s">
        <v>68</v>
      </c>
      <c r="H19" s="104">
        <v>0.3</v>
      </c>
      <c r="I19" s="105"/>
      <c r="J19" s="106">
        <f>SUMIF(Funções!$C$8:$C$632,Deflatores!G19,Funções!$H$8:$H$632)</f>
        <v>0</v>
      </c>
      <c r="K19" s="107">
        <f>IF(H19="",COUNTIF(Funções!C$8:C$632,G19)*I19,H19*J19)</f>
        <v>0</v>
      </c>
    </row>
    <row r="20" spans="1:11" ht="13.5" customHeight="1" x14ac:dyDescent="0.2">
      <c r="A20" s="3"/>
      <c r="B20" s="139" t="s">
        <v>69</v>
      </c>
      <c r="C20" s="139"/>
      <c r="D20" s="139"/>
      <c r="E20" s="139"/>
      <c r="F20" s="2" t="s">
        <v>70</v>
      </c>
      <c r="G20" s="25" t="s">
        <v>71</v>
      </c>
      <c r="H20" s="104">
        <v>0.3</v>
      </c>
      <c r="I20" s="105"/>
      <c r="J20" s="106">
        <f>SUMIF(Funções!$C$8:$C$632,Deflatores!G20,Funções!$H$8:$H$632)</f>
        <v>0</v>
      </c>
      <c r="K20" s="107">
        <f>IF(H20="",COUNTIF(Funções!C$8:C$632,G20)*I20,H20*J20)</f>
        <v>0</v>
      </c>
    </row>
    <row r="21" spans="1:11" ht="13.5" customHeight="1" x14ac:dyDescent="0.2">
      <c r="A21" s="3"/>
      <c r="B21" s="139" t="s">
        <v>72</v>
      </c>
      <c r="C21" s="139"/>
      <c r="D21" s="139"/>
      <c r="E21" s="139"/>
      <c r="F21" s="2" t="s">
        <v>73</v>
      </c>
      <c r="G21" s="25" t="s">
        <v>74</v>
      </c>
      <c r="H21" s="104">
        <v>0.3</v>
      </c>
      <c r="I21" s="105"/>
      <c r="J21" s="106">
        <f>SUMIF(Funções!$C$8:$C$632,Deflatores!G21,Funções!$H$8:$H$632)</f>
        <v>0</v>
      </c>
      <c r="K21" s="107">
        <f>IF(H21="",COUNTIF(Funções!C$8:C$632,G21)*I21,H21*J21)</f>
        <v>0</v>
      </c>
    </row>
    <row r="22" spans="1:11" x14ac:dyDescent="0.2">
      <c r="A22" s="3"/>
      <c r="B22" s="139" t="s">
        <v>75</v>
      </c>
      <c r="C22" s="139"/>
      <c r="D22" s="139"/>
      <c r="E22" s="139"/>
      <c r="F22" s="2" t="s">
        <v>76</v>
      </c>
      <c r="G22" s="25" t="s">
        <v>77</v>
      </c>
      <c r="H22" s="104"/>
      <c r="I22" s="105">
        <v>0.6</v>
      </c>
      <c r="J22" s="106">
        <f>SUMIF(Funções!$C$8:$C$632,Deflatores!G22,Funções!$H$8:$H$632)</f>
        <v>0</v>
      </c>
      <c r="K22" s="107">
        <f>IF(H22="",COUNTIF(Funções!C$8:C$632,G22)*I22,H22*J22)</f>
        <v>0</v>
      </c>
    </row>
    <row r="23" spans="1:11" ht="27" customHeight="1" x14ac:dyDescent="0.2">
      <c r="A23" s="3"/>
      <c r="B23" s="159" t="s">
        <v>154</v>
      </c>
      <c r="C23" s="160"/>
      <c r="D23" s="160"/>
      <c r="E23" s="161"/>
      <c r="F23" s="103" t="s">
        <v>78</v>
      </c>
      <c r="G23" s="25" t="s">
        <v>153</v>
      </c>
      <c r="H23" s="104">
        <v>0.5</v>
      </c>
      <c r="I23" s="105"/>
      <c r="J23" s="106">
        <f>SUMIF(Funções!$C$8:$C$632,Deflatores!G23,Funções!$H$8:$H$632)</f>
        <v>0</v>
      </c>
      <c r="K23" s="107">
        <f>IF(H23="",COUNTIF(Funções!C$8:C$632,G23)*I23,H23*J23)</f>
        <v>0</v>
      </c>
    </row>
    <row r="24" spans="1:11" ht="27" customHeight="1" x14ac:dyDescent="0.2">
      <c r="A24" s="3"/>
      <c r="B24" s="159" t="s">
        <v>155</v>
      </c>
      <c r="C24" s="160"/>
      <c r="D24" s="160"/>
      <c r="E24" s="161"/>
      <c r="F24" s="103" t="s">
        <v>78</v>
      </c>
      <c r="G24" s="25" t="s">
        <v>79</v>
      </c>
      <c r="H24" s="104">
        <v>0.5</v>
      </c>
      <c r="I24" s="105"/>
      <c r="J24" s="106">
        <f>SUMIF(Funções!$C$8:$C$632,Deflatores!G24,Funções!$H$8:$H$632)</f>
        <v>0</v>
      </c>
      <c r="K24" s="107">
        <f>IF(H24="",COUNTIF(Funções!C$8:C$632,G24)*I24,H24*J24)</f>
        <v>0</v>
      </c>
    </row>
    <row r="25" spans="1:11" ht="27" customHeight="1" x14ac:dyDescent="0.2">
      <c r="A25" s="3"/>
      <c r="B25" s="162" t="s">
        <v>156</v>
      </c>
      <c r="C25" s="139"/>
      <c r="D25" s="139"/>
      <c r="E25" s="139"/>
      <c r="F25" s="103" t="s">
        <v>78</v>
      </c>
      <c r="G25" s="25" t="s">
        <v>80</v>
      </c>
      <c r="H25" s="104">
        <v>0.75</v>
      </c>
      <c r="I25" s="105"/>
      <c r="J25" s="106">
        <f>SUMIF(Funções!$C$8:$C$632,Deflatores!G25,Funções!$H$8:$H$632)</f>
        <v>0</v>
      </c>
      <c r="K25" s="107">
        <f>IF(H25="",COUNTIF(Funções!C$8:C$632,G25)*I25,H25*J25)</f>
        <v>0</v>
      </c>
    </row>
    <row r="26" spans="1:11" ht="13.5" customHeight="1" x14ac:dyDescent="0.2">
      <c r="A26" s="3"/>
      <c r="B26" s="139" t="s">
        <v>167</v>
      </c>
      <c r="C26" s="139"/>
      <c r="D26" s="139"/>
      <c r="E26" s="139"/>
      <c r="F26" s="2" t="s">
        <v>81</v>
      </c>
      <c r="G26" s="25" t="s">
        <v>82</v>
      </c>
      <c r="H26" s="104">
        <v>1</v>
      </c>
      <c r="I26" s="105"/>
      <c r="J26" s="106">
        <f>SUMIF(Funções!$C$8:$C$632,Deflatores!G26,Funções!$H$8:$H$632)</f>
        <v>0</v>
      </c>
      <c r="K26" s="107">
        <f>IF(H26="",COUNTIF(Funções!C$8:C$632,G26)*I26,H26*J26)</f>
        <v>0</v>
      </c>
    </row>
    <row r="27" spans="1:11" ht="13.5" customHeight="1" x14ac:dyDescent="0.2">
      <c r="A27" s="3"/>
      <c r="B27" s="139" t="s">
        <v>166</v>
      </c>
      <c r="C27" s="139"/>
      <c r="D27" s="139"/>
      <c r="E27" s="139"/>
      <c r="F27" s="2" t="s">
        <v>81</v>
      </c>
      <c r="G27" s="25" t="s">
        <v>83</v>
      </c>
      <c r="H27" s="104">
        <v>1</v>
      </c>
      <c r="I27" s="105"/>
      <c r="J27" s="106">
        <f>SUMIF(Funções!$C$8:$C$632,Deflatores!G27,Funções!$H$8:$H$632)</f>
        <v>0</v>
      </c>
      <c r="K27" s="107">
        <f>IF(H27="",COUNTIF(Funções!C$8:C$632,G27)*I27,H27*J27)</f>
        <v>0</v>
      </c>
    </row>
    <row r="28" spans="1:11" ht="13.5" customHeight="1" x14ac:dyDescent="0.2">
      <c r="A28" s="3"/>
      <c r="B28" s="139" t="s">
        <v>165</v>
      </c>
      <c r="C28" s="139"/>
      <c r="D28" s="139"/>
      <c r="E28" s="139"/>
      <c r="F28" s="2" t="s">
        <v>81</v>
      </c>
      <c r="G28" s="25" t="s">
        <v>84</v>
      </c>
      <c r="H28" s="104">
        <v>0.6</v>
      </c>
      <c r="I28" s="105"/>
      <c r="J28" s="106">
        <f>SUMIF(Funções!$C$8:$C$632,Deflatores!G28,Funções!$H$8:$H$632)</f>
        <v>0</v>
      </c>
      <c r="K28" s="107">
        <f>IF(H28="",COUNTIF(Funções!C$8:C$632,G28)*I28,H28*J28)</f>
        <v>0</v>
      </c>
    </row>
    <row r="29" spans="1:11" ht="13.5" customHeight="1" x14ac:dyDescent="0.2">
      <c r="A29" s="3"/>
      <c r="B29" s="139" t="s">
        <v>85</v>
      </c>
      <c r="C29" s="139"/>
      <c r="D29" s="139"/>
      <c r="E29" s="139"/>
      <c r="F29" s="2" t="s">
        <v>86</v>
      </c>
      <c r="G29" s="25" t="s">
        <v>87</v>
      </c>
      <c r="H29" s="104">
        <v>1</v>
      </c>
      <c r="I29" s="105"/>
      <c r="J29" s="106">
        <f>SUMIF(Funções!$C$8:$C$632,Deflatores!G29,Funções!$H$8:$H$632)</f>
        <v>0</v>
      </c>
      <c r="K29" s="107">
        <f>IF(H29="",COUNTIF(Funções!C$8:C$632,G29)*I29,H29*J29)</f>
        <v>0</v>
      </c>
    </row>
    <row r="30" spans="1:11" ht="13.5" customHeight="1" x14ac:dyDescent="0.2">
      <c r="A30" s="3"/>
      <c r="B30" s="139" t="s">
        <v>88</v>
      </c>
      <c r="C30" s="139"/>
      <c r="D30" s="139"/>
      <c r="E30" s="139"/>
      <c r="F30" s="2" t="s">
        <v>89</v>
      </c>
      <c r="G30" s="25" t="s">
        <v>90</v>
      </c>
      <c r="H30" s="104">
        <v>0.1</v>
      </c>
      <c r="I30" s="105"/>
      <c r="J30" s="106">
        <f>SUMIF(Funções!$C$8:$C$632,Deflatores!G30,Funções!$H$8:$H$632)</f>
        <v>0</v>
      </c>
      <c r="K30" s="107">
        <f>IF(H30="",COUNTIF(Funções!C$8:C$632,G30)*I30,H30*J30)</f>
        <v>0</v>
      </c>
    </row>
    <row r="31" spans="1:11" ht="13.5" customHeight="1" x14ac:dyDescent="0.2">
      <c r="A31" s="3"/>
      <c r="B31" s="139" t="s">
        <v>91</v>
      </c>
      <c r="C31" s="139"/>
      <c r="D31" s="139"/>
      <c r="E31" s="139"/>
      <c r="F31" s="2" t="s">
        <v>92</v>
      </c>
      <c r="G31" s="25" t="s">
        <v>93</v>
      </c>
      <c r="H31" s="104">
        <v>0.1</v>
      </c>
      <c r="I31" s="105"/>
      <c r="J31" s="106">
        <f>SUMIF(Funções!$C$8:$C$632,Deflatores!G31,Funções!$H$8:$H$632)</f>
        <v>0</v>
      </c>
      <c r="K31" s="107">
        <f>IF(H31="",COUNTIF(Funções!C$8:C$632,G31)*I31,H31*J31)</f>
        <v>0</v>
      </c>
    </row>
    <row r="32" spans="1:11" ht="13.5" customHeight="1" x14ac:dyDescent="0.2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SUMIF(Funções!$C$8:$C$632,Deflatores!G32,Funções!$H$8:$H$632)</f>
        <v>0</v>
      </c>
      <c r="K32" s="107">
        <f>IF(H32="",COUNTIF(Funções!C$8:C$632,G32)*I32,H32*J32)</f>
        <v>0</v>
      </c>
    </row>
    <row r="33" spans="1:12" ht="13.5" customHeight="1" x14ac:dyDescent="0.2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SUMIF(Funções!$C$8:$C$632,Deflatores!G33,Funções!$H$8:$H$632)</f>
        <v>0</v>
      </c>
      <c r="K33" s="107">
        <f>IF(H33="",COUNTIF(Funções!C$8:C$632,G33)*I33,H33*J33)</f>
        <v>0</v>
      </c>
    </row>
    <row r="34" spans="1:12" ht="13.5" customHeight="1" x14ac:dyDescent="0.2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SUMIF(Funções!$C$8:$C$632,Deflatores!G34,Funções!$H$8:$H$632)</f>
        <v>0</v>
      </c>
      <c r="K34" s="107">
        <f>IF(H34="",COUNTIF(Funções!C$8:C$632,G34)*I34,H34*J34)</f>
        <v>0</v>
      </c>
    </row>
    <row r="35" spans="1:12" ht="13.5" customHeight="1" x14ac:dyDescent="0.2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SUMIF(Funções!$C$8:$C$632,Deflatores!G35,Funções!$H$8:$H$632)</f>
        <v>0</v>
      </c>
      <c r="K35" s="107">
        <f>IF(H35="",COUNTIF(Funções!C$8:C$632,G35)*I35,H35*J35)</f>
        <v>0</v>
      </c>
    </row>
    <row r="36" spans="1:12" ht="13.5" customHeight="1" x14ac:dyDescent="0.2">
      <c r="A36" s="3"/>
      <c r="B36" s="139" t="s">
        <v>94</v>
      </c>
      <c r="C36" s="139"/>
      <c r="D36" s="139"/>
      <c r="E36" s="139"/>
      <c r="F36" s="2" t="s">
        <v>95</v>
      </c>
      <c r="G36" s="25" t="s">
        <v>96</v>
      </c>
      <c r="H36" s="104">
        <v>1</v>
      </c>
      <c r="I36" s="105"/>
      <c r="J36" s="106">
        <f>SUMIF(Funções!$C$8:$C$632,Deflatores!G36,Funções!$H$8:$H$632)</f>
        <v>0</v>
      </c>
      <c r="K36" s="107">
        <f>IF(H36="",COUNTIF(Funções!C$8:C$632,G36)*I36,H36*J36)</f>
        <v>0</v>
      </c>
    </row>
    <row r="37" spans="1:12" ht="13.5" customHeight="1" x14ac:dyDescent="0.2">
      <c r="A37" s="3"/>
      <c r="B37" s="139"/>
      <c r="C37" s="139"/>
      <c r="D37" s="139"/>
      <c r="E37" s="139"/>
      <c r="F37" s="2"/>
      <c r="G37" s="25" t="s">
        <v>97</v>
      </c>
      <c r="H37" s="104"/>
      <c r="I37" s="105"/>
      <c r="J37" s="106">
        <f>SUMIF(Funções!$C$8:$C$632,Deflatores!G37,Funções!$H$8:$H$632)</f>
        <v>0</v>
      </c>
      <c r="K37" s="107">
        <f>IF(H37="",COUNTIF(Funções!C$8:C$632,G37)*I37,H37*J37)</f>
        <v>0</v>
      </c>
      <c r="L37" s="19" t="s">
        <v>98</v>
      </c>
    </row>
    <row r="38" spans="1:12" ht="13.5" customHeight="1" x14ac:dyDescent="0.2">
      <c r="A38" s="3"/>
      <c r="B38" s="139"/>
      <c r="C38" s="139"/>
      <c r="D38" s="139"/>
      <c r="E38" s="139"/>
      <c r="F38" s="2"/>
      <c r="G38" s="25" t="s">
        <v>97</v>
      </c>
      <c r="H38" s="104"/>
      <c r="I38" s="105"/>
      <c r="J38" s="106">
        <f>SUMIF(Funções!$C$8:$C$632,Deflatores!G38,Funções!$H$8:$H$632)</f>
        <v>0</v>
      </c>
      <c r="K38" s="107">
        <f>IF(H38="",COUNTIF(Funções!C$8:C$632,G38)*I38,H38*J38)</f>
        <v>0</v>
      </c>
      <c r="L38" s="19" t="s">
        <v>99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85" customHeight="1" x14ac:dyDescent="0.2">
      <c r="A40" s="158" t="s">
        <v>30</v>
      </c>
      <c r="B40" s="158"/>
      <c r="C40" s="158"/>
      <c r="D40" s="158"/>
      <c r="E40" s="158"/>
      <c r="F40" s="158"/>
      <c r="G40" s="156" t="s">
        <v>32</v>
      </c>
      <c r="H40" s="156" t="s">
        <v>33</v>
      </c>
      <c r="I40" s="156"/>
      <c r="J40" s="156" t="s">
        <v>101</v>
      </c>
      <c r="K40" s="157" t="s">
        <v>34</v>
      </c>
      <c r="L40" s="19" t="s">
        <v>102</v>
      </c>
    </row>
    <row r="41" spans="1:12" ht="14.85" customHeight="1" x14ac:dyDescent="0.2">
      <c r="A41" s="23" t="s">
        <v>35</v>
      </c>
      <c r="B41" s="156" t="s">
        <v>36</v>
      </c>
      <c r="C41" s="156"/>
      <c r="D41" s="156"/>
      <c r="E41" s="156"/>
      <c r="F41" s="24" t="s">
        <v>28</v>
      </c>
      <c r="G41" s="156"/>
      <c r="H41" s="156"/>
      <c r="I41" s="156"/>
      <c r="J41" s="156"/>
      <c r="K41" s="157"/>
      <c r="L41" s="19" t="s">
        <v>103</v>
      </c>
    </row>
    <row r="42" spans="1:12" ht="13.5" customHeight="1" x14ac:dyDescent="0.25">
      <c r="A42" s="27"/>
      <c r="B42" s="139" t="s">
        <v>104</v>
      </c>
      <c r="C42" s="139"/>
      <c r="D42" s="139"/>
      <c r="E42" s="139"/>
      <c r="F42" s="2" t="s">
        <v>105</v>
      </c>
      <c r="G42" s="25" t="s">
        <v>106</v>
      </c>
      <c r="H42" s="153">
        <v>0.6</v>
      </c>
      <c r="I42" s="153"/>
      <c r="J42" s="28">
        <f>COUNTIF(Funções!B$8:B$632,G42)</f>
        <v>0</v>
      </c>
      <c r="K42" s="26">
        <f>SUMIF(Funções!B$8:B$632,$G42,Funções!K$8:K$632)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39" t="s">
        <v>116</v>
      </c>
      <c r="C43" s="139"/>
      <c r="D43" s="139"/>
      <c r="E43" s="139"/>
      <c r="F43" s="2" t="s">
        <v>76</v>
      </c>
      <c r="G43" s="25" t="s">
        <v>117</v>
      </c>
      <c r="H43" s="153">
        <v>0.6</v>
      </c>
      <c r="I43" s="153"/>
      <c r="J43" s="28">
        <f>COUNTIF(Funções!B$8:B$632,G43)</f>
        <v>0</v>
      </c>
      <c r="K43" s="26">
        <f>SUMIF(Funções!B$8:B$632,$G43,Funções!K$8:K$632)</f>
        <v>0</v>
      </c>
      <c r="L43" s="19" t="str">
        <f t="shared" si="0"/>
        <v>COSNF</v>
      </c>
    </row>
    <row r="44" spans="1:12" ht="13.5" customHeight="1" x14ac:dyDescent="0.25">
      <c r="A44" s="27"/>
      <c r="B44" s="139" t="s">
        <v>159</v>
      </c>
      <c r="C44" s="139"/>
      <c r="D44" s="139"/>
      <c r="E44" s="139"/>
      <c r="F44" s="2"/>
      <c r="G44" s="25" t="s">
        <v>160</v>
      </c>
      <c r="H44" s="153">
        <v>0</v>
      </c>
      <c r="I44" s="153"/>
      <c r="J44" s="28">
        <f>COUNTIF(Funções!B$8:B$632,G44)</f>
        <v>0</v>
      </c>
      <c r="K44" s="26">
        <f>SUMIF(Funções!B$8:B$632,$G44,Funções!K$8:K$632)</f>
        <v>0</v>
      </c>
      <c r="L44" s="19" t="str">
        <f t="shared" si="0"/>
        <v>DC</v>
      </c>
    </row>
    <row r="45" spans="1:12" ht="13.5" customHeight="1" x14ac:dyDescent="0.25">
      <c r="A45" s="27"/>
      <c r="B45" s="139"/>
      <c r="C45" s="139"/>
      <c r="D45" s="139"/>
      <c r="E45" s="139"/>
      <c r="F45" s="2"/>
      <c r="G45" s="25" t="s">
        <v>97</v>
      </c>
      <c r="H45" s="153"/>
      <c r="I45" s="153"/>
      <c r="J45" s="28">
        <f>COUNTIF(Funções!B$8:B$632,G45)</f>
        <v>1</v>
      </c>
      <c r="K45" s="26">
        <f>SUMIF(Funções!B$8:B$632,$G45,Funções!K$8:K$632)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39"/>
      <c r="C46" s="139"/>
      <c r="D46" s="139"/>
      <c r="E46" s="139"/>
      <c r="F46" s="2"/>
      <c r="G46" s="25" t="s">
        <v>97</v>
      </c>
      <c r="H46" s="153"/>
      <c r="I46" s="153"/>
      <c r="J46" s="28">
        <f>COUNTIF(Funções!B$8:B$632,G46)</f>
        <v>1</v>
      </c>
      <c r="K46" s="26">
        <f>SUMIF(Funções!B$8:B$632,$G46,Funções!K$8:K$632)</f>
        <v>0</v>
      </c>
      <c r="L46" s="19" t="str">
        <f t="shared" si="0"/>
        <v xml:space="preserve">           .</v>
      </c>
    </row>
    <row r="47" spans="1:12" ht="13.5" x14ac:dyDescent="0.25">
      <c r="A47" s="27"/>
      <c r="B47" s="139"/>
      <c r="C47" s="139"/>
      <c r="D47" s="139"/>
      <c r="E47" s="139"/>
      <c r="F47" s="2"/>
      <c r="G47" s="25" t="s">
        <v>97</v>
      </c>
      <c r="H47" s="153"/>
      <c r="I47" s="153"/>
      <c r="J47" s="28">
        <f>COUNTIF(Funções!B$8:B$632,G47)</f>
        <v>1</v>
      </c>
      <c r="K47" s="26">
        <f>SUMIF(Funções!B$8:B$632,$G47,Funções!K$8:K$632)</f>
        <v>0</v>
      </c>
      <c r="L47" s="19" t="str">
        <f t="shared" si="0"/>
        <v xml:space="preserve">           .</v>
      </c>
    </row>
    <row r="48" spans="1:12" ht="13.5" x14ac:dyDescent="0.25">
      <c r="A48" s="27"/>
      <c r="B48" s="139"/>
      <c r="C48" s="139"/>
      <c r="D48" s="139"/>
      <c r="E48" s="139"/>
      <c r="F48" s="2"/>
      <c r="G48" s="25" t="s">
        <v>97</v>
      </c>
      <c r="H48" s="153"/>
      <c r="I48" s="153"/>
      <c r="J48" s="28">
        <f>COUNTIF(Funções!B$8:B$632,G48)</f>
        <v>1</v>
      </c>
      <c r="K48" s="26">
        <f>SUMIF(Funções!B$8:B$632,$G48,Funções!K$8:K$632)</f>
        <v>0</v>
      </c>
      <c r="L48" s="19" t="str">
        <f t="shared" si="0"/>
        <v xml:space="preserve">           .</v>
      </c>
    </row>
    <row r="49" spans="1:12" ht="13.5" x14ac:dyDescent="0.25">
      <c r="A49" s="27"/>
      <c r="B49" s="139"/>
      <c r="C49" s="139"/>
      <c r="D49" s="139"/>
      <c r="E49" s="139"/>
      <c r="F49" s="2"/>
      <c r="G49" s="25" t="s">
        <v>97</v>
      </c>
      <c r="H49" s="153"/>
      <c r="I49" s="153"/>
      <c r="J49" s="28">
        <f>COUNTIF(Funções!B$8:B$632,G49)</f>
        <v>1</v>
      </c>
      <c r="K49" s="26">
        <f>SUMIF(Funções!B$8:B$632,$G49,Funções!K$8:K$632)</f>
        <v>0</v>
      </c>
      <c r="L49" s="19" t="str">
        <f t="shared" si="0"/>
        <v xml:space="preserve">           .</v>
      </c>
    </row>
    <row r="50" spans="1:12" ht="13.5" x14ac:dyDescent="0.25">
      <c r="A50" s="27"/>
      <c r="B50" s="139"/>
      <c r="C50" s="139"/>
      <c r="D50" s="139"/>
      <c r="E50" s="139"/>
      <c r="F50" s="2"/>
      <c r="G50" s="25" t="s">
        <v>97</v>
      </c>
      <c r="H50" s="153"/>
      <c r="I50" s="153"/>
      <c r="J50" s="28">
        <f>COUNTIF(Funções!B$8:B$632,G50)</f>
        <v>1</v>
      </c>
      <c r="K50" s="26">
        <f>SUMIF(Funções!B$8:B$632,$G50,Funções!K$8:K$632)</f>
        <v>0</v>
      </c>
      <c r="L50" s="19" t="str">
        <f t="shared" si="0"/>
        <v xml:space="preserve">           .</v>
      </c>
    </row>
    <row r="51" spans="1:12" ht="13.5" x14ac:dyDescent="0.25">
      <c r="A51" s="27"/>
      <c r="B51" s="139"/>
      <c r="C51" s="139"/>
      <c r="D51" s="139"/>
      <c r="E51" s="139"/>
      <c r="F51" s="2"/>
      <c r="G51" s="25" t="s">
        <v>97</v>
      </c>
      <c r="H51" s="153"/>
      <c r="I51" s="153"/>
      <c r="J51" s="28">
        <f>COUNTIF(Funções!B$8:B$632,G51)</f>
        <v>1</v>
      </c>
      <c r="K51" s="26">
        <f>SUMIF(Funções!B$8:B$632,$G51,Funções!K$8:K$632)</f>
        <v>0</v>
      </c>
      <c r="L51" s="19" t="str">
        <f t="shared" si="0"/>
        <v xml:space="preserve">           .</v>
      </c>
    </row>
    <row r="52" spans="1:12" ht="13.5" x14ac:dyDescent="0.25">
      <c r="A52" s="27"/>
      <c r="B52" s="139"/>
      <c r="C52" s="139"/>
      <c r="D52" s="139"/>
      <c r="E52" s="139"/>
      <c r="F52" s="2"/>
      <c r="G52" s="25" t="s">
        <v>97</v>
      </c>
      <c r="H52" s="153"/>
      <c r="I52" s="153"/>
      <c r="J52" s="28">
        <f>COUNTIF(Funções!B$8:B$632,G52)</f>
        <v>1</v>
      </c>
      <c r="K52" s="26">
        <f>SUMIF(Funções!B$8:B$632,$G52,Funções!K$8:K$632)</f>
        <v>0</v>
      </c>
      <c r="L52" s="19" t="str">
        <f t="shared" si="0"/>
        <v xml:space="preserve">           .</v>
      </c>
    </row>
    <row r="53" spans="1:12" ht="13.5" x14ac:dyDescent="0.25">
      <c r="A53" s="27"/>
      <c r="B53" s="139"/>
      <c r="C53" s="139"/>
      <c r="D53" s="139"/>
      <c r="E53" s="139"/>
      <c r="F53" s="2"/>
      <c r="G53" s="25" t="s">
        <v>97</v>
      </c>
      <c r="H53" s="153"/>
      <c r="I53" s="153"/>
      <c r="J53" s="28">
        <f>COUNTIF(Funções!B$8:B$632,G53)</f>
        <v>1</v>
      </c>
      <c r="K53" s="26">
        <f>SUMIF(Funções!B$8:B$632,$G53,Funções!K$8:K$632)</f>
        <v>0</v>
      </c>
      <c r="L53" s="19" t="str">
        <f t="shared" si="0"/>
        <v xml:space="preserve">           .</v>
      </c>
    </row>
    <row r="54" spans="1:12" ht="13.5" x14ac:dyDescent="0.25">
      <c r="A54" s="27"/>
      <c r="B54" s="139"/>
      <c r="C54" s="139"/>
      <c r="D54" s="139"/>
      <c r="E54" s="139"/>
      <c r="F54" s="2"/>
      <c r="G54" s="25" t="s">
        <v>97</v>
      </c>
      <c r="H54" s="153"/>
      <c r="I54" s="153"/>
      <c r="J54" s="28">
        <f>COUNTIF(Funções!B$8:B$632,G54)</f>
        <v>1</v>
      </c>
      <c r="K54" s="26">
        <f>SUMIF(Funções!B$8:B$632,$G54,Funções!K$8:K$632)</f>
        <v>0</v>
      </c>
      <c r="L54" s="19" t="str">
        <f t="shared" si="0"/>
        <v xml:space="preserve">           .</v>
      </c>
    </row>
    <row r="55" spans="1:12" ht="13.5" x14ac:dyDescent="0.25">
      <c r="A55" s="27"/>
      <c r="B55" s="139"/>
      <c r="C55" s="139"/>
      <c r="D55" s="139"/>
      <c r="E55" s="139"/>
      <c r="F55" s="2"/>
      <c r="G55" s="25" t="s">
        <v>97</v>
      </c>
      <c r="H55" s="153"/>
      <c r="I55" s="153"/>
      <c r="J55" s="28">
        <f>COUNTIF(Funções!B$8:B$632,G55)</f>
        <v>1</v>
      </c>
      <c r="K55" s="26">
        <f>SUMIF(Funções!B$8:B$632,$G55,Funções!K$8:K$632)</f>
        <v>0</v>
      </c>
      <c r="L55" s="19" t="str">
        <f t="shared" si="0"/>
        <v xml:space="preserve">           .</v>
      </c>
    </row>
    <row r="56" spans="1:12" ht="13.5" x14ac:dyDescent="0.25">
      <c r="A56" s="27"/>
      <c r="B56" s="139"/>
      <c r="C56" s="139"/>
      <c r="D56" s="139"/>
      <c r="E56" s="139"/>
      <c r="F56" s="2"/>
      <c r="G56" s="25" t="s">
        <v>97</v>
      </c>
      <c r="H56" s="153"/>
      <c r="I56" s="153"/>
      <c r="J56" s="28">
        <f>COUNTIF(Funções!B$8:B$632,G56)</f>
        <v>1</v>
      </c>
      <c r="K56" s="26">
        <f>SUMIF(Funções!B$8:B$632,$G56,Funções!K$8:K$632)</f>
        <v>0</v>
      </c>
      <c r="L56" s="19" t="str">
        <f t="shared" si="0"/>
        <v xml:space="preserve">           .</v>
      </c>
    </row>
    <row r="57" spans="1:12" ht="13.5" x14ac:dyDescent="0.25">
      <c r="A57" s="27"/>
      <c r="B57" s="139"/>
      <c r="C57" s="139"/>
      <c r="D57" s="139"/>
      <c r="E57" s="139"/>
      <c r="F57" s="2"/>
      <c r="G57" s="25" t="s">
        <v>97</v>
      </c>
      <c r="H57" s="153"/>
      <c r="I57" s="153"/>
      <c r="J57" s="28">
        <f>COUNTIF(Funções!B$8:B$632,G57)</f>
        <v>1</v>
      </c>
      <c r="K57" s="26">
        <f>SUMIF(Funções!B$8:B$632,$G57,Funções!K$8:K$632)</f>
        <v>0</v>
      </c>
      <c r="L57" s="19" t="str">
        <f t="shared" si="0"/>
        <v xml:space="preserve">           .</v>
      </c>
    </row>
    <row r="58" spans="1:12" ht="13.5" x14ac:dyDescent="0.25">
      <c r="A58" s="27"/>
      <c r="B58" s="139"/>
      <c r="C58" s="139"/>
      <c r="D58" s="139"/>
      <c r="E58" s="139"/>
      <c r="F58" s="2"/>
      <c r="G58" s="25" t="s">
        <v>97</v>
      </c>
      <c r="H58" s="153"/>
      <c r="I58" s="153"/>
      <c r="J58" s="28">
        <f>COUNTIF(Funções!B$8:B$632,G58)</f>
        <v>1</v>
      </c>
      <c r="K58" s="26">
        <f>SUMIF(Funções!B$8:B$632,$G58,Funções!K$8:K$632)</f>
        <v>0</v>
      </c>
      <c r="L58" s="19" t="str">
        <f t="shared" si="0"/>
        <v xml:space="preserve">           .</v>
      </c>
    </row>
    <row r="59" spans="1:12" ht="13.5" x14ac:dyDescent="0.25">
      <c r="A59" s="27"/>
      <c r="B59" s="139"/>
      <c r="C59" s="139"/>
      <c r="D59" s="139"/>
      <c r="E59" s="139"/>
      <c r="F59" s="2"/>
      <c r="G59" s="25" t="s">
        <v>97</v>
      </c>
      <c r="H59" s="153"/>
      <c r="I59" s="153"/>
      <c r="J59" s="28">
        <f>COUNTIF(Funções!B$8:B$632,G59)</f>
        <v>1</v>
      </c>
      <c r="K59" s="26">
        <f>SUMIF(Funções!B$8:B$632,$G59,Funções!K$8:K$632)</f>
        <v>0</v>
      </c>
      <c r="L59" s="19" t="str">
        <f t="shared" si="0"/>
        <v xml:space="preserve">           .</v>
      </c>
    </row>
    <row r="60" spans="1:12" ht="13.5" x14ac:dyDescent="0.25">
      <c r="A60" s="27"/>
      <c r="B60" s="139"/>
      <c r="C60" s="139"/>
      <c r="D60" s="139"/>
      <c r="E60" s="139"/>
      <c r="F60" s="2"/>
      <c r="G60" s="25" t="s">
        <v>97</v>
      </c>
      <c r="H60" s="153"/>
      <c r="I60" s="153"/>
      <c r="J60" s="28">
        <f>COUNTIF(Funções!B$8:B$632,G60)</f>
        <v>1</v>
      </c>
      <c r="K60" s="26">
        <f>SUMIF(Funções!B$8:B$632,$G60,Funções!K$8:K$632)</f>
        <v>0</v>
      </c>
      <c r="L60" s="19" t="str">
        <f t="shared" si="0"/>
        <v xml:space="preserve">           .</v>
      </c>
    </row>
    <row r="61" spans="1:12" ht="13.5" x14ac:dyDescent="0.25">
      <c r="A61" s="27"/>
      <c r="B61" s="139"/>
      <c r="C61" s="139"/>
      <c r="D61" s="139"/>
      <c r="E61" s="139"/>
      <c r="F61" s="2"/>
      <c r="G61" s="25" t="s">
        <v>97</v>
      </c>
      <c r="H61" s="153"/>
      <c r="I61" s="153"/>
      <c r="J61" s="28">
        <f>COUNTIF(Funções!B$8:B$632,G61)</f>
        <v>1</v>
      </c>
      <c r="K61" s="26">
        <f>SUMIF(Funções!B$8:B$632,$G61,Funções!K$8:K$632)</f>
        <v>0</v>
      </c>
      <c r="L61" s="19" t="str">
        <f t="shared" si="0"/>
        <v xml:space="preserve">           .</v>
      </c>
    </row>
    <row r="62" spans="1:12" ht="13.5" x14ac:dyDescent="0.25">
      <c r="A62" s="27"/>
      <c r="B62" s="139"/>
      <c r="C62" s="139"/>
      <c r="D62" s="139"/>
      <c r="E62" s="139"/>
      <c r="F62" s="2"/>
      <c r="G62" s="25" t="s">
        <v>97</v>
      </c>
      <c r="H62" s="153"/>
      <c r="I62" s="153"/>
      <c r="J62" s="28">
        <f>COUNTIF(Funções!B$8:B$632,G62)</f>
        <v>1</v>
      </c>
      <c r="K62" s="26">
        <f>SUMIF(Funções!B$8:B$632,$G62,Funções!K$8:K$632)</f>
        <v>0</v>
      </c>
      <c r="L62" s="19" t="str">
        <f t="shared" si="0"/>
        <v xml:space="preserve">           .</v>
      </c>
    </row>
    <row r="63" spans="1:12" ht="13.5" x14ac:dyDescent="0.25">
      <c r="A63" s="27"/>
      <c r="B63" s="139"/>
      <c r="C63" s="139"/>
      <c r="D63" s="139"/>
      <c r="E63" s="139"/>
      <c r="F63" s="2"/>
      <c r="G63" s="25" t="s">
        <v>97</v>
      </c>
      <c r="H63" s="153"/>
      <c r="I63" s="153"/>
      <c r="J63" s="28">
        <f>COUNTIF(Funções!B$8:B$632,G63)</f>
        <v>1</v>
      </c>
      <c r="K63" s="26">
        <f>SUMIF(Funções!B$8:B$632,$G63,Funções!K$8:K$632)</f>
        <v>0</v>
      </c>
      <c r="L63" s="19" t="str">
        <f t="shared" si="0"/>
        <v xml:space="preserve">           .</v>
      </c>
    </row>
    <row r="64" spans="1:12" ht="13.5" x14ac:dyDescent="0.25">
      <c r="A64" s="29"/>
      <c r="B64" s="154"/>
      <c r="C64" s="154"/>
      <c r="D64" s="154"/>
      <c r="E64" s="154"/>
      <c r="F64" s="30"/>
      <c r="G64" s="31" t="s">
        <v>97</v>
      </c>
      <c r="H64" s="155"/>
      <c r="I64" s="155"/>
      <c r="J64" s="32">
        <f>COUNTIF(Funções!B$8:B$632,G64)</f>
        <v>1</v>
      </c>
      <c r="K64" s="33">
        <f>SUMIF(Funções!B$8:B$632,$G64,Funções!K$8:K$632)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4:E4"/>
    <mergeCell ref="B5:E5"/>
    <mergeCell ref="A1:K1"/>
    <mergeCell ref="A2:F2"/>
    <mergeCell ref="G2:G3"/>
    <mergeCell ref="H2:I2"/>
    <mergeCell ref="J2:J3"/>
    <mergeCell ref="K2:K3"/>
    <mergeCell ref="B3:E3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31:E31"/>
    <mergeCell ref="B36:E36"/>
    <mergeCell ref="B37:E37"/>
    <mergeCell ref="B38:E38"/>
    <mergeCell ref="A40:F40"/>
    <mergeCell ref="J40:J41"/>
    <mergeCell ref="K40:K41"/>
    <mergeCell ref="B41:E41"/>
    <mergeCell ref="B42:E42"/>
    <mergeCell ref="H42:I42"/>
    <mergeCell ref="G40:G41"/>
    <mergeCell ref="B43:E43"/>
    <mergeCell ref="H43:I43"/>
    <mergeCell ref="B44:E44"/>
    <mergeCell ref="H44:I44"/>
    <mergeCell ref="H40:I41"/>
    <mergeCell ref="B45:E45"/>
    <mergeCell ref="H45:I45"/>
    <mergeCell ref="B46:E46"/>
    <mergeCell ref="H46:I46"/>
    <mergeCell ref="B47:E47"/>
    <mergeCell ref="H47:I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8:E58"/>
    <mergeCell ref="H58:I58"/>
    <mergeCell ref="B59:E59"/>
    <mergeCell ref="H59:I59"/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zoomScaleNormal="100" zoomScaleSheetLayoutView="100" workbookViewId="0">
      <pane ySplit="8" topLeftCell="A18" activePane="bottomLeft" state="frozen"/>
      <selection activeCell="B11" sqref="B11"/>
      <selection pane="bottomLeft" activeCell="C58" sqref="C58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42" t="s">
        <v>118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2" x14ac:dyDescent="0.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1:12" x14ac:dyDescent="0.2">
      <c r="A4" s="168" t="str">
        <f>Contagem!A5&amp;" : "&amp;Contagem!F5</f>
        <v>Aplicação : Banco de Talentos</v>
      </c>
      <c r="B4" s="168"/>
      <c r="C4" s="168"/>
      <c r="D4" s="168"/>
      <c r="E4" s="168"/>
      <c r="F4" s="147" t="str">
        <f>Contagem!A8&amp;" : "&amp;Contagem!F8</f>
        <v xml:space="preserve">Projeto : Serviço de Agendamento do SGA </v>
      </c>
      <c r="G4" s="147"/>
      <c r="H4" s="147"/>
      <c r="I4" s="147"/>
      <c r="J4" s="147"/>
      <c r="K4" s="147"/>
      <c r="L4" s="147"/>
    </row>
    <row r="5" spans="1:12" x14ac:dyDescent="0.2">
      <c r="A5" s="168" t="str">
        <f>Contagem!A9&amp;" : "&amp;Contagem!F9</f>
        <v>Responsável : Jonathas Gomes Marques</v>
      </c>
      <c r="B5" s="168"/>
      <c r="C5" s="168"/>
      <c r="D5" s="168"/>
      <c r="E5" s="168"/>
      <c r="F5" s="147" t="str">
        <f>Contagem!A10&amp;" : "&amp;Contagem!F10</f>
        <v xml:space="preserve">Revisor : </v>
      </c>
      <c r="G5" s="147"/>
      <c r="H5" s="147"/>
      <c r="I5" s="147"/>
      <c r="J5" s="147"/>
      <c r="K5" s="147"/>
      <c r="L5" s="147"/>
    </row>
    <row r="6" spans="1:12" x14ac:dyDescent="0.2">
      <c r="A6" s="168" t="str">
        <f>Contagem!A4&amp;" : "&amp;Contagem!F4</f>
        <v>Empresa : Secretaria de Estado de Planejamento e Gestão de MT</v>
      </c>
      <c r="B6" s="168"/>
      <c r="C6" s="168"/>
      <c r="D6" s="168"/>
      <c r="E6" s="168"/>
      <c r="F6" s="147" t="str">
        <f>"Tipo de Contagem : "&amp;Contagem!F6</f>
        <v>Tipo de Contagem : Projeto de Desenvolvimento</v>
      </c>
      <c r="G6" s="147"/>
      <c r="H6" s="147"/>
      <c r="I6" s="147"/>
      <c r="J6" s="147"/>
      <c r="K6" s="147"/>
      <c r="L6" s="147"/>
    </row>
    <row r="7" spans="1:12" ht="12.75" customHeight="1" x14ac:dyDescent="0.2">
      <c r="A7" s="164" t="s">
        <v>119</v>
      </c>
      <c r="B7" s="164"/>
      <c r="C7" s="165" t="s">
        <v>120</v>
      </c>
      <c r="D7" s="165"/>
      <c r="E7" s="165"/>
      <c r="F7" s="165"/>
      <c r="G7" s="166" t="s">
        <v>121</v>
      </c>
      <c r="H7" s="166" t="s">
        <v>122</v>
      </c>
      <c r="I7" s="69"/>
      <c r="J7" s="166" t="s">
        <v>123</v>
      </c>
      <c r="K7" s="166"/>
      <c r="L7" s="167" t="s">
        <v>122</v>
      </c>
    </row>
    <row r="8" spans="1:12" x14ac:dyDescent="0.2">
      <c r="A8" s="164"/>
      <c r="B8" s="164"/>
      <c r="C8" s="165"/>
      <c r="D8" s="165"/>
      <c r="E8" s="165"/>
      <c r="F8" s="165"/>
      <c r="G8" s="166"/>
      <c r="H8" s="166"/>
      <c r="I8" s="70"/>
      <c r="J8" s="166"/>
      <c r="K8" s="166"/>
      <c r="L8" s="167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100</v>
      </c>
      <c r="C10" s="52">
        <f>COUNTIF(Funções!G8:G632,"EEL")</f>
        <v>0</v>
      </c>
      <c r="D10" s="51"/>
      <c r="E10" s="53" t="s">
        <v>124</v>
      </c>
      <c r="F10" s="53" t="s">
        <v>125</v>
      </c>
      <c r="G10" s="52">
        <f>C10*3</f>
        <v>0</v>
      </c>
      <c r="H10" s="51"/>
      <c r="I10" s="34"/>
      <c r="J10" s="54" t="str">
        <f>Deflatores!$G$4&amp;"="</f>
        <v>I=</v>
      </c>
      <c r="K10" s="55">
        <f>SUMIF(Funções!$J$8:$J$632,"EE"&amp;Deflatores!G4,Funções!$L$8:$L$632)</f>
        <v>56</v>
      </c>
      <c r="L10" s="56"/>
    </row>
    <row r="11" spans="1:12" ht="13.5" x14ac:dyDescent="0.25">
      <c r="A11" s="57"/>
      <c r="B11" s="51"/>
      <c r="C11" s="52">
        <f>COUNTIF(Funções!G8:G632,"EEA")</f>
        <v>14</v>
      </c>
      <c r="D11" s="51"/>
      <c r="E11" s="53" t="s">
        <v>126</v>
      </c>
      <c r="F11" s="53" t="s">
        <v>127</v>
      </c>
      <c r="G11" s="52">
        <f>C11*4</f>
        <v>56</v>
      </c>
      <c r="H11" s="51"/>
      <c r="I11" s="34"/>
      <c r="J11" s="54" t="str">
        <f>Deflatores!$G$5&amp;"="</f>
        <v>A=</v>
      </c>
      <c r="K11" s="55">
        <f>SUMIF(Funções!$J$8:$J$632,"EE"&amp;Deflatores!G5,Funções!$L$8:$L$632)</f>
        <v>0</v>
      </c>
      <c r="L11" s="56"/>
    </row>
    <row r="12" spans="1:12" ht="13.5" x14ac:dyDescent="0.25">
      <c r="A12" s="57"/>
      <c r="B12" s="51"/>
      <c r="C12" s="52">
        <f>COUNTIF(Funções!G8:G632,"EEH")</f>
        <v>0</v>
      </c>
      <c r="D12" s="51"/>
      <c r="E12" s="53" t="s">
        <v>128</v>
      </c>
      <c r="F12" s="53" t="s">
        <v>129</v>
      </c>
      <c r="G12" s="52">
        <f>C12*6</f>
        <v>0</v>
      </c>
      <c r="H12" s="51"/>
      <c r="I12" s="34"/>
      <c r="J12" s="54" t="str">
        <f>Deflatores!$G$6&amp;"="</f>
        <v>E=</v>
      </c>
      <c r="K12" s="55">
        <f>SUMIF(Funções!$J$8:$J$632,"EE"&amp;Deflatores!G6,Funções!$L$8:$L$632)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130</v>
      </c>
      <c r="C14" s="52">
        <f>SUM(C10:C12)</f>
        <v>14</v>
      </c>
      <c r="D14" s="51"/>
      <c r="E14" s="51"/>
      <c r="F14" s="60" t="s">
        <v>131</v>
      </c>
      <c r="G14" s="52">
        <f>SUM(G10:G12)</f>
        <v>56</v>
      </c>
      <c r="H14" s="34">
        <f>IF($G$45&lt;&gt;0,G14/$G$45,"")</f>
        <v>0.199288256227758</v>
      </c>
      <c r="I14" s="61"/>
      <c r="J14" s="54"/>
      <c r="K14" s="55">
        <f>SUM(K10:K13)</f>
        <v>56</v>
      </c>
      <c r="L14" s="36">
        <f>IF('Sumário 2'!L11&lt;&gt;0,K14/'Sumário 2'!L11,"")</f>
        <v>0.199288256227758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103</v>
      </c>
      <c r="C17" s="54">
        <f>COUNTIF(Funções!G8:G632,"SEL")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SUMIF(Funções!$J$8:$J$632,"SE"&amp;Deflatores!$G$4,Funções!$L$8:$L$632)</f>
        <v>25</v>
      </c>
      <c r="L17" s="56"/>
    </row>
    <row r="18" spans="1:12" ht="13.5" x14ac:dyDescent="0.25">
      <c r="A18" s="57"/>
      <c r="B18" s="51"/>
      <c r="C18" s="54">
        <f>COUNTIF(Funções!G8:G632,"SEA")</f>
        <v>5</v>
      </c>
      <c r="D18" s="51"/>
      <c r="E18" s="53" t="s">
        <v>126</v>
      </c>
      <c r="F18" s="53" t="s">
        <v>132</v>
      </c>
      <c r="G18" s="54">
        <f>C18*5</f>
        <v>25</v>
      </c>
      <c r="H18" s="51"/>
      <c r="I18" s="51"/>
      <c r="J18" s="54" t="str">
        <f>Deflatores!$G$5&amp;"="</f>
        <v>A=</v>
      </c>
      <c r="K18" s="64">
        <f>SUMIF(Funções!$J$8:$J$632,"SE"&amp;Deflatores!$G$5,Funções!$L$8:$L$632)</f>
        <v>0</v>
      </c>
      <c r="L18" s="56"/>
    </row>
    <row r="19" spans="1:12" ht="13.5" x14ac:dyDescent="0.25">
      <c r="A19" s="57"/>
      <c r="B19" s="51"/>
      <c r="C19" s="54">
        <f>COUNTIF(Funções!G8:G632,"SEH")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SUMIF(Funções!$J$8:$J$632,"SE"&amp;Deflatores!$G$6,Funções!$L$8:$L$632)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130</v>
      </c>
      <c r="C21" s="52">
        <f>SUM(C17:C19)</f>
        <v>5</v>
      </c>
      <c r="D21" s="51"/>
      <c r="E21" s="51"/>
      <c r="F21" s="60" t="s">
        <v>131</v>
      </c>
      <c r="G21" s="52">
        <f>SUM(G17:G19)</f>
        <v>25</v>
      </c>
      <c r="H21" s="34">
        <f>IF($G$45&lt;&gt;0,G21/$G$45,"")</f>
        <v>8.8967971530249115E-2</v>
      </c>
      <c r="I21" s="61"/>
      <c r="J21" s="54"/>
      <c r="K21" s="55">
        <f>SUM(K17:K20)</f>
        <v>25</v>
      </c>
      <c r="L21" s="36">
        <f>IF('Sumário 2'!L11&lt;&gt;0,K21/'Sumário 2'!L11,"")</f>
        <v>8.8967971530249115E-2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102</v>
      </c>
      <c r="C24" s="52">
        <f>COUNTIF(Funções!G8:G632,"CEL")</f>
        <v>0</v>
      </c>
      <c r="D24" s="51"/>
      <c r="E24" s="53" t="s">
        <v>124</v>
      </c>
      <c r="F24" s="53" t="s">
        <v>125</v>
      </c>
      <c r="G24" s="52">
        <f>C24*3</f>
        <v>0</v>
      </c>
      <c r="H24" s="51"/>
      <c r="I24" s="51"/>
      <c r="J24" s="54" t="str">
        <f>Deflatores!$G$4&amp;"="</f>
        <v>I=</v>
      </c>
      <c r="K24" s="55">
        <f>SUMIF(Funções!$J$8:$J$632,"CE"&amp;Deflatores!$G$4,Funções!$L$8:$L$632)</f>
        <v>148</v>
      </c>
      <c r="L24" s="56"/>
    </row>
    <row r="25" spans="1:12" ht="13.5" x14ac:dyDescent="0.25">
      <c r="A25" s="57"/>
      <c r="B25" s="51"/>
      <c r="C25" s="52">
        <f>COUNTIF(Funções!G8:G632,"CEA")</f>
        <v>37</v>
      </c>
      <c r="D25" s="51"/>
      <c r="E25" s="53" t="s">
        <v>126</v>
      </c>
      <c r="F25" s="53" t="s">
        <v>127</v>
      </c>
      <c r="G25" s="52">
        <f>C25*4</f>
        <v>148</v>
      </c>
      <c r="H25" s="51"/>
      <c r="I25" s="51"/>
      <c r="J25" s="54" t="str">
        <f>Deflatores!$G$5&amp;"="</f>
        <v>A=</v>
      </c>
      <c r="K25" s="55">
        <f>SUMIF(Funções!$J$8:$J$632,"CE"&amp;Deflatores!$G$5,Funções!$L$8:$L$632)</f>
        <v>0</v>
      </c>
      <c r="L25" s="56"/>
    </row>
    <row r="26" spans="1:12" ht="13.5" x14ac:dyDescent="0.25">
      <c r="A26" s="57"/>
      <c r="B26" s="51"/>
      <c r="C26" s="52">
        <f>COUNTIF(Funções!G8:G632,"CEH")</f>
        <v>0</v>
      </c>
      <c r="D26" s="51"/>
      <c r="E26" s="53" t="s">
        <v>128</v>
      </c>
      <c r="F26" s="53" t="s">
        <v>129</v>
      </c>
      <c r="G26" s="52">
        <f>C26*6</f>
        <v>0</v>
      </c>
      <c r="H26" s="51"/>
      <c r="I26" s="51"/>
      <c r="J26" s="54" t="str">
        <f>Deflatores!$G$6&amp;"="</f>
        <v>E=</v>
      </c>
      <c r="K26" s="55">
        <f>SUMIF(Funções!$J$8:$J$632,"CE"&amp;Deflatores!$G$6,Funções!$L$8:$L$632)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130</v>
      </c>
      <c r="C28" s="52">
        <f>SUM(C24:C26)</f>
        <v>37</v>
      </c>
      <c r="D28" s="51"/>
      <c r="E28" s="51"/>
      <c r="F28" s="60" t="s">
        <v>131</v>
      </c>
      <c r="G28" s="52">
        <f>SUM(G24:G26)</f>
        <v>148</v>
      </c>
      <c r="H28" s="34">
        <f>IF($G$45&lt;&gt;0,G28/$G$45,"")</f>
        <v>0.5266903914590747</v>
      </c>
      <c r="I28" s="61"/>
      <c r="J28" s="54"/>
      <c r="K28" s="55">
        <f>SUM(K24:K27)</f>
        <v>148</v>
      </c>
      <c r="L28" s="36">
        <f>IF('Sumário 2'!L11&lt;&gt;0,K28/'Sumário 2'!L11,"")</f>
        <v>0.5266903914590747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98</v>
      </c>
      <c r="C31" s="52">
        <f>COUNTIF(Funções!G8:G632,"ALIL")</f>
        <v>6</v>
      </c>
      <c r="D31" s="51"/>
      <c r="E31" s="51" t="s">
        <v>124</v>
      </c>
      <c r="F31" s="51" t="s">
        <v>133</v>
      </c>
      <c r="G31" s="52">
        <f>C31*7</f>
        <v>42</v>
      </c>
      <c r="H31" s="51"/>
      <c r="I31" s="51"/>
      <c r="J31" s="54" t="str">
        <f>Deflatores!$G$4&amp;"="</f>
        <v>I=</v>
      </c>
      <c r="K31" s="55">
        <f>SUMIF(Funções!$J$8:$J$632,"ALI"&amp;Deflatores!$G$4,Funções!$L$8:$L$632)</f>
        <v>42</v>
      </c>
      <c r="L31" s="56"/>
    </row>
    <row r="32" spans="1:12" ht="13.5" x14ac:dyDescent="0.25">
      <c r="A32" s="57"/>
      <c r="B32" s="51"/>
      <c r="C32" s="52">
        <f>COUNTIF(Funções!G8:G632,"ALIA")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SUMIF(Funções!$J$8:$J$632,"ALI"&amp;Deflatores!$G$5,Funções!$L$8:$L$632)</f>
        <v>0</v>
      </c>
      <c r="L32" s="56"/>
    </row>
    <row r="33" spans="1:12" ht="13.5" x14ac:dyDescent="0.25">
      <c r="A33" s="57"/>
      <c r="B33" s="51"/>
      <c r="C33" s="52">
        <f>COUNTIF(Funções!G8:G632,"ALIH")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SUMIF(Funções!$J$8:$J$632,"ALI"&amp;Deflatores!$G$6,Funções!$L$8:$L$632)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130</v>
      </c>
      <c r="C35" s="52">
        <f>SUM(C31:C33)</f>
        <v>6</v>
      </c>
      <c r="D35" s="51"/>
      <c r="E35" s="51"/>
      <c r="F35" s="60" t="s">
        <v>131</v>
      </c>
      <c r="G35" s="52">
        <f>SUM(G31:G33)</f>
        <v>42</v>
      </c>
      <c r="H35" s="34">
        <f>IF($G$45&lt;&gt;0,G35/$G$45,"")</f>
        <v>0.1494661921708185</v>
      </c>
      <c r="I35" s="61"/>
      <c r="J35" s="54"/>
      <c r="K35" s="55">
        <f>SUM(K31:K34)</f>
        <v>42</v>
      </c>
      <c r="L35" s="36">
        <f>IF('Sumário 2'!L11&lt;&gt;0,K35/'Sumário 2'!L11,"")</f>
        <v>0.1494661921708185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99</v>
      </c>
      <c r="C38" s="52">
        <f>COUNTIF(Funções!G8:G632,"AIEL")</f>
        <v>2</v>
      </c>
      <c r="D38" s="51"/>
      <c r="E38" s="51" t="s">
        <v>124</v>
      </c>
      <c r="F38" s="51" t="s">
        <v>132</v>
      </c>
      <c r="G38" s="52">
        <f>C38*5</f>
        <v>10</v>
      </c>
      <c r="H38" s="51"/>
      <c r="I38" s="51"/>
      <c r="J38" s="54" t="str">
        <f>Deflatores!$G$4&amp;"="</f>
        <v>I=</v>
      </c>
      <c r="K38" s="55">
        <f>SUMIF(Funções!$J$8:$J$632,"AIE"&amp;Deflatores!$G$4,Funções!$L$8:$L$632)</f>
        <v>10</v>
      </c>
      <c r="L38" s="56"/>
    </row>
    <row r="39" spans="1:12" ht="13.5" x14ac:dyDescent="0.25">
      <c r="A39" s="57"/>
      <c r="B39" s="51"/>
      <c r="C39" s="52">
        <f>COUNTIF(Funções!G8:G632,"AIEA")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SUMIF(Funções!$J$8:$J$632,"AIE"&amp;Deflatores!$G$5,Funções!$L$8:$L$632)</f>
        <v>0</v>
      </c>
      <c r="L39" s="56"/>
    </row>
    <row r="40" spans="1:12" ht="13.5" x14ac:dyDescent="0.25">
      <c r="A40" s="57"/>
      <c r="B40" s="51"/>
      <c r="C40" s="52">
        <f>COUNTIF(Funções!G8:G632,"AIEH")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SUMIF(Funções!$J$8:$J$632,"AIE"&amp;Deflatores!$G$6,Funções!$L$8:$L$632)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130</v>
      </c>
      <c r="C42" s="52">
        <f>SUM(C38:C40)</f>
        <v>2</v>
      </c>
      <c r="D42" s="51"/>
      <c r="E42" s="51"/>
      <c r="F42" s="60" t="s">
        <v>131</v>
      </c>
      <c r="G42" s="52">
        <f>SUM(G38:G40)</f>
        <v>10</v>
      </c>
      <c r="H42" s="34">
        <f>IF($G$45&lt;&gt;0,G42/$G$45,"")</f>
        <v>3.5587188612099648E-2</v>
      </c>
      <c r="I42" s="61"/>
      <c r="J42" s="54"/>
      <c r="K42" s="55">
        <f>SUM(K38:K41)</f>
        <v>10</v>
      </c>
      <c r="L42" s="36">
        <f>IF('Sumário 2'!L11&lt;&gt;0,K42/'Sumário 2'!L11,"")</f>
        <v>3.5587188612099648E-2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63" t="s">
        <v>136</v>
      </c>
      <c r="C45" s="163"/>
      <c r="D45" s="163"/>
      <c r="E45" s="163"/>
      <c r="F45" s="163"/>
      <c r="G45" s="52">
        <f>SUM(G14+G21+G28+G35+G42)</f>
        <v>281</v>
      </c>
      <c r="H45" s="51"/>
      <c r="I45" s="51"/>
      <c r="J45" s="51"/>
      <c r="K45" s="51"/>
      <c r="L45" s="56"/>
    </row>
    <row r="46" spans="1:12" ht="13.5" x14ac:dyDescent="0.25">
      <c r="A46" s="57"/>
      <c r="B46" s="163" t="s">
        <v>137</v>
      </c>
      <c r="C46" s="163"/>
      <c r="D46" s="163"/>
      <c r="E46" s="163"/>
      <c r="F46" s="163"/>
      <c r="G46" s="52">
        <f>(C10+C11+C12)*4+(C17+C18+C19)*5+(C24+C25+C26)*4+(C31+C32+C33)*7+(C38+C39+C40)*5</f>
        <v>281</v>
      </c>
      <c r="H46" s="51"/>
      <c r="I46" s="51"/>
      <c r="J46" s="51"/>
      <c r="K46" s="51"/>
      <c r="L46" s="56"/>
    </row>
    <row r="47" spans="1:12" ht="13.5" x14ac:dyDescent="0.25">
      <c r="A47" s="57"/>
      <c r="B47" s="163" t="s">
        <v>138</v>
      </c>
      <c r="C47" s="163"/>
      <c r="D47" s="163"/>
      <c r="E47" s="163"/>
      <c r="F47" s="163"/>
      <c r="G47" s="52">
        <f>(C31+C32+C33)*35+(C38+C39+C40)*15</f>
        <v>240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  <mergeCell ref="B45:F45"/>
    <mergeCell ref="B46:F46"/>
    <mergeCell ref="B47:F47"/>
    <mergeCell ref="A7:B8"/>
    <mergeCell ref="C7:F8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42" t="s">
        <v>139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3" x14ac:dyDescent="0.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13" x14ac:dyDescent="0.2">
      <c r="A4" s="168" t="str">
        <f>Contagem!A5&amp;" : "&amp;Contagem!F5</f>
        <v>Aplicação : Banco de Talentos</v>
      </c>
      <c r="B4" s="168"/>
      <c r="C4" s="168"/>
      <c r="D4" s="168"/>
      <c r="E4" s="168"/>
      <c r="F4" s="147" t="str">
        <f>Contagem!A8&amp;" : "&amp;Contagem!F8</f>
        <v xml:space="preserve">Projeto : Serviço de Agendamento do SGA </v>
      </c>
      <c r="G4" s="147"/>
      <c r="H4" s="147"/>
      <c r="I4" s="147"/>
      <c r="J4" s="147"/>
      <c r="K4" s="147"/>
      <c r="L4" s="147"/>
      <c r="M4" s="147"/>
    </row>
    <row r="5" spans="1:13" x14ac:dyDescent="0.2">
      <c r="A5" s="170" t="str">
        <f>Contagem!A9&amp;" : "&amp;Contagem!F9</f>
        <v>Responsável : Jonathas Gomes Marques</v>
      </c>
      <c r="B5" s="170"/>
      <c r="C5" s="170"/>
      <c r="D5" s="170"/>
      <c r="E5" s="170"/>
      <c r="F5" s="147" t="str">
        <f>Contagem!A10&amp;" : "&amp;Contagem!F10</f>
        <v xml:space="preserve">Revisor : </v>
      </c>
      <c r="G5" s="147"/>
      <c r="H5" s="147"/>
      <c r="I5" s="147"/>
      <c r="J5" s="147"/>
      <c r="K5" s="147"/>
      <c r="L5" s="147"/>
      <c r="M5" s="147"/>
    </row>
    <row r="6" spans="1:13" x14ac:dyDescent="0.2">
      <c r="A6" s="170" t="str">
        <f>Contagem!A4&amp;" : "&amp;Contagem!F4</f>
        <v>Empresa : Secretaria de Estado de Planejamento e Gestão de MT</v>
      </c>
      <c r="B6" s="170"/>
      <c r="C6" s="170"/>
      <c r="D6" s="170"/>
      <c r="E6" s="170"/>
      <c r="F6" s="147" t="str">
        <f>"Tipo de Contagem : "&amp;Contagem!F6</f>
        <v>Tipo de Contagem : Projeto de Desenvolvimento</v>
      </c>
      <c r="G6" s="147"/>
      <c r="H6" s="147"/>
      <c r="I6" s="147"/>
      <c r="J6" s="147"/>
      <c r="K6" s="147"/>
      <c r="L6" s="147"/>
      <c r="M6" s="147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1"/>
      <c r="C8" s="171"/>
      <c r="D8" s="171"/>
      <c r="E8" s="171"/>
      <c r="F8" s="171"/>
      <c r="G8" s="171"/>
      <c r="H8" s="171"/>
      <c r="I8" s="171"/>
      <c r="J8" s="61"/>
      <c r="K8" s="61"/>
      <c r="L8" s="61"/>
      <c r="M8" s="85"/>
    </row>
    <row r="9" spans="1:13" ht="13.5" x14ac:dyDescent="0.25">
      <c r="A9" s="84"/>
      <c r="B9" s="172" t="s">
        <v>140</v>
      </c>
      <c r="C9" s="172"/>
      <c r="D9" s="172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25">
      <c r="A10" s="84"/>
      <c r="B10" s="139" t="str">
        <f>""&amp;Deflatores!B4</f>
        <v>Inclusão</v>
      </c>
      <c r="C10" s="139"/>
      <c r="D10" s="25" t="str">
        <f>""&amp;Deflatores!G4</f>
        <v>I</v>
      </c>
      <c r="E10" s="108">
        <f>IF(D10="","",COUNTIF(Funções!C$8:C$632,D10))</f>
        <v>64</v>
      </c>
      <c r="F10" s="109">
        <f>SUMIF(Funções!$C$8:$C$632,Deflatores!G4,Funções!$H$8:$H$632)</f>
        <v>281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281</v>
      </c>
      <c r="J10" s="112">
        <f t="shared" ref="J10:J44" si="0">IF($L$11&lt;&gt;0,I10/$L$11,"")</f>
        <v>1</v>
      </c>
      <c r="K10" s="61"/>
      <c r="L10" s="42" t="s">
        <v>4</v>
      </c>
      <c r="M10" s="56"/>
    </row>
    <row r="11" spans="1:13" ht="13.5" customHeight="1" x14ac:dyDescent="0.25">
      <c r="A11" s="84"/>
      <c r="B11" s="139" t="str">
        <f>""&amp;Deflatores!B5</f>
        <v>Alteração (sem conhecimento do Fator de Impacto)</v>
      </c>
      <c r="C11" s="139"/>
      <c r="D11" s="25" t="str">
        <f>""&amp;Deflatores!G5</f>
        <v>A</v>
      </c>
      <c r="E11" s="108">
        <f>IF(D11="","",COUNTIF(Funções!C$8:C$632,D11))</f>
        <v>0</v>
      </c>
      <c r="F11" s="109">
        <f>SUMIF(Funções!$C$8:$C$632,Deflatores!G5,Funções!$H$8:$H$632)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281</v>
      </c>
      <c r="M11" s="56"/>
    </row>
    <row r="12" spans="1:13" ht="13.5" customHeight="1" x14ac:dyDescent="0.25">
      <c r="A12" s="84"/>
      <c r="B12" s="139" t="str">
        <f>""&amp;Deflatores!B6</f>
        <v>Exclusão</v>
      </c>
      <c r="C12" s="139"/>
      <c r="D12" s="25" t="str">
        <f>""&amp;Deflatores!G6</f>
        <v>E</v>
      </c>
      <c r="E12" s="108">
        <f>IF(D12="","",COUNTIF(Funções!C$8:C$632,D12))</f>
        <v>0</v>
      </c>
      <c r="F12" s="109">
        <f>SUMIF(Funções!$C$8:$C$632,Deflatores!G6,Funções!$H$8:$H$632)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39" t="str">
        <f>""&amp;Deflatores!B7</f>
        <v>Alteração (50%) de função desenvolvida ou já alterada pela empresa atual</v>
      </c>
      <c r="C13" s="139"/>
      <c r="D13" s="25" t="str">
        <f>""&amp;Deflatores!G7</f>
        <v>A50</v>
      </c>
      <c r="E13" s="108">
        <f>IF(D13="","",COUNTIF(Funções!C$8:C$632,D13))</f>
        <v>0</v>
      </c>
      <c r="F13" s="109">
        <f>SUMIF(Funções!$C$8:$C$632,Deflatores!G7,Funções!$H$8:$H$632)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144</v>
      </c>
      <c r="M13" s="56"/>
    </row>
    <row r="14" spans="1:13" ht="13.5" customHeight="1" x14ac:dyDescent="0.25">
      <c r="A14" s="84"/>
      <c r="B14" s="139" t="str">
        <f>""&amp;Deflatores!B8</f>
        <v>Alteração (75%) de função não desenv. e ainda não alterada pela empresa atual</v>
      </c>
      <c r="C14" s="139"/>
      <c r="D14" s="25" t="str">
        <f>""&amp;Deflatores!G8</f>
        <v>A75</v>
      </c>
      <c r="E14" s="108">
        <f>IF(D14="","",COUNTIF(Funções!C$8:C$632,D14))</f>
        <v>0</v>
      </c>
      <c r="F14" s="109">
        <f>SUMIF(Funções!$C$8:$C$632,Deflatores!G8,Funções!$H$8:$H$632)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281</v>
      </c>
      <c r="M14" s="56"/>
    </row>
    <row r="15" spans="1:13" ht="13.5" customHeight="1" x14ac:dyDescent="0.2">
      <c r="A15" s="84"/>
      <c r="B15" s="139" t="str">
        <f>""&amp;Deflatores!B9</f>
        <v>Alteração (75%+15%): o mesmo acima + redocumentar a função</v>
      </c>
      <c r="C15" s="139"/>
      <c r="D15" s="25" t="str">
        <f>""&amp;Deflatores!G9</f>
        <v>A90</v>
      </c>
      <c r="E15" s="108">
        <f>IF(D15="","",COUNTIF(Funções!C$8:C$632,D15))</f>
        <v>0</v>
      </c>
      <c r="F15" s="109">
        <f>SUMIF(Funções!$C$8:$C$632,Deflatores!G9,Funções!$H$8:$H$632)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39" t="str">
        <f>""&amp;Deflatores!B10</f>
        <v>Migração de Dados</v>
      </c>
      <c r="C16" s="139"/>
      <c r="D16" s="25" t="str">
        <f>""&amp;Deflatores!G10</f>
        <v>PMD</v>
      </c>
      <c r="E16" s="108">
        <f>IF(D16="","",COUNTIF(Funções!C$8:C$632,D16))</f>
        <v>0</v>
      </c>
      <c r="F16" s="109">
        <f>SUMIF(Funções!$C$8:$C$632,Deflatores!G10,Funções!$H$8:$H$632)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39" t="str">
        <f>""&amp;Deflatores!B11</f>
        <v>Corretiva (sem conhecimento do Fator de Impacto)</v>
      </c>
      <c r="C17" s="139"/>
      <c r="D17" s="25" t="str">
        <f>""&amp;Deflatores!G11</f>
        <v>COR</v>
      </c>
      <c r="E17" s="108">
        <f>IF(D17="","",COUNTIF(Funções!C$8:C$632,D17))</f>
        <v>0</v>
      </c>
      <c r="F17" s="109">
        <f>SUMIF(Funções!$C$8:$C$632,Deflatores!G11,Funções!$H$8:$H$632)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39" t="str">
        <f>""&amp;Deflatores!B12</f>
        <v>Corretiva (50%) - Fora da garantia (mesma empresa)</v>
      </c>
      <c r="C18" s="139"/>
      <c r="D18" s="25" t="str">
        <f>""&amp;Deflatores!G12</f>
        <v>COR50</v>
      </c>
      <c r="E18" s="108">
        <f>IF(D18="","",COUNTIF(Funções!C$8:C$632,D18))</f>
        <v>0</v>
      </c>
      <c r="F18" s="109">
        <f>SUMIF(Funções!$C$8:$C$632,Deflatores!G12,Funções!$H$8:$H$632)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39" t="str">
        <f>""&amp;Deflatores!B13</f>
        <v>Corretiva (75%) - Fora da garantia (outra empresa)</v>
      </c>
      <c r="C19" s="139"/>
      <c r="D19" s="25" t="str">
        <f>""&amp;Deflatores!G13</f>
        <v>COR75</v>
      </c>
      <c r="E19" s="108">
        <f>IF(D19="","",COUNTIF(Funções!C$8:C$632,D19))</f>
        <v>0</v>
      </c>
      <c r="F19" s="109">
        <f>SUMIF(Funções!$C$8:$C$632,Deflatores!G13,Funções!$H$8:$H$632)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39" t="str">
        <f>""&amp;Deflatores!B14</f>
        <v>Corretiva (75%+15%) - Fora da garantia (outra empresa) + Redocumentação</v>
      </c>
      <c r="C20" s="139"/>
      <c r="D20" s="25" t="str">
        <f>""&amp;Deflatores!G14</f>
        <v>COR90</v>
      </c>
      <c r="E20" s="108">
        <f>IF(D20="","",COUNTIF(Funções!C$8:C$632,D20))</f>
        <v>0</v>
      </c>
      <c r="F20" s="109">
        <f>SUMIF(Funções!$C$8:$C$632,Deflatores!G14,Funções!$H$8:$H$632)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39" t="str">
        <f>""&amp;Deflatores!B15</f>
        <v>Corretiva em Garantia</v>
      </c>
      <c r="C21" s="139"/>
      <c r="D21" s="25" t="str">
        <f>""&amp;Deflatores!G15</f>
        <v>GAR</v>
      </c>
      <c r="E21" s="108">
        <f>IF(D21="","",COUNTIF(Funções!C$8:C$632,D21))</f>
        <v>0</v>
      </c>
      <c r="F21" s="109">
        <f>SUMIF(Funções!$C$8:$C$632,Deflatores!G15,Funções!$H$8:$H$632)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39" t="str">
        <f>""&amp;Deflatores!B16</f>
        <v>Mudança de Plataforma - Linguagem de Programação</v>
      </c>
      <c r="C22" s="139"/>
      <c r="D22" s="25" t="str">
        <f>""&amp;Deflatores!G16</f>
        <v>MLP</v>
      </c>
      <c r="E22" s="108">
        <f>IF(D22="","",COUNTIF(Funções!C$8:C$632,D22))</f>
        <v>0</v>
      </c>
      <c r="F22" s="109">
        <f>SUMIF(Funções!$C$8:$C$632,Deflatores!G16,Funções!$H$8:$H$632)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39" t="str">
        <f>""&amp;Deflatores!B17</f>
        <v>Mudança de Plataforma - Banco de Dados (outro paradigma)</v>
      </c>
      <c r="C23" s="139"/>
      <c r="D23" s="25" t="str">
        <f>""&amp;Deflatores!G17</f>
        <v>MBO</v>
      </c>
      <c r="E23" s="108">
        <f>IF(D23="","",COUNTIF(Funções!C$8:C$632,D23))</f>
        <v>0</v>
      </c>
      <c r="F23" s="109">
        <f>SUMIF(Funções!$C$8:$C$632,Deflatores!G17,Funções!$H$8:$H$632)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39" t="str">
        <f>""&amp;Deflatores!B18</f>
        <v>Mudança de Plataforma - Banco de Dados (mesmo paradigma com alterações)</v>
      </c>
      <c r="C24" s="139"/>
      <c r="D24" s="25" t="str">
        <f>""&amp;Deflatores!G18</f>
        <v>MBM</v>
      </c>
      <c r="E24" s="108">
        <f>IF(D24="","",COUNTIF(Funções!C$8:C$632,D24))</f>
        <v>0</v>
      </c>
      <c r="F24" s="109">
        <f>SUMIF(Funções!$C$8:$C$632,Deflatores!G18,Funções!$H$8:$H$632)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39" t="str">
        <f>""&amp;Deflatores!B19</f>
        <v>Atualização de Versão – Linguagem de Programação</v>
      </c>
      <c r="C25" s="139"/>
      <c r="D25" s="25" t="str">
        <f>""&amp;Deflatores!G19</f>
        <v>ALP</v>
      </c>
      <c r="E25" s="108">
        <f>IF(D25="","",COUNTIF(Funções!C$8:C$632,D25))</f>
        <v>0</v>
      </c>
      <c r="F25" s="109">
        <f>SUMIF(Funções!$C$8:$C$632,Deflatores!G19,Funções!$H$8:$H$632)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39" t="str">
        <f>""&amp;Deflatores!B20</f>
        <v>Atualização de Versão – Browser</v>
      </c>
      <c r="C26" s="139"/>
      <c r="D26" s="25" t="str">
        <f>""&amp;Deflatores!G20</f>
        <v>AVB</v>
      </c>
      <c r="E26" s="108">
        <f>IF(D26="","",COUNTIF(Funções!C$8:C$632,D26))</f>
        <v>0</v>
      </c>
      <c r="F26" s="109">
        <f>SUMIF(Funções!$C$8:$C$632,Deflatores!G20,Funções!$H$8:$H$632)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39" t="str">
        <f>""&amp;Deflatores!B21</f>
        <v>Atualização de Versão – Banco de Dados</v>
      </c>
      <c r="C27" s="139"/>
      <c r="D27" s="25" t="str">
        <f>""&amp;Deflatores!G21</f>
        <v>ABD</v>
      </c>
      <c r="E27" s="108">
        <f>IF(D27="","",COUNTIF(Funções!C$8:C$632,D27))</f>
        <v>0</v>
      </c>
      <c r="F27" s="109">
        <f>SUMIF(Funções!$C$8:$C$632,Deflatores!G21,Funções!$H$8:$H$632)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39" t="str">
        <f>""&amp;Deflatores!B22</f>
        <v>Manutenção Cosmética</v>
      </c>
      <c r="C28" s="139"/>
      <c r="D28" s="25" t="str">
        <f>""&amp;Deflatores!G22</f>
        <v>COS</v>
      </c>
      <c r="E28" s="108">
        <f>IF(D28="","",COUNTIF(Funções!C$8:C$632,D28))</f>
        <v>0</v>
      </c>
      <c r="F28" s="109">
        <f>SUMIF(Funções!$C$8:$C$632,Deflatores!G22,Funções!$H$8:$H$632)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59" t="str">
        <f>""&amp;Deflatores!B23</f>
        <v>Adaptação em Funcionalidades sem Alteração de Requisitos Funcionais
(sem conhecimento do Fator de Impacto)</v>
      </c>
      <c r="C29" s="161"/>
      <c r="D29" s="25" t="str">
        <f>""&amp;Deflatores!G23</f>
        <v>ARN</v>
      </c>
      <c r="E29" s="108">
        <f>IF(D29="","",COUNTIF(Funções!C$8:C$632,D29))</f>
        <v>0</v>
      </c>
      <c r="F29" s="109">
        <f>SUMIF(Funções!$C$8:$C$632,Deflatores!G23,Funções!$H$8:$H$632)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59" t="str">
        <f>""&amp;Deflatores!B24</f>
        <v>Adaptação em Funcionalidades sem Alteração de Requisitos Funcionais (50%)
(em função desenvolvida ou já alterada pela empresa atual)</v>
      </c>
      <c r="C30" s="161"/>
      <c r="D30" s="25" t="str">
        <f>""&amp;Deflatores!G24</f>
        <v>ARN50</v>
      </c>
      <c r="E30" s="108">
        <f>IF(D30="","",COUNTIF(Funções!C$8:C$632,D30))</f>
        <v>0</v>
      </c>
      <c r="F30" s="109">
        <f>SUMIF(Funções!$C$8:$C$632,Deflatores!G24,Funções!$H$8:$H$632)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59" t="str">
        <f>""&amp;Deflatores!B25</f>
        <v>Adaptação em Funcionalidades sem Alteração de Requisitos Funcionais (75%)
(em função não desenvolvida e ainda não alterada pela empresa atual)</v>
      </c>
      <c r="C31" s="161"/>
      <c r="D31" s="25" t="str">
        <f>""&amp;Deflatores!G25</f>
        <v>ARN75</v>
      </c>
      <c r="E31" s="108">
        <f>IF(D31="","",COUNTIF(Funções!C$8:C$632,D31))</f>
        <v>0</v>
      </c>
      <c r="F31" s="109">
        <f>SUMIF(Funções!$C$8:$C$632,Deflatores!G25,Funções!$H$8:$H$632)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39" t="str">
        <f>""&amp;Deflatores!B26</f>
        <v>Atualização de Dados sem Consulta Prévia</v>
      </c>
      <c r="C32" s="139"/>
      <c r="D32" s="25" t="str">
        <f>""&amp;Deflatores!G26</f>
        <v>ADS</v>
      </c>
      <c r="E32" s="108">
        <f>IF(D32="","",COUNTIF(Funções!C$8:C$632,D32))</f>
        <v>0</v>
      </c>
      <c r="F32" s="109">
        <f>SUMIF(Funções!$C$8:$C$632,Deflatores!G26,Funções!$H$8:$H$632)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39" t="str">
        <f>""&amp;Deflatores!B27</f>
        <v>Consulta Prévia sem Atualização</v>
      </c>
      <c r="C33" s="139"/>
      <c r="D33" s="25" t="str">
        <f>""&amp;Deflatores!G27</f>
        <v>CPA</v>
      </c>
      <c r="E33" s="108">
        <f>IF(D33="","",COUNTIF(Funções!C$8:C$632,D33))</f>
        <v>0</v>
      </c>
      <c r="F33" s="109">
        <f>SUMIF(Funções!$C$8:$C$632,Deflatores!G27,Funções!$H$8:$H$632)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39" t="str">
        <f>""&amp;Deflatores!B28</f>
        <v>Atualização de Dados com Consulta Prévia</v>
      </c>
      <c r="C34" s="139"/>
      <c r="D34" s="25" t="str">
        <f>""&amp;Deflatores!G28</f>
        <v>ADC</v>
      </c>
      <c r="E34" s="108">
        <f>IF(D34="","",COUNTIF(Funções!C$8:C$632,D34))</f>
        <v>0</v>
      </c>
      <c r="F34" s="109">
        <f>SUMIF(Funções!$C$8:$C$632,Deflatores!G28,Funções!$H$8:$H$632)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39" t="str">
        <f>""&amp;Deflatores!B29</f>
        <v>Apuração Especial – Geração de Relatórios</v>
      </c>
      <c r="C35" s="139"/>
      <c r="D35" s="25" t="str">
        <f>""&amp;Deflatores!G29</f>
        <v>AGR</v>
      </c>
      <c r="E35" s="108">
        <f>IF(D35="","",COUNTIF(Funções!C$8:C$632,D35))</f>
        <v>0</v>
      </c>
      <c r="F35" s="109">
        <f>SUMIF(Funções!$C$8:$C$632,Deflatores!G29,Funções!$H$8:$H$632)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39" t="str">
        <f>""&amp;Deflatores!B30</f>
        <v>Apuração Especial – Reexecução</v>
      </c>
      <c r="C36" s="139"/>
      <c r="D36" s="25" t="str">
        <f>""&amp;Deflatores!G30</f>
        <v>AER</v>
      </c>
      <c r="E36" s="108">
        <f>IF(D36="","",COUNTIF(Funções!C$8:C$632,D36))</f>
        <v>0</v>
      </c>
      <c r="F36" s="109">
        <f>SUMIF(Funções!$C$8:$C$632,Deflatores!G30,Funções!$H$8:$H$632)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39" t="str">
        <f>""&amp;Deflatores!B31</f>
        <v>Atualização de Dados</v>
      </c>
      <c r="C37" s="139"/>
      <c r="D37" s="25" t="str">
        <f>""&amp;Deflatores!G31</f>
        <v>ATD</v>
      </c>
      <c r="E37" s="108">
        <f>IF(D37="","",COUNTIF(Funções!C$8:C$632,D37))</f>
        <v>0</v>
      </c>
      <c r="F37" s="109">
        <f>SUMIF(Funções!$C$8:$C$632,Deflatores!G31,Funções!$H$8:$H$632)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>
        <f t="shared" si="0"/>
        <v>0</v>
      </c>
      <c r="K37" s="61"/>
      <c r="L37" s="61"/>
      <c r="M37" s="85"/>
    </row>
    <row r="38" spans="1:13" ht="13.5" customHeight="1" x14ac:dyDescent="0.2">
      <c r="A38" s="84"/>
      <c r="B38" s="139" t="str">
        <f>""&amp;Deflatores!B32</f>
        <v>Manutenção de Documentação de Sistemas Legados</v>
      </c>
      <c r="C38" s="139"/>
      <c r="D38" s="25" t="str">
        <f>""&amp;Deflatores!G32</f>
        <v>MSL</v>
      </c>
      <c r="E38" s="108">
        <f>IF(D38="","",COUNTIF(Funções!C$8:C$632,D38))</f>
        <v>0</v>
      </c>
      <c r="F38" s="109">
        <f>SUMIF(Funções!$C$8:$C$632,Deflatores!G32,Funções!$H$8:$H$632)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39" t="str">
        <f>""&amp;Deflatores!B33</f>
        <v>Verificação de Erros (Sem Documentação de Teste existente)</v>
      </c>
      <c r="C39" s="139"/>
      <c r="D39" s="25" t="str">
        <f>""&amp;Deflatores!G33</f>
        <v>VES</v>
      </c>
      <c r="E39" s="108">
        <f>IF(D39="","",COUNTIF(Funções!C$8:C$632,D39))</f>
        <v>0</v>
      </c>
      <c r="F39" s="109">
        <f>SUMIF(Funções!$C$8:$C$632,Deflatores!G33,Funções!$H$8:$H$632)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39" t="str">
        <f>""&amp;Deflatores!B34</f>
        <v>Verificação de Erros (Com Documentação de Teste existente)</v>
      </c>
      <c r="C40" s="139"/>
      <c r="D40" s="25" t="str">
        <f>""&amp;Deflatores!G34</f>
        <v>VEC</v>
      </c>
      <c r="E40" s="108">
        <f>IF(D40="","",COUNTIF(Funções!C$8:C$632,D40))</f>
        <v>0</v>
      </c>
      <c r="F40" s="109">
        <f>SUMIF(Funções!$C$8:$C$632,Deflatores!G34,Funções!$H$8:$H$632)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39" t="str">
        <f>""&amp;Deflatores!B35</f>
        <v>Pontos de Função de Teste</v>
      </c>
      <c r="C41" s="139"/>
      <c r="D41" s="25" t="str">
        <f>""&amp;Deflatores!G35</f>
        <v>PFT</v>
      </c>
      <c r="E41" s="108">
        <f>IF(D41="","",COUNTIF(Funções!C$8:C$632,D41))</f>
        <v>0</v>
      </c>
      <c r="F41" s="109">
        <f>SUMIF(Funções!$C$8:$C$632,Deflatores!G35,Funções!$H$8:$H$632)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39" t="str">
        <f>""&amp;Deflatores!B36</f>
        <v>Componente Interno Reusável</v>
      </c>
      <c r="C42" s="139"/>
      <c r="D42" s="25" t="str">
        <f>""&amp;Deflatores!G36</f>
        <v>CIR</v>
      </c>
      <c r="E42" s="108">
        <f>IF(D42="","",COUNTIF(Funções!C$8:C$632,D42))</f>
        <v>0</v>
      </c>
      <c r="F42" s="109">
        <f>SUMIF(Funções!$C$8:$C$632,Deflatores!G36,Funções!$H$8:$H$632)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39" t="str">
        <f>""&amp;Deflatores!B37</f>
        <v/>
      </c>
      <c r="C43" s="139"/>
      <c r="D43" s="25" t="str">
        <f>""&amp;Deflatores!G37</f>
        <v xml:space="preserve">           .</v>
      </c>
      <c r="E43" s="108">
        <f>IF(D43="","",COUNTIF(Funções!C$8:C$632,D43))</f>
        <v>0</v>
      </c>
      <c r="F43" s="109">
        <f>SUMIF(Funções!$C$8:$C$632,Deflatores!G37,Funções!$H$8:$H$632)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39" t="str">
        <f>""&amp;Deflatores!B38</f>
        <v/>
      </c>
      <c r="C44" s="139"/>
      <c r="D44" s="25" t="str">
        <f>""&amp;Deflatores!G38</f>
        <v xml:space="preserve">           .</v>
      </c>
      <c r="E44" s="108">
        <f>IF(D44="","",COUNTIF(Funções!C$8:C$632,D44))</f>
        <v>0</v>
      </c>
      <c r="F44" s="109">
        <f>SUMIF(Funções!$C$8:$C$632,Deflatores!G38,Funções!$H$8:$H$632)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69" t="s">
        <v>145</v>
      </c>
      <c r="C46" s="169"/>
      <c r="D46" s="169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25">
      <c r="A47" s="84"/>
      <c r="B47" s="139" t="str">
        <f>""&amp;Deflatores!B42</f>
        <v>Páginas Estáticas</v>
      </c>
      <c r="C47" s="139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39" t="str">
        <f>""&amp;Deflatores!B43</f>
        <v>Manutenção Cosmética (atrelada a algo não funcional)</v>
      </c>
      <c r="C48" s="139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39" t="str">
        <f>""&amp;Deflatores!B44</f>
        <v>Dados de Código</v>
      </c>
      <c r="C49" s="139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39" t="str">
        <f>""&amp;Deflatores!B45</f>
        <v/>
      </c>
      <c r="C50" s="139"/>
      <c r="D50" s="38" t="str">
        <f>""&amp;Deflatores!G45</f>
        <v xml:space="preserve">           .</v>
      </c>
      <c r="E50" s="39">
        <f>Deflatores!J45</f>
        <v>1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39" t="str">
        <f>""&amp;Deflatores!B46</f>
        <v/>
      </c>
      <c r="C51" s="139"/>
      <c r="D51" s="38" t="str">
        <f>""&amp;Deflatores!G46</f>
        <v xml:space="preserve">           .</v>
      </c>
      <c r="E51" s="39">
        <f>Deflatores!J46</f>
        <v>1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39" t="str">
        <f>""&amp;Deflatores!B47</f>
        <v/>
      </c>
      <c r="C52" s="139"/>
      <c r="D52" s="38" t="str">
        <f>""&amp;Deflatores!G47</f>
        <v xml:space="preserve">           .</v>
      </c>
      <c r="E52" s="39">
        <f>Deflatores!J47</f>
        <v>1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39" t="str">
        <f>""&amp;Deflatores!B48</f>
        <v/>
      </c>
      <c r="C53" s="139"/>
      <c r="D53" s="38" t="str">
        <f>""&amp;Deflatores!G48</f>
        <v xml:space="preserve">           .</v>
      </c>
      <c r="E53" s="39">
        <f>Deflatores!J48</f>
        <v>1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39" t="str">
        <f>""&amp;Deflatores!B49</f>
        <v/>
      </c>
      <c r="C54" s="139"/>
      <c r="D54" s="38" t="str">
        <f>""&amp;Deflatores!G49</f>
        <v xml:space="preserve">           .</v>
      </c>
      <c r="E54" s="39">
        <f>Deflatores!J49</f>
        <v>1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39" t="str">
        <f>""&amp;Deflatores!B50</f>
        <v/>
      </c>
      <c r="C55" s="139"/>
      <c r="D55" s="38" t="str">
        <f>""&amp;Deflatores!G50</f>
        <v xml:space="preserve">           .</v>
      </c>
      <c r="E55" s="39">
        <f>Deflatores!J50</f>
        <v>1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39" t="str">
        <f>""&amp;Deflatores!B51</f>
        <v/>
      </c>
      <c r="C56" s="139"/>
      <c r="D56" s="38" t="str">
        <f>""&amp;Deflatores!G51</f>
        <v xml:space="preserve">           .</v>
      </c>
      <c r="E56" s="39">
        <f>Deflatores!J51</f>
        <v>1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39" t="str">
        <f>""&amp;Deflatores!B52</f>
        <v/>
      </c>
      <c r="C57" s="139"/>
      <c r="D57" s="38" t="str">
        <f>""&amp;Deflatores!G52</f>
        <v xml:space="preserve">           .</v>
      </c>
      <c r="E57" s="39">
        <f>Deflatores!J52</f>
        <v>1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39" t="str">
        <f>""&amp;Deflatores!B53</f>
        <v/>
      </c>
      <c r="C58" s="139"/>
      <c r="D58" s="38" t="str">
        <f>""&amp;Deflatores!G53</f>
        <v xml:space="preserve">           .</v>
      </c>
      <c r="E58" s="39">
        <f>Deflatores!J53</f>
        <v>1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39" t="str">
        <f>""&amp;Deflatores!B54</f>
        <v/>
      </c>
      <c r="C59" s="139"/>
      <c r="D59" s="38" t="str">
        <f>""&amp;Deflatores!G54</f>
        <v xml:space="preserve">           .</v>
      </c>
      <c r="E59" s="39">
        <f>Deflatores!J54</f>
        <v>1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39" t="str">
        <f>""&amp;Deflatores!B55</f>
        <v/>
      </c>
      <c r="C60" s="139"/>
      <c r="D60" s="38" t="str">
        <f>""&amp;Deflatores!G55</f>
        <v xml:space="preserve">           .</v>
      </c>
      <c r="E60" s="39">
        <f>Deflatores!J55</f>
        <v>1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39" t="str">
        <f>""&amp;Deflatores!B56</f>
        <v/>
      </c>
      <c r="C61" s="139"/>
      <c r="D61" s="38" t="str">
        <f>""&amp;Deflatores!G56</f>
        <v xml:space="preserve">           .</v>
      </c>
      <c r="E61" s="39">
        <f>Deflatores!J56</f>
        <v>1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39" t="str">
        <f>""&amp;Deflatores!B57</f>
        <v/>
      </c>
      <c r="C62" s="139"/>
      <c r="D62" s="38" t="str">
        <f>""&amp;Deflatores!G57</f>
        <v xml:space="preserve">           .</v>
      </c>
      <c r="E62" s="39">
        <f>Deflatores!J57</f>
        <v>1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39" t="str">
        <f>""&amp;Deflatores!B58</f>
        <v/>
      </c>
      <c r="C63" s="139"/>
      <c r="D63" s="38" t="str">
        <f>""&amp;Deflatores!G58</f>
        <v xml:space="preserve">           .</v>
      </c>
      <c r="E63" s="39">
        <f>Deflatores!J58</f>
        <v>1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39" t="str">
        <f>""&amp;Deflatores!B59</f>
        <v/>
      </c>
      <c r="C64" s="139"/>
      <c r="D64" s="38" t="str">
        <f>""&amp;Deflatores!G59</f>
        <v xml:space="preserve">           .</v>
      </c>
      <c r="E64" s="39">
        <f>Deflatores!J59</f>
        <v>1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39" t="str">
        <f>""&amp;Deflatores!B60</f>
        <v/>
      </c>
      <c r="C65" s="139"/>
      <c r="D65" s="38" t="str">
        <f>""&amp;Deflatores!G60</f>
        <v xml:space="preserve">           .</v>
      </c>
      <c r="E65" s="39">
        <f>Deflatores!J60</f>
        <v>1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39" t="str">
        <f>""&amp;Deflatores!B61</f>
        <v/>
      </c>
      <c r="C66" s="139"/>
      <c r="D66" s="38" t="str">
        <f>""&amp;Deflatores!G61</f>
        <v xml:space="preserve">           .</v>
      </c>
      <c r="E66" s="39">
        <f>Deflatores!J61</f>
        <v>1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39" t="str">
        <f>""&amp;Deflatores!B62</f>
        <v/>
      </c>
      <c r="C67" s="139"/>
      <c r="D67" s="38" t="str">
        <f>""&amp;Deflatores!G62</f>
        <v xml:space="preserve">           .</v>
      </c>
      <c r="E67" s="39">
        <f>Deflatores!J62</f>
        <v>1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39" t="str">
        <f>""&amp;Deflatores!B63</f>
        <v/>
      </c>
      <c r="C68" s="139"/>
      <c r="D68" s="38" t="str">
        <f>""&amp;Deflatores!G63</f>
        <v xml:space="preserve">           .</v>
      </c>
      <c r="E68" s="39">
        <f>Deflatores!J63</f>
        <v>1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39" t="str">
        <f>""&amp;Deflatores!B64</f>
        <v/>
      </c>
      <c r="C69" s="139"/>
      <c r="D69" s="38" t="str">
        <f>""&amp;Deflatores!G64</f>
        <v xml:space="preserve">           .</v>
      </c>
      <c r="E69" s="39">
        <f>Deflatores!J64</f>
        <v>1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6:C16"/>
    <mergeCell ref="B18:C18"/>
    <mergeCell ref="B19:C19"/>
    <mergeCell ref="B22:C22"/>
    <mergeCell ref="B17:C17"/>
    <mergeCell ref="B21:C21"/>
    <mergeCell ref="B20:C20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Sistemas;Jonathas Gomes Marques</dc:creator>
  <cp:lastModifiedBy>Jonathas Gomes Marques</cp:lastModifiedBy>
  <cp:lastPrinted>2022-06-27T17:14:12Z</cp:lastPrinted>
  <dcterms:created xsi:type="dcterms:W3CDTF">2015-06-26T19:24:40Z</dcterms:created>
  <dcterms:modified xsi:type="dcterms:W3CDTF">2025-12-05T18:21:42Z</dcterms:modified>
</cp:coreProperties>
</file>