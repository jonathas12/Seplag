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commentsmeta2"/>
  <Override ContentType="application/binary" PartName="/xl/metadata"/>
  <Override ContentType="application/binary" PartName="/xl/commentsmeta3"/>
  <Override ContentType="application/binary" PartName="/xl/commentsmeta0"/>
  <Override ContentType="application/binary" PartName="/xl/commentsmeta1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spreadsheetml.comments+xml" PartName="/xl/comments4.xml"/>
  <Override ContentType="application/vnd.openxmlformats-officedocument.spreadsheetml.comments+xml" PartName="/xl/comments3.xml"/>
  <Override ContentType="application/vnd.openxmlformats-officedocument.spreadsheetml.comments+xml" PartName="/xl/comments2.xml"/>
  <Override ContentType="application/vnd.openxmlformats-officedocument.drawingml.chart+xml" PartName="/xl/charts/chart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ontagem" sheetId="1" r:id="rId4"/>
    <sheet state="visible" name="Funções" sheetId="2" r:id="rId5"/>
    <sheet state="visible" name="Deflatores" sheetId="3" r:id="rId6"/>
    <sheet state="visible" name="Sumário 1" sheetId="4" r:id="rId7"/>
    <sheet state="visible" name="Sumário 2" sheetId="5" r:id="rId8"/>
  </sheets>
  <definedNames>
    <definedName localSheetId="1" name="TiposDeManutencao">Deflatores!$G$4:$G$38</definedName>
    <definedName localSheetId="1" name="TiposDeFuncao">Deflatores!$L$37:$L$64</definedName>
  </definedNames>
  <calcPr/>
  <extLst>
    <ext uri="GoogleSheetsCustomDataVersion2">
      <go:sheetsCustomData xmlns:go="http://customooxmlschemas.google.com/" r:id="rId9" roundtripDataChecksum="MbysNkGRNVQXfO62WWGN17kMagIg9gNFPUUlFOhZyjs="/>
    </ext>
  </extLst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Q6">
      <text>
        <t xml:space="preserve">======
ID#AAABojnFRLk
    (2025-08-01 03:30:41)
Ponto de Função Local da FS: medição para remuneração da Fábrica de Software. Equivalente à medição IFPUG. Porém, considera os deflatores e os itens não mensuráveis previstos em contrato.</t>
      </text>
    </comment>
    <comment authorId="0" ref="Q4">
      <text>
        <t xml:space="preserve">======
ID#AAABojnFRLg
    (2025-08-01 03:30:41)
Ponto de Função IFPUG: medição baseada nas regras do IFPUG. Não considerada os deflatores nem os itens não mensuráveis. Caso a funcionalidade não tenha sido detalhada, será considerada a estimativa da NESMA.</t>
      </text>
    </comment>
    <comment authorId="0" ref="Q5">
      <text>
        <t xml:space="preserve">======
ID#AAABojnFRLU
    (2025-08-01 03:30:41)
Ponto de Função Local do EM: medição para remuneração do Escritório de Métricas.Equivalente à medição IFPUG. Porém, considera os itens não mensuráveis previstos em contrato.</t>
      </text>
    </comment>
  </commentList>
  <extLst>
    <ext uri="GoogleSheetsCustomDataVersion2">
      <go:sheetsCustomData xmlns:go="http://customooxmlschemas.google.com/" r:id="rId1" roundtripDataSignature="AMtx7mg3s4C8sytlnkXJIh36dgfUE+et+A=="/>
    </ext>
  </extLst>
</comments>
</file>

<file path=xl/comments2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B7">
      <text>
        <t xml:space="preserve">======
ID#AAABojnFRL8
Tipo de Função    (2025-08-01 03:30:41)
ALI, AIE, EE, SE, CE
ou
Itens não mensuráveis</t>
      </text>
    </comment>
    <comment authorId="0" ref="E55">
      <text>
        <t xml:space="preserve">======
ID#AAABojnFRL0
Jonathas Gomes Marques    (2025-08-01 03:30:41)
- Contratos Contestados
- Consignatária
- Empresa
- Usuário
- Histórico
- Contratos Consignados</t>
      </text>
    </comment>
    <comment authorId="0" ref="F7">
      <text>
        <t xml:space="preserve">======
ID#AAABojnFRL4
    (2025-08-01 03:30:41)
Grau de complexidade específico atribuído a uma função.</t>
      </text>
    </comment>
    <comment authorId="0" ref="D31">
      <text>
        <t xml:space="preserve">======
ID#AAABojnFRLw
Jonathas Gomes Marques    (2025-08-01 03:30:41)
- Ação
- Mensagem</t>
      </text>
    </comment>
    <comment authorId="0" ref="D7">
      <text>
        <t xml:space="preserve">======
ID#AAABojnFRLo
    (2025-08-01 03:30:41)
Tipos de Dados (DETs)</t>
      </text>
    </comment>
    <comment authorId="0" ref="D19">
      <text>
        <t xml:space="preserve">======
ID#AAABojnFRLs
Jonathas Gomes Marques    (2025-08-01 03:30:41)
- CNPJ
- Consignatária
- Nº Responsáveis Cadastrados</t>
      </text>
    </comment>
    <comment authorId="0" ref="K5">
      <text>
        <t xml:space="preserve">======
ID#AAABojnFRLY
Ponto de Função Local do EM    (2025-08-01 03:30:41)
Medição para remuneração do Escritório de Métricas. Equivalente à medição IFPUG. Porém, considera os itens não mensuráveis previstos em contrato.</t>
      </text>
    </comment>
    <comment authorId="0" ref="M7">
      <text>
        <t xml:space="preserve">======
ID#AAABojnFRLM
    (2025-08-01 03:30:41)
Normalmente utilizado para contagem de baseline, onde o desenvolvimento foi realizado de forma incremental. Isto indica em qual(is) pacote(s) cada funcionalidade foi impactada. Em algumas situações pode ser informado o número do projeto, demanda ou incremento.</t>
      </text>
    </comment>
    <comment authorId="0" ref="A7">
      <text>
        <t xml:space="preserve">======
ID#AAABojBNV34
Nome da Função    (2025-08-01 03:30:41)
O processo é a menor unidade de atividade significativa para o usuário?
É auto-contido e deixa o negócio da aplicação em um estado consistente?</t>
      </text>
    </comment>
    <comment authorId="0" ref="C7">
      <text>
        <t xml:space="preserve">======
ID#AAABojBNV38
Tipo de Manutenção na função    (2025-08-01 03:30:41)
I, A, E 
ou
Itens não mensuráveis</t>
      </text>
    </comment>
    <comment authorId="0" ref="K4">
      <text>
        <t xml:space="preserve">======
ID#AAABojBNV3s
Ponto de Função IFPUG    (2025-08-01 03:30:41)
Medição baseada nas regras do IFPUG. Não considerada os deflatores nem os itens não mensuráveis. Caso a funcionalidade não tenha sido detalhada, será considerada a estimativa da NESMA.</t>
      </text>
    </comment>
    <comment authorId="0" ref="N7">
      <text>
        <t xml:space="preserve">======
ID#AAABojBNV3w
    (2025-08-01 03:30:41)
Referência ao documento que justifica a contagem da funcionalidade</t>
      </text>
    </comment>
    <comment authorId="0" ref="E7">
      <text>
        <t xml:space="preserve">======
ID#AAABojBNV3g
    (2025-08-01 03:30:41)
Arquivos Referenciados / Tipos de Registro</t>
      </text>
    </comment>
    <comment authorId="0" ref="E31">
      <text>
        <t xml:space="preserve">======
ID#AAABojBNV3k
Jonathas Gomes Marques    (2025-08-01 03:30:41)
- Consignatária
- Usuário</t>
      </text>
    </comment>
    <comment authorId="0" ref="D18">
      <text>
        <t xml:space="preserve">======
ID#AAABojBNV3c
Jonathas Gomes Marques    (2025-08-01 03:30:41)
- Nome
- N de Responsáveis Cadastrados
- CNPJ</t>
      </text>
    </comment>
    <comment authorId="0" ref="K6">
      <text>
        <t xml:space="preserve">======
ID#AAABojBNV3Y
Ponto de Função Local da FS    (2025-08-01 03:30:41)
Medição para remuneração da Fábrica de Software. Equivalente à medição IFPUG. Porém, considera os deflatores e os itens não mensuráveis previstos em contrato.</t>
      </text>
    </comment>
    <comment authorId="0" ref="D55">
      <text>
        <t xml:space="preserve">======
ID#AAABojBNV3U
Jonathas Gomes Marques    (2025-08-01 03:30:41)
- Ação
- Mensagem
- Alteração do Status
- Quem fez a ação
- Data alteração
- Hora alteração</t>
      </text>
    </comment>
    <comment authorId="0" ref="E19">
      <text>
        <t xml:space="preserve">======
ID#AAABojBNV3Q
Jonathas Gomes Marques    (2025-08-01 03:30:41)
- Consignatárias
- Responsável Consignatária</t>
      </text>
    </comment>
  </commentList>
  <extLst>
    <ext uri="GoogleSheetsCustomDataVersion2">
      <go:sheetsCustomData xmlns:go="http://customooxmlschemas.google.com/" r:id="rId1" roundtripDataSignature="AMtx7mg3tbdYjVTKM5AH3/TxXFavYiRhxw=="/>
    </ext>
  </extLst>
</comments>
</file>

<file path=xl/comments3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B46">
      <text>
        <t xml:space="preserve">======
ID#AAABojBNV30
    (2025-08-01 03:30:41)
Técnica de estimativa do tamanho desenvolvida pela NESMA. Assume que os arquivos lógicos são de complexidade baixa e as transações são de complexidade média.</t>
      </text>
    </comment>
    <comment authorId="0" ref="B47">
      <text>
        <t xml:space="preserve">======
ID#AAABojBNV3o
    (2025-08-01 03:30:41)
Técnica de estimativa do tamanho desenvolvida pela NESMA. É baseada apenas nos arquivos lógicos. Assume que cada ALI tem um peso de 35 PF e cada AIE um peso de 15 PF</t>
      </text>
    </comment>
  </commentList>
  <extLst>
    <ext uri="GoogleSheetsCustomDataVersion2">
      <go:sheetsCustomData xmlns:go="http://customooxmlschemas.google.com/" r:id="rId1" roundtripDataSignature="AMtx7mgRKEmSpThYVESgZl3Ix2EXUeI8iw=="/>
    </ext>
  </extLst>
</comments>
</file>

<file path=xl/comments4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H46">
      <text>
        <t xml:space="preserve">======
ID#AAABojnFRLc
    (2025-08-01 03:30:41)
Contribuição fixa em PF para o item não funcional</t>
      </text>
    </comment>
    <comment authorId="0" ref="H9">
      <text>
        <t xml:space="preserve">======
ID#AAABojnFRLQ
    (2025-08-01 03:30:41)
Contribuição fixa em PF independentemente do tipo da funcionalidade</t>
      </text>
    </comment>
  </commentList>
  <extLst>
    <ext uri="GoogleSheetsCustomDataVersion2">
      <go:sheetsCustomData xmlns:go="http://customooxmlschemas.google.com/" r:id="rId1" roundtripDataSignature="AMtx7mhiquv3HWpR1MbXJrB/QxMncX7pGg=="/>
    </ext>
  </extLst>
</comments>
</file>

<file path=xl/sharedStrings.xml><?xml version="1.0" encoding="utf-8"?>
<sst xmlns="http://schemas.openxmlformats.org/spreadsheetml/2006/main" count="538" uniqueCount="280">
  <si>
    <t>Identificação da Contagem</t>
  </si>
  <si>
    <t>Empresa</t>
  </si>
  <si>
    <t>Secretaria de Estado de Planejamento e Gestão de Mato Grosso</t>
  </si>
  <si>
    <t>PF IFPUG</t>
  </si>
  <si>
    <t>Aplicação</t>
  </si>
  <si>
    <t>COSIGNAÇÃO</t>
  </si>
  <si>
    <t>PF Local do EM</t>
  </si>
  <si>
    <t>Tipo de Contagem</t>
  </si>
  <si>
    <t>Projeto de Desenvolvimento</t>
  </si>
  <si>
    <t>PF Local da FS</t>
  </si>
  <si>
    <t>Nível de Detalhe</t>
  </si>
  <si>
    <t>Estimativa (NESMA)</t>
  </si>
  <si>
    <t>Tecnologia</t>
  </si>
  <si>
    <t>Java</t>
  </si>
  <si>
    <t>Projeto</t>
  </si>
  <si>
    <t>Revisão de Contratos Consignações</t>
  </si>
  <si>
    <t>Versão do Guia</t>
  </si>
  <si>
    <t>4.3.1</t>
  </si>
  <si>
    <t>Responsável</t>
  </si>
  <si>
    <t>Jonathas Gomes</t>
  </si>
  <si>
    <t>Revisor</t>
  </si>
  <si>
    <t>Revisão</t>
  </si>
  <si>
    <t>Propósito da Contagem</t>
  </si>
  <si>
    <r>
      <rPr>
        <rFont val="Libre Franklin"/>
        <color theme="1"/>
        <sz val="10.0"/>
      </rPr>
      <t xml:space="preserve">Criar a linha de base (baseline) para o produto de software/módulo </t>
    </r>
    <r>
      <rPr>
        <rFont val="Franklin Gothic Medium"/>
        <b/>
        <color rgb="FF0070C0"/>
        <sz val="10.0"/>
      </rPr>
      <t>COSIGNADOS</t>
    </r>
    <r>
      <rPr>
        <rFont val="Franklin Gothic Medium"/>
        <color theme="1"/>
        <sz val="10.0"/>
      </rPr>
      <t xml:space="preserve"> afim de propiciar o planejamento, execução e monitoramento do processo de desenvolvimento de software do referido produto.
- Dar suporte à análise de qualidade e produtividade;
- Estimar o custos e recursos requeridos para o desenvolvimento, melhoria e manutenção do software;
- Fornecer um fator de normalização para a comparação de software;
- Determinar o tamanho de um pacote de aplicação adquirido, por meio do dimensionamento funcional de todas as funções incluídas no mesmo;
- Ajudar os usuários a determinar o benefício provido por um pacote de aplicação para a sua organização, por meio do dimensionamento funcional das funções que correspondam especificamente aos seus requisitos.</t>
    </r>
  </si>
  <si>
    <t>Escopo da Contagem</t>
  </si>
  <si>
    <t>Contratos de Consignação
ERP Seplag
Cargas de dados
Contagem atualizada em 31/07/2025. Inclui apenas melhorias impactadas e novas funcionalidades. Não usar como baseline.</t>
  </si>
  <si>
    <t>Documentação Utilizada na Análise</t>
  </si>
  <si>
    <t xml:space="preserve">US001 - Listar todos os contratos de consignações.docx
US002 - Listagem das Consignatárias.docx
US003 - Cadastro de Responsável pela Consignatária
US004 - Acesso das Consignatárias.docx
US005 - Resposta da Consignatária.docx
US006 - Resposta do Contratante.docx
US007 - Relatório da Revisão dos contratos.docx
Protótipo de interface: https://app.quant-ux.com/#/share.html?h=a2aa10ahgUld478MG4WlWixuT4VbuYdz2zx05rABWkEzgUqgGb1sNm8hBVny
Contagem atualizada conforme documentação disponibilizada em 31/07/2025, com a documentação ou estórias de usuário criadas e atualizadas após o dia 20/05/2025 (primeira versao da contagem).
</t>
  </si>
  <si>
    <t>Planilha de contagem de ponto de função - Versão 2.4</t>
  </si>
  <si>
    <t>Nome da Função</t>
  </si>
  <si>
    <t>Tipo</t>
  </si>
  <si>
    <t>Manutenção</t>
  </si>
  <si>
    <t>TD</t>
  </si>
  <si>
    <t>AR/TR</t>
  </si>
  <si>
    <t>Complex.</t>
  </si>
  <si>
    <t>ctl</t>
  </si>
  <si>
    <t>C</t>
  </si>
  <si>
    <t>ctl2</t>
  </si>
  <si>
    <t>Pacote</t>
  </si>
  <si>
    <t>Referência</t>
  </si>
  <si>
    <t>Observações</t>
  </si>
  <si>
    <t>US001 - Listar todos os contratos de consignações</t>
  </si>
  <si>
    <t>Contratos - Revisão - Salvar (Reconheço/Não Reconheço)</t>
  </si>
  <si>
    <t>EE</t>
  </si>
  <si>
    <t>A50</t>
  </si>
  <si>
    <t>Alterado campo para obrigatório.</t>
  </si>
  <si>
    <t>Mensagem de Passo a Passo</t>
  </si>
  <si>
    <t>CE</t>
  </si>
  <si>
    <t>COS</t>
  </si>
  <si>
    <t>Inclusão de mensagem: cosmética.</t>
  </si>
  <si>
    <t>Mensagem Declaração para Revisão de Contratos</t>
  </si>
  <si>
    <t>US002 - Listagem das Consignatárias</t>
  </si>
  <si>
    <t>Cadastros de Consignatárias</t>
  </si>
  <si>
    <t>ALI</t>
  </si>
  <si>
    <t>Criação de campo Prioridade de Atendimento.</t>
  </si>
  <si>
    <t>Cadastros de Consignatárias - Listagem</t>
  </si>
  <si>
    <t>Cadastros de Consignatárias - Visualizar</t>
  </si>
  <si>
    <t>US003.</t>
  </si>
  <si>
    <t>Cadastros de Consignatárias - Adicionar</t>
  </si>
  <si>
    <t>US003 - Cadastro de Responsável pela Consignatária</t>
  </si>
  <si>
    <t>Cadastrar Responsáveis Consignatária - Listagem</t>
  </si>
  <si>
    <t>Impactado pela US002 de criação de campo.</t>
  </si>
  <si>
    <t>Cadastrar Responsáveis Consignatária - Pesquisar para Incluir</t>
  </si>
  <si>
    <t>Cadastrar Responsáveis Consignatária - Cadastrar</t>
  </si>
  <si>
    <t>Cadastrar Responsáveis Consignatária - Listar Cosignatárias</t>
  </si>
  <si>
    <t>Cadastrar Responsáveis Consignatária - Ativar/Desativar</t>
  </si>
  <si>
    <t>I</t>
  </si>
  <si>
    <t>Impactado na US 03, criação de campo.</t>
  </si>
  <si>
    <t>US004 - Acesso das Consignatárias</t>
  </si>
  <si>
    <t>Contratos Contestados</t>
  </si>
  <si>
    <t>Inclusão do campo Data.</t>
  </si>
  <si>
    <t>Contratos Contestados - Listagem</t>
  </si>
  <si>
    <t>Inclusão do campo Data e ordenação.</t>
  </si>
  <si>
    <t>Contratos Contestados - Abrir Contrato / Listagem (consulta implícita)</t>
  </si>
  <si>
    <t>Contratos Contestados - Combo-box</t>
  </si>
  <si>
    <t>Contratos Contestados - Salvar e Enviar</t>
  </si>
  <si>
    <t>Inclusão de mensagem do termo.</t>
  </si>
  <si>
    <t>US005 - Resposta da Consignatária</t>
  </si>
  <si>
    <t>Resposta Consignatária - Consulta Implícita</t>
  </si>
  <si>
    <t>Resposta Consignatária - Salvar</t>
  </si>
  <si>
    <t>Dados das Consignatárias</t>
  </si>
  <si>
    <t>Documentos de Contratos - Listar</t>
  </si>
  <si>
    <t>Histórico</t>
  </si>
  <si>
    <t>Histórico - Consultar</t>
  </si>
  <si>
    <t>US007 - Relatório da Revisão dos contratos</t>
  </si>
  <si>
    <t>Listagem de Contratos - Arquivo Compactato e Interções</t>
  </si>
  <si>
    <t>US010 - [Persona Analista] Visualizar Contratos respondidos</t>
  </si>
  <si>
    <t>Força Tarefa - Listar Todos Contratos Respondidos</t>
  </si>
  <si>
    <t>Força Tarefa - Listar Todos Contratos Não Respondidos</t>
  </si>
  <si>
    <t>Força Tarefa - Visualizar</t>
  </si>
  <si>
    <t>Força Tarefa - Iniciar Análise</t>
  </si>
  <si>
    <t>US011 - [Persona Analista] Analise inicial dos contratos</t>
  </si>
  <si>
    <t>Força Tarefa - Analista - Exibir Dados</t>
  </si>
  <si>
    <t>Força Tarefa - Analista - Listar Documentos</t>
  </si>
  <si>
    <t>Força Tarefa - Analista - Alterar/Análise</t>
  </si>
  <si>
    <t>Força Tarefa - Analista - Análisar</t>
  </si>
  <si>
    <t>Força Tarefa - Analista - Check Alterar Status</t>
  </si>
  <si>
    <t>Força Tarefa - Analista - Notificar</t>
  </si>
  <si>
    <t>US012 - [Persona Consignatária] Correção de Documentos no contrato Respondido</t>
  </si>
  <si>
    <t>Força tarefa - Contratos Revisão</t>
  </si>
  <si>
    <t>Força tarefa - Contratos Revisão Exibição</t>
  </si>
  <si>
    <t>Força tarefa - Contratos Revisão - Gerar Alerta de Contrato para Revisão</t>
  </si>
  <si>
    <t>Força tarefa - Contratos Revisão - Alterar o Status quando não Respondido</t>
  </si>
  <si>
    <t>Força tarefa - Contratos Revisão - Visualizar Motivo da Correção</t>
  </si>
  <si>
    <t>US013 - [Persona Analista] Checklist dos contratos</t>
  </si>
  <si>
    <t>Força Tarefa - Analista - Exibir Dados - Lista marcar Sim ou Não e Motivo</t>
  </si>
  <si>
    <t>Força Tarefa - Analista - Exibir Dados - Salvar Rascunho</t>
  </si>
  <si>
    <t>Força Tarefa - Analista - Exibir Dados - Salvar definitivo</t>
  </si>
  <si>
    <t>Força Tarefa - Analista - Exibir Dados - Check-list Empréstimo (consulta implícita)</t>
  </si>
  <si>
    <t>Força Tarefa - Analista - Exibir Dados - Check-list Empréstimo</t>
  </si>
  <si>
    <t>Força Tarefa - Analista - Exibir Dados - Check-list Conferência da Autorização (consulta implícita)</t>
  </si>
  <si>
    <t>Força Tarefa - Analista - Exibir Dados - Check-list Demais Documentos (consulta implícita)</t>
  </si>
  <si>
    <t>Força Tarefa - Analista - Exibir Dados - Check-list Demais Documentos</t>
  </si>
  <si>
    <t>Força Tarefa - Analista -Cecklist</t>
  </si>
  <si>
    <t>Força Tarefa - Analista - Exibir Dados - Check-list Conclusão do Acordo (consulta implícita)</t>
  </si>
  <si>
    <t>Força Tarefa - Analista - Exibir Dados - Check-list Conclusão do Acordo</t>
  </si>
  <si>
    <t>Força Tarefa - Analista - Exibir Dados - Check-list Cartões de Crédito ou Benefício (consulta implícita)</t>
  </si>
  <si>
    <t>Força Tarefa - Analista - Exibir Dados - Check-list Cartões de Crédito ou Benefício</t>
  </si>
  <si>
    <t>Força Tarefa - Analista - Exibir Dados - Check-list Cartões de Crédito ou Benefício - Conf. Autorização (consulta implícita)</t>
  </si>
  <si>
    <t>Força Tarefa - Analista - Exibir Dados - Check-list Cartões de Crédito ou Benefício - Conf. Autorização</t>
  </si>
  <si>
    <t>Força Tarefa - Analista - Exibir Dados - Check-list Cartões de Crédito ou Benefício - Demais Documentos (consulta implícita)</t>
  </si>
  <si>
    <t>Força Tarefa - Analista - Exibir Dados - Check-list Cartões de Crédito ou Benefício - Cdemais documentos</t>
  </si>
  <si>
    <t>Força Tarefa - Analista - Exibir Dados - Check-list Cartões de Crédito ou Benefício - Conclusão Acordo (consulta implícita)</t>
  </si>
  <si>
    <t>Força Tarefa - Analista - Exibir Dados - Check-list Cartões de Crédito ou Benefício - Conclusão do Acordo</t>
  </si>
  <si>
    <t>US014 - [Persona Analista] Finalizar a revisão do contrato</t>
  </si>
  <si>
    <t>Força Tarefa - Analista - Finalizar - Mensagem</t>
  </si>
  <si>
    <t>Mensagem de confirmação que muda o status e o fluxo.</t>
  </si>
  <si>
    <t>Força Tarefa - Analista - Finalizar - Mensagem Informativa</t>
  </si>
  <si>
    <t>Força Tarefa - Analista - Finalizar - Escolher Uniades - Salvar</t>
  </si>
  <si>
    <t>US015 - [Persona PROCON] Visualizar Contratos</t>
  </si>
  <si>
    <t>Procon - Exibir Contratos</t>
  </si>
  <si>
    <t>Procon - Visualizar Contratos</t>
  </si>
  <si>
    <t>Procon - Iniciar Análise</t>
  </si>
  <si>
    <t>US016 - [Persona PROCON] Responder Contratos - US não pronta</t>
  </si>
  <si>
    <t>Procon - Exibir Histórico Completo</t>
  </si>
  <si>
    <t>Procon - Exibir Documentos Carregados pelas Consignatárias</t>
  </si>
  <si>
    <t>Procon - Exibir Chek-list</t>
  </si>
  <si>
    <t>Ali</t>
  </si>
  <si>
    <t>Criar</t>
  </si>
  <si>
    <t>Alterar</t>
  </si>
  <si>
    <t>Excluir</t>
  </si>
  <si>
    <t>Consultar</t>
  </si>
  <si>
    <t>Imprimir</t>
  </si>
  <si>
    <t>Exter</t>
  </si>
  <si>
    <t>AIE</t>
  </si>
  <si>
    <t>Calculo</t>
  </si>
  <si>
    <t>SE</t>
  </si>
  <si>
    <t>Fronteira externa com o SISPAT.</t>
  </si>
  <si>
    <t>Trata-se de outra Aplicação/Sistema.
Conforme alinhamento pessoal realizado com o gestor Luciano, os módulos de pregão eletrônico podem ser outras soluções de mercado e/ou desenvolver em outro momento. Por estas razões, não entram no escopo da análise.</t>
  </si>
  <si>
    <t>Itens Não Mensuráveis</t>
  </si>
  <si>
    <t>Tipo de Manutenção na Função</t>
  </si>
  <si>
    <t>Sigla</t>
  </si>
  <si>
    <t>Contribuição em PF Local</t>
  </si>
  <si>
    <t>PF Local FS</t>
  </si>
  <si>
    <t>Contrato</t>
  </si>
  <si>
    <t>Descrição</t>
  </si>
  <si>
    <t>Origem</t>
  </si>
  <si>
    <t>Percentual (%)</t>
  </si>
  <si>
    <t>Fixa (PF)</t>
  </si>
  <si>
    <t>Adicionada</t>
  </si>
  <si>
    <t>Inclusão</t>
  </si>
  <si>
    <t>Alterada</t>
  </si>
  <si>
    <t>Alteração (sem conhecimento do Fator de Impacto)</t>
  </si>
  <si>
    <t>SISP – 4.2 Projeto de Melhoria</t>
  </si>
  <si>
    <t>A</t>
  </si>
  <si>
    <t>Excluída</t>
  </si>
  <si>
    <t>Exclusão</t>
  </si>
  <si>
    <t>E</t>
  </si>
  <si>
    <t>Alteração (50%) de função desenvolvida ou já alterada pela empresa atual</t>
  </si>
  <si>
    <t>Alteração (75%) de função não desenv. e ainda não alterada pela empresa atual</t>
  </si>
  <si>
    <t>A75</t>
  </si>
  <si>
    <t>Alteração (75%+15%): o mesmo acima + redocumentar a função</t>
  </si>
  <si>
    <t>A90</t>
  </si>
  <si>
    <t>Migração de Dados</t>
  </si>
  <si>
    <t>SISP – 4.3 Projetos de Migração de Dados</t>
  </si>
  <si>
    <t>PMD</t>
  </si>
  <si>
    <t>Corretiva (sem conhecimento do Fator de Impacto)</t>
  </si>
  <si>
    <t>SISP – 4.4 Manutenção Corretiva</t>
  </si>
  <si>
    <t>COR</t>
  </si>
  <si>
    <t>Corretiva (50%) - Fora da garantia (mesma empresa)</t>
  </si>
  <si>
    <t>COR50</t>
  </si>
  <si>
    <t>Corretiva (75%) - Fora da garantia (outra empresa)</t>
  </si>
  <si>
    <t>COR75</t>
  </si>
  <si>
    <t>Corretiva (75%+15%) - Fora da garantia (outra empresa) + Redocumentação</t>
  </si>
  <si>
    <t>COR90</t>
  </si>
  <si>
    <t>Corretiva em Garantia</t>
  </si>
  <si>
    <t>GAR</t>
  </si>
  <si>
    <t>Mudança de Plataforma - Linguagem de Programação</t>
  </si>
  <si>
    <t>SISP – 4.5.1 Mudança de Plataforma – Linguagem de Programação</t>
  </si>
  <si>
    <t>MLP</t>
  </si>
  <si>
    <t>Mudança de Plataforma - Banco de Dados (outro paradigma)</t>
  </si>
  <si>
    <t>SISP – 4.5.2 Mudança de Plataforma – Banco de Dados</t>
  </si>
  <si>
    <t>MBO</t>
  </si>
  <si>
    <t>Mudança de Plataforma - Banco de Dados (mesmo paradigma com alterações)</t>
  </si>
  <si>
    <t>MBM</t>
  </si>
  <si>
    <t>Atualização de Versão – Linguagem de Programação</t>
  </si>
  <si>
    <t>SISP – 4.6.1 Atualização de Versão – Linguagem de Programação</t>
  </si>
  <si>
    <t>ALP</t>
  </si>
  <si>
    <t>Atualização de Versão – Browser</t>
  </si>
  <si>
    <t>SISP – 4.6.2 Atualização de Versão – Browser</t>
  </si>
  <si>
    <t>AVB</t>
  </si>
  <si>
    <t>Atualização de Versão – Banco de Dados</t>
  </si>
  <si>
    <t>SISP – 4.6.3 Atualização de Versão – Banco de Dados</t>
  </si>
  <si>
    <t>ABD</t>
  </si>
  <si>
    <t>Manutenção Cosmética</t>
  </si>
  <si>
    <t>SISP – 4.7 Manutenção Cosmética</t>
  </si>
  <si>
    <t>Adaptação em Funcionalidades sem Alteração de Requisitos Funcionais
(sem conhecimento do Fator de Impacto)</t>
  </si>
  <si>
    <t>SISP – 4.8 Adaptação em Funcionalidades sem Alteração de Requisitos Funcionais</t>
  </si>
  <si>
    <t>ARN</t>
  </si>
  <si>
    <t>Adaptação em Funcionalidades sem Alteração de Requisitos Funcionais (50%)
(em função desenvolvida ou já alterada pela empresa atual)</t>
  </si>
  <si>
    <t>ARN50</t>
  </si>
  <si>
    <t>Adaptação em Funcionalidades sem Alteração de Requisitos Funcionais (75%)
(em função não desenvolvida e ainda não alterada pela empresa atual)</t>
  </si>
  <si>
    <t>ARN75</t>
  </si>
  <si>
    <t>Atualização de Dados sem Consulta Prévia</t>
  </si>
  <si>
    <t>SISP – 4.9.1 Apuração Especial – Base de Dados</t>
  </si>
  <si>
    <t>ADS</t>
  </si>
  <si>
    <t>Consulta Prévia sem Atualização</t>
  </si>
  <si>
    <t>CPA</t>
  </si>
  <si>
    <t>Atualização de Dados com Consulta Prévia</t>
  </si>
  <si>
    <t>ADC</t>
  </si>
  <si>
    <t>Apuração Especial – Geração de Relatórios</t>
  </si>
  <si>
    <t>SISP – 4.9.2 Apuração Especial – Geração de Relatórios</t>
  </si>
  <si>
    <t>AGR</t>
  </si>
  <si>
    <t>Apuração Especial – Reexecução</t>
  </si>
  <si>
    <t>SISP – 4.9.3 Apuração Especial – Reexecução</t>
  </si>
  <si>
    <t>AER</t>
  </si>
  <si>
    <t>Atualização de Dados</t>
  </si>
  <si>
    <t>SISP – 4.10 Atualização de Dados</t>
  </si>
  <si>
    <t>ATD</t>
  </si>
  <si>
    <t>Manutenção de Documentação de Sistemas Legados</t>
  </si>
  <si>
    <t>SISP – 4.12 Manutenção de Documentação de Sistemas Legados</t>
  </si>
  <si>
    <t>MSL</t>
  </si>
  <si>
    <t>Verificação de Erros (Sem Documentação de Teste existente)</t>
  </si>
  <si>
    <t>SISP – 4.13 Verificação de Erros</t>
  </si>
  <si>
    <t>VES</t>
  </si>
  <si>
    <t>Verificação de Erros (Com Documentação de Teste existente)</t>
  </si>
  <si>
    <t>VEC</t>
  </si>
  <si>
    <t>Pontos de Função de Teste</t>
  </si>
  <si>
    <t>SISP – 4.14 Pontos de Função de Teste</t>
  </si>
  <si>
    <t>PFT</t>
  </si>
  <si>
    <t>Componente Interno Reusável</t>
  </si>
  <si>
    <t>SISP – 4.15 Componente Interno Reusável</t>
  </si>
  <si>
    <t>CIR</t>
  </si>
  <si>
    <t xml:space="preserve">           .</t>
  </si>
  <si>
    <t>Quantidade</t>
  </si>
  <si>
    <t>Páginas Estáticas</t>
  </si>
  <si>
    <t>SISP – 4.11 Desenvolvimento, Manutenção e Publicação de Paginas Estáticas de Intranet, Internet ou Portal</t>
  </si>
  <si>
    <t>PAG</t>
  </si>
  <si>
    <t>Manutenção Cosmética (atrelada a algo não funcional)</t>
  </si>
  <si>
    <t>COSNF</t>
  </si>
  <si>
    <t>Dados de Código</t>
  </si>
  <si>
    <t>DC</t>
  </si>
  <si>
    <t>Sumário da Contagem</t>
  </si>
  <si>
    <t>Tipo de Função</t>
  </si>
  <si>
    <t>Complexidade Funcional</t>
  </si>
  <si>
    <t>Total PF IFPUG por Complexidade</t>
  </si>
  <si>
    <t>%</t>
  </si>
  <si>
    <t>Total PF Local FS por tipo de manutenção básica</t>
  </si>
  <si>
    <t>Baixa</t>
  </si>
  <si>
    <t>x 3</t>
  </si>
  <si>
    <t>Média</t>
  </si>
  <si>
    <t>x 4</t>
  </si>
  <si>
    <t>Alta</t>
  </si>
  <si>
    <t>x 6</t>
  </si>
  <si>
    <t>Qtd Total</t>
  </si>
  <si>
    <t>Total</t>
  </si>
  <si>
    <t>x 5</t>
  </si>
  <si>
    <t>x 7</t>
  </si>
  <si>
    <t>x 10</t>
  </si>
  <si>
    <t>x 15</t>
  </si>
  <si>
    <t>Total PF não ajustados (contagem detalhada)</t>
  </si>
  <si>
    <t>Total PF não ajustados (contagem estimativa)</t>
  </si>
  <si>
    <t>Total PF não ajustados (contagem indicativa)</t>
  </si>
  <si>
    <t>Sumário por Deflatores e Itens não mensuráveis</t>
  </si>
  <si>
    <t>Deflatores aplicados a Itens Funcionais</t>
  </si>
  <si>
    <t>Deflator</t>
  </si>
  <si>
    <t>Contrib. Fixa</t>
  </si>
  <si>
    <t>% LOCAL</t>
  </si>
  <si>
    <t>Total IFPUG</t>
  </si>
  <si>
    <t>Itens não Funcionais (Tipo de Função)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</si>
</sst>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4">
    <numFmt numFmtId="164" formatCode="* #,##0.00\ ;* \(#,##0.00\);* \-#\ ;@\ "/>
    <numFmt numFmtId="165" formatCode="dd/mm/yy"/>
    <numFmt numFmtId="166" formatCode="0.0000"/>
    <numFmt numFmtId="167" formatCode="0.0%"/>
  </numFmts>
  <fonts count="17">
    <font>
      <sz val="10.0"/>
      <color rgb="FF000000"/>
      <name val="Arial"/>
      <scheme val="minor"/>
    </font>
    <font>
      <b/>
      <sz val="12.0"/>
      <color theme="1"/>
      <name val="Libre Franklin"/>
    </font>
    <font/>
    <font>
      <sz val="9.0"/>
      <color rgb="FF0000FF"/>
      <name val="Libre Franklin"/>
    </font>
    <font>
      <sz val="9.0"/>
      <color theme="1"/>
      <name val="Libre Franklin"/>
    </font>
    <font>
      <b/>
      <sz val="10.0"/>
      <color theme="1"/>
      <name val="Libre Franklin"/>
    </font>
    <font>
      <sz val="10.0"/>
      <color theme="1"/>
      <name val="Libre Franklin"/>
    </font>
    <font>
      <sz val="8.0"/>
      <color theme="0"/>
      <name val="Libre Franklin"/>
    </font>
    <font>
      <sz val="8.0"/>
      <color theme="1"/>
      <name val="Libre Franklin"/>
    </font>
    <font>
      <b/>
      <u/>
      <sz val="8.0"/>
      <color theme="1"/>
      <name val="Libre Franklin"/>
    </font>
    <font>
      <sz val="14.0"/>
      <color theme="1"/>
      <name val="Libre Franklin"/>
    </font>
    <font>
      <b/>
      <sz val="14.0"/>
      <color theme="1"/>
      <name val="Libre Franklin"/>
    </font>
    <font>
      <b/>
      <sz val="8.0"/>
      <color theme="1"/>
      <name val="Libre Franklin"/>
    </font>
    <font>
      <sz val="10.0"/>
      <color theme="1"/>
      <name val="Arial"/>
    </font>
    <font>
      <sz val="9.0"/>
      <color rgb="FF333333"/>
      <name val="Libre Franklin"/>
    </font>
    <font>
      <sz val="9.0"/>
      <color theme="0"/>
      <name val="Libre Franklin"/>
    </font>
    <font>
      <b/>
      <sz val="9.0"/>
      <color theme="1"/>
      <name val="Libre Franklin"/>
    </font>
  </fonts>
  <fills count="5">
    <fill>
      <patternFill patternType="none"/>
    </fill>
    <fill>
      <patternFill patternType="lightGray"/>
    </fill>
    <fill>
      <patternFill patternType="solid">
        <fgColor rgb="FFC0C0C0"/>
        <bgColor rgb="FFC0C0C0"/>
      </patternFill>
    </fill>
    <fill>
      <patternFill patternType="solid">
        <fgColor rgb="FF808080"/>
        <bgColor rgb="FF808080"/>
      </patternFill>
    </fill>
    <fill>
      <patternFill patternType="solid">
        <fgColor rgb="FFFFFF00"/>
        <bgColor rgb="FFFFFF00"/>
      </patternFill>
    </fill>
  </fills>
  <borders count="72">
    <border/>
    <border>
      <left style="medium">
        <color rgb="FF000000"/>
      </left>
      <top style="medium">
        <color rgb="FF000000"/>
      </top>
    </border>
    <border>
      <top style="medium">
        <color rgb="FF000000"/>
      </top>
    </border>
    <border>
      <right style="medium">
        <color rgb="FF000000"/>
      </right>
      <top style="medium">
        <color rgb="FF000000"/>
      </top>
    </border>
    <border>
      <left style="medium">
        <color rgb="FF000000"/>
      </left>
    </border>
    <border>
      <right style="medium">
        <color rgb="FF000000"/>
      </right>
    </border>
    <border>
      <left style="medium">
        <color rgb="FF000000"/>
      </left>
      <bottom style="thin">
        <color rgb="FF000000"/>
      </bottom>
    </border>
    <border>
      <bottom style="thin">
        <color rgb="FF000000"/>
      </bottom>
    </border>
    <border>
      <right style="medium">
        <color rgb="FF000000"/>
      </right>
      <bottom style="thin">
        <color rgb="FF000000"/>
      </bottom>
    </border>
    <border>
      <left style="medium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top style="thin">
        <color rgb="FF000000"/>
      </top>
    </border>
    <border>
      <top style="thin">
        <color rgb="FF000000"/>
      </top>
    </border>
    <border>
      <right style="medium">
        <color rgb="FF000000"/>
      </right>
      <top style="thin">
        <color rgb="FF000000"/>
      </top>
    </border>
    <border>
      <left style="medium">
        <color rgb="FF000000"/>
      </left>
      <bottom style="medium">
        <color rgb="FF000000"/>
      </bottom>
    </border>
    <border>
      <bottom style="medium">
        <color rgb="FF000000"/>
      </bottom>
    </border>
    <border>
      <right style="medium">
        <color rgb="FF000000"/>
      </right>
      <bottom style="medium">
        <color rgb="FF000000"/>
      </bottom>
    </border>
    <border>
      <left style="medium">
        <color rgb="FF000000"/>
      </left>
      <bottom style="hair">
        <color rgb="FF000000"/>
      </bottom>
    </border>
    <border>
      <bottom style="hair">
        <color rgb="FF000000"/>
      </bottom>
    </border>
    <border>
      <right style="medium">
        <color rgb="FF000000"/>
      </right>
      <bottom style="hair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/>
      <top style="thin">
        <color rgb="FF000000"/>
      </top>
      <bottom style="thin">
        <color rgb="FF000000"/>
      </bottom>
    </border>
    <border>
      <left/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/>
    </border>
    <border>
      <top style="thin">
        <color rgb="FF000000"/>
      </top>
      <bottom/>
    </border>
    <border>
      <right style="thin">
        <color rgb="FF000000"/>
      </right>
      <top style="thin">
        <color rgb="FF000000"/>
      </top>
      <bottom/>
    </border>
    <border>
      <left style="medium">
        <color rgb="FF000000"/>
      </left>
      <right style="thin">
        <color rgb="FF000000"/>
      </right>
      <top style="thin">
        <color rgb="FF000000"/>
      </top>
      <bottom style="hair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hair">
        <color rgb="FF000000"/>
      </bottom>
    </border>
    <border>
      <left style="thin">
        <color rgb="FF000000"/>
      </left>
      <right/>
      <top style="thin">
        <color rgb="FF000000"/>
      </top>
      <bottom style="hair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hair">
        <color rgb="FF000000"/>
      </right>
      <top style="thin">
        <color rgb="FF000000"/>
      </top>
      <bottom style="hair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hair">
        <color rgb="FF000000"/>
      </bottom>
    </border>
    <border>
      <left style="medium">
        <color rgb="FF000000"/>
      </left>
      <top style="hair">
        <color rgb="FF000000"/>
      </top>
      <bottom style="hair">
        <color rgb="FF000000"/>
      </bottom>
    </border>
    <border>
      <left style="hair">
        <color rgb="FF000000"/>
      </left>
      <right style="hair">
        <color rgb="FF000000"/>
      </right>
      <bottom style="hair">
        <color rgb="FF000000"/>
      </bottom>
    </border>
    <border>
      <left style="hair">
        <color rgb="FF000000"/>
      </left>
      <right style="hair">
        <color rgb="FF000000"/>
      </right>
      <top style="hair">
        <color rgb="FF000000"/>
      </top>
      <bottom style="hair">
        <color rgb="FF000000"/>
      </bottom>
    </border>
    <border>
      <left style="hair">
        <color rgb="FF000000"/>
      </left>
      <right style="medium">
        <color rgb="FF000000"/>
      </right>
      <bottom style="hair">
        <color rgb="FF000000"/>
      </bottom>
    </border>
    <border>
      <left style="medium">
        <color rgb="FF000000"/>
      </left>
      <top style="hair">
        <color rgb="FF000000"/>
      </top>
      <bottom style="medium">
        <color rgb="FF000000"/>
      </bottom>
    </border>
    <border>
      <left style="hair">
        <color rgb="FF000000"/>
      </left>
      <right style="hair">
        <color rgb="FF000000"/>
      </right>
      <bottom style="medium">
        <color rgb="FF000000"/>
      </bottom>
    </border>
    <border>
      <left style="hair">
        <color rgb="FF000000"/>
      </left>
      <right style="hair">
        <color rgb="FF000000"/>
      </right>
      <top style="hair">
        <color rgb="FF000000"/>
      </top>
      <bottom style="medium">
        <color rgb="FF000000"/>
      </bottom>
    </border>
    <border>
      <left style="hair">
        <color rgb="FF000000"/>
      </left>
      <right style="medium">
        <color rgb="FF000000"/>
      </right>
      <top style="hair">
        <color rgb="FF000000"/>
      </top>
      <bottom style="medium">
        <color rgb="FF000000"/>
      </bottom>
    </border>
    <border>
      <left style="medium">
        <color rgb="FF000000"/>
      </left>
      <top style="medium">
        <color rgb="FF000000"/>
      </top>
      <bottom style="thin">
        <color rgb="FF000000"/>
      </bottom>
    </border>
    <border>
      <top style="medium">
        <color rgb="FF000000"/>
      </top>
      <bottom style="thin">
        <color rgb="FF000000"/>
      </bottom>
    </border>
    <border>
      <right style="medium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medium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medium">
        <color rgb="FF000000"/>
      </right>
      <bottom style="thin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top style="thin">
        <color rgb="FF000000"/>
      </top>
      <bottom style="medium">
        <color rgb="FF000000"/>
      </bottom>
    </border>
    <border>
      <top style="thin">
        <color rgb="FF000000"/>
      </top>
      <bottom style="medium">
        <color rgb="FF000000"/>
      </bottom>
    </border>
    <border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</border>
    <border>
      <right/>
      <top style="thin">
        <color rgb="FF000000"/>
      </top>
    </border>
    <border>
      <left/>
      <top style="thin">
        <color rgb="FF000000"/>
      </top>
    </border>
    <border>
      <left/>
      <right/>
      <top style="thin">
        <color rgb="FF000000"/>
      </top>
    </border>
    <border>
      <left/>
      <right/>
      <top style="thin">
        <color rgb="FF000000"/>
      </top>
      <bottom/>
    </border>
    <border>
      <left/>
      <right style="medium">
        <color rgb="FF000000"/>
      </right>
      <top style="thin">
        <color rgb="FF000000"/>
      </top>
    </border>
    <border>
      <right/>
      <bottom style="thin">
        <color rgb="FF000000"/>
      </bottom>
    </border>
    <border>
      <left/>
      <bottom style="thin">
        <color rgb="FF000000"/>
      </bottom>
    </border>
    <border>
      <left/>
      <right/>
      <bottom style="thin">
        <color rgb="FF000000"/>
      </bottom>
    </border>
    <border>
      <left/>
      <right/>
      <top/>
      <bottom style="thin">
        <color rgb="FF000000"/>
      </bottom>
    </border>
    <border>
      <left/>
      <right style="medium">
        <color rgb="FF000000"/>
      </right>
      <bottom style="thin">
        <color rgb="FF000000"/>
      </bottom>
    </border>
    <border>
      <right/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95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vertical="center"/>
    </xf>
    <xf borderId="2" fillId="0" fontId="2" numFmtId="0" xfId="0" applyBorder="1" applyFont="1"/>
    <xf borderId="3" fillId="0" fontId="2" numFmtId="0" xfId="0" applyBorder="1" applyFont="1"/>
    <xf borderId="4" fillId="0" fontId="2" numFmtId="0" xfId="0" applyBorder="1" applyFont="1"/>
    <xf borderId="5" fillId="0" fontId="2" numFmtId="0" xfId="0" applyBorder="1" applyFont="1"/>
    <xf borderId="6" fillId="0" fontId="2" numFmtId="0" xfId="0" applyBorder="1" applyFont="1"/>
    <xf borderId="7" fillId="0" fontId="2" numFmtId="0" xfId="0" applyBorder="1" applyFont="1"/>
    <xf borderId="8" fillId="0" fontId="2" numFmtId="0" xfId="0" applyBorder="1" applyFont="1"/>
    <xf borderId="9" fillId="0" fontId="3" numFmtId="0" xfId="0" applyAlignment="1" applyBorder="1" applyFont="1">
      <alignment horizontal="left" vertical="center"/>
    </xf>
    <xf borderId="10" fillId="0" fontId="2" numFmtId="0" xfId="0" applyBorder="1" applyFont="1"/>
    <xf borderId="11" fillId="0" fontId="2" numFmtId="0" xfId="0" applyBorder="1" applyFont="1"/>
    <xf borderId="12" fillId="0" fontId="4" numFmtId="0" xfId="0" applyAlignment="1" applyBorder="1" applyFont="1">
      <alignment horizontal="left" vertical="center"/>
    </xf>
    <xf borderId="12" fillId="0" fontId="3" numFmtId="0" xfId="0" applyAlignment="1" applyBorder="1" applyFont="1">
      <alignment horizontal="left" vertical="center"/>
    </xf>
    <xf borderId="12" fillId="2" fontId="4" numFmtId="164" xfId="0" applyAlignment="1" applyBorder="1" applyFill="1" applyFont="1" applyNumberFormat="1">
      <alignment horizontal="right"/>
    </xf>
    <xf borderId="13" fillId="0" fontId="2" numFmtId="0" xfId="0" applyBorder="1" applyFont="1"/>
    <xf borderId="12" fillId="0" fontId="4" numFmtId="0" xfId="0" applyAlignment="1" applyBorder="1" applyFont="1">
      <alignment horizontal="left"/>
    </xf>
    <xf borderId="12" fillId="0" fontId="3" numFmtId="0" xfId="0" applyAlignment="1" applyBorder="1" applyFont="1">
      <alignment horizontal="left"/>
    </xf>
    <xf borderId="12" fillId="0" fontId="4" numFmtId="165" xfId="0" applyAlignment="1" applyBorder="1" applyFont="1" applyNumberFormat="1">
      <alignment horizontal="center"/>
    </xf>
    <xf borderId="9" fillId="2" fontId="5" numFmtId="0" xfId="0" applyAlignment="1" applyBorder="1" applyFont="1">
      <alignment horizontal="center" vertical="center"/>
    </xf>
    <xf borderId="4" fillId="0" fontId="6" numFmtId="0" xfId="0" applyAlignment="1" applyBorder="1" applyFont="1">
      <alignment horizontal="left" shrinkToFit="0" vertical="top" wrapText="1"/>
    </xf>
    <xf quotePrefix="1" borderId="4" fillId="0" fontId="6" numFmtId="0" xfId="0" applyAlignment="1" applyBorder="1" applyFont="1">
      <alignment horizontal="left" readingOrder="0" shrinkToFit="0" vertical="top" wrapText="1"/>
    </xf>
    <xf quotePrefix="1" borderId="14" fillId="0" fontId="6" numFmtId="0" xfId="0" applyAlignment="1" applyBorder="1" applyFont="1">
      <alignment horizontal="left" shrinkToFit="0" vertical="top" wrapText="1"/>
    </xf>
    <xf borderId="15" fillId="0" fontId="2" numFmtId="0" xfId="0" applyBorder="1" applyFont="1"/>
    <xf borderId="16" fillId="0" fontId="2" numFmtId="0" xfId="0" applyBorder="1" applyFont="1"/>
    <xf borderId="17" fillId="0" fontId="2" numFmtId="0" xfId="0" applyBorder="1" applyFont="1"/>
    <xf borderId="18" fillId="0" fontId="2" numFmtId="0" xfId="0" applyBorder="1" applyFont="1"/>
    <xf borderId="19" fillId="0" fontId="2" numFmtId="0" xfId="0" applyBorder="1" applyFont="1"/>
    <xf borderId="0" fillId="0" fontId="6" numFmtId="0" xfId="0" applyFont="1"/>
    <xf borderId="20" fillId="0" fontId="2" numFmtId="0" xfId="0" applyBorder="1" applyFont="1"/>
    <xf borderId="21" fillId="0" fontId="2" numFmtId="0" xfId="0" applyBorder="1" applyFont="1"/>
    <xf borderId="22" fillId="0" fontId="2" numFmtId="0" xfId="0" applyBorder="1" applyFont="1"/>
    <xf borderId="23" fillId="2" fontId="4" numFmtId="0" xfId="0" applyAlignment="1" applyBorder="1" applyFont="1">
      <alignment horizontal="left" vertical="center"/>
    </xf>
    <xf borderId="12" fillId="2" fontId="4" numFmtId="0" xfId="0" applyAlignment="1" applyBorder="1" applyFont="1">
      <alignment horizontal="left" vertical="center"/>
    </xf>
    <xf borderId="24" fillId="2" fontId="4" numFmtId="0" xfId="0" applyAlignment="1" applyBorder="1" applyFont="1">
      <alignment vertical="center"/>
    </xf>
    <xf borderId="25" fillId="2" fontId="4" numFmtId="2" xfId="0" applyAlignment="1" applyBorder="1" applyFont="1" applyNumberFormat="1">
      <alignment vertical="center"/>
    </xf>
    <xf borderId="24" fillId="2" fontId="4" numFmtId="2" xfId="0" applyAlignment="1" applyBorder="1" applyFont="1" applyNumberFormat="1">
      <alignment vertical="center"/>
    </xf>
    <xf borderId="12" fillId="2" fontId="4" numFmtId="2" xfId="0" applyAlignment="1" applyBorder="1" applyFont="1" applyNumberFormat="1">
      <alignment horizontal="left" vertical="center"/>
    </xf>
    <xf borderId="23" fillId="2" fontId="4" numFmtId="0" xfId="0" applyAlignment="1" applyBorder="1" applyFont="1">
      <alignment vertical="center"/>
    </xf>
    <xf borderId="26" fillId="2" fontId="4" numFmtId="0" xfId="0" applyAlignment="1" applyBorder="1" applyFont="1">
      <alignment horizontal="left" vertical="center"/>
    </xf>
    <xf borderId="27" fillId="0" fontId="2" numFmtId="0" xfId="0" applyBorder="1" applyFont="1"/>
    <xf borderId="28" fillId="0" fontId="2" numFmtId="0" xfId="0" applyBorder="1" applyFont="1"/>
    <xf borderId="24" fillId="2" fontId="4" numFmtId="166" xfId="0" applyAlignment="1" applyBorder="1" applyFont="1" applyNumberFormat="1">
      <alignment vertical="center"/>
    </xf>
    <xf borderId="29" fillId="3" fontId="7" numFmtId="0" xfId="0" applyAlignment="1" applyBorder="1" applyFill="1" applyFont="1">
      <alignment horizontal="center" shrinkToFit="0" vertical="center" wrapText="1"/>
    </xf>
    <xf borderId="30" fillId="3" fontId="7" numFmtId="0" xfId="0" applyAlignment="1" applyBorder="1" applyFont="1">
      <alignment horizontal="left" vertical="center"/>
    </xf>
    <xf borderId="31" fillId="3" fontId="7" numFmtId="0" xfId="0" applyAlignment="1" applyBorder="1" applyFont="1">
      <alignment horizontal="left" vertical="center"/>
    </xf>
    <xf borderId="30" fillId="3" fontId="7" numFmtId="0" xfId="0" applyAlignment="1" applyBorder="1" applyFont="1">
      <alignment horizontal="left"/>
    </xf>
    <xf borderId="30" fillId="3" fontId="7" numFmtId="0" xfId="0" applyAlignment="1" applyBorder="1" applyFont="1">
      <alignment horizontal="center"/>
    </xf>
    <xf borderId="32" fillId="3" fontId="7" numFmtId="0" xfId="0" applyAlignment="1" applyBorder="1" applyFont="1">
      <alignment horizontal="center"/>
    </xf>
    <xf borderId="33" fillId="3" fontId="7" numFmtId="0" xfId="0" applyAlignment="1" applyBorder="1" applyFont="1">
      <alignment horizontal="center"/>
    </xf>
    <xf borderId="31" fillId="3" fontId="7" numFmtId="0" xfId="0" applyAlignment="1" applyBorder="1" applyFont="1">
      <alignment horizontal="center"/>
    </xf>
    <xf borderId="31" fillId="3" fontId="7" numFmtId="0" xfId="0" applyAlignment="1" applyBorder="1" applyFont="1">
      <alignment horizontal="center" vertical="center"/>
    </xf>
    <xf borderId="34" fillId="3" fontId="7" numFmtId="0" xfId="0" applyAlignment="1" applyBorder="1" applyFont="1">
      <alignment horizontal="center"/>
    </xf>
    <xf borderId="35" fillId="0" fontId="8" numFmtId="0" xfId="0" applyAlignment="1" applyBorder="1" applyFont="1">
      <alignment horizontal="left" shrinkToFit="0" vertical="center" wrapText="1"/>
    </xf>
    <xf borderId="36" fillId="0" fontId="8" numFmtId="0" xfId="0" applyAlignment="1" applyBorder="1" applyFont="1">
      <alignment horizontal="center" vertical="center"/>
    </xf>
    <xf borderId="37" fillId="0" fontId="8" numFmtId="0" xfId="0" applyAlignment="1" applyBorder="1" applyFont="1">
      <alignment horizontal="center" vertical="center"/>
    </xf>
    <xf borderId="37" fillId="2" fontId="8" numFmtId="0" xfId="0" applyAlignment="1" applyBorder="1" applyFont="1">
      <alignment horizontal="center" shrinkToFit="0" vertical="center" wrapText="1"/>
    </xf>
    <xf borderId="37" fillId="2" fontId="8" numFmtId="0" xfId="0" applyAlignment="1" applyBorder="1" applyFont="1">
      <alignment horizontal="center" vertical="center"/>
    </xf>
    <xf borderId="37" fillId="0" fontId="8" numFmtId="0" xfId="0" applyAlignment="1" applyBorder="1" applyFont="1">
      <alignment horizontal="center" shrinkToFit="0" vertical="center" wrapText="1"/>
    </xf>
    <xf borderId="37" fillId="2" fontId="8" numFmtId="4" xfId="0" applyAlignment="1" applyBorder="1" applyFont="1" applyNumberFormat="1">
      <alignment horizontal="center" vertical="center"/>
    </xf>
    <xf borderId="37" fillId="0" fontId="8" numFmtId="0" xfId="0" applyAlignment="1" applyBorder="1" applyFont="1">
      <alignment horizontal="left" shrinkToFit="0" vertical="center" wrapText="1"/>
    </xf>
    <xf borderId="38" fillId="0" fontId="8" numFmtId="0" xfId="0" applyAlignment="1" applyBorder="1" applyFont="1">
      <alignment horizontal="left" shrinkToFit="0" vertical="center" wrapText="1"/>
    </xf>
    <xf borderId="35" fillId="0" fontId="9" numFmtId="0" xfId="0" applyAlignment="1" applyBorder="1" applyFont="1">
      <alignment horizontal="left" shrinkToFit="0" vertical="center" wrapText="1"/>
    </xf>
    <xf borderId="35" fillId="0" fontId="10" numFmtId="0" xfId="0" applyAlignment="1" applyBorder="1" applyFont="1">
      <alignment horizontal="left" shrinkToFit="0" vertical="center" wrapText="1"/>
    </xf>
    <xf borderId="38" fillId="0" fontId="11" numFmtId="0" xfId="0" applyAlignment="1" applyBorder="1" applyFont="1">
      <alignment horizontal="left" shrinkToFit="0" vertical="center" wrapText="1"/>
    </xf>
    <xf borderId="35" fillId="0" fontId="8" numFmtId="0" xfId="0" applyAlignment="1" applyBorder="1" applyFont="1">
      <alignment horizontal="left" readingOrder="0" shrinkToFit="0" vertical="center" wrapText="1"/>
    </xf>
    <xf borderId="36" fillId="0" fontId="8" numFmtId="0" xfId="0" applyAlignment="1" applyBorder="1" applyFont="1">
      <alignment horizontal="center" readingOrder="0" vertical="center"/>
    </xf>
    <xf borderId="35" fillId="0" fontId="12" numFmtId="0" xfId="0" applyAlignment="1" applyBorder="1" applyFont="1">
      <alignment horizontal="left" readingOrder="0" shrinkToFit="0" vertical="center" wrapText="1"/>
    </xf>
    <xf borderId="35" fillId="0" fontId="12" numFmtId="0" xfId="0" applyAlignment="1" applyBorder="1" applyFont="1">
      <alignment horizontal="left" shrinkToFit="0" vertical="center" wrapText="1"/>
    </xf>
    <xf borderId="39" fillId="0" fontId="8" numFmtId="0" xfId="0" applyAlignment="1" applyBorder="1" applyFont="1">
      <alignment horizontal="left" shrinkToFit="0" vertical="center" wrapText="1"/>
    </xf>
    <xf borderId="40" fillId="0" fontId="8" numFmtId="0" xfId="0" applyAlignment="1" applyBorder="1" applyFont="1">
      <alignment horizontal="center" vertical="center"/>
    </xf>
    <xf borderId="41" fillId="0" fontId="8" numFmtId="0" xfId="0" applyAlignment="1" applyBorder="1" applyFont="1">
      <alignment horizontal="center" vertical="center"/>
    </xf>
    <xf borderId="41" fillId="2" fontId="8" numFmtId="0" xfId="0" applyAlignment="1" applyBorder="1" applyFont="1">
      <alignment horizontal="center" shrinkToFit="0" vertical="center" wrapText="1"/>
    </xf>
    <xf borderId="41" fillId="4" fontId="8" numFmtId="0" xfId="0" applyAlignment="1" applyBorder="1" applyFill="1" applyFont="1">
      <alignment horizontal="center" vertical="center"/>
    </xf>
    <xf borderId="41" fillId="2" fontId="8" numFmtId="0" xfId="0" applyAlignment="1" applyBorder="1" applyFont="1">
      <alignment horizontal="center" vertical="center"/>
    </xf>
    <xf borderId="41" fillId="0" fontId="8" numFmtId="0" xfId="0" applyAlignment="1" applyBorder="1" applyFont="1">
      <alignment horizontal="center" shrinkToFit="0" vertical="center" wrapText="1"/>
    </xf>
    <xf borderId="41" fillId="2" fontId="8" numFmtId="4" xfId="0" applyAlignment="1" applyBorder="1" applyFont="1" applyNumberFormat="1">
      <alignment horizontal="center" vertical="center"/>
    </xf>
    <xf borderId="41" fillId="0" fontId="8" numFmtId="0" xfId="0" applyAlignment="1" applyBorder="1" applyFont="1">
      <alignment horizontal="left" shrinkToFit="0" vertical="center" wrapText="1"/>
    </xf>
    <xf borderId="42" fillId="0" fontId="8" numFmtId="0" xfId="0" applyAlignment="1" applyBorder="1" applyFont="1">
      <alignment horizontal="left" shrinkToFit="0" vertical="center" wrapText="1"/>
    </xf>
    <xf borderId="0" fillId="0" fontId="13" numFmtId="0" xfId="0" applyAlignment="1" applyFont="1">
      <alignment vertical="center"/>
    </xf>
    <xf borderId="43" fillId="0" fontId="1" numFmtId="0" xfId="0" applyAlignment="1" applyBorder="1" applyFont="1">
      <alignment horizontal="center" vertical="center"/>
    </xf>
    <xf borderId="44" fillId="0" fontId="2" numFmtId="0" xfId="0" applyBorder="1" applyFont="1"/>
    <xf borderId="45" fillId="0" fontId="2" numFmtId="0" xfId="0" applyBorder="1" applyFont="1"/>
    <xf borderId="0" fillId="0" fontId="6" numFmtId="0" xfId="0" applyAlignment="1" applyFont="1">
      <alignment horizontal="center"/>
    </xf>
    <xf borderId="9" fillId="2" fontId="3" numFmtId="0" xfId="0" applyAlignment="1" applyBorder="1" applyFont="1">
      <alignment horizontal="center" shrinkToFit="0" vertical="center" wrapText="1"/>
    </xf>
    <xf borderId="46" fillId="2" fontId="3" numFmtId="0" xfId="0" applyAlignment="1" applyBorder="1" applyFont="1">
      <alignment horizontal="center" shrinkToFit="0" vertical="center" wrapText="1"/>
    </xf>
    <xf borderId="12" fillId="2" fontId="3" numFmtId="0" xfId="0" applyAlignment="1" applyBorder="1" applyFont="1">
      <alignment horizontal="center" shrinkToFit="0" vertical="center" wrapText="1"/>
    </xf>
    <xf borderId="47" fillId="2" fontId="3" numFmtId="0" xfId="0" applyAlignment="1" applyBorder="1" applyFont="1">
      <alignment horizontal="center" shrinkToFit="0" vertical="center" wrapText="1"/>
    </xf>
    <xf borderId="0" fillId="0" fontId="13" numFmtId="0" xfId="0" applyAlignment="1" applyFont="1">
      <alignment horizontal="center"/>
    </xf>
    <xf borderId="23" fillId="2" fontId="3" numFmtId="0" xfId="0" applyAlignment="1" applyBorder="1" applyFont="1">
      <alignment horizontal="center" shrinkToFit="0" vertical="center" wrapText="1"/>
    </xf>
    <xf borderId="32" fillId="2" fontId="3" numFmtId="0" xfId="0" applyAlignment="1" applyBorder="1" applyFont="1">
      <alignment horizontal="center" shrinkToFit="0" vertical="center" wrapText="1"/>
    </xf>
    <xf borderId="48" fillId="0" fontId="2" numFmtId="0" xfId="0" applyBorder="1" applyFont="1"/>
    <xf borderId="49" fillId="0" fontId="2" numFmtId="0" xfId="0" applyBorder="1" applyFont="1"/>
    <xf borderId="32" fillId="0" fontId="3" numFmtId="0" xfId="0" applyAlignment="1" applyBorder="1" applyFont="1">
      <alignment horizontal="left" vertical="center"/>
    </xf>
    <xf borderId="32" fillId="0" fontId="3" numFmtId="0" xfId="0" applyAlignment="1" applyBorder="1" applyFont="1">
      <alignment horizontal="center" vertical="center"/>
    </xf>
    <xf borderId="32" fillId="0" fontId="4" numFmtId="167" xfId="0" applyAlignment="1" applyBorder="1" applyFont="1" applyNumberFormat="1">
      <alignment horizontal="center" vertical="center"/>
    </xf>
    <xf borderId="32" fillId="0" fontId="4" numFmtId="2" xfId="0" applyAlignment="1" applyBorder="1" applyFont="1" applyNumberFormat="1">
      <alignment horizontal="center" vertical="center"/>
    </xf>
    <xf borderId="32" fillId="2" fontId="4" numFmtId="4" xfId="0" applyAlignment="1" applyBorder="1" applyFont="1" applyNumberFormat="1">
      <alignment horizontal="center" vertical="center"/>
    </xf>
    <xf borderId="50" fillId="2" fontId="4" numFmtId="4" xfId="0" applyAlignment="1" applyBorder="1" applyFont="1" applyNumberFormat="1">
      <alignment horizontal="center" vertical="center"/>
    </xf>
    <xf borderId="12" fillId="0" fontId="3" numFmtId="0" xfId="0" applyAlignment="1" applyBorder="1" applyFont="1">
      <alignment horizontal="left" shrinkToFit="0" vertical="center" wrapText="1"/>
    </xf>
    <xf borderId="32" fillId="0" fontId="3" numFmtId="0" xfId="0" applyAlignment="1" applyBorder="1" applyFont="1">
      <alignment horizontal="left" shrinkToFit="0" vertical="center" wrapText="1"/>
    </xf>
    <xf borderId="10" fillId="0" fontId="3" numFmtId="0" xfId="0" applyAlignment="1" applyBorder="1" applyFont="1">
      <alignment horizontal="left" vertical="center"/>
    </xf>
    <xf borderId="11" fillId="0" fontId="3" numFmtId="0" xfId="0" applyAlignment="1" applyBorder="1" applyFont="1">
      <alignment horizontal="left" vertical="center"/>
    </xf>
    <xf borderId="4" fillId="0" fontId="4" numFmtId="0" xfId="0" applyAlignment="1" applyBorder="1" applyFont="1">
      <alignment horizontal="left" vertical="center"/>
    </xf>
    <xf borderId="0" fillId="0" fontId="3" numFmtId="0" xfId="0" applyAlignment="1" applyFont="1">
      <alignment horizontal="left" vertical="center"/>
    </xf>
    <xf borderId="0" fillId="0" fontId="3" numFmtId="0" xfId="0" applyAlignment="1" applyFont="1">
      <alignment horizontal="center"/>
    </xf>
    <xf borderId="0" fillId="0" fontId="4" numFmtId="164" xfId="0" applyAlignment="1" applyFont="1" applyNumberFormat="1">
      <alignment horizontal="right"/>
    </xf>
    <xf borderId="0" fillId="0" fontId="4" numFmtId="2" xfId="0" applyAlignment="1" applyFont="1" applyNumberFormat="1">
      <alignment horizontal="center"/>
    </xf>
    <xf borderId="5" fillId="0" fontId="4" numFmtId="2" xfId="0" applyBorder="1" applyFont="1" applyNumberFormat="1"/>
    <xf borderId="51" fillId="2" fontId="3" numFmtId="0" xfId="0" applyAlignment="1" applyBorder="1" applyFont="1">
      <alignment horizontal="center" shrinkToFit="0" vertical="center" wrapText="1"/>
    </xf>
    <xf borderId="52" fillId="0" fontId="2" numFmtId="0" xfId="0" applyBorder="1" applyFont="1"/>
    <xf borderId="53" fillId="0" fontId="2" numFmtId="0" xfId="0" applyBorder="1" applyFont="1"/>
    <xf borderId="54" fillId="0" fontId="2" numFmtId="0" xfId="0" applyBorder="1" applyFont="1"/>
    <xf borderId="23" fillId="2" fontId="14" numFmtId="0" xfId="0" applyAlignment="1" applyBorder="1" applyFont="1">
      <alignment horizontal="left" vertical="center"/>
    </xf>
    <xf borderId="12" fillId="0" fontId="14" numFmtId="2" xfId="0" applyAlignment="1" applyBorder="1" applyFont="1" applyNumberFormat="1">
      <alignment horizontal="center" vertical="center"/>
    </xf>
    <xf borderId="32" fillId="2" fontId="4" numFmtId="3" xfId="0" applyAlignment="1" applyBorder="1" applyFont="1" applyNumberFormat="1">
      <alignment horizontal="center"/>
    </xf>
    <xf borderId="50" fillId="2" fontId="4" numFmtId="4" xfId="0" applyAlignment="1" applyBorder="1" applyFont="1" applyNumberFormat="1">
      <alignment horizontal="center"/>
    </xf>
    <xf borderId="55" fillId="2" fontId="14" numFmtId="0" xfId="0" applyAlignment="1" applyBorder="1" applyFont="1">
      <alignment horizontal="center"/>
    </xf>
    <xf borderId="56" fillId="0" fontId="3" numFmtId="0" xfId="0" applyAlignment="1" applyBorder="1" applyFont="1">
      <alignment horizontal="left" vertical="center"/>
    </xf>
    <xf borderId="57" fillId="0" fontId="2" numFmtId="0" xfId="0" applyBorder="1" applyFont="1"/>
    <xf borderId="58" fillId="0" fontId="2" numFmtId="0" xfId="0" applyBorder="1" applyFont="1"/>
    <xf borderId="59" fillId="0" fontId="3" numFmtId="0" xfId="0" applyAlignment="1" applyBorder="1" applyFont="1">
      <alignment horizontal="left" vertical="center"/>
    </xf>
    <xf borderId="59" fillId="0" fontId="3" numFmtId="0" xfId="0" applyAlignment="1" applyBorder="1" applyFont="1">
      <alignment horizontal="center" vertical="center"/>
    </xf>
    <xf borderId="56" fillId="0" fontId="14" numFmtId="2" xfId="0" applyAlignment="1" applyBorder="1" applyFont="1" applyNumberFormat="1">
      <alignment horizontal="center" vertical="center"/>
    </xf>
    <xf borderId="59" fillId="2" fontId="4" numFmtId="3" xfId="0" applyAlignment="1" applyBorder="1" applyFont="1" applyNumberFormat="1">
      <alignment horizontal="center"/>
    </xf>
    <xf borderId="60" fillId="2" fontId="4" numFmtId="4" xfId="0" applyAlignment="1" applyBorder="1" applyFont="1" applyNumberFormat="1">
      <alignment horizontal="center"/>
    </xf>
    <xf borderId="0" fillId="0" fontId="13" numFmtId="0" xfId="0" applyAlignment="1" applyFont="1">
      <alignment horizontal="right"/>
    </xf>
    <xf borderId="0" fillId="0" fontId="13" numFmtId="0" xfId="0" applyFont="1"/>
    <xf borderId="9" fillId="2" fontId="4" numFmtId="0" xfId="0" applyAlignment="1" applyBorder="1" applyFont="1">
      <alignment horizontal="left" vertical="center"/>
    </xf>
    <xf borderId="14" fillId="3" fontId="15" numFmtId="0" xfId="0" applyAlignment="1" applyBorder="1" applyFont="1">
      <alignment horizontal="center" shrinkToFit="0" vertical="center" wrapText="1"/>
    </xf>
    <xf borderId="61" fillId="0" fontId="2" numFmtId="0" xfId="0" applyBorder="1" applyFont="1"/>
    <xf borderId="62" fillId="3" fontId="15" numFmtId="0" xfId="0" applyAlignment="1" applyBorder="1" applyFont="1">
      <alignment horizontal="center" vertical="center"/>
    </xf>
    <xf borderId="63" fillId="3" fontId="15" numFmtId="0" xfId="0" applyAlignment="1" applyBorder="1" applyFont="1">
      <alignment horizontal="center" shrinkToFit="0" vertical="center" wrapText="1"/>
    </xf>
    <xf borderId="64" fillId="3" fontId="15" numFmtId="0" xfId="0" applyAlignment="1" applyBorder="1" applyFont="1">
      <alignment horizontal="left" shrinkToFit="0" vertical="center" wrapText="1"/>
    </xf>
    <xf borderId="62" fillId="3" fontId="15" numFmtId="0" xfId="0" applyAlignment="1" applyBorder="1" applyFont="1">
      <alignment horizontal="center" shrinkToFit="0" vertical="center" wrapText="1"/>
    </xf>
    <xf borderId="65" fillId="3" fontId="15" numFmtId="0" xfId="0" applyAlignment="1" applyBorder="1" applyFont="1">
      <alignment horizontal="center" shrinkToFit="0" vertical="center" wrapText="1"/>
    </xf>
    <xf borderId="66" fillId="0" fontId="2" numFmtId="0" xfId="0" applyBorder="1" applyFont="1"/>
    <xf borderId="67" fillId="0" fontId="2" numFmtId="0" xfId="0" applyBorder="1" applyFont="1"/>
    <xf borderId="68" fillId="0" fontId="2" numFmtId="0" xfId="0" applyBorder="1" applyFont="1"/>
    <xf borderId="69" fillId="3" fontId="15" numFmtId="0" xfId="0" applyAlignment="1" applyBorder="1" applyFont="1">
      <alignment horizontal="left" shrinkToFit="0" vertical="center" wrapText="1"/>
    </xf>
    <xf borderId="70" fillId="0" fontId="2" numFmtId="0" xfId="0" applyBorder="1" applyFont="1"/>
    <xf borderId="14" fillId="0" fontId="4" numFmtId="0" xfId="0" applyBorder="1" applyFont="1"/>
    <xf borderId="15" fillId="0" fontId="4" numFmtId="0" xfId="0" applyBorder="1" applyFont="1"/>
    <xf borderId="16" fillId="0" fontId="4" numFmtId="0" xfId="0" applyBorder="1" applyFont="1"/>
    <xf borderId="4" fillId="0" fontId="16" numFmtId="0" xfId="0" applyAlignment="1" applyBorder="1" applyFont="1">
      <alignment horizontal="center"/>
    </xf>
    <xf borderId="0" fillId="0" fontId="4" numFmtId="0" xfId="0" applyFont="1"/>
    <xf borderId="7" fillId="0" fontId="4" numFmtId="0" xfId="0" applyAlignment="1" applyBorder="1" applyFont="1">
      <alignment vertical="center"/>
    </xf>
    <xf borderId="0" fillId="0" fontId="4" numFmtId="0" xfId="0" applyAlignment="1" applyFont="1">
      <alignment vertical="center"/>
    </xf>
    <xf borderId="0" fillId="0" fontId="4" numFmtId="167" xfId="0" applyFont="1" applyNumberFormat="1"/>
    <xf borderId="7" fillId="0" fontId="4" numFmtId="0" xfId="0" applyBorder="1" applyFont="1"/>
    <xf borderId="7" fillId="0" fontId="4" numFmtId="2" xfId="0" applyAlignment="1" applyBorder="1" applyFont="1" applyNumberFormat="1">
      <alignment vertical="center"/>
    </xf>
    <xf borderId="5" fillId="0" fontId="4" numFmtId="0" xfId="0" applyBorder="1" applyFont="1"/>
    <xf borderId="4" fillId="0" fontId="4" numFmtId="0" xfId="0" applyBorder="1" applyFont="1"/>
    <xf borderId="5" fillId="0" fontId="4" numFmtId="10" xfId="0" applyBorder="1" applyFont="1" applyNumberFormat="1"/>
    <xf borderId="0" fillId="0" fontId="4" numFmtId="2" xfId="0" applyFont="1" applyNumberFormat="1"/>
    <xf borderId="0" fillId="0" fontId="16" numFmtId="0" xfId="0" applyFont="1"/>
    <xf borderId="5" fillId="0" fontId="4" numFmtId="167" xfId="0" applyBorder="1" applyFont="1" applyNumberFormat="1"/>
    <xf borderId="6" fillId="0" fontId="4" numFmtId="0" xfId="0" applyBorder="1" applyFont="1"/>
    <xf borderId="8" fillId="0" fontId="4" numFmtId="0" xfId="0" applyBorder="1" applyFont="1"/>
    <xf borderId="7" fillId="0" fontId="4" numFmtId="2" xfId="0" applyBorder="1" applyFont="1" applyNumberFormat="1"/>
    <xf borderId="0" fillId="0" fontId="4" numFmtId="0" xfId="0" applyAlignment="1" applyFont="1">
      <alignment horizontal="left"/>
    </xf>
    <xf borderId="17" fillId="0" fontId="4" numFmtId="0" xfId="0" applyBorder="1" applyFont="1"/>
    <xf borderId="18" fillId="0" fontId="4" numFmtId="0" xfId="0" applyBorder="1" applyFont="1"/>
    <xf borderId="19" fillId="0" fontId="4" numFmtId="0" xfId="0" applyBorder="1" applyFont="1"/>
    <xf borderId="71" fillId="0" fontId="2" numFmtId="0" xfId="0" applyBorder="1" applyFont="1"/>
    <xf borderId="4" fillId="0" fontId="13" numFmtId="0" xfId="0" applyBorder="1" applyFont="1"/>
    <xf borderId="5" fillId="0" fontId="13" numFmtId="0" xfId="0" applyBorder="1" applyFont="1"/>
    <xf borderId="0" fillId="0" fontId="16" numFmtId="0" xfId="0" applyAlignment="1" applyFont="1">
      <alignment horizontal="center"/>
    </xf>
    <xf borderId="0" fillId="0" fontId="16" numFmtId="0" xfId="0" applyAlignment="1" applyFont="1">
      <alignment horizontal="center" vertical="center"/>
    </xf>
    <xf borderId="46" fillId="0" fontId="4" numFmtId="0" xfId="0" applyAlignment="1" applyBorder="1" applyFont="1">
      <alignment horizontal="center"/>
    </xf>
    <xf borderId="32" fillId="2" fontId="4" numFmtId="1" xfId="0" applyAlignment="1" applyBorder="1" applyFont="1" applyNumberFormat="1">
      <alignment horizontal="center" vertical="center"/>
    </xf>
    <xf borderId="32" fillId="2" fontId="4" numFmtId="2" xfId="0" applyAlignment="1" applyBorder="1" applyFont="1" applyNumberFormat="1">
      <alignment horizontal="center" vertical="center"/>
    </xf>
    <xf borderId="32" fillId="2" fontId="4" numFmtId="167" xfId="0" applyAlignment="1" applyBorder="1" applyFont="1" applyNumberFormat="1">
      <alignment horizontal="center" vertical="center"/>
    </xf>
    <xf borderId="32" fillId="2" fontId="4" numFmtId="10" xfId="0" applyAlignment="1" applyBorder="1" applyFont="1" applyNumberFormat="1">
      <alignment horizontal="center" vertical="center"/>
    </xf>
    <xf borderId="32" fillId="0" fontId="4" numFmtId="2" xfId="0" applyAlignment="1" applyBorder="1" applyFont="1" applyNumberFormat="1">
      <alignment horizontal="center"/>
    </xf>
    <xf borderId="0" fillId="0" fontId="13" numFmtId="10" xfId="0" applyFont="1" applyNumberFormat="1"/>
    <xf borderId="32" fillId="4" fontId="16" numFmtId="2" xfId="0" applyAlignment="1" applyBorder="1" applyFont="1" applyNumberFormat="1">
      <alignment horizontal="center"/>
    </xf>
    <xf borderId="0" fillId="0" fontId="4" numFmtId="0" xfId="0" applyAlignment="1" applyFont="1">
      <alignment horizontal="center" vertical="center"/>
    </xf>
    <xf borderId="7" fillId="0" fontId="13" numFmtId="0" xfId="0" applyBorder="1" applyFont="1"/>
    <xf borderId="0" fillId="0" fontId="4" numFmtId="10" xfId="0" applyFont="1" applyNumberFormat="1"/>
    <xf borderId="7" fillId="0" fontId="16" numFmtId="0" xfId="0" applyAlignment="1" applyBorder="1" applyFont="1">
      <alignment horizontal="center"/>
    </xf>
    <xf borderId="32" fillId="0" fontId="4" numFmtId="0" xfId="0" applyAlignment="1" applyBorder="1" applyFont="1">
      <alignment horizontal="center"/>
    </xf>
    <xf borderId="10" fillId="0" fontId="13" numFmtId="0" xfId="0" applyBorder="1" applyFont="1"/>
    <xf borderId="32" fillId="0" fontId="3" numFmtId="0" xfId="0" applyAlignment="1" applyBorder="1" applyFont="1">
      <alignment horizontal="center"/>
    </xf>
    <xf borderId="32" fillId="2" fontId="4" numFmtId="1" xfId="0" applyAlignment="1" applyBorder="1" applyFont="1" applyNumberFormat="1">
      <alignment horizontal="center"/>
    </xf>
    <xf borderId="32" fillId="2" fontId="4" numFmtId="2" xfId="0" applyAlignment="1" applyBorder="1" applyFont="1" applyNumberFormat="1">
      <alignment horizontal="center"/>
    </xf>
    <xf borderId="32" fillId="2" fontId="4" numFmtId="10" xfId="0" applyAlignment="1" applyBorder="1" applyFont="1" applyNumberFormat="1">
      <alignment horizontal="center"/>
    </xf>
    <xf borderId="17" fillId="0" fontId="13" numFmtId="0" xfId="0" applyBorder="1" applyFont="1"/>
    <xf borderId="18" fillId="0" fontId="3" numFmtId="0" xfId="0" applyAlignment="1" applyBorder="1" applyFont="1">
      <alignment horizontal="center" vertical="center"/>
    </xf>
    <xf borderId="18" fillId="0" fontId="13" numFmtId="0" xfId="0" applyBorder="1" applyFont="1"/>
    <xf borderId="18" fillId="0" fontId="3" numFmtId="0" xfId="0" applyAlignment="1" applyBorder="1" applyFont="1">
      <alignment horizontal="center"/>
    </xf>
    <xf borderId="18" fillId="0" fontId="4" numFmtId="1" xfId="0" applyAlignment="1" applyBorder="1" applyFont="1" applyNumberFormat="1">
      <alignment horizontal="center"/>
    </xf>
    <xf borderId="18" fillId="0" fontId="4" numFmtId="2" xfId="0" applyAlignment="1" applyBorder="1" applyFont="1" applyNumberFormat="1">
      <alignment horizontal="center"/>
    </xf>
    <xf borderId="18" fillId="0" fontId="4" numFmtId="10" xfId="0" applyBorder="1" applyFont="1" applyNumberFormat="1"/>
    <xf borderId="19" fillId="0" fontId="13" numFmtId="0" xfId="0" applyBorder="1" applyFont="1"/>
  </cellXfs>
  <cellStyles count="1">
    <cellStyle xfId="0" name="Normal" builtinId="0"/>
  </cellStyles>
  <dxfs count="3">
    <dxf>
      <font>
        <i/>
        <sz val="10.0"/>
        <color rgb="FF008000"/>
      </font>
      <fill>
        <patternFill patternType="solid">
          <fgColor rgb="FFCCFFFF"/>
          <bgColor rgb="FFCCFFFF"/>
        </patternFill>
      </fill>
      <border/>
    </dxf>
    <dxf>
      <font>
        <sz val="10.0"/>
        <color rgb="FFFF6600"/>
      </font>
      <fill>
        <patternFill patternType="solid">
          <fgColor rgb="FFFFFF99"/>
          <bgColor rgb="FFFFFF99"/>
        </patternFill>
      </fill>
      <border/>
    </dxf>
    <dxf>
      <font>
        <sz val="10.0"/>
        <color rgb="FFFF6600"/>
      </font>
      <fill>
        <patternFill patternType="solid">
          <fgColor rgb="FFFFCC99"/>
          <bgColor rgb="FFFFCC99"/>
        </patternFill>
      </fill>
      <border/>
    </dxf>
  </dxfs>
</styleSheet>
</file>

<file path=xl/_rels/comments1.xml.rels><?xml version="1.0" encoding="UTF-8" standalone="yes"?><Relationships xmlns="http://schemas.openxmlformats.org/package/2006/relationships"><Relationship Id="rId1" Type="http://customschemas.google.com/relationships/workbookmetadata" Target="commentsmeta0"/></Relationships>
</file>

<file path=xl/_rels/comments2.xml.rels><?xml version="1.0" encoding="UTF-8" standalone="yes"?><Relationships xmlns="http://schemas.openxmlformats.org/package/2006/relationships"><Relationship Id="rId1" Type="http://customschemas.google.com/relationships/workbookmetadata" Target="commentsmeta1"/></Relationships>
</file>

<file path=xl/_rels/comments3.xml.rels><?xml version="1.0" encoding="UTF-8" standalone="yes"?><Relationships xmlns="http://schemas.openxmlformats.org/package/2006/relationships"><Relationship Id="rId1" Type="http://customschemas.google.com/relationships/workbookmetadata" Target="commentsmeta2"/></Relationships>
</file>

<file path=xl/_rels/comments4.xml.rels><?xml version="1.0" encoding="UTF-8" standalone="yes"?><Relationships xmlns="http://schemas.openxmlformats.org/package/2006/relationships"><Relationship Id="rId1" Type="http://customschemas.google.com/relationships/workbookmetadata" Target="commentsmeta3"/></Relationships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customschemas.google.com/relationships/workbookmetadata" Target="metadata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i="0" sz="800">
                <a:solidFill>
                  <a:srgbClr val="333333"/>
                </a:solidFill>
                <a:latin typeface="Arial"/>
              </a:defRPr>
            </a:pPr>
            <a:r>
              <a:rPr b="1" i="0" sz="800">
                <a:solidFill>
                  <a:srgbClr val="333333"/>
                </a:solidFill>
                <a:latin typeface="Arial"/>
              </a:rPr>
              <a:t>% por Tipo de Função</a:t>
            </a:r>
          </a:p>
        </c:rich>
      </c:tx>
      <c:layout>
        <c:manualLayout>
          <c:xMode val="edge"/>
          <c:yMode val="edge"/>
          <c:x val="0.25274802188188017"/>
          <c:y val="0.7734375"/>
        </c:manualLayout>
      </c:layout>
      <c:overlay val="0"/>
    </c:title>
    <c:view3D>
      <c:rotX val="50"/>
      <c:perspective val="0"/>
    </c:view3D>
    <c:plotArea>
      <c:layout>
        <c:manualLayout>
          <c:xMode val="edge"/>
          <c:yMode val="edge"/>
          <c:x val="0.3186824586569177"/>
          <c:y val="0.125"/>
          <c:w val="0.2747262574628601"/>
          <c:h val="0.59375"/>
        </c:manualLayout>
      </c:layout>
      <c:pie3DChart>
        <c:varyColors val="1"/>
        <c:ser>
          <c:idx val="0"/>
          <c:order val="0"/>
          <c:dPt>
            <c:idx val="0"/>
            <c:spPr>
              <a:solidFill>
                <a:srgbClr val="4F81BD"/>
              </a:solidFill>
            </c:spPr>
          </c:dPt>
          <c:dLbls>
            <c:dLbl>
              <c:idx val="0"/>
              <c:txPr>
                <a:bodyPr/>
                <a:lstStyle/>
                <a:p>
                  <a:pPr lvl="0">
                    <a:defRPr b="0" i="0" sz="1000">
                      <a:solidFill>
                        <a:srgbClr val="333333"/>
                      </a:solidFill>
                      <a:latin typeface="Calibri"/>
                    </a:defRPr>
                  </a:pPr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</c:dLbl>
            <c:showLegendKey val="0"/>
            <c:showVal val="1"/>
            <c:showCatName val="0"/>
            <c:showSerName val="0"/>
            <c:showPercent val="0"/>
            <c:showBubbleSize val="0"/>
            <c:showLeaderLines val="1"/>
          </c:dLbls>
          <c:cat>
            <c:strRef>
              <c:f>'Sumário 1'!$B$10</c:f>
            </c:strRef>
          </c:cat>
          <c:val>
            <c:numRef>
              <c:f>'Sumário 1'!$B$17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</c:pie3DChart>
    </c:plotArea>
    <c:legend>
      <c:legendPos val="r"/>
      <c:layout>
        <c:manualLayout>
          <c:xMode val="edge"/>
          <c:yMode val="edge"/>
          <c:x val="0.7863270937286686"/>
          <c:y val="0.07292800804016138"/>
        </c:manualLayout>
      </c:layout>
      <c:overlay val="0"/>
      <c:txPr>
        <a:bodyPr/>
        <a:lstStyle/>
        <a:p>
          <a:pPr lvl="0">
            <a:defRPr b="0" i="0" sz="800">
              <a:solidFill>
                <a:srgbClr val="333333"/>
              </a:solidFill>
              <a:latin typeface="Calibri"/>
            </a:defRPr>
          </a:pPr>
        </a:p>
      </c:txPr>
    </c:legend>
    <c:plotVisOnly val="1"/>
  </c:chart>
  <c:spPr>
    <a:solidFill>
      <a:srgbClr val="FFFFFF"/>
    </a:solidFill>
  </c:spPr>
</c:chartSpace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image" Target="../media/image1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28575</xdr:colOff>
      <xdr:row>0</xdr:row>
      <xdr:rowOff>133350</xdr:rowOff>
    </xdr:from>
    <xdr:ext cx="1304925" cy="314325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28575</xdr:colOff>
      <xdr:row>0</xdr:row>
      <xdr:rowOff>133350</xdr:rowOff>
    </xdr:from>
    <xdr:ext cx="1171575" cy="257175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28575</xdr:colOff>
      <xdr:row>0</xdr:row>
      <xdr:rowOff>85725</xdr:rowOff>
    </xdr:from>
    <xdr:ext cx="1276350" cy="285750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7</xdr:col>
      <xdr:colOff>28575</xdr:colOff>
      <xdr:row>43</xdr:row>
      <xdr:rowOff>28575</xdr:rowOff>
    </xdr:from>
    <xdr:ext cx="2933700" cy="1104900"/>
    <xdr:graphicFrame>
      <xdr:nvGraphicFramePr>
        <xdr:cNvPr id="1261533911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0</xdr:col>
      <xdr:colOff>76200</xdr:colOff>
      <xdr:row>0</xdr:row>
      <xdr:rowOff>123825</xdr:rowOff>
    </xdr:from>
    <xdr:ext cx="1276350" cy="276225"/>
    <xdr:pic>
      <xdr:nvPicPr>
        <xdr:cNvPr id="0" name="image1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152400</xdr:colOff>
      <xdr:row>0</xdr:row>
      <xdr:rowOff>114300</xdr:rowOff>
    </xdr:from>
    <xdr:ext cx="1200150" cy="276225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1.xml"/><Relationship Id="rId3" Type="http://schemas.openxmlformats.org/officeDocument/2006/relationships/vmlDrawing" Target="../drawings/vmlDrawing1.v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comments" Target="../comments2.xml"/><Relationship Id="rId2" Type="http://schemas.openxmlformats.org/officeDocument/2006/relationships/drawing" Target="../drawings/drawing2.xml"/><Relationship Id="rId3" Type="http://schemas.openxmlformats.org/officeDocument/2006/relationships/vmlDrawing" Target="../drawings/vmlDrawing2.v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comments" Target="../comments3.xml"/><Relationship Id="rId2" Type="http://schemas.openxmlformats.org/officeDocument/2006/relationships/drawing" Target="../drawings/drawing4.xml"/><Relationship Id="rId3" Type="http://schemas.openxmlformats.org/officeDocument/2006/relationships/vmlDrawing" Target="../drawings/vmlDrawing3.v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comments" Target="../comments4.xml"/><Relationship Id="rId2" Type="http://schemas.openxmlformats.org/officeDocument/2006/relationships/drawing" Target="../drawings/drawing5.xml"/><Relationship Id="rId3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ySplit="3.0" topLeftCell="A4" activePane="bottomLeft" state="frozen"/>
      <selection activeCell="B5" sqref="B5" pane="bottomLeft"/>
    </sheetView>
  </sheetViews>
  <sheetFormatPr customHeight="1" defaultColWidth="12.63" defaultRowHeight="15.0"/>
  <cols>
    <col customWidth="1" min="1" max="1" width="10.5"/>
    <col customWidth="1" min="2" max="2" width="2.75"/>
    <col customWidth="1" min="3" max="3" width="8.5"/>
    <col customWidth="1" min="4" max="4" width="4.5"/>
    <col customWidth="1" min="5" max="5" width="4.0"/>
    <col customWidth="1" min="6" max="6" width="4.5"/>
    <col customWidth="1" min="7" max="12" width="6.0"/>
    <col customWidth="1" min="13" max="13" width="18.5"/>
    <col customWidth="1" min="14" max="14" width="8.25"/>
    <col customWidth="1" min="15" max="15" width="11.5"/>
    <col customWidth="1" min="16" max="16" width="5.88"/>
    <col customWidth="1" min="17" max="18" width="2.75"/>
    <col customWidth="1" min="19" max="19" width="8.0"/>
    <col customWidth="1" min="20" max="22" width="2.75"/>
    <col customWidth="1" min="23" max="26" width="8.63"/>
  </cols>
  <sheetData>
    <row r="1" ht="13.5" customHeight="1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3"/>
    </row>
    <row r="2" ht="13.5" customHeight="1">
      <c r="A2" s="4"/>
      <c r="V2" s="5"/>
    </row>
    <row r="3" ht="13.5" customHeight="1">
      <c r="A3" s="6"/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8"/>
    </row>
    <row r="4" ht="13.5" customHeight="1">
      <c r="A4" s="9" t="s">
        <v>1</v>
      </c>
      <c r="B4" s="10"/>
      <c r="C4" s="10"/>
      <c r="D4" s="10"/>
      <c r="E4" s="11"/>
      <c r="F4" s="12" t="s">
        <v>2</v>
      </c>
      <c r="G4" s="10"/>
      <c r="H4" s="10"/>
      <c r="I4" s="10"/>
      <c r="J4" s="10"/>
      <c r="K4" s="10"/>
      <c r="L4" s="10"/>
      <c r="M4" s="10"/>
      <c r="N4" s="10"/>
      <c r="O4" s="13" t="s">
        <v>3</v>
      </c>
      <c r="P4" s="10"/>
      <c r="Q4" s="14">
        <f>'Funções'!L4</f>
        <v>328</v>
      </c>
      <c r="R4" s="10"/>
      <c r="S4" s="10"/>
      <c r="T4" s="10"/>
      <c r="U4" s="10"/>
      <c r="V4" s="15"/>
    </row>
    <row r="5" ht="13.5" customHeight="1">
      <c r="A5" s="9" t="s">
        <v>4</v>
      </c>
      <c r="B5" s="10"/>
      <c r="C5" s="10"/>
      <c r="D5" s="10"/>
      <c r="E5" s="11"/>
      <c r="F5" s="12" t="s">
        <v>5</v>
      </c>
      <c r="G5" s="10"/>
      <c r="H5" s="10"/>
      <c r="I5" s="10"/>
      <c r="J5" s="10"/>
      <c r="K5" s="10"/>
      <c r="L5" s="10"/>
      <c r="M5" s="10"/>
      <c r="N5" s="10"/>
      <c r="O5" s="13" t="s">
        <v>6</v>
      </c>
      <c r="P5" s="11"/>
      <c r="Q5" s="14">
        <f>'Funções'!L5</f>
        <v>328</v>
      </c>
      <c r="R5" s="10"/>
      <c r="S5" s="10"/>
      <c r="T5" s="10"/>
      <c r="U5" s="10"/>
      <c r="V5" s="15"/>
    </row>
    <row r="6" ht="13.5" customHeight="1">
      <c r="A6" s="9" t="s">
        <v>7</v>
      </c>
      <c r="B6" s="10"/>
      <c r="C6" s="10"/>
      <c r="D6" s="10"/>
      <c r="E6" s="11"/>
      <c r="F6" s="16" t="s">
        <v>8</v>
      </c>
      <c r="G6" s="10"/>
      <c r="H6" s="10"/>
      <c r="I6" s="10"/>
      <c r="J6" s="10"/>
      <c r="K6" s="10"/>
      <c r="L6" s="10"/>
      <c r="M6" s="10"/>
      <c r="N6" s="11"/>
      <c r="O6" s="13" t="s">
        <v>9</v>
      </c>
      <c r="P6" s="11"/>
      <c r="Q6" s="14">
        <f>'Funções'!L6</f>
        <v>290.7</v>
      </c>
      <c r="R6" s="10"/>
      <c r="S6" s="10"/>
      <c r="T6" s="10"/>
      <c r="U6" s="10"/>
      <c r="V6" s="15"/>
    </row>
    <row r="7" ht="13.5" customHeight="1">
      <c r="A7" s="9" t="s">
        <v>10</v>
      </c>
      <c r="B7" s="10"/>
      <c r="C7" s="10"/>
      <c r="D7" s="10"/>
      <c r="E7" s="11"/>
      <c r="F7" s="12" t="s">
        <v>11</v>
      </c>
      <c r="G7" s="10"/>
      <c r="H7" s="10"/>
      <c r="I7" s="10"/>
      <c r="J7" s="10"/>
      <c r="K7" s="10"/>
      <c r="L7" s="10"/>
      <c r="M7" s="10"/>
      <c r="N7" s="10"/>
      <c r="O7" s="13" t="s">
        <v>12</v>
      </c>
      <c r="P7" s="10"/>
      <c r="Q7" s="11"/>
      <c r="R7" s="12" t="s">
        <v>13</v>
      </c>
      <c r="S7" s="10"/>
      <c r="T7" s="10"/>
      <c r="U7" s="10"/>
      <c r="V7" s="15"/>
    </row>
    <row r="8" ht="13.5" customHeight="1">
      <c r="A8" s="9" t="s">
        <v>14</v>
      </c>
      <c r="B8" s="10"/>
      <c r="C8" s="10"/>
      <c r="D8" s="10"/>
      <c r="E8" s="11"/>
      <c r="F8" s="12" t="s">
        <v>15</v>
      </c>
      <c r="G8" s="10"/>
      <c r="H8" s="10"/>
      <c r="I8" s="10"/>
      <c r="J8" s="10"/>
      <c r="K8" s="10"/>
      <c r="L8" s="10"/>
      <c r="M8" s="10"/>
      <c r="N8" s="10"/>
      <c r="O8" s="13" t="s">
        <v>16</v>
      </c>
      <c r="P8" s="10"/>
      <c r="Q8" s="11"/>
      <c r="R8" s="12" t="s">
        <v>17</v>
      </c>
      <c r="S8" s="10"/>
      <c r="T8" s="10"/>
      <c r="U8" s="10"/>
      <c r="V8" s="15"/>
    </row>
    <row r="9" ht="13.5" customHeight="1">
      <c r="A9" s="9" t="s">
        <v>18</v>
      </c>
      <c r="B9" s="10"/>
      <c r="C9" s="10"/>
      <c r="D9" s="10"/>
      <c r="E9" s="11"/>
      <c r="F9" s="16" t="s">
        <v>19</v>
      </c>
      <c r="G9" s="10"/>
      <c r="H9" s="10"/>
      <c r="I9" s="10"/>
      <c r="J9" s="10"/>
      <c r="K9" s="10"/>
      <c r="L9" s="10"/>
      <c r="M9" s="10"/>
      <c r="N9" s="11"/>
      <c r="O9" s="17"/>
      <c r="P9" s="10"/>
      <c r="Q9" s="11"/>
      <c r="R9" s="18">
        <v>45797.0</v>
      </c>
      <c r="S9" s="10"/>
      <c r="T9" s="10"/>
      <c r="U9" s="10"/>
      <c r="V9" s="15"/>
    </row>
    <row r="10" ht="13.5" customHeight="1">
      <c r="A10" s="9" t="s">
        <v>20</v>
      </c>
      <c r="B10" s="10"/>
      <c r="C10" s="10"/>
      <c r="D10" s="10"/>
      <c r="E10" s="11"/>
      <c r="F10" s="16" t="s">
        <v>19</v>
      </c>
      <c r="G10" s="10"/>
      <c r="H10" s="10"/>
      <c r="I10" s="10"/>
      <c r="J10" s="10"/>
      <c r="K10" s="10"/>
      <c r="L10" s="10"/>
      <c r="M10" s="10"/>
      <c r="N10" s="11"/>
      <c r="O10" s="17" t="s">
        <v>21</v>
      </c>
      <c r="P10" s="10"/>
      <c r="Q10" s="11"/>
      <c r="R10" s="18">
        <v>45869.0</v>
      </c>
      <c r="S10" s="10"/>
      <c r="T10" s="10"/>
      <c r="U10" s="10"/>
      <c r="V10" s="15"/>
    </row>
    <row r="11" ht="13.5" customHeight="1">
      <c r="A11" s="19" t="s">
        <v>22</v>
      </c>
      <c r="B11" s="10"/>
      <c r="C11" s="10"/>
      <c r="D11" s="10"/>
      <c r="E11" s="10"/>
      <c r="F11" s="10"/>
      <c r="G11" s="10"/>
      <c r="H11" s="10"/>
      <c r="I11" s="10"/>
      <c r="J11" s="10"/>
      <c r="K11" s="10"/>
      <c r="L11" s="10"/>
      <c r="M11" s="10"/>
      <c r="N11" s="10"/>
      <c r="O11" s="10"/>
      <c r="P11" s="10"/>
      <c r="Q11" s="10"/>
      <c r="R11" s="10"/>
      <c r="S11" s="10"/>
      <c r="T11" s="10"/>
      <c r="U11" s="10"/>
      <c r="V11" s="15"/>
    </row>
    <row r="12" ht="13.5" customHeight="1">
      <c r="A12" s="20" t="s">
        <v>23</v>
      </c>
      <c r="V12" s="5"/>
    </row>
    <row r="13" ht="13.5" customHeight="1">
      <c r="A13" s="4"/>
      <c r="V13" s="5"/>
    </row>
    <row r="14" ht="13.5" customHeight="1">
      <c r="A14" s="4"/>
      <c r="V14" s="5"/>
    </row>
    <row r="15" ht="90.75" customHeight="1">
      <c r="A15" s="6"/>
      <c r="B15" s="7"/>
      <c r="C15" s="7"/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  <c r="P15" s="7"/>
      <c r="Q15" s="7"/>
      <c r="R15" s="7"/>
      <c r="S15" s="7"/>
      <c r="T15" s="7"/>
      <c r="U15" s="7"/>
      <c r="V15" s="8"/>
    </row>
    <row r="16" ht="13.5" customHeight="1">
      <c r="A16" s="19" t="s">
        <v>24</v>
      </c>
      <c r="B16" s="10"/>
      <c r="C16" s="10"/>
      <c r="D16" s="10"/>
      <c r="E16" s="10"/>
      <c r="F16" s="10"/>
      <c r="G16" s="10"/>
      <c r="H16" s="10"/>
      <c r="I16" s="10"/>
      <c r="J16" s="10"/>
      <c r="K16" s="10"/>
      <c r="L16" s="10"/>
      <c r="M16" s="10"/>
      <c r="N16" s="10"/>
      <c r="O16" s="10"/>
      <c r="P16" s="10"/>
      <c r="Q16" s="10"/>
      <c r="R16" s="10"/>
      <c r="S16" s="10"/>
      <c r="T16" s="10"/>
      <c r="U16" s="10"/>
      <c r="V16" s="15"/>
    </row>
    <row r="17" ht="13.5" customHeight="1">
      <c r="A17" s="21" t="s">
        <v>25</v>
      </c>
      <c r="V17" s="5"/>
    </row>
    <row r="18" ht="13.5" customHeight="1">
      <c r="A18" s="4"/>
      <c r="V18" s="5"/>
    </row>
    <row r="19" ht="13.5" customHeight="1">
      <c r="A19" s="4"/>
      <c r="V19" s="5"/>
    </row>
    <row r="20" ht="33.0" customHeight="1">
      <c r="A20" s="6"/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8"/>
    </row>
    <row r="21" ht="13.5" customHeight="1">
      <c r="A21" s="19" t="s">
        <v>26</v>
      </c>
      <c r="B21" s="10"/>
      <c r="C21" s="10"/>
      <c r="D21" s="10"/>
      <c r="E21" s="10"/>
      <c r="F21" s="10"/>
      <c r="G21" s="10"/>
      <c r="H21" s="10"/>
      <c r="I21" s="10"/>
      <c r="J21" s="10"/>
      <c r="K21" s="10"/>
      <c r="L21" s="10"/>
      <c r="M21" s="10"/>
      <c r="N21" s="10"/>
      <c r="O21" s="10"/>
      <c r="P21" s="10"/>
      <c r="Q21" s="10"/>
      <c r="R21" s="10"/>
      <c r="S21" s="10"/>
      <c r="T21" s="10"/>
      <c r="U21" s="10"/>
      <c r="V21" s="15"/>
    </row>
    <row r="22" ht="13.5" customHeight="1">
      <c r="A22" s="22" t="s">
        <v>27</v>
      </c>
      <c r="B22" s="23"/>
      <c r="C22" s="23"/>
      <c r="D22" s="23"/>
      <c r="E22" s="23"/>
      <c r="F22" s="23"/>
      <c r="G22" s="23"/>
      <c r="H22" s="23"/>
      <c r="I22" s="23"/>
      <c r="J22" s="23"/>
      <c r="K22" s="23"/>
      <c r="L22" s="23"/>
      <c r="M22" s="23"/>
      <c r="N22" s="23"/>
      <c r="O22" s="23"/>
      <c r="P22" s="23"/>
      <c r="Q22" s="23"/>
      <c r="R22" s="23"/>
      <c r="S22" s="23"/>
      <c r="T22" s="23"/>
      <c r="U22" s="23"/>
      <c r="V22" s="24"/>
    </row>
    <row r="23" ht="13.5" customHeight="1">
      <c r="A23" s="4"/>
      <c r="V23" s="5"/>
    </row>
    <row r="24" ht="13.5" customHeight="1">
      <c r="A24" s="4"/>
      <c r="V24" s="5"/>
    </row>
    <row r="25" ht="13.5" customHeight="1">
      <c r="A25" s="4"/>
      <c r="V25" s="5"/>
    </row>
    <row r="26" ht="13.5" customHeight="1">
      <c r="A26" s="4"/>
      <c r="V26" s="5"/>
    </row>
    <row r="27" ht="13.5" customHeight="1">
      <c r="A27" s="4"/>
      <c r="V27" s="5"/>
    </row>
    <row r="28" ht="13.5" customHeight="1">
      <c r="A28" s="4"/>
      <c r="V28" s="5"/>
    </row>
    <row r="29" ht="13.5" customHeight="1">
      <c r="A29" s="4"/>
      <c r="V29" s="5"/>
    </row>
    <row r="30" ht="13.5" customHeight="1">
      <c r="A30" s="4"/>
      <c r="V30" s="5"/>
    </row>
    <row r="31" ht="13.5" customHeight="1">
      <c r="A31" s="4"/>
      <c r="V31" s="5"/>
    </row>
    <row r="32" ht="13.5" customHeight="1">
      <c r="A32" s="4"/>
      <c r="V32" s="5"/>
    </row>
    <row r="33" ht="13.5" customHeight="1">
      <c r="A33" s="4"/>
      <c r="V33" s="5"/>
    </row>
    <row r="34" ht="13.5" customHeight="1">
      <c r="A34" s="4"/>
      <c r="V34" s="5"/>
    </row>
    <row r="35" ht="13.5" customHeight="1">
      <c r="A35" s="4"/>
      <c r="V35" s="5"/>
    </row>
    <row r="36" ht="13.5" customHeight="1">
      <c r="A36" s="4"/>
      <c r="V36" s="5"/>
    </row>
    <row r="37" ht="13.5" customHeight="1">
      <c r="A37" s="4"/>
      <c r="V37" s="5"/>
    </row>
    <row r="38" ht="13.5" customHeight="1">
      <c r="A38" s="4"/>
      <c r="V38" s="5"/>
    </row>
    <row r="39" ht="13.5" customHeight="1">
      <c r="A39" s="4"/>
      <c r="V39" s="5"/>
    </row>
    <row r="40" ht="13.5" customHeight="1">
      <c r="A40" s="4"/>
      <c r="V40" s="5"/>
    </row>
    <row r="41" ht="13.5" customHeight="1">
      <c r="A41" s="4"/>
      <c r="V41" s="5"/>
    </row>
    <row r="42" ht="13.5" customHeight="1">
      <c r="A42" s="4"/>
      <c r="V42" s="5"/>
    </row>
    <row r="43" ht="13.5" customHeight="1">
      <c r="A43" s="4"/>
      <c r="V43" s="5"/>
    </row>
    <row r="44" ht="13.5" customHeight="1">
      <c r="A44" s="4"/>
      <c r="V44" s="5"/>
    </row>
    <row r="45" ht="58.5" customHeight="1">
      <c r="A45" s="25"/>
      <c r="B45" s="26"/>
      <c r="C45" s="26"/>
      <c r="D45" s="26"/>
      <c r="E45" s="26"/>
      <c r="F45" s="26"/>
      <c r="G45" s="26"/>
      <c r="H45" s="26"/>
      <c r="I45" s="26"/>
      <c r="J45" s="26"/>
      <c r="K45" s="26"/>
      <c r="L45" s="26"/>
      <c r="M45" s="26"/>
      <c r="N45" s="26"/>
      <c r="O45" s="26"/>
      <c r="P45" s="26"/>
      <c r="Q45" s="26"/>
      <c r="R45" s="26"/>
      <c r="S45" s="26"/>
      <c r="T45" s="26"/>
      <c r="U45" s="26"/>
      <c r="V45" s="27"/>
    </row>
    <row r="46" ht="13.5" customHeight="1">
      <c r="A46" s="28"/>
      <c r="B46" s="28"/>
      <c r="C46" s="28"/>
      <c r="D46" s="28"/>
      <c r="E46" s="28"/>
      <c r="F46" s="28"/>
      <c r="G46" s="28"/>
      <c r="H46" s="28"/>
      <c r="I46" s="28"/>
      <c r="J46" s="28"/>
      <c r="K46" s="28"/>
      <c r="L46" s="28"/>
      <c r="M46" s="28"/>
      <c r="N46" s="28"/>
      <c r="O46" s="28"/>
      <c r="P46" s="28"/>
      <c r="Q46" s="28"/>
      <c r="R46" s="28"/>
      <c r="S46" s="28"/>
      <c r="T46" s="28"/>
      <c r="U46" s="28"/>
      <c r="V46" s="28"/>
    </row>
    <row r="47" ht="13.5" customHeight="1">
      <c r="A47" s="28"/>
      <c r="B47" s="28"/>
      <c r="C47" s="28"/>
      <c r="D47" s="28"/>
      <c r="E47" s="28"/>
      <c r="F47" s="28"/>
      <c r="G47" s="28"/>
      <c r="H47" s="28"/>
      <c r="I47" s="28"/>
      <c r="J47" s="28"/>
      <c r="K47" s="28"/>
      <c r="L47" s="28"/>
      <c r="M47" s="28"/>
      <c r="N47" s="28"/>
      <c r="O47" s="28"/>
      <c r="P47" s="28"/>
      <c r="Q47" s="28"/>
      <c r="R47" s="28"/>
      <c r="S47" s="28"/>
      <c r="T47" s="28"/>
      <c r="U47" s="28"/>
      <c r="V47" s="28"/>
    </row>
    <row r="48" ht="13.5" customHeight="1">
      <c r="A48" s="28"/>
      <c r="B48" s="28"/>
      <c r="C48" s="28"/>
      <c r="D48" s="28"/>
      <c r="E48" s="28"/>
      <c r="F48" s="28"/>
      <c r="G48" s="28"/>
      <c r="H48" s="28"/>
      <c r="I48" s="28"/>
      <c r="J48" s="28"/>
      <c r="K48" s="28"/>
      <c r="L48" s="28"/>
      <c r="M48" s="28"/>
      <c r="N48" s="28"/>
      <c r="O48" s="28"/>
      <c r="P48" s="28"/>
      <c r="Q48" s="28"/>
      <c r="R48" s="28"/>
      <c r="S48" s="28"/>
      <c r="T48" s="28"/>
      <c r="U48" s="28"/>
      <c r="V48" s="28"/>
    </row>
    <row r="49" ht="13.5" customHeight="1">
      <c r="A49" s="28"/>
      <c r="B49" s="28"/>
      <c r="C49" s="28"/>
      <c r="D49" s="28"/>
      <c r="E49" s="28"/>
      <c r="F49" s="28"/>
      <c r="G49" s="28"/>
      <c r="H49" s="28"/>
      <c r="I49" s="28"/>
      <c r="J49" s="28"/>
      <c r="K49" s="28"/>
      <c r="L49" s="28"/>
      <c r="M49" s="28"/>
      <c r="N49" s="28"/>
      <c r="O49" s="28"/>
      <c r="P49" s="28"/>
      <c r="Q49" s="28"/>
      <c r="R49" s="28"/>
      <c r="S49" s="28"/>
      <c r="T49" s="28"/>
      <c r="U49" s="28"/>
      <c r="V49" s="28"/>
    </row>
    <row r="50" ht="13.5" customHeight="1">
      <c r="A50" s="28"/>
      <c r="B50" s="28"/>
      <c r="C50" s="28"/>
      <c r="D50" s="28"/>
      <c r="E50" s="28"/>
      <c r="F50" s="28"/>
      <c r="G50" s="28"/>
      <c r="H50" s="28"/>
      <c r="I50" s="28"/>
      <c r="J50" s="28"/>
      <c r="K50" s="28"/>
      <c r="L50" s="28"/>
      <c r="M50" s="28"/>
      <c r="N50" s="28"/>
      <c r="O50" s="28"/>
      <c r="P50" s="28"/>
      <c r="Q50" s="28"/>
      <c r="R50" s="28"/>
      <c r="S50" s="28"/>
      <c r="T50" s="28"/>
      <c r="U50" s="28"/>
      <c r="V50" s="28"/>
    </row>
    <row r="51" ht="13.5" customHeight="1">
      <c r="A51" s="28"/>
      <c r="B51" s="28"/>
      <c r="C51" s="28"/>
      <c r="D51" s="28"/>
      <c r="E51" s="28"/>
      <c r="F51" s="28"/>
      <c r="G51" s="28"/>
      <c r="H51" s="28"/>
      <c r="I51" s="28"/>
      <c r="J51" s="28"/>
      <c r="K51" s="28"/>
      <c r="L51" s="28"/>
      <c r="M51" s="28"/>
      <c r="N51" s="28"/>
      <c r="O51" s="28"/>
      <c r="P51" s="28"/>
      <c r="Q51" s="28"/>
      <c r="R51" s="28"/>
      <c r="S51" s="28"/>
      <c r="T51" s="28"/>
      <c r="U51" s="28"/>
      <c r="V51" s="28"/>
    </row>
    <row r="52" ht="13.5" customHeight="1">
      <c r="A52" s="28"/>
      <c r="B52" s="28"/>
      <c r="C52" s="28"/>
      <c r="D52" s="28"/>
      <c r="E52" s="28"/>
      <c r="F52" s="28"/>
      <c r="G52" s="28"/>
      <c r="H52" s="28"/>
      <c r="I52" s="28"/>
      <c r="J52" s="28"/>
      <c r="K52" s="28"/>
      <c r="L52" s="28"/>
      <c r="M52" s="28"/>
      <c r="N52" s="28"/>
      <c r="O52" s="28"/>
      <c r="P52" s="28"/>
      <c r="Q52" s="28"/>
      <c r="R52" s="28"/>
      <c r="S52" s="28"/>
      <c r="T52" s="28"/>
      <c r="U52" s="28"/>
      <c r="V52" s="28"/>
    </row>
    <row r="53" ht="13.5" customHeight="1">
      <c r="A53" s="28"/>
      <c r="B53" s="28"/>
      <c r="C53" s="28"/>
      <c r="D53" s="28"/>
      <c r="E53" s="28"/>
      <c r="F53" s="28"/>
      <c r="G53" s="28"/>
      <c r="H53" s="28"/>
      <c r="I53" s="28"/>
      <c r="J53" s="28"/>
      <c r="K53" s="28"/>
      <c r="L53" s="28"/>
      <c r="M53" s="28"/>
      <c r="N53" s="28"/>
      <c r="O53" s="28"/>
      <c r="P53" s="28"/>
      <c r="Q53" s="28"/>
      <c r="R53" s="28"/>
      <c r="S53" s="28"/>
      <c r="T53" s="28"/>
      <c r="U53" s="28"/>
      <c r="V53" s="28"/>
    </row>
    <row r="54" ht="13.5" customHeight="1">
      <c r="A54" s="28"/>
      <c r="B54" s="28"/>
      <c r="C54" s="28"/>
      <c r="D54" s="28"/>
      <c r="E54" s="28"/>
      <c r="F54" s="28"/>
      <c r="G54" s="28"/>
      <c r="H54" s="28"/>
      <c r="I54" s="28"/>
      <c r="J54" s="28"/>
      <c r="K54" s="28"/>
      <c r="L54" s="28"/>
      <c r="M54" s="28"/>
      <c r="N54" s="28"/>
      <c r="O54" s="28"/>
      <c r="P54" s="28"/>
      <c r="Q54" s="28"/>
      <c r="R54" s="28"/>
      <c r="S54" s="28"/>
      <c r="T54" s="28"/>
      <c r="U54" s="28"/>
      <c r="V54" s="28"/>
    </row>
    <row r="55" ht="13.5" customHeight="1">
      <c r="A55" s="28"/>
      <c r="B55" s="28"/>
      <c r="C55" s="28"/>
      <c r="D55" s="28"/>
      <c r="E55" s="28"/>
      <c r="F55" s="28"/>
      <c r="G55" s="28"/>
      <c r="H55" s="28"/>
      <c r="I55" s="28"/>
      <c r="J55" s="28"/>
      <c r="K55" s="28"/>
      <c r="L55" s="28"/>
      <c r="M55" s="28"/>
      <c r="N55" s="28"/>
      <c r="O55" s="28"/>
      <c r="P55" s="28"/>
      <c r="Q55" s="28"/>
      <c r="R55" s="28"/>
      <c r="S55" s="28"/>
      <c r="T55" s="28"/>
      <c r="U55" s="28"/>
      <c r="V55" s="28"/>
    </row>
    <row r="56" ht="13.5" customHeight="1">
      <c r="A56" s="28"/>
      <c r="B56" s="28"/>
      <c r="C56" s="28"/>
      <c r="D56" s="28"/>
      <c r="E56" s="28"/>
      <c r="F56" s="28"/>
      <c r="G56" s="28"/>
      <c r="H56" s="28"/>
      <c r="I56" s="28"/>
      <c r="J56" s="28"/>
      <c r="K56" s="28"/>
      <c r="L56" s="28"/>
      <c r="M56" s="28"/>
      <c r="N56" s="28"/>
      <c r="O56" s="28"/>
      <c r="P56" s="28"/>
      <c r="Q56" s="28"/>
      <c r="R56" s="28"/>
      <c r="S56" s="28"/>
      <c r="T56" s="28"/>
      <c r="U56" s="28"/>
      <c r="V56" s="28"/>
    </row>
    <row r="57" ht="13.5" customHeight="1">
      <c r="A57" s="28"/>
      <c r="B57" s="28"/>
      <c r="C57" s="28"/>
      <c r="D57" s="28"/>
      <c r="E57" s="28"/>
      <c r="F57" s="28"/>
      <c r="G57" s="28"/>
      <c r="H57" s="28"/>
      <c r="I57" s="28"/>
      <c r="J57" s="28"/>
      <c r="K57" s="28"/>
      <c r="L57" s="28"/>
      <c r="M57" s="28"/>
      <c r="N57" s="28"/>
      <c r="O57" s="28"/>
      <c r="P57" s="28"/>
      <c r="Q57" s="28"/>
      <c r="R57" s="28"/>
      <c r="S57" s="28"/>
      <c r="T57" s="28"/>
      <c r="U57" s="28"/>
      <c r="V57" s="28"/>
    </row>
    <row r="58" ht="13.5" customHeight="1">
      <c r="A58" s="28"/>
      <c r="B58" s="28"/>
      <c r="C58" s="28"/>
      <c r="D58" s="28"/>
      <c r="E58" s="28"/>
      <c r="F58" s="28"/>
      <c r="G58" s="28"/>
      <c r="H58" s="28"/>
      <c r="I58" s="28"/>
      <c r="J58" s="28"/>
      <c r="K58" s="28"/>
      <c r="L58" s="28"/>
      <c r="M58" s="28"/>
      <c r="N58" s="28"/>
      <c r="O58" s="28"/>
      <c r="P58" s="28"/>
      <c r="Q58" s="28"/>
      <c r="R58" s="28"/>
      <c r="S58" s="28"/>
      <c r="T58" s="28"/>
      <c r="U58" s="28"/>
      <c r="V58" s="28"/>
    </row>
    <row r="59" ht="13.5" customHeight="1">
      <c r="A59" s="28"/>
      <c r="B59" s="28"/>
      <c r="C59" s="28"/>
      <c r="D59" s="28"/>
      <c r="E59" s="28"/>
      <c r="F59" s="28"/>
      <c r="G59" s="28"/>
      <c r="H59" s="28"/>
      <c r="I59" s="28"/>
      <c r="J59" s="28"/>
      <c r="K59" s="28"/>
      <c r="L59" s="28"/>
      <c r="M59" s="28"/>
      <c r="N59" s="28"/>
      <c r="O59" s="28"/>
      <c r="P59" s="28"/>
      <c r="Q59" s="28"/>
      <c r="R59" s="28"/>
      <c r="S59" s="28"/>
      <c r="T59" s="28"/>
      <c r="U59" s="28"/>
      <c r="V59" s="28"/>
    </row>
    <row r="60" ht="13.5" customHeight="1">
      <c r="A60" s="28"/>
      <c r="B60" s="28"/>
      <c r="C60" s="28"/>
      <c r="D60" s="28"/>
      <c r="E60" s="28"/>
      <c r="F60" s="28"/>
      <c r="G60" s="28"/>
      <c r="H60" s="28"/>
      <c r="I60" s="28"/>
      <c r="J60" s="28"/>
      <c r="K60" s="28"/>
      <c r="L60" s="28"/>
      <c r="M60" s="28"/>
      <c r="N60" s="28"/>
      <c r="O60" s="28"/>
      <c r="P60" s="28"/>
      <c r="Q60" s="28"/>
      <c r="R60" s="28"/>
      <c r="S60" s="28"/>
      <c r="T60" s="28"/>
      <c r="U60" s="28"/>
      <c r="V60" s="28"/>
    </row>
    <row r="61" ht="13.5" customHeight="1">
      <c r="A61" s="28"/>
      <c r="B61" s="28"/>
      <c r="C61" s="28"/>
      <c r="D61" s="28"/>
      <c r="E61" s="28"/>
      <c r="F61" s="28"/>
      <c r="G61" s="28"/>
      <c r="H61" s="28"/>
      <c r="I61" s="28"/>
      <c r="J61" s="28"/>
      <c r="K61" s="28"/>
      <c r="L61" s="28"/>
      <c r="M61" s="28"/>
      <c r="N61" s="28"/>
      <c r="O61" s="28"/>
      <c r="P61" s="28"/>
      <c r="Q61" s="28"/>
      <c r="R61" s="28"/>
      <c r="S61" s="28"/>
      <c r="T61" s="28"/>
      <c r="U61" s="28"/>
      <c r="V61" s="28"/>
    </row>
    <row r="62" ht="13.5" customHeight="1">
      <c r="A62" s="28"/>
      <c r="B62" s="28"/>
      <c r="C62" s="28"/>
      <c r="D62" s="28"/>
      <c r="E62" s="28"/>
      <c r="F62" s="28"/>
      <c r="G62" s="28"/>
      <c r="H62" s="28"/>
      <c r="I62" s="28"/>
      <c r="J62" s="28"/>
      <c r="K62" s="28"/>
      <c r="L62" s="28"/>
      <c r="M62" s="28"/>
      <c r="N62" s="28"/>
      <c r="O62" s="28"/>
      <c r="P62" s="28"/>
      <c r="Q62" s="28"/>
      <c r="R62" s="28"/>
      <c r="S62" s="28"/>
      <c r="T62" s="28"/>
      <c r="U62" s="28"/>
      <c r="V62" s="28"/>
    </row>
    <row r="63" ht="13.5" customHeight="1">
      <c r="A63" s="28"/>
      <c r="B63" s="28"/>
      <c r="C63" s="28"/>
      <c r="D63" s="28"/>
      <c r="E63" s="28"/>
      <c r="F63" s="28"/>
      <c r="G63" s="28"/>
      <c r="H63" s="28"/>
      <c r="I63" s="28"/>
      <c r="J63" s="28"/>
      <c r="K63" s="28"/>
      <c r="L63" s="28"/>
      <c r="M63" s="28"/>
      <c r="N63" s="28"/>
      <c r="O63" s="28"/>
      <c r="P63" s="28"/>
      <c r="Q63" s="28"/>
      <c r="R63" s="28"/>
      <c r="S63" s="28"/>
      <c r="T63" s="28"/>
      <c r="U63" s="28"/>
      <c r="V63" s="28"/>
    </row>
    <row r="64" ht="13.5" customHeight="1">
      <c r="A64" s="28"/>
      <c r="B64" s="28"/>
      <c r="C64" s="28"/>
      <c r="D64" s="28"/>
      <c r="E64" s="28"/>
      <c r="F64" s="28"/>
      <c r="G64" s="28"/>
      <c r="H64" s="28"/>
      <c r="I64" s="28"/>
      <c r="J64" s="28"/>
      <c r="K64" s="28"/>
      <c r="L64" s="28"/>
      <c r="M64" s="28"/>
      <c r="N64" s="28"/>
      <c r="O64" s="28"/>
      <c r="P64" s="28"/>
      <c r="Q64" s="28"/>
      <c r="R64" s="28"/>
      <c r="S64" s="28"/>
      <c r="T64" s="28"/>
      <c r="U64" s="28"/>
      <c r="V64" s="28"/>
    </row>
    <row r="65" ht="13.5" customHeight="1">
      <c r="A65" s="28"/>
      <c r="B65" s="28"/>
      <c r="C65" s="28"/>
      <c r="D65" s="28"/>
      <c r="E65" s="28"/>
      <c r="F65" s="28"/>
      <c r="G65" s="28"/>
      <c r="H65" s="28"/>
      <c r="I65" s="28"/>
      <c r="J65" s="28"/>
      <c r="K65" s="28"/>
      <c r="L65" s="28"/>
      <c r="M65" s="28"/>
      <c r="N65" s="28"/>
      <c r="O65" s="28"/>
      <c r="P65" s="28"/>
      <c r="Q65" s="28"/>
      <c r="R65" s="28"/>
      <c r="S65" s="28"/>
      <c r="T65" s="28"/>
      <c r="U65" s="28"/>
      <c r="V65" s="28"/>
    </row>
    <row r="66" ht="13.5" customHeight="1">
      <c r="A66" s="28"/>
      <c r="B66" s="28"/>
      <c r="C66" s="28"/>
      <c r="D66" s="28"/>
      <c r="E66" s="28"/>
      <c r="F66" s="28"/>
      <c r="G66" s="28"/>
      <c r="H66" s="28"/>
      <c r="I66" s="28"/>
      <c r="J66" s="28"/>
      <c r="K66" s="28"/>
      <c r="L66" s="28"/>
      <c r="M66" s="28"/>
      <c r="N66" s="28"/>
      <c r="O66" s="28"/>
      <c r="P66" s="28"/>
      <c r="Q66" s="28"/>
      <c r="R66" s="28"/>
      <c r="S66" s="28"/>
      <c r="T66" s="28"/>
      <c r="U66" s="28"/>
      <c r="V66" s="28"/>
    </row>
    <row r="67" ht="13.5" customHeight="1">
      <c r="A67" s="28"/>
      <c r="B67" s="28"/>
      <c r="C67" s="28"/>
      <c r="D67" s="28"/>
      <c r="E67" s="28"/>
      <c r="F67" s="28"/>
      <c r="G67" s="28"/>
      <c r="H67" s="28"/>
      <c r="I67" s="28"/>
      <c r="J67" s="28"/>
      <c r="K67" s="28"/>
      <c r="L67" s="28"/>
      <c r="M67" s="28"/>
      <c r="N67" s="28"/>
      <c r="O67" s="28"/>
      <c r="P67" s="28"/>
      <c r="Q67" s="28"/>
      <c r="R67" s="28"/>
      <c r="S67" s="28"/>
      <c r="T67" s="28"/>
      <c r="U67" s="28"/>
      <c r="V67" s="28"/>
    </row>
    <row r="68" ht="13.5" customHeight="1">
      <c r="A68" s="28"/>
      <c r="B68" s="28"/>
      <c r="C68" s="28"/>
      <c r="D68" s="28"/>
      <c r="E68" s="28"/>
      <c r="F68" s="28"/>
      <c r="G68" s="28"/>
      <c r="H68" s="28"/>
      <c r="I68" s="28"/>
      <c r="J68" s="28"/>
      <c r="K68" s="28"/>
      <c r="L68" s="28"/>
      <c r="M68" s="28"/>
      <c r="N68" s="28"/>
      <c r="O68" s="28"/>
      <c r="P68" s="28"/>
      <c r="Q68" s="28"/>
      <c r="R68" s="28"/>
      <c r="S68" s="28"/>
      <c r="T68" s="28"/>
      <c r="U68" s="28"/>
      <c r="V68" s="28"/>
    </row>
    <row r="69" ht="13.5" customHeight="1">
      <c r="A69" s="28"/>
      <c r="B69" s="28"/>
      <c r="C69" s="28"/>
      <c r="D69" s="28"/>
      <c r="E69" s="28"/>
      <c r="F69" s="28"/>
      <c r="G69" s="28"/>
      <c r="H69" s="28"/>
      <c r="I69" s="28"/>
      <c r="J69" s="28"/>
      <c r="K69" s="28"/>
      <c r="L69" s="28"/>
      <c r="M69" s="28"/>
      <c r="N69" s="28"/>
      <c r="O69" s="28"/>
      <c r="P69" s="28"/>
      <c r="Q69" s="28"/>
      <c r="R69" s="28"/>
      <c r="S69" s="28"/>
      <c r="T69" s="28"/>
      <c r="U69" s="28"/>
      <c r="V69" s="28"/>
    </row>
    <row r="70" ht="13.5" customHeight="1">
      <c r="A70" s="28"/>
      <c r="B70" s="28"/>
      <c r="C70" s="28"/>
      <c r="D70" s="28"/>
      <c r="E70" s="28"/>
      <c r="F70" s="28"/>
      <c r="G70" s="28"/>
      <c r="H70" s="28"/>
      <c r="I70" s="28"/>
      <c r="J70" s="28"/>
      <c r="K70" s="28"/>
      <c r="L70" s="28"/>
      <c r="M70" s="28"/>
      <c r="N70" s="28"/>
      <c r="O70" s="28"/>
      <c r="P70" s="28"/>
      <c r="Q70" s="28"/>
      <c r="R70" s="28"/>
      <c r="S70" s="28"/>
      <c r="T70" s="28"/>
      <c r="U70" s="28"/>
      <c r="V70" s="28"/>
    </row>
    <row r="71" ht="13.5" customHeight="1">
      <c r="A71" s="28"/>
      <c r="B71" s="28"/>
      <c r="C71" s="28"/>
      <c r="D71" s="28"/>
      <c r="E71" s="28"/>
      <c r="F71" s="28"/>
      <c r="G71" s="28"/>
      <c r="H71" s="28"/>
      <c r="I71" s="28"/>
      <c r="J71" s="28"/>
      <c r="K71" s="28"/>
      <c r="L71" s="28"/>
      <c r="M71" s="28"/>
      <c r="N71" s="28"/>
      <c r="O71" s="28"/>
      <c r="P71" s="28"/>
      <c r="Q71" s="28"/>
      <c r="R71" s="28"/>
      <c r="S71" s="28"/>
      <c r="T71" s="28"/>
      <c r="U71" s="28"/>
      <c r="V71" s="28"/>
    </row>
    <row r="72" ht="13.5" customHeight="1">
      <c r="A72" s="28"/>
      <c r="B72" s="28"/>
      <c r="C72" s="28"/>
      <c r="D72" s="28"/>
      <c r="E72" s="28"/>
      <c r="F72" s="28"/>
      <c r="G72" s="28"/>
      <c r="H72" s="28"/>
      <c r="I72" s="28"/>
      <c r="J72" s="28"/>
      <c r="K72" s="28"/>
      <c r="L72" s="28"/>
      <c r="M72" s="28"/>
      <c r="N72" s="28"/>
      <c r="O72" s="28"/>
      <c r="P72" s="28"/>
      <c r="Q72" s="28"/>
      <c r="R72" s="28"/>
      <c r="S72" s="28"/>
      <c r="T72" s="28"/>
      <c r="U72" s="28"/>
      <c r="V72" s="28"/>
    </row>
    <row r="73" ht="13.5" customHeight="1">
      <c r="A73" s="28"/>
      <c r="B73" s="28"/>
      <c r="C73" s="28"/>
      <c r="D73" s="28"/>
      <c r="E73" s="28"/>
      <c r="F73" s="28"/>
      <c r="G73" s="28"/>
      <c r="H73" s="28"/>
      <c r="I73" s="28"/>
      <c r="J73" s="28"/>
      <c r="K73" s="28"/>
      <c r="L73" s="28"/>
      <c r="M73" s="28"/>
      <c r="N73" s="28"/>
      <c r="O73" s="28"/>
      <c r="P73" s="28"/>
      <c r="Q73" s="28"/>
      <c r="R73" s="28"/>
      <c r="S73" s="28"/>
      <c r="T73" s="28"/>
      <c r="U73" s="28"/>
      <c r="V73" s="28"/>
    </row>
    <row r="74" ht="13.5" customHeight="1">
      <c r="A74" s="28"/>
      <c r="B74" s="28"/>
      <c r="C74" s="28"/>
      <c r="D74" s="28"/>
      <c r="E74" s="28"/>
      <c r="F74" s="28"/>
      <c r="G74" s="28"/>
      <c r="H74" s="28"/>
      <c r="I74" s="28"/>
      <c r="J74" s="28"/>
      <c r="K74" s="28"/>
      <c r="L74" s="28"/>
      <c r="M74" s="28"/>
      <c r="N74" s="28"/>
      <c r="O74" s="28"/>
      <c r="P74" s="28"/>
      <c r="Q74" s="28"/>
      <c r="R74" s="28"/>
      <c r="S74" s="28"/>
      <c r="T74" s="28"/>
      <c r="U74" s="28"/>
      <c r="V74" s="28"/>
    </row>
    <row r="75" ht="13.5" customHeight="1">
      <c r="A75" s="28"/>
      <c r="B75" s="28"/>
      <c r="C75" s="28"/>
      <c r="D75" s="28"/>
      <c r="E75" s="28"/>
      <c r="F75" s="28"/>
      <c r="G75" s="28"/>
      <c r="H75" s="28"/>
      <c r="I75" s="28"/>
      <c r="J75" s="28"/>
      <c r="K75" s="28"/>
      <c r="L75" s="28"/>
      <c r="M75" s="28"/>
      <c r="N75" s="28"/>
      <c r="O75" s="28"/>
      <c r="P75" s="28"/>
      <c r="Q75" s="28"/>
      <c r="R75" s="28"/>
      <c r="S75" s="28"/>
      <c r="T75" s="28"/>
      <c r="U75" s="28"/>
      <c r="V75" s="28"/>
    </row>
    <row r="76" ht="13.5" customHeight="1">
      <c r="A76" s="28"/>
      <c r="B76" s="28"/>
      <c r="C76" s="28"/>
      <c r="D76" s="28"/>
      <c r="E76" s="28"/>
      <c r="F76" s="28"/>
      <c r="G76" s="28"/>
      <c r="H76" s="28"/>
      <c r="I76" s="28"/>
      <c r="J76" s="28"/>
      <c r="K76" s="28"/>
      <c r="L76" s="28"/>
      <c r="M76" s="28"/>
      <c r="N76" s="28"/>
      <c r="O76" s="28"/>
      <c r="P76" s="28"/>
      <c r="Q76" s="28"/>
      <c r="R76" s="28"/>
      <c r="S76" s="28"/>
      <c r="T76" s="28"/>
      <c r="U76" s="28"/>
      <c r="V76" s="28"/>
    </row>
    <row r="77" ht="13.5" customHeight="1">
      <c r="A77" s="28"/>
      <c r="B77" s="28"/>
      <c r="C77" s="28"/>
      <c r="D77" s="28"/>
      <c r="E77" s="28"/>
      <c r="F77" s="28"/>
      <c r="G77" s="28"/>
      <c r="H77" s="28"/>
      <c r="I77" s="28"/>
      <c r="J77" s="28"/>
      <c r="K77" s="28"/>
      <c r="L77" s="28"/>
      <c r="M77" s="28"/>
      <c r="N77" s="28"/>
      <c r="O77" s="28"/>
      <c r="P77" s="28"/>
      <c r="Q77" s="28"/>
      <c r="R77" s="28"/>
      <c r="S77" s="28"/>
      <c r="T77" s="28"/>
      <c r="U77" s="28"/>
      <c r="V77" s="28"/>
    </row>
    <row r="78" ht="13.5" customHeight="1">
      <c r="A78" s="28"/>
      <c r="B78" s="28"/>
      <c r="C78" s="28"/>
      <c r="D78" s="28"/>
      <c r="E78" s="28"/>
      <c r="F78" s="28"/>
      <c r="G78" s="28"/>
      <c r="H78" s="28"/>
      <c r="I78" s="28"/>
      <c r="J78" s="28"/>
      <c r="K78" s="28"/>
      <c r="L78" s="28"/>
      <c r="M78" s="28"/>
      <c r="N78" s="28"/>
      <c r="O78" s="28"/>
      <c r="P78" s="28"/>
      <c r="Q78" s="28"/>
      <c r="R78" s="28"/>
      <c r="S78" s="28"/>
      <c r="T78" s="28"/>
      <c r="U78" s="28"/>
      <c r="V78" s="28"/>
    </row>
    <row r="79" ht="13.5" customHeight="1">
      <c r="A79" s="28"/>
      <c r="B79" s="28"/>
      <c r="C79" s="28"/>
      <c r="D79" s="28"/>
      <c r="E79" s="28"/>
      <c r="F79" s="28"/>
      <c r="G79" s="28"/>
      <c r="H79" s="28"/>
      <c r="I79" s="28"/>
      <c r="J79" s="28"/>
      <c r="K79" s="28"/>
      <c r="L79" s="28"/>
      <c r="M79" s="28"/>
      <c r="N79" s="28"/>
      <c r="O79" s="28"/>
      <c r="P79" s="28"/>
      <c r="Q79" s="28"/>
      <c r="R79" s="28"/>
      <c r="S79" s="28"/>
      <c r="T79" s="28"/>
      <c r="U79" s="28"/>
      <c r="V79" s="28"/>
    </row>
    <row r="80" ht="13.5" customHeight="1">
      <c r="A80" s="28"/>
      <c r="B80" s="28"/>
      <c r="C80" s="28"/>
      <c r="D80" s="28"/>
      <c r="E80" s="28"/>
      <c r="F80" s="28"/>
      <c r="G80" s="28"/>
      <c r="H80" s="28"/>
      <c r="I80" s="28"/>
      <c r="J80" s="28"/>
      <c r="K80" s="28"/>
      <c r="L80" s="28"/>
      <c r="M80" s="28"/>
      <c r="N80" s="28"/>
      <c r="O80" s="28"/>
      <c r="P80" s="28"/>
      <c r="Q80" s="28"/>
      <c r="R80" s="28"/>
      <c r="S80" s="28"/>
      <c r="T80" s="28"/>
      <c r="U80" s="28"/>
      <c r="V80" s="28"/>
    </row>
    <row r="81" ht="13.5" customHeight="1">
      <c r="A81" s="28"/>
      <c r="B81" s="28"/>
      <c r="C81" s="28"/>
      <c r="D81" s="28"/>
      <c r="E81" s="28"/>
      <c r="F81" s="28"/>
      <c r="G81" s="28"/>
      <c r="H81" s="28"/>
      <c r="I81" s="28"/>
      <c r="J81" s="28"/>
      <c r="K81" s="28"/>
      <c r="L81" s="28"/>
      <c r="M81" s="28"/>
      <c r="N81" s="28"/>
      <c r="O81" s="28"/>
      <c r="P81" s="28"/>
      <c r="Q81" s="28"/>
      <c r="R81" s="28"/>
      <c r="S81" s="28"/>
      <c r="T81" s="28"/>
      <c r="U81" s="28"/>
      <c r="V81" s="28"/>
    </row>
    <row r="82" ht="13.5" customHeight="1">
      <c r="A82" s="28"/>
      <c r="B82" s="28"/>
      <c r="C82" s="28"/>
      <c r="D82" s="28"/>
      <c r="E82" s="28"/>
      <c r="F82" s="28"/>
      <c r="G82" s="28"/>
      <c r="H82" s="28"/>
      <c r="I82" s="28"/>
      <c r="J82" s="28"/>
      <c r="K82" s="28"/>
      <c r="L82" s="28"/>
      <c r="M82" s="28"/>
      <c r="N82" s="28"/>
      <c r="O82" s="28"/>
      <c r="P82" s="28"/>
      <c r="Q82" s="28"/>
      <c r="R82" s="28"/>
      <c r="S82" s="28"/>
      <c r="T82" s="28"/>
      <c r="U82" s="28"/>
      <c r="V82" s="28"/>
    </row>
    <row r="83" ht="13.5" customHeight="1">
      <c r="A83" s="28"/>
      <c r="B83" s="28"/>
      <c r="C83" s="28"/>
      <c r="D83" s="28"/>
      <c r="E83" s="28"/>
      <c r="F83" s="28"/>
      <c r="G83" s="28"/>
      <c r="H83" s="28"/>
      <c r="I83" s="28"/>
      <c r="J83" s="28"/>
      <c r="K83" s="28"/>
      <c r="L83" s="28"/>
      <c r="M83" s="28"/>
      <c r="N83" s="28"/>
      <c r="O83" s="28"/>
      <c r="P83" s="28"/>
      <c r="Q83" s="28"/>
      <c r="R83" s="28"/>
      <c r="S83" s="28"/>
      <c r="T83" s="28"/>
      <c r="U83" s="28"/>
      <c r="V83" s="28"/>
    </row>
    <row r="84" ht="13.5" customHeight="1">
      <c r="A84" s="28"/>
      <c r="B84" s="28"/>
      <c r="C84" s="28"/>
      <c r="D84" s="28"/>
      <c r="E84" s="28"/>
      <c r="F84" s="28"/>
      <c r="G84" s="28"/>
      <c r="H84" s="28"/>
      <c r="I84" s="28"/>
      <c r="J84" s="28"/>
      <c r="K84" s="28"/>
      <c r="L84" s="28"/>
      <c r="M84" s="28"/>
      <c r="N84" s="28"/>
      <c r="O84" s="28"/>
      <c r="P84" s="28"/>
      <c r="Q84" s="28"/>
      <c r="R84" s="28"/>
      <c r="S84" s="28"/>
      <c r="T84" s="28"/>
      <c r="U84" s="28"/>
      <c r="V84" s="28"/>
    </row>
    <row r="85" ht="13.5" customHeight="1">
      <c r="A85" s="28"/>
      <c r="B85" s="28"/>
      <c r="C85" s="28"/>
      <c r="D85" s="28"/>
      <c r="E85" s="28"/>
      <c r="F85" s="28"/>
      <c r="G85" s="28"/>
      <c r="H85" s="28"/>
      <c r="I85" s="28"/>
      <c r="J85" s="28"/>
      <c r="K85" s="28"/>
      <c r="L85" s="28"/>
      <c r="M85" s="28"/>
      <c r="N85" s="28"/>
      <c r="O85" s="28"/>
      <c r="P85" s="28"/>
      <c r="Q85" s="28"/>
      <c r="R85" s="28"/>
      <c r="S85" s="28"/>
      <c r="T85" s="28"/>
      <c r="U85" s="28"/>
      <c r="V85" s="28"/>
    </row>
    <row r="86" ht="13.5" customHeight="1">
      <c r="A86" s="28"/>
      <c r="B86" s="28"/>
      <c r="C86" s="28"/>
      <c r="D86" s="28"/>
      <c r="E86" s="28"/>
      <c r="F86" s="28"/>
      <c r="G86" s="28"/>
      <c r="H86" s="28"/>
      <c r="I86" s="28"/>
      <c r="J86" s="28"/>
      <c r="K86" s="28"/>
      <c r="L86" s="28"/>
      <c r="M86" s="28"/>
      <c r="N86" s="28"/>
      <c r="O86" s="28"/>
      <c r="P86" s="28"/>
      <c r="Q86" s="28"/>
      <c r="R86" s="28"/>
      <c r="S86" s="28"/>
      <c r="T86" s="28"/>
      <c r="U86" s="28"/>
      <c r="V86" s="28"/>
    </row>
    <row r="87" ht="13.5" customHeight="1">
      <c r="A87" s="28"/>
      <c r="B87" s="28"/>
      <c r="C87" s="28"/>
      <c r="D87" s="28"/>
      <c r="E87" s="28"/>
      <c r="F87" s="28"/>
      <c r="G87" s="28"/>
      <c r="H87" s="28"/>
      <c r="I87" s="28"/>
      <c r="J87" s="28"/>
      <c r="K87" s="28"/>
      <c r="L87" s="28"/>
      <c r="M87" s="28"/>
      <c r="N87" s="28"/>
      <c r="O87" s="28"/>
      <c r="P87" s="28"/>
      <c r="Q87" s="28"/>
      <c r="R87" s="28"/>
      <c r="S87" s="28"/>
      <c r="T87" s="28"/>
      <c r="U87" s="28"/>
      <c r="V87" s="28"/>
    </row>
    <row r="88" ht="13.5" customHeight="1">
      <c r="A88" s="28"/>
      <c r="B88" s="28"/>
      <c r="C88" s="28"/>
      <c r="D88" s="28"/>
      <c r="E88" s="28"/>
      <c r="F88" s="28"/>
      <c r="G88" s="28"/>
      <c r="H88" s="28"/>
      <c r="I88" s="28"/>
      <c r="J88" s="28"/>
      <c r="K88" s="28"/>
      <c r="L88" s="28"/>
      <c r="M88" s="28"/>
      <c r="N88" s="28"/>
      <c r="O88" s="28"/>
      <c r="P88" s="28"/>
      <c r="Q88" s="28"/>
      <c r="R88" s="28"/>
      <c r="S88" s="28"/>
      <c r="T88" s="28"/>
      <c r="U88" s="28"/>
      <c r="V88" s="28"/>
    </row>
    <row r="89" ht="13.5" customHeight="1">
      <c r="A89" s="28"/>
      <c r="B89" s="28"/>
      <c r="C89" s="28"/>
      <c r="D89" s="28"/>
      <c r="E89" s="28"/>
      <c r="F89" s="28"/>
      <c r="G89" s="28"/>
      <c r="H89" s="28"/>
      <c r="I89" s="28"/>
      <c r="J89" s="28"/>
      <c r="K89" s="28"/>
      <c r="L89" s="28"/>
      <c r="M89" s="28"/>
      <c r="N89" s="28"/>
      <c r="O89" s="28"/>
      <c r="P89" s="28"/>
      <c r="Q89" s="28"/>
      <c r="R89" s="28"/>
      <c r="S89" s="28"/>
      <c r="T89" s="28"/>
      <c r="U89" s="28"/>
      <c r="V89" s="28"/>
    </row>
    <row r="90" ht="13.5" customHeight="1">
      <c r="A90" s="28"/>
      <c r="B90" s="28"/>
      <c r="C90" s="28"/>
      <c r="D90" s="28"/>
      <c r="E90" s="28"/>
      <c r="F90" s="28"/>
      <c r="G90" s="28"/>
      <c r="H90" s="28"/>
      <c r="I90" s="28"/>
      <c r="J90" s="28"/>
      <c r="K90" s="28"/>
      <c r="L90" s="28"/>
      <c r="M90" s="28"/>
      <c r="N90" s="28"/>
      <c r="O90" s="28"/>
      <c r="P90" s="28"/>
      <c r="Q90" s="28"/>
      <c r="R90" s="28"/>
      <c r="S90" s="28"/>
      <c r="T90" s="28"/>
      <c r="U90" s="28"/>
      <c r="V90" s="28"/>
    </row>
    <row r="91" ht="13.5" customHeight="1">
      <c r="A91" s="28"/>
      <c r="B91" s="28"/>
      <c r="C91" s="28"/>
      <c r="D91" s="28"/>
      <c r="E91" s="28"/>
      <c r="F91" s="28"/>
      <c r="G91" s="28"/>
      <c r="H91" s="28"/>
      <c r="I91" s="28"/>
      <c r="J91" s="28"/>
      <c r="K91" s="28"/>
      <c r="L91" s="28"/>
      <c r="M91" s="28"/>
      <c r="N91" s="28"/>
      <c r="O91" s="28"/>
      <c r="P91" s="28"/>
      <c r="Q91" s="28"/>
      <c r="R91" s="28"/>
      <c r="S91" s="28"/>
      <c r="T91" s="28"/>
      <c r="U91" s="28"/>
      <c r="V91" s="28"/>
    </row>
    <row r="92" ht="13.5" customHeight="1">
      <c r="A92" s="28"/>
      <c r="B92" s="28"/>
      <c r="C92" s="28"/>
      <c r="D92" s="28"/>
      <c r="E92" s="28"/>
      <c r="F92" s="28"/>
      <c r="G92" s="28"/>
      <c r="H92" s="28"/>
      <c r="I92" s="28"/>
      <c r="J92" s="28"/>
      <c r="K92" s="28"/>
      <c r="L92" s="28"/>
      <c r="M92" s="28"/>
      <c r="N92" s="28"/>
      <c r="O92" s="28"/>
      <c r="P92" s="28"/>
      <c r="Q92" s="28"/>
      <c r="R92" s="28"/>
      <c r="S92" s="28"/>
      <c r="T92" s="28"/>
      <c r="U92" s="28"/>
      <c r="V92" s="28"/>
    </row>
    <row r="93" ht="13.5" customHeight="1">
      <c r="A93" s="28"/>
      <c r="B93" s="28"/>
      <c r="C93" s="28"/>
      <c r="D93" s="28"/>
      <c r="E93" s="28"/>
      <c r="F93" s="28"/>
      <c r="G93" s="28"/>
      <c r="H93" s="28"/>
      <c r="I93" s="28"/>
      <c r="J93" s="28"/>
      <c r="K93" s="28"/>
      <c r="L93" s="28"/>
      <c r="M93" s="28"/>
      <c r="N93" s="28"/>
      <c r="O93" s="28"/>
      <c r="P93" s="28"/>
      <c r="Q93" s="28"/>
      <c r="R93" s="28"/>
      <c r="S93" s="28"/>
      <c r="T93" s="28"/>
      <c r="U93" s="28"/>
      <c r="V93" s="28"/>
    </row>
    <row r="94" ht="13.5" customHeight="1">
      <c r="A94" s="28"/>
      <c r="B94" s="28"/>
      <c r="C94" s="28"/>
      <c r="D94" s="28"/>
      <c r="E94" s="28"/>
      <c r="F94" s="28"/>
      <c r="G94" s="28"/>
      <c r="H94" s="28"/>
      <c r="I94" s="28"/>
      <c r="J94" s="28"/>
      <c r="K94" s="28"/>
      <c r="L94" s="28"/>
      <c r="M94" s="28"/>
      <c r="N94" s="28"/>
      <c r="O94" s="28"/>
      <c r="P94" s="28"/>
      <c r="Q94" s="28"/>
      <c r="R94" s="28"/>
      <c r="S94" s="28"/>
      <c r="T94" s="28"/>
      <c r="U94" s="28"/>
      <c r="V94" s="28"/>
    </row>
    <row r="95" ht="13.5" customHeight="1">
      <c r="A95" s="28"/>
      <c r="B95" s="28"/>
      <c r="C95" s="28"/>
      <c r="D95" s="28"/>
      <c r="E95" s="28"/>
      <c r="F95" s="28"/>
      <c r="G95" s="28"/>
      <c r="H95" s="28"/>
      <c r="I95" s="28"/>
      <c r="J95" s="28"/>
      <c r="K95" s="28"/>
      <c r="L95" s="28"/>
      <c r="M95" s="28"/>
      <c r="N95" s="28"/>
      <c r="O95" s="28"/>
      <c r="P95" s="28"/>
      <c r="Q95" s="28"/>
      <c r="R95" s="28"/>
      <c r="S95" s="28"/>
      <c r="T95" s="28"/>
      <c r="U95" s="28"/>
      <c r="V95" s="28"/>
    </row>
    <row r="96" ht="13.5" customHeight="1">
      <c r="A96" s="28"/>
      <c r="B96" s="28"/>
      <c r="C96" s="28"/>
      <c r="D96" s="28"/>
      <c r="E96" s="28"/>
      <c r="F96" s="28"/>
      <c r="G96" s="28"/>
      <c r="H96" s="28"/>
      <c r="I96" s="28"/>
      <c r="J96" s="28"/>
      <c r="K96" s="28"/>
      <c r="L96" s="28"/>
      <c r="M96" s="28"/>
      <c r="N96" s="28"/>
      <c r="O96" s="28"/>
      <c r="P96" s="28"/>
      <c r="Q96" s="28"/>
      <c r="R96" s="28"/>
      <c r="S96" s="28"/>
      <c r="T96" s="28"/>
      <c r="U96" s="28"/>
      <c r="V96" s="28"/>
    </row>
    <row r="97" ht="13.5" customHeight="1">
      <c r="A97" s="28"/>
      <c r="B97" s="28"/>
      <c r="C97" s="28"/>
      <c r="D97" s="28"/>
      <c r="E97" s="28"/>
      <c r="F97" s="28"/>
      <c r="G97" s="28"/>
      <c r="H97" s="28"/>
      <c r="I97" s="28"/>
      <c r="J97" s="28"/>
      <c r="K97" s="28"/>
      <c r="L97" s="28"/>
      <c r="M97" s="28"/>
      <c r="N97" s="28"/>
      <c r="O97" s="28"/>
      <c r="P97" s="28"/>
      <c r="Q97" s="28"/>
      <c r="R97" s="28"/>
      <c r="S97" s="28"/>
      <c r="T97" s="28"/>
      <c r="U97" s="28"/>
      <c r="V97" s="28"/>
    </row>
    <row r="98" ht="13.5" customHeight="1">
      <c r="A98" s="28"/>
      <c r="B98" s="28"/>
      <c r="C98" s="28"/>
      <c r="D98" s="28"/>
      <c r="E98" s="28"/>
      <c r="F98" s="28"/>
      <c r="G98" s="28"/>
      <c r="H98" s="28"/>
      <c r="I98" s="28"/>
      <c r="J98" s="28"/>
      <c r="K98" s="28"/>
      <c r="L98" s="28"/>
      <c r="M98" s="28"/>
      <c r="N98" s="28"/>
      <c r="O98" s="28"/>
      <c r="P98" s="28"/>
      <c r="Q98" s="28"/>
      <c r="R98" s="28"/>
      <c r="S98" s="28"/>
      <c r="T98" s="28"/>
      <c r="U98" s="28"/>
      <c r="V98" s="28"/>
    </row>
    <row r="99" ht="13.5" customHeight="1">
      <c r="A99" s="28"/>
      <c r="B99" s="28"/>
      <c r="C99" s="28"/>
      <c r="D99" s="28"/>
      <c r="E99" s="28"/>
      <c r="F99" s="28"/>
      <c r="G99" s="28"/>
      <c r="H99" s="28"/>
      <c r="I99" s="28"/>
      <c r="J99" s="28"/>
      <c r="K99" s="28"/>
      <c r="L99" s="28"/>
      <c r="M99" s="28"/>
      <c r="N99" s="28"/>
      <c r="O99" s="28"/>
      <c r="P99" s="28"/>
      <c r="Q99" s="28"/>
      <c r="R99" s="28"/>
      <c r="S99" s="28"/>
      <c r="T99" s="28"/>
      <c r="U99" s="28"/>
      <c r="V99" s="28"/>
    </row>
    <row r="100" ht="13.5" customHeight="1">
      <c r="A100" s="28"/>
      <c r="B100" s="28"/>
      <c r="C100" s="28"/>
      <c r="D100" s="28"/>
      <c r="E100" s="28"/>
      <c r="F100" s="28"/>
      <c r="G100" s="28"/>
      <c r="H100" s="28"/>
      <c r="I100" s="28"/>
      <c r="J100" s="28"/>
      <c r="K100" s="28"/>
      <c r="L100" s="28"/>
      <c r="M100" s="28"/>
      <c r="N100" s="28"/>
      <c r="O100" s="28"/>
      <c r="P100" s="28"/>
      <c r="Q100" s="28"/>
      <c r="R100" s="28"/>
      <c r="S100" s="28"/>
      <c r="T100" s="28"/>
      <c r="U100" s="28"/>
      <c r="V100" s="28"/>
    </row>
    <row r="101" ht="13.5" customHeight="1">
      <c r="A101" s="28"/>
      <c r="B101" s="28"/>
      <c r="C101" s="28"/>
      <c r="D101" s="28"/>
      <c r="E101" s="28"/>
      <c r="F101" s="28"/>
      <c r="G101" s="28"/>
      <c r="H101" s="28"/>
      <c r="I101" s="28"/>
      <c r="J101" s="28"/>
      <c r="K101" s="28"/>
      <c r="L101" s="28"/>
      <c r="M101" s="28"/>
      <c r="N101" s="28"/>
      <c r="O101" s="28"/>
      <c r="P101" s="28"/>
      <c r="Q101" s="28"/>
      <c r="R101" s="28"/>
      <c r="S101" s="28"/>
      <c r="T101" s="28"/>
      <c r="U101" s="28"/>
      <c r="V101" s="28"/>
    </row>
    <row r="102" ht="13.5" customHeight="1">
      <c r="A102" s="28"/>
      <c r="B102" s="28"/>
      <c r="C102" s="28"/>
      <c r="D102" s="28"/>
      <c r="E102" s="28"/>
      <c r="F102" s="28"/>
      <c r="G102" s="28"/>
      <c r="H102" s="28"/>
      <c r="I102" s="28"/>
      <c r="J102" s="28"/>
      <c r="K102" s="28"/>
      <c r="L102" s="28"/>
      <c r="M102" s="28"/>
      <c r="N102" s="28"/>
      <c r="O102" s="28"/>
      <c r="P102" s="28"/>
      <c r="Q102" s="28"/>
      <c r="R102" s="28"/>
      <c r="S102" s="28"/>
      <c r="T102" s="28"/>
      <c r="U102" s="28"/>
      <c r="V102" s="28"/>
    </row>
    <row r="103" ht="13.5" customHeight="1">
      <c r="A103" s="28"/>
      <c r="B103" s="28"/>
      <c r="C103" s="28"/>
      <c r="D103" s="28"/>
      <c r="E103" s="28"/>
      <c r="F103" s="28"/>
      <c r="G103" s="28"/>
      <c r="H103" s="28"/>
      <c r="I103" s="28"/>
      <c r="J103" s="28"/>
      <c r="K103" s="28"/>
      <c r="L103" s="28"/>
      <c r="M103" s="28"/>
      <c r="N103" s="28"/>
      <c r="O103" s="28"/>
      <c r="P103" s="28"/>
      <c r="Q103" s="28"/>
      <c r="R103" s="28"/>
      <c r="S103" s="28"/>
      <c r="T103" s="28"/>
      <c r="U103" s="28"/>
      <c r="V103" s="28"/>
    </row>
    <row r="104" ht="13.5" customHeight="1">
      <c r="A104" s="28"/>
      <c r="B104" s="28"/>
      <c r="C104" s="28"/>
      <c r="D104" s="28"/>
      <c r="E104" s="28"/>
      <c r="F104" s="28"/>
      <c r="G104" s="28"/>
      <c r="H104" s="28"/>
      <c r="I104" s="28"/>
      <c r="J104" s="28"/>
      <c r="K104" s="28"/>
      <c r="L104" s="28"/>
      <c r="M104" s="28"/>
      <c r="N104" s="28"/>
      <c r="O104" s="28"/>
      <c r="P104" s="28"/>
      <c r="Q104" s="28"/>
      <c r="R104" s="28"/>
      <c r="S104" s="28"/>
      <c r="T104" s="28"/>
      <c r="U104" s="28"/>
      <c r="V104" s="28"/>
    </row>
    <row r="105" ht="13.5" customHeight="1">
      <c r="A105" s="28"/>
      <c r="B105" s="28"/>
      <c r="C105" s="28"/>
      <c r="D105" s="28"/>
      <c r="E105" s="28"/>
      <c r="F105" s="28"/>
      <c r="G105" s="28"/>
      <c r="H105" s="28"/>
      <c r="I105" s="28"/>
      <c r="J105" s="28"/>
      <c r="K105" s="28"/>
      <c r="L105" s="28"/>
      <c r="M105" s="28"/>
      <c r="N105" s="28"/>
      <c r="O105" s="28"/>
      <c r="P105" s="28"/>
      <c r="Q105" s="28"/>
      <c r="R105" s="28"/>
      <c r="S105" s="28"/>
      <c r="T105" s="28"/>
      <c r="U105" s="28"/>
      <c r="V105" s="28"/>
    </row>
    <row r="106" ht="13.5" customHeight="1">
      <c r="A106" s="28"/>
      <c r="B106" s="28"/>
      <c r="C106" s="28"/>
      <c r="D106" s="28"/>
      <c r="E106" s="28"/>
      <c r="F106" s="28"/>
      <c r="G106" s="28"/>
      <c r="H106" s="28"/>
      <c r="I106" s="28"/>
      <c r="J106" s="28"/>
      <c r="K106" s="28"/>
      <c r="L106" s="28"/>
      <c r="M106" s="28"/>
      <c r="N106" s="28"/>
      <c r="O106" s="28"/>
      <c r="P106" s="28"/>
      <c r="Q106" s="28"/>
      <c r="R106" s="28"/>
      <c r="S106" s="28"/>
      <c r="T106" s="28"/>
      <c r="U106" s="28"/>
      <c r="V106" s="28"/>
    </row>
    <row r="107" ht="13.5" customHeight="1">
      <c r="A107" s="28"/>
      <c r="B107" s="28"/>
      <c r="C107" s="28"/>
      <c r="D107" s="28"/>
      <c r="E107" s="28"/>
      <c r="F107" s="28"/>
      <c r="G107" s="28"/>
      <c r="H107" s="28"/>
      <c r="I107" s="28"/>
      <c r="J107" s="28"/>
      <c r="K107" s="28"/>
      <c r="L107" s="28"/>
      <c r="M107" s="28"/>
      <c r="N107" s="28"/>
      <c r="O107" s="28"/>
      <c r="P107" s="28"/>
      <c r="Q107" s="28"/>
      <c r="R107" s="28"/>
      <c r="S107" s="28"/>
      <c r="T107" s="28"/>
      <c r="U107" s="28"/>
      <c r="V107" s="28"/>
    </row>
    <row r="108" ht="13.5" customHeight="1">
      <c r="A108" s="28"/>
      <c r="B108" s="28"/>
      <c r="C108" s="28"/>
      <c r="D108" s="28"/>
      <c r="E108" s="28"/>
      <c r="F108" s="28"/>
      <c r="G108" s="28"/>
      <c r="H108" s="28"/>
      <c r="I108" s="28"/>
      <c r="J108" s="28"/>
      <c r="K108" s="28"/>
      <c r="L108" s="28"/>
      <c r="M108" s="28"/>
      <c r="N108" s="28"/>
      <c r="O108" s="28"/>
      <c r="P108" s="28"/>
      <c r="Q108" s="28"/>
      <c r="R108" s="28"/>
      <c r="S108" s="28"/>
      <c r="T108" s="28"/>
      <c r="U108" s="28"/>
      <c r="V108" s="28"/>
    </row>
    <row r="109" ht="13.5" customHeight="1">
      <c r="A109" s="28"/>
      <c r="B109" s="28"/>
      <c r="C109" s="28"/>
      <c r="D109" s="28"/>
      <c r="E109" s="28"/>
      <c r="F109" s="28"/>
      <c r="G109" s="28"/>
      <c r="H109" s="28"/>
      <c r="I109" s="28"/>
      <c r="J109" s="28"/>
      <c r="K109" s="28"/>
      <c r="L109" s="28"/>
      <c r="M109" s="28"/>
      <c r="N109" s="28"/>
      <c r="O109" s="28"/>
      <c r="P109" s="28"/>
      <c r="Q109" s="28"/>
      <c r="R109" s="28"/>
      <c r="S109" s="28"/>
      <c r="T109" s="28"/>
      <c r="U109" s="28"/>
      <c r="V109" s="28"/>
    </row>
    <row r="110" ht="13.5" customHeight="1">
      <c r="A110" s="28"/>
      <c r="B110" s="28"/>
      <c r="C110" s="28"/>
      <c r="D110" s="28"/>
      <c r="E110" s="28"/>
      <c r="F110" s="28"/>
      <c r="G110" s="28"/>
      <c r="H110" s="28"/>
      <c r="I110" s="28"/>
      <c r="J110" s="28"/>
      <c r="K110" s="28"/>
      <c r="L110" s="28"/>
      <c r="M110" s="28"/>
      <c r="N110" s="28"/>
      <c r="O110" s="28"/>
      <c r="P110" s="28"/>
      <c r="Q110" s="28"/>
      <c r="R110" s="28"/>
      <c r="S110" s="28"/>
      <c r="T110" s="28"/>
      <c r="U110" s="28"/>
      <c r="V110" s="28"/>
    </row>
    <row r="111" ht="13.5" customHeight="1">
      <c r="A111" s="28"/>
      <c r="B111" s="28"/>
      <c r="C111" s="28"/>
      <c r="D111" s="28"/>
      <c r="E111" s="28"/>
      <c r="F111" s="28"/>
      <c r="G111" s="28"/>
      <c r="H111" s="28"/>
      <c r="I111" s="28"/>
      <c r="J111" s="28"/>
      <c r="K111" s="28"/>
      <c r="L111" s="28"/>
      <c r="M111" s="28"/>
      <c r="N111" s="28"/>
      <c r="O111" s="28"/>
      <c r="P111" s="28"/>
      <c r="Q111" s="28"/>
      <c r="R111" s="28"/>
      <c r="S111" s="28"/>
      <c r="T111" s="28"/>
      <c r="U111" s="28"/>
      <c r="V111" s="28"/>
    </row>
    <row r="112" ht="13.5" customHeight="1">
      <c r="A112" s="28"/>
      <c r="B112" s="28"/>
      <c r="C112" s="28"/>
      <c r="D112" s="28"/>
      <c r="E112" s="28"/>
      <c r="F112" s="28"/>
      <c r="G112" s="28"/>
      <c r="H112" s="28"/>
      <c r="I112" s="28"/>
      <c r="J112" s="28"/>
      <c r="K112" s="28"/>
      <c r="L112" s="28"/>
      <c r="M112" s="28"/>
      <c r="N112" s="28"/>
      <c r="O112" s="28"/>
      <c r="P112" s="28"/>
      <c r="Q112" s="28"/>
      <c r="R112" s="28"/>
      <c r="S112" s="28"/>
      <c r="T112" s="28"/>
      <c r="U112" s="28"/>
      <c r="V112" s="28"/>
    </row>
    <row r="113" ht="13.5" customHeight="1">
      <c r="A113" s="28"/>
      <c r="B113" s="28"/>
      <c r="C113" s="28"/>
      <c r="D113" s="28"/>
      <c r="E113" s="28"/>
      <c r="F113" s="28"/>
      <c r="G113" s="28"/>
      <c r="H113" s="28"/>
      <c r="I113" s="28"/>
      <c r="J113" s="28"/>
      <c r="K113" s="28"/>
      <c r="L113" s="28"/>
      <c r="M113" s="28"/>
      <c r="N113" s="28"/>
      <c r="O113" s="28"/>
      <c r="P113" s="28"/>
      <c r="Q113" s="28"/>
      <c r="R113" s="28"/>
      <c r="S113" s="28"/>
      <c r="T113" s="28"/>
      <c r="U113" s="28"/>
      <c r="V113" s="28"/>
    </row>
    <row r="114" ht="13.5" customHeight="1">
      <c r="A114" s="28"/>
      <c r="B114" s="28"/>
      <c r="C114" s="28"/>
      <c r="D114" s="28"/>
      <c r="E114" s="28"/>
      <c r="F114" s="28"/>
      <c r="G114" s="28"/>
      <c r="H114" s="28"/>
      <c r="I114" s="28"/>
      <c r="J114" s="28"/>
      <c r="K114" s="28"/>
      <c r="L114" s="28"/>
      <c r="M114" s="28"/>
      <c r="N114" s="28"/>
      <c r="O114" s="28"/>
      <c r="P114" s="28"/>
      <c r="Q114" s="28"/>
      <c r="R114" s="28"/>
      <c r="S114" s="28"/>
      <c r="T114" s="28"/>
      <c r="U114" s="28"/>
      <c r="V114" s="28"/>
    </row>
    <row r="115" ht="13.5" customHeight="1">
      <c r="A115" s="28"/>
      <c r="B115" s="28"/>
      <c r="C115" s="28"/>
      <c r="D115" s="28"/>
      <c r="E115" s="28"/>
      <c r="F115" s="28"/>
      <c r="G115" s="28"/>
      <c r="H115" s="28"/>
      <c r="I115" s="28"/>
      <c r="J115" s="28"/>
      <c r="K115" s="28"/>
      <c r="L115" s="28"/>
      <c r="M115" s="28"/>
      <c r="N115" s="28"/>
      <c r="O115" s="28"/>
      <c r="P115" s="28"/>
      <c r="Q115" s="28"/>
      <c r="R115" s="28"/>
      <c r="S115" s="28"/>
      <c r="T115" s="28"/>
      <c r="U115" s="28"/>
      <c r="V115" s="28"/>
    </row>
    <row r="116" ht="13.5" customHeight="1">
      <c r="A116" s="28"/>
      <c r="B116" s="28"/>
      <c r="C116" s="28"/>
      <c r="D116" s="28"/>
      <c r="E116" s="28"/>
      <c r="F116" s="28"/>
      <c r="G116" s="28"/>
      <c r="H116" s="28"/>
      <c r="I116" s="28"/>
      <c r="J116" s="28"/>
      <c r="K116" s="28"/>
      <c r="L116" s="28"/>
      <c r="M116" s="28"/>
      <c r="N116" s="28"/>
      <c r="O116" s="28"/>
      <c r="P116" s="28"/>
      <c r="Q116" s="28"/>
      <c r="R116" s="28"/>
      <c r="S116" s="28"/>
      <c r="T116" s="28"/>
      <c r="U116" s="28"/>
      <c r="V116" s="28"/>
    </row>
    <row r="117" ht="13.5" customHeight="1">
      <c r="A117" s="28"/>
      <c r="B117" s="28"/>
      <c r="C117" s="28"/>
      <c r="D117" s="28"/>
      <c r="E117" s="28"/>
      <c r="F117" s="28"/>
      <c r="G117" s="28"/>
      <c r="H117" s="28"/>
      <c r="I117" s="28"/>
      <c r="J117" s="28"/>
      <c r="K117" s="28"/>
      <c r="L117" s="28"/>
      <c r="M117" s="28"/>
      <c r="N117" s="28"/>
      <c r="O117" s="28"/>
      <c r="P117" s="28"/>
      <c r="Q117" s="28"/>
      <c r="R117" s="28"/>
      <c r="S117" s="28"/>
      <c r="T117" s="28"/>
      <c r="U117" s="28"/>
      <c r="V117" s="28"/>
    </row>
    <row r="118" ht="13.5" customHeight="1">
      <c r="A118" s="28"/>
      <c r="B118" s="28"/>
      <c r="C118" s="28"/>
      <c r="D118" s="28"/>
      <c r="E118" s="28"/>
      <c r="F118" s="28"/>
      <c r="G118" s="28"/>
      <c r="H118" s="28"/>
      <c r="I118" s="28"/>
      <c r="J118" s="28"/>
      <c r="K118" s="28"/>
      <c r="L118" s="28"/>
      <c r="M118" s="28"/>
      <c r="N118" s="28"/>
      <c r="O118" s="28"/>
      <c r="P118" s="28"/>
      <c r="Q118" s="28"/>
      <c r="R118" s="28"/>
      <c r="S118" s="28"/>
      <c r="T118" s="28"/>
      <c r="U118" s="28"/>
      <c r="V118" s="28"/>
    </row>
    <row r="119" ht="13.5" customHeight="1">
      <c r="A119" s="28"/>
      <c r="B119" s="28"/>
      <c r="C119" s="28"/>
      <c r="D119" s="28"/>
      <c r="E119" s="28"/>
      <c r="F119" s="28"/>
      <c r="G119" s="28"/>
      <c r="H119" s="28"/>
      <c r="I119" s="28"/>
      <c r="J119" s="28"/>
      <c r="K119" s="28"/>
      <c r="L119" s="28"/>
      <c r="M119" s="28"/>
      <c r="N119" s="28"/>
      <c r="O119" s="28"/>
      <c r="P119" s="28"/>
      <c r="Q119" s="28"/>
      <c r="R119" s="28"/>
      <c r="S119" s="28"/>
      <c r="T119" s="28"/>
      <c r="U119" s="28"/>
      <c r="V119" s="28"/>
    </row>
    <row r="120" ht="13.5" customHeight="1">
      <c r="A120" s="28"/>
      <c r="B120" s="28"/>
      <c r="C120" s="28"/>
      <c r="D120" s="28"/>
      <c r="E120" s="28"/>
      <c r="F120" s="28"/>
      <c r="G120" s="28"/>
      <c r="H120" s="28"/>
      <c r="I120" s="28"/>
      <c r="J120" s="28"/>
      <c r="K120" s="28"/>
      <c r="L120" s="28"/>
      <c r="M120" s="28"/>
      <c r="N120" s="28"/>
      <c r="O120" s="28"/>
      <c r="P120" s="28"/>
      <c r="Q120" s="28"/>
      <c r="R120" s="28"/>
      <c r="S120" s="28"/>
      <c r="T120" s="28"/>
      <c r="U120" s="28"/>
      <c r="V120" s="28"/>
    </row>
    <row r="121" ht="13.5" customHeight="1">
      <c r="A121" s="28"/>
      <c r="B121" s="28"/>
      <c r="C121" s="28"/>
      <c r="D121" s="28"/>
      <c r="E121" s="28"/>
      <c r="F121" s="28"/>
      <c r="G121" s="28"/>
      <c r="H121" s="28"/>
      <c r="I121" s="28"/>
      <c r="J121" s="28"/>
      <c r="K121" s="28"/>
      <c r="L121" s="28"/>
      <c r="M121" s="28"/>
      <c r="N121" s="28"/>
      <c r="O121" s="28"/>
      <c r="P121" s="28"/>
      <c r="Q121" s="28"/>
      <c r="R121" s="28"/>
      <c r="S121" s="28"/>
      <c r="T121" s="28"/>
      <c r="U121" s="28"/>
      <c r="V121" s="28"/>
    </row>
    <row r="122" ht="13.5" customHeight="1">
      <c r="A122" s="28"/>
      <c r="B122" s="28"/>
      <c r="C122" s="28"/>
      <c r="D122" s="28"/>
      <c r="E122" s="28"/>
      <c r="F122" s="28"/>
      <c r="G122" s="28"/>
      <c r="H122" s="28"/>
      <c r="I122" s="28"/>
      <c r="J122" s="28"/>
      <c r="K122" s="28"/>
      <c r="L122" s="28"/>
      <c r="M122" s="28"/>
      <c r="N122" s="28"/>
      <c r="O122" s="28"/>
      <c r="P122" s="28"/>
      <c r="Q122" s="28"/>
      <c r="R122" s="28"/>
      <c r="S122" s="28"/>
      <c r="T122" s="28"/>
      <c r="U122" s="28"/>
      <c r="V122" s="28"/>
    </row>
    <row r="123" ht="13.5" customHeight="1">
      <c r="A123" s="28"/>
      <c r="B123" s="28"/>
      <c r="C123" s="28"/>
      <c r="D123" s="28"/>
      <c r="E123" s="28"/>
      <c r="F123" s="28"/>
      <c r="G123" s="28"/>
      <c r="H123" s="28"/>
      <c r="I123" s="28"/>
      <c r="J123" s="28"/>
      <c r="K123" s="28"/>
      <c r="L123" s="28"/>
      <c r="M123" s="28"/>
      <c r="N123" s="28"/>
      <c r="O123" s="28"/>
      <c r="P123" s="28"/>
      <c r="Q123" s="28"/>
      <c r="R123" s="28"/>
      <c r="S123" s="28"/>
      <c r="T123" s="28"/>
      <c r="U123" s="28"/>
      <c r="V123" s="28"/>
    </row>
    <row r="124" ht="13.5" customHeight="1">
      <c r="A124" s="28"/>
      <c r="B124" s="28"/>
      <c r="C124" s="28"/>
      <c r="D124" s="28"/>
      <c r="E124" s="28"/>
      <c r="F124" s="28"/>
      <c r="G124" s="28"/>
      <c r="H124" s="28"/>
      <c r="I124" s="28"/>
      <c r="J124" s="28"/>
      <c r="K124" s="28"/>
      <c r="L124" s="28"/>
      <c r="M124" s="28"/>
      <c r="N124" s="28"/>
      <c r="O124" s="28"/>
      <c r="P124" s="28"/>
      <c r="Q124" s="28"/>
      <c r="R124" s="28"/>
      <c r="S124" s="28"/>
      <c r="T124" s="28"/>
      <c r="U124" s="28"/>
      <c r="V124" s="28"/>
    </row>
    <row r="125" ht="13.5" customHeight="1">
      <c r="A125" s="28"/>
      <c r="B125" s="28"/>
      <c r="C125" s="28"/>
      <c r="D125" s="28"/>
      <c r="E125" s="28"/>
      <c r="F125" s="28"/>
      <c r="G125" s="28"/>
      <c r="H125" s="28"/>
      <c r="I125" s="28"/>
      <c r="J125" s="28"/>
      <c r="K125" s="28"/>
      <c r="L125" s="28"/>
      <c r="M125" s="28"/>
      <c r="N125" s="28"/>
      <c r="O125" s="28"/>
      <c r="P125" s="28"/>
      <c r="Q125" s="28"/>
      <c r="R125" s="28"/>
      <c r="S125" s="28"/>
      <c r="T125" s="28"/>
      <c r="U125" s="28"/>
      <c r="V125" s="28"/>
    </row>
    <row r="126" ht="13.5" customHeight="1">
      <c r="A126" s="28"/>
      <c r="B126" s="28"/>
      <c r="C126" s="28"/>
      <c r="D126" s="28"/>
      <c r="E126" s="28"/>
      <c r="F126" s="28"/>
      <c r="G126" s="28"/>
      <c r="H126" s="28"/>
      <c r="I126" s="28"/>
      <c r="J126" s="28"/>
      <c r="K126" s="28"/>
      <c r="L126" s="28"/>
      <c r="M126" s="28"/>
      <c r="N126" s="28"/>
      <c r="O126" s="28"/>
      <c r="P126" s="28"/>
      <c r="Q126" s="28"/>
      <c r="R126" s="28"/>
      <c r="S126" s="28"/>
      <c r="T126" s="28"/>
      <c r="U126" s="28"/>
      <c r="V126" s="28"/>
    </row>
    <row r="127" ht="13.5" customHeight="1">
      <c r="A127" s="28"/>
      <c r="B127" s="28"/>
      <c r="C127" s="28"/>
      <c r="D127" s="28"/>
      <c r="E127" s="28"/>
      <c r="F127" s="28"/>
      <c r="G127" s="28"/>
      <c r="H127" s="28"/>
      <c r="I127" s="28"/>
      <c r="J127" s="28"/>
      <c r="K127" s="28"/>
      <c r="L127" s="28"/>
      <c r="M127" s="28"/>
      <c r="N127" s="28"/>
      <c r="O127" s="28"/>
      <c r="P127" s="28"/>
      <c r="Q127" s="28"/>
      <c r="R127" s="28"/>
      <c r="S127" s="28"/>
      <c r="T127" s="28"/>
      <c r="U127" s="28"/>
      <c r="V127" s="28"/>
    </row>
    <row r="128" ht="13.5" customHeight="1">
      <c r="A128" s="28"/>
      <c r="B128" s="28"/>
      <c r="C128" s="28"/>
      <c r="D128" s="28"/>
      <c r="E128" s="28"/>
      <c r="F128" s="28"/>
      <c r="G128" s="28"/>
      <c r="H128" s="28"/>
      <c r="I128" s="28"/>
      <c r="J128" s="28"/>
      <c r="K128" s="28"/>
      <c r="L128" s="28"/>
      <c r="M128" s="28"/>
      <c r="N128" s="28"/>
      <c r="O128" s="28"/>
      <c r="P128" s="28"/>
      <c r="Q128" s="28"/>
      <c r="R128" s="28"/>
      <c r="S128" s="28"/>
      <c r="T128" s="28"/>
      <c r="U128" s="28"/>
      <c r="V128" s="28"/>
    </row>
    <row r="129" ht="13.5" customHeight="1">
      <c r="A129" s="28"/>
      <c r="B129" s="28"/>
      <c r="C129" s="28"/>
      <c r="D129" s="28"/>
      <c r="E129" s="28"/>
      <c r="F129" s="28"/>
      <c r="G129" s="28"/>
      <c r="H129" s="28"/>
      <c r="I129" s="28"/>
      <c r="J129" s="28"/>
      <c r="K129" s="28"/>
      <c r="L129" s="28"/>
      <c r="M129" s="28"/>
      <c r="N129" s="28"/>
      <c r="O129" s="28"/>
      <c r="P129" s="28"/>
      <c r="Q129" s="28"/>
      <c r="R129" s="28"/>
      <c r="S129" s="28"/>
      <c r="T129" s="28"/>
      <c r="U129" s="28"/>
      <c r="V129" s="28"/>
    </row>
    <row r="130" ht="13.5" customHeight="1">
      <c r="A130" s="28"/>
      <c r="B130" s="28"/>
      <c r="C130" s="28"/>
      <c r="D130" s="28"/>
      <c r="E130" s="28"/>
      <c r="F130" s="28"/>
      <c r="G130" s="28"/>
      <c r="H130" s="28"/>
      <c r="I130" s="28"/>
      <c r="J130" s="28"/>
      <c r="K130" s="28"/>
      <c r="L130" s="28"/>
      <c r="M130" s="28"/>
      <c r="N130" s="28"/>
      <c r="O130" s="28"/>
      <c r="P130" s="28"/>
      <c r="Q130" s="28"/>
      <c r="R130" s="28"/>
      <c r="S130" s="28"/>
      <c r="T130" s="28"/>
      <c r="U130" s="28"/>
      <c r="V130" s="28"/>
    </row>
    <row r="131" ht="13.5" customHeight="1">
      <c r="A131" s="28"/>
      <c r="B131" s="28"/>
      <c r="C131" s="28"/>
      <c r="D131" s="28"/>
      <c r="E131" s="28"/>
      <c r="F131" s="28"/>
      <c r="G131" s="28"/>
      <c r="H131" s="28"/>
      <c r="I131" s="28"/>
      <c r="J131" s="28"/>
      <c r="K131" s="28"/>
      <c r="L131" s="28"/>
      <c r="M131" s="28"/>
      <c r="N131" s="28"/>
      <c r="O131" s="28"/>
      <c r="P131" s="28"/>
      <c r="Q131" s="28"/>
      <c r="R131" s="28"/>
      <c r="S131" s="28"/>
      <c r="T131" s="28"/>
      <c r="U131" s="28"/>
      <c r="V131" s="28"/>
    </row>
    <row r="132" ht="13.5" customHeight="1">
      <c r="A132" s="28"/>
      <c r="B132" s="28"/>
      <c r="C132" s="28"/>
      <c r="D132" s="28"/>
      <c r="E132" s="28"/>
      <c r="F132" s="28"/>
      <c r="G132" s="28"/>
      <c r="H132" s="28"/>
      <c r="I132" s="28"/>
      <c r="J132" s="28"/>
      <c r="K132" s="28"/>
      <c r="L132" s="28"/>
      <c r="M132" s="28"/>
      <c r="N132" s="28"/>
      <c r="O132" s="28"/>
      <c r="P132" s="28"/>
      <c r="Q132" s="28"/>
      <c r="R132" s="28"/>
      <c r="S132" s="28"/>
      <c r="T132" s="28"/>
      <c r="U132" s="28"/>
      <c r="V132" s="28"/>
    </row>
    <row r="133" ht="13.5" customHeight="1">
      <c r="A133" s="28"/>
      <c r="B133" s="28"/>
      <c r="C133" s="28"/>
      <c r="D133" s="28"/>
      <c r="E133" s="28"/>
      <c r="F133" s="28"/>
      <c r="G133" s="28"/>
      <c r="H133" s="28"/>
      <c r="I133" s="28"/>
      <c r="J133" s="28"/>
      <c r="K133" s="28"/>
      <c r="L133" s="28"/>
      <c r="M133" s="28"/>
      <c r="N133" s="28"/>
      <c r="O133" s="28"/>
      <c r="P133" s="28"/>
      <c r="Q133" s="28"/>
      <c r="R133" s="28"/>
      <c r="S133" s="28"/>
      <c r="T133" s="28"/>
      <c r="U133" s="28"/>
      <c r="V133" s="28"/>
    </row>
    <row r="134" ht="13.5" customHeight="1">
      <c r="A134" s="28"/>
      <c r="B134" s="28"/>
      <c r="C134" s="28"/>
      <c r="D134" s="28"/>
      <c r="E134" s="28"/>
      <c r="F134" s="28"/>
      <c r="G134" s="28"/>
      <c r="H134" s="28"/>
      <c r="I134" s="28"/>
      <c r="J134" s="28"/>
      <c r="K134" s="28"/>
      <c r="L134" s="28"/>
      <c r="M134" s="28"/>
      <c r="N134" s="28"/>
      <c r="O134" s="28"/>
      <c r="P134" s="28"/>
      <c r="Q134" s="28"/>
      <c r="R134" s="28"/>
      <c r="S134" s="28"/>
      <c r="T134" s="28"/>
      <c r="U134" s="28"/>
      <c r="V134" s="28"/>
    </row>
    <row r="135" ht="13.5" customHeight="1">
      <c r="A135" s="28"/>
      <c r="B135" s="28"/>
      <c r="C135" s="28"/>
      <c r="D135" s="28"/>
      <c r="E135" s="28"/>
      <c r="F135" s="28"/>
      <c r="G135" s="28"/>
      <c r="H135" s="28"/>
      <c r="I135" s="28"/>
      <c r="J135" s="28"/>
      <c r="K135" s="28"/>
      <c r="L135" s="28"/>
      <c r="M135" s="28"/>
      <c r="N135" s="28"/>
      <c r="O135" s="28"/>
      <c r="P135" s="28"/>
      <c r="Q135" s="28"/>
      <c r="R135" s="28"/>
      <c r="S135" s="28"/>
      <c r="T135" s="28"/>
      <c r="U135" s="28"/>
      <c r="V135" s="28"/>
    </row>
    <row r="136" ht="13.5" customHeight="1">
      <c r="A136" s="28"/>
      <c r="B136" s="28"/>
      <c r="C136" s="28"/>
      <c r="D136" s="28"/>
      <c r="E136" s="28"/>
      <c r="F136" s="28"/>
      <c r="G136" s="28"/>
      <c r="H136" s="28"/>
      <c r="I136" s="28"/>
      <c r="J136" s="28"/>
      <c r="K136" s="28"/>
      <c r="L136" s="28"/>
      <c r="M136" s="28"/>
      <c r="N136" s="28"/>
      <c r="O136" s="28"/>
      <c r="P136" s="28"/>
      <c r="Q136" s="28"/>
      <c r="R136" s="28"/>
      <c r="S136" s="28"/>
      <c r="T136" s="28"/>
      <c r="U136" s="28"/>
      <c r="V136" s="28"/>
    </row>
    <row r="137" ht="13.5" customHeight="1">
      <c r="A137" s="28"/>
      <c r="B137" s="28"/>
      <c r="C137" s="28"/>
      <c r="D137" s="28"/>
      <c r="E137" s="28"/>
      <c r="F137" s="28"/>
      <c r="G137" s="28"/>
      <c r="H137" s="28"/>
      <c r="I137" s="28"/>
      <c r="J137" s="28"/>
      <c r="K137" s="28"/>
      <c r="L137" s="28"/>
      <c r="M137" s="28"/>
      <c r="N137" s="28"/>
      <c r="O137" s="28"/>
      <c r="P137" s="28"/>
      <c r="Q137" s="28"/>
      <c r="R137" s="28"/>
      <c r="S137" s="28"/>
      <c r="T137" s="28"/>
      <c r="U137" s="28"/>
      <c r="V137" s="28"/>
    </row>
    <row r="138" ht="13.5" customHeight="1">
      <c r="A138" s="28"/>
      <c r="B138" s="28"/>
      <c r="C138" s="28"/>
      <c r="D138" s="28"/>
      <c r="E138" s="28"/>
      <c r="F138" s="28"/>
      <c r="G138" s="28"/>
      <c r="H138" s="28"/>
      <c r="I138" s="28"/>
      <c r="J138" s="28"/>
      <c r="K138" s="28"/>
      <c r="L138" s="28"/>
      <c r="M138" s="28"/>
      <c r="N138" s="28"/>
      <c r="O138" s="28"/>
      <c r="P138" s="28"/>
      <c r="Q138" s="28"/>
      <c r="R138" s="28"/>
      <c r="S138" s="28"/>
      <c r="T138" s="28"/>
      <c r="U138" s="28"/>
      <c r="V138" s="28"/>
    </row>
    <row r="139" ht="13.5" customHeight="1">
      <c r="A139" s="28"/>
      <c r="B139" s="28"/>
      <c r="C139" s="28"/>
      <c r="D139" s="28"/>
      <c r="E139" s="28"/>
      <c r="F139" s="28"/>
      <c r="G139" s="28"/>
      <c r="H139" s="28"/>
      <c r="I139" s="28"/>
      <c r="J139" s="28"/>
      <c r="K139" s="28"/>
      <c r="L139" s="28"/>
      <c r="M139" s="28"/>
      <c r="N139" s="28"/>
      <c r="O139" s="28"/>
      <c r="P139" s="28"/>
      <c r="Q139" s="28"/>
      <c r="R139" s="28"/>
      <c r="S139" s="28"/>
      <c r="T139" s="28"/>
      <c r="U139" s="28"/>
      <c r="V139" s="28"/>
    </row>
    <row r="140" ht="13.5" customHeight="1">
      <c r="A140" s="28"/>
      <c r="B140" s="28"/>
      <c r="C140" s="28"/>
      <c r="D140" s="28"/>
      <c r="E140" s="28"/>
      <c r="F140" s="28"/>
      <c r="G140" s="28"/>
      <c r="H140" s="28"/>
      <c r="I140" s="28"/>
      <c r="J140" s="28"/>
      <c r="K140" s="28"/>
      <c r="L140" s="28"/>
      <c r="M140" s="28"/>
      <c r="N140" s="28"/>
      <c r="O140" s="28"/>
      <c r="P140" s="28"/>
      <c r="Q140" s="28"/>
      <c r="R140" s="28"/>
      <c r="S140" s="28"/>
      <c r="T140" s="28"/>
      <c r="U140" s="28"/>
      <c r="V140" s="28"/>
    </row>
    <row r="141" ht="13.5" customHeight="1">
      <c r="A141" s="28"/>
      <c r="B141" s="28"/>
      <c r="C141" s="28"/>
      <c r="D141" s="28"/>
      <c r="E141" s="28"/>
      <c r="F141" s="28"/>
      <c r="G141" s="28"/>
      <c r="H141" s="28"/>
      <c r="I141" s="28"/>
      <c r="J141" s="28"/>
      <c r="K141" s="28"/>
      <c r="L141" s="28"/>
      <c r="M141" s="28"/>
      <c r="N141" s="28"/>
      <c r="O141" s="28"/>
      <c r="P141" s="28"/>
      <c r="Q141" s="28"/>
      <c r="R141" s="28"/>
      <c r="S141" s="28"/>
      <c r="T141" s="28"/>
      <c r="U141" s="28"/>
      <c r="V141" s="28"/>
    </row>
    <row r="142" ht="13.5" customHeight="1">
      <c r="A142" s="28"/>
      <c r="B142" s="28"/>
      <c r="C142" s="28"/>
      <c r="D142" s="28"/>
      <c r="E142" s="28"/>
      <c r="F142" s="28"/>
      <c r="G142" s="28"/>
      <c r="H142" s="28"/>
      <c r="I142" s="28"/>
      <c r="J142" s="28"/>
      <c r="K142" s="28"/>
      <c r="L142" s="28"/>
      <c r="M142" s="28"/>
      <c r="N142" s="28"/>
      <c r="O142" s="28"/>
      <c r="P142" s="28"/>
      <c r="Q142" s="28"/>
      <c r="R142" s="28"/>
      <c r="S142" s="28"/>
      <c r="T142" s="28"/>
      <c r="U142" s="28"/>
      <c r="V142" s="28"/>
    </row>
    <row r="143" ht="13.5" customHeight="1">
      <c r="A143" s="28"/>
      <c r="B143" s="28"/>
      <c r="C143" s="28"/>
      <c r="D143" s="28"/>
      <c r="E143" s="28"/>
      <c r="F143" s="28"/>
      <c r="G143" s="28"/>
      <c r="H143" s="28"/>
      <c r="I143" s="28"/>
      <c r="J143" s="28"/>
      <c r="K143" s="28"/>
      <c r="L143" s="28"/>
      <c r="M143" s="28"/>
      <c r="N143" s="28"/>
      <c r="O143" s="28"/>
      <c r="P143" s="28"/>
      <c r="Q143" s="28"/>
      <c r="R143" s="28"/>
      <c r="S143" s="28"/>
      <c r="T143" s="28"/>
      <c r="U143" s="28"/>
      <c r="V143" s="28"/>
    </row>
    <row r="144" ht="13.5" customHeight="1">
      <c r="A144" s="28"/>
      <c r="B144" s="28"/>
      <c r="C144" s="28"/>
      <c r="D144" s="28"/>
      <c r="E144" s="28"/>
      <c r="F144" s="28"/>
      <c r="G144" s="28"/>
      <c r="H144" s="28"/>
      <c r="I144" s="28"/>
      <c r="J144" s="28"/>
      <c r="K144" s="28"/>
      <c r="L144" s="28"/>
      <c r="M144" s="28"/>
      <c r="N144" s="28"/>
      <c r="O144" s="28"/>
      <c r="P144" s="28"/>
      <c r="Q144" s="28"/>
      <c r="R144" s="28"/>
      <c r="S144" s="28"/>
      <c r="T144" s="28"/>
      <c r="U144" s="28"/>
      <c r="V144" s="28"/>
    </row>
    <row r="145" ht="13.5" customHeight="1">
      <c r="A145" s="28"/>
      <c r="B145" s="28"/>
      <c r="C145" s="28"/>
      <c r="D145" s="28"/>
      <c r="E145" s="28"/>
      <c r="F145" s="28"/>
      <c r="G145" s="28"/>
      <c r="H145" s="28"/>
      <c r="I145" s="28"/>
      <c r="J145" s="28"/>
      <c r="K145" s="28"/>
      <c r="L145" s="28"/>
      <c r="M145" s="28"/>
      <c r="N145" s="28"/>
      <c r="O145" s="28"/>
      <c r="P145" s="28"/>
      <c r="Q145" s="28"/>
      <c r="R145" s="28"/>
      <c r="S145" s="28"/>
      <c r="T145" s="28"/>
      <c r="U145" s="28"/>
      <c r="V145" s="28"/>
    </row>
    <row r="146" ht="13.5" customHeight="1">
      <c r="A146" s="28"/>
      <c r="B146" s="28"/>
      <c r="C146" s="28"/>
      <c r="D146" s="28"/>
      <c r="E146" s="28"/>
      <c r="F146" s="28"/>
      <c r="G146" s="28"/>
      <c r="H146" s="28"/>
      <c r="I146" s="28"/>
      <c r="J146" s="28"/>
      <c r="K146" s="28"/>
      <c r="L146" s="28"/>
      <c r="M146" s="28"/>
      <c r="N146" s="28"/>
      <c r="O146" s="28"/>
      <c r="P146" s="28"/>
      <c r="Q146" s="28"/>
      <c r="R146" s="28"/>
      <c r="S146" s="28"/>
      <c r="T146" s="28"/>
      <c r="U146" s="28"/>
      <c r="V146" s="28"/>
    </row>
    <row r="147" ht="13.5" customHeight="1">
      <c r="A147" s="28"/>
      <c r="B147" s="28"/>
      <c r="C147" s="28"/>
      <c r="D147" s="28"/>
      <c r="E147" s="28"/>
      <c r="F147" s="28"/>
      <c r="G147" s="28"/>
      <c r="H147" s="28"/>
      <c r="I147" s="28"/>
      <c r="J147" s="28"/>
      <c r="K147" s="28"/>
      <c r="L147" s="28"/>
      <c r="M147" s="28"/>
      <c r="N147" s="28"/>
      <c r="O147" s="28"/>
      <c r="P147" s="28"/>
      <c r="Q147" s="28"/>
      <c r="R147" s="28"/>
      <c r="S147" s="28"/>
      <c r="T147" s="28"/>
      <c r="U147" s="28"/>
      <c r="V147" s="28"/>
    </row>
    <row r="148" ht="13.5" customHeight="1">
      <c r="A148" s="28"/>
      <c r="B148" s="28"/>
      <c r="C148" s="28"/>
      <c r="D148" s="28"/>
      <c r="E148" s="28"/>
      <c r="F148" s="28"/>
      <c r="G148" s="28"/>
      <c r="H148" s="28"/>
      <c r="I148" s="28"/>
      <c r="J148" s="28"/>
      <c r="K148" s="28"/>
      <c r="L148" s="28"/>
      <c r="M148" s="28"/>
      <c r="N148" s="28"/>
      <c r="O148" s="28"/>
      <c r="P148" s="28"/>
      <c r="Q148" s="28"/>
      <c r="R148" s="28"/>
      <c r="S148" s="28"/>
      <c r="T148" s="28"/>
      <c r="U148" s="28"/>
      <c r="V148" s="28"/>
    </row>
    <row r="149" ht="13.5" customHeight="1">
      <c r="A149" s="28"/>
      <c r="B149" s="28"/>
      <c r="C149" s="28"/>
      <c r="D149" s="28"/>
      <c r="E149" s="28"/>
      <c r="F149" s="28"/>
      <c r="G149" s="28"/>
      <c r="H149" s="28"/>
      <c r="I149" s="28"/>
      <c r="J149" s="28"/>
      <c r="K149" s="28"/>
      <c r="L149" s="28"/>
      <c r="M149" s="28"/>
      <c r="N149" s="28"/>
      <c r="O149" s="28"/>
      <c r="P149" s="28"/>
      <c r="Q149" s="28"/>
      <c r="R149" s="28"/>
      <c r="S149" s="28"/>
      <c r="T149" s="28"/>
      <c r="U149" s="28"/>
      <c r="V149" s="28"/>
    </row>
    <row r="150" ht="13.5" customHeight="1">
      <c r="A150" s="28"/>
      <c r="B150" s="28"/>
      <c r="C150" s="28"/>
      <c r="D150" s="28"/>
      <c r="E150" s="28"/>
      <c r="F150" s="28"/>
      <c r="G150" s="28"/>
      <c r="H150" s="28"/>
      <c r="I150" s="28"/>
      <c r="J150" s="28"/>
      <c r="K150" s="28"/>
      <c r="L150" s="28"/>
      <c r="M150" s="28"/>
      <c r="N150" s="28"/>
      <c r="O150" s="28"/>
      <c r="P150" s="28"/>
      <c r="Q150" s="28"/>
      <c r="R150" s="28"/>
      <c r="S150" s="28"/>
      <c r="T150" s="28"/>
      <c r="U150" s="28"/>
      <c r="V150" s="28"/>
    </row>
    <row r="151" ht="13.5" customHeight="1">
      <c r="A151" s="28"/>
      <c r="B151" s="28"/>
      <c r="C151" s="28"/>
      <c r="D151" s="28"/>
      <c r="E151" s="28"/>
      <c r="F151" s="28"/>
      <c r="G151" s="28"/>
      <c r="H151" s="28"/>
      <c r="I151" s="28"/>
      <c r="J151" s="28"/>
      <c r="K151" s="28"/>
      <c r="L151" s="28"/>
      <c r="M151" s="28"/>
      <c r="N151" s="28"/>
      <c r="O151" s="28"/>
      <c r="P151" s="28"/>
      <c r="Q151" s="28"/>
      <c r="R151" s="28"/>
      <c r="S151" s="28"/>
      <c r="T151" s="28"/>
      <c r="U151" s="28"/>
      <c r="V151" s="28"/>
    </row>
    <row r="152" ht="13.5" customHeight="1">
      <c r="A152" s="28"/>
      <c r="B152" s="28"/>
      <c r="C152" s="28"/>
      <c r="D152" s="28"/>
      <c r="E152" s="28"/>
      <c r="F152" s="28"/>
      <c r="G152" s="28"/>
      <c r="H152" s="28"/>
      <c r="I152" s="28"/>
      <c r="J152" s="28"/>
      <c r="K152" s="28"/>
      <c r="L152" s="28"/>
      <c r="M152" s="28"/>
      <c r="N152" s="28"/>
      <c r="O152" s="28"/>
      <c r="P152" s="28"/>
      <c r="Q152" s="28"/>
      <c r="R152" s="28"/>
      <c r="S152" s="28"/>
      <c r="T152" s="28"/>
      <c r="U152" s="28"/>
      <c r="V152" s="28"/>
    </row>
    <row r="153" ht="13.5" customHeight="1">
      <c r="A153" s="28"/>
      <c r="B153" s="28"/>
      <c r="C153" s="28"/>
      <c r="D153" s="28"/>
      <c r="E153" s="28"/>
      <c r="F153" s="28"/>
      <c r="G153" s="28"/>
      <c r="H153" s="28"/>
      <c r="I153" s="28"/>
      <c r="J153" s="28"/>
      <c r="K153" s="28"/>
      <c r="L153" s="28"/>
      <c r="M153" s="28"/>
      <c r="N153" s="28"/>
      <c r="O153" s="28"/>
      <c r="P153" s="28"/>
      <c r="Q153" s="28"/>
      <c r="R153" s="28"/>
      <c r="S153" s="28"/>
      <c r="T153" s="28"/>
      <c r="U153" s="28"/>
      <c r="V153" s="28"/>
    </row>
    <row r="154" ht="13.5" customHeight="1">
      <c r="A154" s="28"/>
      <c r="B154" s="28"/>
      <c r="C154" s="28"/>
      <c r="D154" s="28"/>
      <c r="E154" s="28"/>
      <c r="F154" s="28"/>
      <c r="G154" s="28"/>
      <c r="H154" s="28"/>
      <c r="I154" s="28"/>
      <c r="J154" s="28"/>
      <c r="K154" s="28"/>
      <c r="L154" s="28"/>
      <c r="M154" s="28"/>
      <c r="N154" s="28"/>
      <c r="O154" s="28"/>
      <c r="P154" s="28"/>
      <c r="Q154" s="28"/>
      <c r="R154" s="28"/>
      <c r="S154" s="28"/>
      <c r="T154" s="28"/>
      <c r="U154" s="28"/>
      <c r="V154" s="28"/>
    </row>
    <row r="155" ht="13.5" customHeight="1">
      <c r="A155" s="28"/>
      <c r="B155" s="28"/>
      <c r="C155" s="28"/>
      <c r="D155" s="28"/>
      <c r="E155" s="28"/>
      <c r="F155" s="28"/>
      <c r="G155" s="28"/>
      <c r="H155" s="28"/>
      <c r="I155" s="28"/>
      <c r="J155" s="28"/>
      <c r="K155" s="28"/>
      <c r="L155" s="28"/>
      <c r="M155" s="28"/>
      <c r="N155" s="28"/>
      <c r="O155" s="28"/>
      <c r="P155" s="28"/>
      <c r="Q155" s="28"/>
      <c r="R155" s="28"/>
      <c r="S155" s="28"/>
      <c r="T155" s="28"/>
      <c r="U155" s="28"/>
      <c r="V155" s="28"/>
    </row>
    <row r="156" ht="13.5" customHeight="1">
      <c r="A156" s="28"/>
      <c r="B156" s="28"/>
      <c r="C156" s="28"/>
      <c r="D156" s="28"/>
      <c r="E156" s="28"/>
      <c r="F156" s="28"/>
      <c r="G156" s="28"/>
      <c r="H156" s="28"/>
      <c r="I156" s="28"/>
      <c r="J156" s="28"/>
      <c r="K156" s="28"/>
      <c r="L156" s="28"/>
      <c r="M156" s="28"/>
      <c r="N156" s="28"/>
      <c r="O156" s="28"/>
      <c r="P156" s="28"/>
      <c r="Q156" s="28"/>
      <c r="R156" s="28"/>
      <c r="S156" s="28"/>
      <c r="T156" s="28"/>
      <c r="U156" s="28"/>
      <c r="V156" s="28"/>
    </row>
    <row r="157" ht="13.5" customHeight="1">
      <c r="A157" s="28"/>
      <c r="B157" s="28"/>
      <c r="C157" s="28"/>
      <c r="D157" s="28"/>
      <c r="E157" s="28"/>
      <c r="F157" s="28"/>
      <c r="G157" s="28"/>
      <c r="H157" s="28"/>
      <c r="I157" s="28"/>
      <c r="J157" s="28"/>
      <c r="K157" s="28"/>
      <c r="L157" s="28"/>
      <c r="M157" s="28"/>
      <c r="N157" s="28"/>
      <c r="O157" s="28"/>
      <c r="P157" s="28"/>
      <c r="Q157" s="28"/>
      <c r="R157" s="28"/>
      <c r="S157" s="28"/>
      <c r="T157" s="28"/>
      <c r="U157" s="28"/>
      <c r="V157" s="28"/>
    </row>
    <row r="158" ht="13.5" customHeight="1">
      <c r="A158" s="28"/>
      <c r="B158" s="28"/>
      <c r="C158" s="28"/>
      <c r="D158" s="28"/>
      <c r="E158" s="28"/>
      <c r="F158" s="28"/>
      <c r="G158" s="28"/>
      <c r="H158" s="28"/>
      <c r="I158" s="28"/>
      <c r="J158" s="28"/>
      <c r="K158" s="28"/>
      <c r="L158" s="28"/>
      <c r="M158" s="28"/>
      <c r="N158" s="28"/>
      <c r="O158" s="28"/>
      <c r="P158" s="28"/>
      <c r="Q158" s="28"/>
      <c r="R158" s="28"/>
      <c r="S158" s="28"/>
      <c r="T158" s="28"/>
      <c r="U158" s="28"/>
      <c r="V158" s="28"/>
    </row>
    <row r="159" ht="13.5" customHeight="1">
      <c r="A159" s="28"/>
      <c r="B159" s="28"/>
      <c r="C159" s="28"/>
      <c r="D159" s="28"/>
      <c r="E159" s="28"/>
      <c r="F159" s="28"/>
      <c r="G159" s="28"/>
      <c r="H159" s="28"/>
      <c r="I159" s="28"/>
      <c r="J159" s="28"/>
      <c r="K159" s="28"/>
      <c r="L159" s="28"/>
      <c r="M159" s="28"/>
      <c r="N159" s="28"/>
      <c r="O159" s="28"/>
      <c r="P159" s="28"/>
      <c r="Q159" s="28"/>
      <c r="R159" s="28"/>
      <c r="S159" s="28"/>
      <c r="T159" s="28"/>
      <c r="U159" s="28"/>
      <c r="V159" s="28"/>
    </row>
    <row r="160" ht="13.5" customHeight="1">
      <c r="A160" s="28"/>
      <c r="B160" s="28"/>
      <c r="C160" s="28"/>
      <c r="D160" s="28"/>
      <c r="E160" s="28"/>
      <c r="F160" s="28"/>
      <c r="G160" s="28"/>
      <c r="H160" s="28"/>
      <c r="I160" s="28"/>
      <c r="J160" s="28"/>
      <c r="K160" s="28"/>
      <c r="L160" s="28"/>
      <c r="M160" s="28"/>
      <c r="N160" s="28"/>
      <c r="O160" s="28"/>
      <c r="P160" s="28"/>
      <c r="Q160" s="28"/>
      <c r="R160" s="28"/>
      <c r="S160" s="28"/>
      <c r="T160" s="28"/>
      <c r="U160" s="28"/>
      <c r="V160" s="28"/>
    </row>
    <row r="161" ht="13.5" customHeight="1">
      <c r="A161" s="28"/>
      <c r="B161" s="28"/>
      <c r="C161" s="28"/>
      <c r="D161" s="28"/>
      <c r="E161" s="28"/>
      <c r="F161" s="28"/>
      <c r="G161" s="28"/>
      <c r="H161" s="28"/>
      <c r="I161" s="28"/>
      <c r="J161" s="28"/>
      <c r="K161" s="28"/>
      <c r="L161" s="28"/>
      <c r="M161" s="28"/>
      <c r="N161" s="28"/>
      <c r="O161" s="28"/>
      <c r="P161" s="28"/>
      <c r="Q161" s="28"/>
      <c r="R161" s="28"/>
      <c r="S161" s="28"/>
      <c r="T161" s="28"/>
      <c r="U161" s="28"/>
      <c r="V161" s="28"/>
    </row>
    <row r="162" ht="13.5" customHeight="1">
      <c r="A162" s="28"/>
      <c r="B162" s="28"/>
      <c r="C162" s="28"/>
      <c r="D162" s="28"/>
      <c r="E162" s="28"/>
      <c r="F162" s="28"/>
      <c r="G162" s="28"/>
      <c r="H162" s="28"/>
      <c r="I162" s="28"/>
      <c r="J162" s="28"/>
      <c r="K162" s="28"/>
      <c r="L162" s="28"/>
      <c r="M162" s="28"/>
      <c r="N162" s="28"/>
      <c r="O162" s="28"/>
      <c r="P162" s="28"/>
      <c r="Q162" s="28"/>
      <c r="R162" s="28"/>
      <c r="S162" s="28"/>
      <c r="T162" s="28"/>
      <c r="U162" s="28"/>
      <c r="V162" s="28"/>
    </row>
    <row r="163" ht="13.5" customHeight="1">
      <c r="A163" s="28"/>
      <c r="B163" s="28"/>
      <c r="C163" s="28"/>
      <c r="D163" s="28"/>
      <c r="E163" s="28"/>
      <c r="F163" s="28"/>
      <c r="G163" s="28"/>
      <c r="H163" s="28"/>
      <c r="I163" s="28"/>
      <c r="J163" s="28"/>
      <c r="K163" s="28"/>
      <c r="L163" s="28"/>
      <c r="M163" s="28"/>
      <c r="N163" s="28"/>
      <c r="O163" s="28"/>
      <c r="P163" s="28"/>
      <c r="Q163" s="28"/>
      <c r="R163" s="28"/>
      <c r="S163" s="28"/>
      <c r="T163" s="28"/>
      <c r="U163" s="28"/>
      <c r="V163" s="28"/>
    </row>
    <row r="164" ht="13.5" customHeight="1">
      <c r="A164" s="28"/>
      <c r="B164" s="28"/>
      <c r="C164" s="28"/>
      <c r="D164" s="28"/>
      <c r="E164" s="28"/>
      <c r="F164" s="28"/>
      <c r="G164" s="28"/>
      <c r="H164" s="28"/>
      <c r="I164" s="28"/>
      <c r="J164" s="28"/>
      <c r="K164" s="28"/>
      <c r="L164" s="28"/>
      <c r="M164" s="28"/>
      <c r="N164" s="28"/>
      <c r="O164" s="28"/>
      <c r="P164" s="28"/>
      <c r="Q164" s="28"/>
      <c r="R164" s="28"/>
      <c r="S164" s="28"/>
      <c r="T164" s="28"/>
      <c r="U164" s="28"/>
      <c r="V164" s="28"/>
    </row>
    <row r="165" ht="13.5" customHeight="1">
      <c r="A165" s="28"/>
      <c r="B165" s="28"/>
      <c r="C165" s="28"/>
      <c r="D165" s="28"/>
      <c r="E165" s="28"/>
      <c r="F165" s="28"/>
      <c r="G165" s="28"/>
      <c r="H165" s="28"/>
      <c r="I165" s="28"/>
      <c r="J165" s="28"/>
      <c r="K165" s="28"/>
      <c r="L165" s="28"/>
      <c r="M165" s="28"/>
      <c r="N165" s="28"/>
      <c r="O165" s="28"/>
      <c r="P165" s="28"/>
      <c r="Q165" s="28"/>
      <c r="R165" s="28"/>
      <c r="S165" s="28"/>
      <c r="T165" s="28"/>
      <c r="U165" s="28"/>
      <c r="V165" s="28"/>
    </row>
    <row r="166" ht="13.5" customHeight="1">
      <c r="A166" s="28"/>
      <c r="B166" s="28"/>
      <c r="C166" s="28"/>
      <c r="D166" s="28"/>
      <c r="E166" s="28"/>
      <c r="F166" s="28"/>
      <c r="G166" s="28"/>
      <c r="H166" s="28"/>
      <c r="I166" s="28"/>
      <c r="J166" s="28"/>
      <c r="K166" s="28"/>
      <c r="L166" s="28"/>
      <c r="M166" s="28"/>
      <c r="N166" s="28"/>
      <c r="O166" s="28"/>
      <c r="P166" s="28"/>
      <c r="Q166" s="28"/>
      <c r="R166" s="28"/>
      <c r="S166" s="28"/>
      <c r="T166" s="28"/>
      <c r="U166" s="28"/>
      <c r="V166" s="28"/>
    </row>
    <row r="167" ht="13.5" customHeight="1">
      <c r="A167" s="28"/>
      <c r="B167" s="28"/>
      <c r="C167" s="28"/>
      <c r="D167" s="28"/>
      <c r="E167" s="28"/>
      <c r="F167" s="28"/>
      <c r="G167" s="28"/>
      <c r="H167" s="28"/>
      <c r="I167" s="28"/>
      <c r="J167" s="28"/>
      <c r="K167" s="28"/>
      <c r="L167" s="28"/>
      <c r="M167" s="28"/>
      <c r="N167" s="28"/>
      <c r="O167" s="28"/>
      <c r="P167" s="28"/>
      <c r="Q167" s="28"/>
      <c r="R167" s="28"/>
      <c r="S167" s="28"/>
      <c r="T167" s="28"/>
      <c r="U167" s="28"/>
      <c r="V167" s="28"/>
    </row>
    <row r="168" ht="13.5" customHeight="1">
      <c r="A168" s="28"/>
      <c r="B168" s="28"/>
      <c r="C168" s="28"/>
      <c r="D168" s="28"/>
      <c r="E168" s="28"/>
      <c r="F168" s="28"/>
      <c r="G168" s="28"/>
      <c r="H168" s="28"/>
      <c r="I168" s="28"/>
      <c r="J168" s="28"/>
      <c r="K168" s="28"/>
      <c r="L168" s="28"/>
      <c r="M168" s="28"/>
      <c r="N168" s="28"/>
      <c r="O168" s="28"/>
      <c r="P168" s="28"/>
      <c r="Q168" s="28"/>
      <c r="R168" s="28"/>
      <c r="S168" s="28"/>
      <c r="T168" s="28"/>
      <c r="U168" s="28"/>
      <c r="V168" s="28"/>
    </row>
    <row r="169" ht="13.5" customHeight="1">
      <c r="A169" s="28"/>
      <c r="B169" s="28"/>
      <c r="C169" s="28"/>
      <c r="D169" s="28"/>
      <c r="E169" s="28"/>
      <c r="F169" s="28"/>
      <c r="G169" s="28"/>
      <c r="H169" s="28"/>
      <c r="I169" s="28"/>
      <c r="J169" s="28"/>
      <c r="K169" s="28"/>
      <c r="L169" s="28"/>
      <c r="M169" s="28"/>
      <c r="N169" s="28"/>
      <c r="O169" s="28"/>
      <c r="P169" s="28"/>
      <c r="Q169" s="28"/>
      <c r="R169" s="28"/>
      <c r="S169" s="28"/>
      <c r="T169" s="28"/>
      <c r="U169" s="28"/>
      <c r="V169" s="28"/>
    </row>
    <row r="170" ht="13.5" customHeight="1">
      <c r="A170" s="28"/>
      <c r="B170" s="28"/>
      <c r="C170" s="28"/>
      <c r="D170" s="28"/>
      <c r="E170" s="28"/>
      <c r="F170" s="28"/>
      <c r="G170" s="28"/>
      <c r="H170" s="28"/>
      <c r="I170" s="28"/>
      <c r="J170" s="28"/>
      <c r="K170" s="28"/>
      <c r="L170" s="28"/>
      <c r="M170" s="28"/>
      <c r="N170" s="28"/>
      <c r="O170" s="28"/>
      <c r="P170" s="28"/>
      <c r="Q170" s="28"/>
      <c r="R170" s="28"/>
      <c r="S170" s="28"/>
      <c r="T170" s="28"/>
      <c r="U170" s="28"/>
      <c r="V170" s="28"/>
    </row>
    <row r="171" ht="13.5" customHeight="1">
      <c r="A171" s="28"/>
      <c r="B171" s="28"/>
      <c r="C171" s="28"/>
      <c r="D171" s="28"/>
      <c r="E171" s="28"/>
      <c r="F171" s="28"/>
      <c r="G171" s="28"/>
      <c r="H171" s="28"/>
      <c r="I171" s="28"/>
      <c r="J171" s="28"/>
      <c r="K171" s="28"/>
      <c r="L171" s="28"/>
      <c r="M171" s="28"/>
      <c r="N171" s="28"/>
      <c r="O171" s="28"/>
      <c r="P171" s="28"/>
      <c r="Q171" s="28"/>
      <c r="R171" s="28"/>
      <c r="S171" s="28"/>
      <c r="T171" s="28"/>
      <c r="U171" s="28"/>
      <c r="V171" s="28"/>
    </row>
    <row r="172" ht="13.5" customHeight="1">
      <c r="A172" s="28"/>
      <c r="B172" s="28"/>
      <c r="C172" s="28"/>
      <c r="D172" s="28"/>
      <c r="E172" s="28"/>
      <c r="F172" s="28"/>
      <c r="G172" s="28"/>
      <c r="H172" s="28"/>
      <c r="I172" s="28"/>
      <c r="J172" s="28"/>
      <c r="K172" s="28"/>
      <c r="L172" s="28"/>
      <c r="M172" s="28"/>
      <c r="N172" s="28"/>
      <c r="O172" s="28"/>
      <c r="P172" s="28"/>
      <c r="Q172" s="28"/>
      <c r="R172" s="28"/>
      <c r="S172" s="28"/>
      <c r="T172" s="28"/>
      <c r="U172" s="28"/>
      <c r="V172" s="28"/>
    </row>
    <row r="173" ht="13.5" customHeight="1">
      <c r="A173" s="28"/>
      <c r="B173" s="28"/>
      <c r="C173" s="28"/>
      <c r="D173" s="28"/>
      <c r="E173" s="28"/>
      <c r="F173" s="28"/>
      <c r="G173" s="28"/>
      <c r="H173" s="28"/>
      <c r="I173" s="28"/>
      <c r="J173" s="28"/>
      <c r="K173" s="28"/>
      <c r="L173" s="28"/>
      <c r="M173" s="28"/>
      <c r="N173" s="28"/>
      <c r="O173" s="28"/>
      <c r="P173" s="28"/>
      <c r="Q173" s="28"/>
      <c r="R173" s="28"/>
      <c r="S173" s="28"/>
      <c r="T173" s="28"/>
      <c r="U173" s="28"/>
      <c r="V173" s="28"/>
    </row>
    <row r="174" ht="13.5" customHeight="1">
      <c r="A174" s="28"/>
      <c r="B174" s="28"/>
      <c r="C174" s="28"/>
      <c r="D174" s="28"/>
      <c r="E174" s="28"/>
      <c r="F174" s="28"/>
      <c r="G174" s="28"/>
      <c r="H174" s="28"/>
      <c r="I174" s="28"/>
      <c r="J174" s="28"/>
      <c r="K174" s="28"/>
      <c r="L174" s="28"/>
      <c r="M174" s="28"/>
      <c r="N174" s="28"/>
      <c r="O174" s="28"/>
      <c r="P174" s="28"/>
      <c r="Q174" s="28"/>
      <c r="R174" s="28"/>
      <c r="S174" s="28"/>
      <c r="T174" s="28"/>
      <c r="U174" s="28"/>
      <c r="V174" s="28"/>
    </row>
    <row r="175" ht="13.5" customHeight="1">
      <c r="A175" s="28"/>
      <c r="B175" s="28"/>
      <c r="C175" s="28"/>
      <c r="D175" s="28"/>
      <c r="E175" s="28"/>
      <c r="F175" s="28"/>
      <c r="G175" s="28"/>
      <c r="H175" s="28"/>
      <c r="I175" s="28"/>
      <c r="J175" s="28"/>
      <c r="K175" s="28"/>
      <c r="L175" s="28"/>
      <c r="M175" s="28"/>
      <c r="N175" s="28"/>
      <c r="O175" s="28"/>
      <c r="P175" s="28"/>
      <c r="Q175" s="28"/>
      <c r="R175" s="28"/>
      <c r="S175" s="28"/>
      <c r="T175" s="28"/>
      <c r="U175" s="28"/>
      <c r="V175" s="28"/>
    </row>
    <row r="176" ht="13.5" customHeight="1">
      <c r="A176" s="28"/>
      <c r="B176" s="28"/>
      <c r="C176" s="28"/>
      <c r="D176" s="28"/>
      <c r="E176" s="28"/>
      <c r="F176" s="28"/>
      <c r="G176" s="28"/>
      <c r="H176" s="28"/>
      <c r="I176" s="28"/>
      <c r="J176" s="28"/>
      <c r="K176" s="28"/>
      <c r="L176" s="28"/>
      <c r="M176" s="28"/>
      <c r="N176" s="28"/>
      <c r="O176" s="28"/>
      <c r="P176" s="28"/>
      <c r="Q176" s="28"/>
      <c r="R176" s="28"/>
      <c r="S176" s="28"/>
      <c r="T176" s="28"/>
      <c r="U176" s="28"/>
      <c r="V176" s="28"/>
    </row>
    <row r="177" ht="13.5" customHeight="1">
      <c r="A177" s="28"/>
      <c r="B177" s="28"/>
      <c r="C177" s="28"/>
      <c r="D177" s="28"/>
      <c r="E177" s="28"/>
      <c r="F177" s="28"/>
      <c r="G177" s="28"/>
      <c r="H177" s="28"/>
      <c r="I177" s="28"/>
      <c r="J177" s="28"/>
      <c r="K177" s="28"/>
      <c r="L177" s="28"/>
      <c r="M177" s="28"/>
      <c r="N177" s="28"/>
      <c r="O177" s="28"/>
      <c r="P177" s="28"/>
      <c r="Q177" s="28"/>
      <c r="R177" s="28"/>
      <c r="S177" s="28"/>
      <c r="T177" s="28"/>
      <c r="U177" s="28"/>
      <c r="V177" s="28"/>
    </row>
    <row r="178" ht="13.5" customHeight="1">
      <c r="A178" s="28"/>
      <c r="B178" s="28"/>
      <c r="C178" s="28"/>
      <c r="D178" s="28"/>
      <c r="E178" s="28"/>
      <c r="F178" s="28"/>
      <c r="G178" s="28"/>
      <c r="H178" s="28"/>
      <c r="I178" s="28"/>
      <c r="J178" s="28"/>
      <c r="K178" s="28"/>
      <c r="L178" s="28"/>
      <c r="M178" s="28"/>
      <c r="N178" s="28"/>
      <c r="O178" s="28"/>
      <c r="P178" s="28"/>
      <c r="Q178" s="28"/>
      <c r="R178" s="28"/>
      <c r="S178" s="28"/>
      <c r="T178" s="28"/>
      <c r="U178" s="28"/>
      <c r="V178" s="28"/>
    </row>
    <row r="179" ht="13.5" customHeight="1">
      <c r="A179" s="28"/>
      <c r="B179" s="28"/>
      <c r="C179" s="28"/>
      <c r="D179" s="28"/>
      <c r="E179" s="28"/>
      <c r="F179" s="28"/>
      <c r="G179" s="28"/>
      <c r="H179" s="28"/>
      <c r="I179" s="28"/>
      <c r="J179" s="28"/>
      <c r="K179" s="28"/>
      <c r="L179" s="28"/>
      <c r="M179" s="28"/>
      <c r="N179" s="28"/>
      <c r="O179" s="28"/>
      <c r="P179" s="28"/>
      <c r="Q179" s="28"/>
      <c r="R179" s="28"/>
      <c r="S179" s="28"/>
      <c r="T179" s="28"/>
      <c r="U179" s="28"/>
      <c r="V179" s="28"/>
    </row>
    <row r="180" ht="13.5" customHeight="1">
      <c r="A180" s="28"/>
      <c r="B180" s="28"/>
      <c r="C180" s="28"/>
      <c r="D180" s="28"/>
      <c r="E180" s="28"/>
      <c r="F180" s="28"/>
      <c r="G180" s="28"/>
      <c r="H180" s="28"/>
      <c r="I180" s="28"/>
      <c r="J180" s="28"/>
      <c r="K180" s="28"/>
      <c r="L180" s="28"/>
      <c r="M180" s="28"/>
      <c r="N180" s="28"/>
      <c r="O180" s="28"/>
      <c r="P180" s="28"/>
      <c r="Q180" s="28"/>
      <c r="R180" s="28"/>
      <c r="S180" s="28"/>
      <c r="T180" s="28"/>
      <c r="U180" s="28"/>
      <c r="V180" s="28"/>
    </row>
    <row r="181" ht="13.5" customHeight="1">
      <c r="A181" s="28"/>
      <c r="B181" s="28"/>
      <c r="C181" s="28"/>
      <c r="D181" s="28"/>
      <c r="E181" s="28"/>
      <c r="F181" s="28"/>
      <c r="G181" s="28"/>
      <c r="H181" s="28"/>
      <c r="I181" s="28"/>
      <c r="J181" s="28"/>
      <c r="K181" s="28"/>
      <c r="L181" s="28"/>
      <c r="M181" s="28"/>
      <c r="N181" s="28"/>
      <c r="O181" s="28"/>
      <c r="P181" s="28"/>
      <c r="Q181" s="28"/>
      <c r="R181" s="28"/>
      <c r="S181" s="28"/>
      <c r="T181" s="28"/>
      <c r="U181" s="28"/>
      <c r="V181" s="28"/>
    </row>
    <row r="182" ht="13.5" customHeight="1">
      <c r="A182" s="28"/>
      <c r="B182" s="28"/>
      <c r="C182" s="28"/>
      <c r="D182" s="28"/>
      <c r="E182" s="28"/>
      <c r="F182" s="28"/>
      <c r="G182" s="28"/>
      <c r="H182" s="28"/>
      <c r="I182" s="28"/>
      <c r="J182" s="28"/>
      <c r="K182" s="28"/>
      <c r="L182" s="28"/>
      <c r="M182" s="28"/>
      <c r="N182" s="28"/>
      <c r="O182" s="28"/>
      <c r="P182" s="28"/>
      <c r="Q182" s="28"/>
      <c r="R182" s="28"/>
      <c r="S182" s="28"/>
      <c r="T182" s="28"/>
      <c r="U182" s="28"/>
      <c r="V182" s="28"/>
    </row>
    <row r="183" ht="13.5" customHeight="1">
      <c r="A183" s="28"/>
      <c r="B183" s="28"/>
      <c r="C183" s="28"/>
      <c r="D183" s="28"/>
      <c r="E183" s="28"/>
      <c r="F183" s="28"/>
      <c r="G183" s="28"/>
      <c r="H183" s="28"/>
      <c r="I183" s="28"/>
      <c r="J183" s="28"/>
      <c r="K183" s="28"/>
      <c r="L183" s="28"/>
      <c r="M183" s="28"/>
      <c r="N183" s="28"/>
      <c r="O183" s="28"/>
      <c r="P183" s="28"/>
      <c r="Q183" s="28"/>
      <c r="R183" s="28"/>
      <c r="S183" s="28"/>
      <c r="T183" s="28"/>
      <c r="U183" s="28"/>
      <c r="V183" s="28"/>
    </row>
    <row r="184" ht="13.5" customHeight="1">
      <c r="A184" s="28"/>
      <c r="B184" s="28"/>
      <c r="C184" s="28"/>
      <c r="D184" s="28"/>
      <c r="E184" s="28"/>
      <c r="F184" s="28"/>
      <c r="G184" s="28"/>
      <c r="H184" s="28"/>
      <c r="I184" s="28"/>
      <c r="J184" s="28"/>
      <c r="K184" s="28"/>
      <c r="L184" s="28"/>
      <c r="M184" s="28"/>
      <c r="N184" s="28"/>
      <c r="O184" s="28"/>
      <c r="P184" s="28"/>
      <c r="Q184" s="28"/>
      <c r="R184" s="28"/>
      <c r="S184" s="28"/>
      <c r="T184" s="28"/>
      <c r="U184" s="28"/>
      <c r="V184" s="28"/>
    </row>
    <row r="185" ht="13.5" customHeight="1">
      <c r="A185" s="28"/>
      <c r="B185" s="28"/>
      <c r="C185" s="28"/>
      <c r="D185" s="28"/>
      <c r="E185" s="28"/>
      <c r="F185" s="28"/>
      <c r="G185" s="28"/>
      <c r="H185" s="28"/>
      <c r="I185" s="28"/>
      <c r="J185" s="28"/>
      <c r="K185" s="28"/>
      <c r="L185" s="28"/>
      <c r="M185" s="28"/>
      <c r="N185" s="28"/>
      <c r="O185" s="28"/>
      <c r="P185" s="28"/>
      <c r="Q185" s="28"/>
      <c r="R185" s="28"/>
      <c r="S185" s="28"/>
      <c r="T185" s="28"/>
      <c r="U185" s="28"/>
      <c r="V185" s="28"/>
    </row>
    <row r="186" ht="13.5" customHeight="1">
      <c r="A186" s="28"/>
      <c r="B186" s="28"/>
      <c r="C186" s="28"/>
      <c r="D186" s="28"/>
      <c r="E186" s="28"/>
      <c r="F186" s="28"/>
      <c r="G186" s="28"/>
      <c r="H186" s="28"/>
      <c r="I186" s="28"/>
      <c r="J186" s="28"/>
      <c r="K186" s="28"/>
      <c r="L186" s="28"/>
      <c r="M186" s="28"/>
      <c r="N186" s="28"/>
      <c r="O186" s="28"/>
      <c r="P186" s="28"/>
      <c r="Q186" s="28"/>
      <c r="R186" s="28"/>
      <c r="S186" s="28"/>
      <c r="T186" s="28"/>
      <c r="U186" s="28"/>
      <c r="V186" s="28"/>
    </row>
    <row r="187" ht="13.5" customHeight="1">
      <c r="A187" s="28"/>
      <c r="B187" s="28"/>
      <c r="C187" s="28"/>
      <c r="D187" s="28"/>
      <c r="E187" s="28"/>
      <c r="F187" s="28"/>
      <c r="G187" s="28"/>
      <c r="H187" s="28"/>
      <c r="I187" s="28"/>
      <c r="J187" s="28"/>
      <c r="K187" s="28"/>
      <c r="L187" s="28"/>
      <c r="M187" s="28"/>
      <c r="N187" s="28"/>
      <c r="O187" s="28"/>
      <c r="P187" s="28"/>
      <c r="Q187" s="28"/>
      <c r="R187" s="28"/>
      <c r="S187" s="28"/>
      <c r="T187" s="28"/>
      <c r="U187" s="28"/>
      <c r="V187" s="28"/>
    </row>
    <row r="188" ht="13.5" customHeight="1">
      <c r="A188" s="28"/>
      <c r="B188" s="28"/>
      <c r="C188" s="28"/>
      <c r="D188" s="28"/>
      <c r="E188" s="28"/>
      <c r="F188" s="28"/>
      <c r="G188" s="28"/>
      <c r="H188" s="28"/>
      <c r="I188" s="28"/>
      <c r="J188" s="28"/>
      <c r="K188" s="28"/>
      <c r="L188" s="28"/>
      <c r="M188" s="28"/>
      <c r="N188" s="28"/>
      <c r="O188" s="28"/>
      <c r="P188" s="28"/>
      <c r="Q188" s="28"/>
      <c r="R188" s="28"/>
      <c r="S188" s="28"/>
      <c r="T188" s="28"/>
      <c r="U188" s="28"/>
      <c r="V188" s="28"/>
    </row>
    <row r="189" ht="13.5" customHeight="1">
      <c r="A189" s="28"/>
      <c r="B189" s="28"/>
      <c r="C189" s="28"/>
      <c r="D189" s="28"/>
      <c r="E189" s="28"/>
      <c r="F189" s="28"/>
      <c r="G189" s="28"/>
      <c r="H189" s="28"/>
      <c r="I189" s="28"/>
      <c r="J189" s="28"/>
      <c r="K189" s="28"/>
      <c r="L189" s="28"/>
      <c r="M189" s="28"/>
      <c r="N189" s="28"/>
      <c r="O189" s="28"/>
      <c r="P189" s="28"/>
      <c r="Q189" s="28"/>
      <c r="R189" s="28"/>
      <c r="S189" s="28"/>
      <c r="T189" s="28"/>
      <c r="U189" s="28"/>
      <c r="V189" s="28"/>
    </row>
    <row r="190" ht="13.5" customHeight="1">
      <c r="A190" s="28"/>
      <c r="B190" s="28"/>
      <c r="C190" s="28"/>
      <c r="D190" s="28"/>
      <c r="E190" s="28"/>
      <c r="F190" s="28"/>
      <c r="G190" s="28"/>
      <c r="H190" s="28"/>
      <c r="I190" s="28"/>
      <c r="J190" s="28"/>
      <c r="K190" s="28"/>
      <c r="L190" s="28"/>
      <c r="M190" s="28"/>
      <c r="N190" s="28"/>
      <c r="O190" s="28"/>
      <c r="P190" s="28"/>
      <c r="Q190" s="28"/>
      <c r="R190" s="28"/>
      <c r="S190" s="28"/>
      <c r="T190" s="28"/>
      <c r="U190" s="28"/>
      <c r="V190" s="28"/>
    </row>
    <row r="191" ht="13.5" customHeight="1">
      <c r="A191" s="28"/>
      <c r="B191" s="28"/>
      <c r="C191" s="28"/>
      <c r="D191" s="28"/>
      <c r="E191" s="28"/>
      <c r="F191" s="28"/>
      <c r="G191" s="28"/>
      <c r="H191" s="28"/>
      <c r="I191" s="28"/>
      <c r="J191" s="28"/>
      <c r="K191" s="28"/>
      <c r="L191" s="28"/>
      <c r="M191" s="28"/>
      <c r="N191" s="28"/>
      <c r="O191" s="28"/>
      <c r="P191" s="28"/>
      <c r="Q191" s="28"/>
      <c r="R191" s="28"/>
      <c r="S191" s="28"/>
      <c r="T191" s="28"/>
      <c r="U191" s="28"/>
      <c r="V191" s="28"/>
    </row>
    <row r="192" ht="13.5" customHeight="1">
      <c r="A192" s="28"/>
      <c r="B192" s="28"/>
      <c r="C192" s="28"/>
      <c r="D192" s="28"/>
      <c r="E192" s="28"/>
      <c r="F192" s="28"/>
      <c r="G192" s="28"/>
      <c r="H192" s="28"/>
      <c r="I192" s="28"/>
      <c r="J192" s="28"/>
      <c r="K192" s="28"/>
      <c r="L192" s="28"/>
      <c r="M192" s="28"/>
      <c r="N192" s="28"/>
      <c r="O192" s="28"/>
      <c r="P192" s="28"/>
      <c r="Q192" s="28"/>
      <c r="R192" s="28"/>
      <c r="S192" s="28"/>
      <c r="T192" s="28"/>
      <c r="U192" s="28"/>
      <c r="V192" s="28"/>
    </row>
    <row r="193" ht="13.5" customHeight="1">
      <c r="A193" s="28"/>
      <c r="B193" s="28"/>
      <c r="C193" s="28"/>
      <c r="D193" s="28"/>
      <c r="E193" s="28"/>
      <c r="F193" s="28"/>
      <c r="G193" s="28"/>
      <c r="H193" s="28"/>
      <c r="I193" s="28"/>
      <c r="J193" s="28"/>
      <c r="K193" s="28"/>
      <c r="L193" s="28"/>
      <c r="M193" s="28"/>
      <c r="N193" s="28"/>
      <c r="O193" s="28"/>
      <c r="P193" s="28"/>
      <c r="Q193" s="28"/>
      <c r="R193" s="28"/>
      <c r="S193" s="28"/>
      <c r="T193" s="28"/>
      <c r="U193" s="28"/>
      <c r="V193" s="28"/>
    </row>
    <row r="194" ht="13.5" customHeight="1">
      <c r="A194" s="28"/>
      <c r="B194" s="28"/>
      <c r="C194" s="28"/>
      <c r="D194" s="28"/>
      <c r="E194" s="28"/>
      <c r="F194" s="28"/>
      <c r="G194" s="28"/>
      <c r="H194" s="28"/>
      <c r="I194" s="28"/>
      <c r="J194" s="28"/>
      <c r="K194" s="28"/>
      <c r="L194" s="28"/>
      <c r="M194" s="28"/>
      <c r="N194" s="28"/>
      <c r="O194" s="28"/>
      <c r="P194" s="28"/>
      <c r="Q194" s="28"/>
      <c r="R194" s="28"/>
      <c r="S194" s="28"/>
      <c r="T194" s="28"/>
      <c r="U194" s="28"/>
      <c r="V194" s="28"/>
    </row>
    <row r="195" ht="13.5" customHeight="1">
      <c r="A195" s="28"/>
      <c r="B195" s="28"/>
      <c r="C195" s="28"/>
      <c r="D195" s="28"/>
      <c r="E195" s="28"/>
      <c r="F195" s="28"/>
      <c r="G195" s="28"/>
      <c r="H195" s="28"/>
      <c r="I195" s="28"/>
      <c r="J195" s="28"/>
      <c r="K195" s="28"/>
      <c r="L195" s="28"/>
      <c r="M195" s="28"/>
      <c r="N195" s="28"/>
      <c r="O195" s="28"/>
      <c r="P195" s="28"/>
      <c r="Q195" s="28"/>
      <c r="R195" s="28"/>
      <c r="S195" s="28"/>
      <c r="T195" s="28"/>
      <c r="U195" s="28"/>
      <c r="V195" s="28"/>
    </row>
    <row r="196" ht="13.5" customHeight="1">
      <c r="A196" s="28"/>
      <c r="B196" s="28"/>
      <c r="C196" s="28"/>
      <c r="D196" s="28"/>
      <c r="E196" s="28"/>
      <c r="F196" s="28"/>
      <c r="G196" s="28"/>
      <c r="H196" s="28"/>
      <c r="I196" s="28"/>
      <c r="J196" s="28"/>
      <c r="K196" s="28"/>
      <c r="L196" s="28"/>
      <c r="M196" s="28"/>
      <c r="N196" s="28"/>
      <c r="O196" s="28"/>
      <c r="P196" s="28"/>
      <c r="Q196" s="28"/>
      <c r="R196" s="28"/>
      <c r="S196" s="28"/>
      <c r="T196" s="28"/>
      <c r="U196" s="28"/>
      <c r="V196" s="28"/>
    </row>
    <row r="197" ht="13.5" customHeight="1">
      <c r="A197" s="28"/>
      <c r="B197" s="28"/>
      <c r="C197" s="28"/>
      <c r="D197" s="28"/>
      <c r="E197" s="28"/>
      <c r="F197" s="28"/>
      <c r="G197" s="28"/>
      <c r="H197" s="28"/>
      <c r="I197" s="28"/>
      <c r="J197" s="28"/>
      <c r="K197" s="28"/>
      <c r="L197" s="28"/>
      <c r="M197" s="28"/>
      <c r="N197" s="28"/>
      <c r="O197" s="28"/>
      <c r="P197" s="28"/>
      <c r="Q197" s="28"/>
      <c r="R197" s="28"/>
      <c r="S197" s="28"/>
      <c r="T197" s="28"/>
      <c r="U197" s="28"/>
      <c r="V197" s="28"/>
    </row>
    <row r="198" ht="13.5" customHeight="1">
      <c r="A198" s="28"/>
      <c r="B198" s="28"/>
      <c r="C198" s="28"/>
      <c r="D198" s="28"/>
      <c r="E198" s="28"/>
      <c r="F198" s="28"/>
      <c r="G198" s="28"/>
      <c r="H198" s="28"/>
      <c r="I198" s="28"/>
      <c r="J198" s="28"/>
      <c r="K198" s="28"/>
      <c r="L198" s="28"/>
      <c r="M198" s="28"/>
      <c r="N198" s="28"/>
      <c r="O198" s="28"/>
      <c r="P198" s="28"/>
      <c r="Q198" s="28"/>
      <c r="R198" s="28"/>
      <c r="S198" s="28"/>
      <c r="T198" s="28"/>
      <c r="U198" s="28"/>
      <c r="V198" s="28"/>
    </row>
    <row r="199" ht="13.5" customHeight="1">
      <c r="A199" s="28"/>
      <c r="B199" s="28"/>
      <c r="C199" s="28"/>
      <c r="D199" s="28"/>
      <c r="E199" s="28"/>
      <c r="F199" s="28"/>
      <c r="G199" s="28"/>
      <c r="H199" s="28"/>
      <c r="I199" s="28"/>
      <c r="J199" s="28"/>
      <c r="K199" s="28"/>
      <c r="L199" s="28"/>
      <c r="M199" s="28"/>
      <c r="N199" s="28"/>
      <c r="O199" s="28"/>
      <c r="P199" s="28"/>
      <c r="Q199" s="28"/>
      <c r="R199" s="28"/>
      <c r="S199" s="28"/>
      <c r="T199" s="28"/>
      <c r="U199" s="28"/>
      <c r="V199" s="28"/>
    </row>
    <row r="200" ht="13.5" customHeight="1">
      <c r="A200" s="28"/>
      <c r="B200" s="28"/>
      <c r="C200" s="28"/>
      <c r="D200" s="28"/>
      <c r="E200" s="28"/>
      <c r="F200" s="28"/>
      <c r="G200" s="28"/>
      <c r="H200" s="28"/>
      <c r="I200" s="28"/>
      <c r="J200" s="28"/>
      <c r="K200" s="28"/>
      <c r="L200" s="28"/>
      <c r="M200" s="28"/>
      <c r="N200" s="28"/>
      <c r="O200" s="28"/>
      <c r="P200" s="28"/>
      <c r="Q200" s="28"/>
      <c r="R200" s="28"/>
      <c r="S200" s="28"/>
      <c r="T200" s="28"/>
      <c r="U200" s="28"/>
      <c r="V200" s="28"/>
    </row>
    <row r="201" ht="13.5" customHeight="1">
      <c r="A201" s="28"/>
      <c r="B201" s="28"/>
      <c r="C201" s="28"/>
      <c r="D201" s="28"/>
      <c r="E201" s="28"/>
      <c r="F201" s="28"/>
      <c r="G201" s="28"/>
      <c r="H201" s="28"/>
      <c r="I201" s="28"/>
      <c r="J201" s="28"/>
      <c r="K201" s="28"/>
      <c r="L201" s="28"/>
      <c r="M201" s="28"/>
      <c r="N201" s="28"/>
      <c r="O201" s="28"/>
      <c r="P201" s="28"/>
      <c r="Q201" s="28"/>
      <c r="R201" s="28"/>
      <c r="S201" s="28"/>
      <c r="T201" s="28"/>
      <c r="U201" s="28"/>
      <c r="V201" s="28"/>
    </row>
    <row r="202" ht="13.5" customHeight="1">
      <c r="A202" s="28"/>
      <c r="B202" s="28"/>
      <c r="C202" s="28"/>
      <c r="D202" s="28"/>
      <c r="E202" s="28"/>
      <c r="F202" s="28"/>
      <c r="G202" s="28"/>
      <c r="H202" s="28"/>
      <c r="I202" s="28"/>
      <c r="J202" s="28"/>
      <c r="K202" s="28"/>
      <c r="L202" s="28"/>
      <c r="M202" s="28"/>
      <c r="N202" s="28"/>
      <c r="O202" s="28"/>
      <c r="P202" s="28"/>
      <c r="Q202" s="28"/>
      <c r="R202" s="28"/>
      <c r="S202" s="28"/>
      <c r="T202" s="28"/>
      <c r="U202" s="28"/>
      <c r="V202" s="28"/>
    </row>
    <row r="203" ht="13.5" customHeight="1">
      <c r="A203" s="28"/>
      <c r="B203" s="28"/>
      <c r="C203" s="28"/>
      <c r="D203" s="28"/>
      <c r="E203" s="28"/>
      <c r="F203" s="28"/>
      <c r="G203" s="28"/>
      <c r="H203" s="28"/>
      <c r="I203" s="28"/>
      <c r="J203" s="28"/>
      <c r="K203" s="28"/>
      <c r="L203" s="28"/>
      <c r="M203" s="28"/>
      <c r="N203" s="28"/>
      <c r="O203" s="28"/>
      <c r="P203" s="28"/>
      <c r="Q203" s="28"/>
      <c r="R203" s="28"/>
      <c r="S203" s="28"/>
      <c r="T203" s="28"/>
      <c r="U203" s="28"/>
      <c r="V203" s="28"/>
    </row>
    <row r="204" ht="13.5" customHeight="1">
      <c r="A204" s="28"/>
      <c r="B204" s="28"/>
      <c r="C204" s="28"/>
      <c r="D204" s="28"/>
      <c r="E204" s="28"/>
      <c r="F204" s="28"/>
      <c r="G204" s="28"/>
      <c r="H204" s="28"/>
      <c r="I204" s="28"/>
      <c r="J204" s="28"/>
      <c r="K204" s="28"/>
      <c r="L204" s="28"/>
      <c r="M204" s="28"/>
      <c r="N204" s="28"/>
      <c r="O204" s="28"/>
      <c r="P204" s="28"/>
      <c r="Q204" s="28"/>
      <c r="R204" s="28"/>
      <c r="S204" s="28"/>
      <c r="T204" s="28"/>
      <c r="U204" s="28"/>
      <c r="V204" s="28"/>
    </row>
    <row r="205" ht="13.5" customHeight="1">
      <c r="A205" s="28"/>
      <c r="B205" s="28"/>
      <c r="C205" s="28"/>
      <c r="D205" s="28"/>
      <c r="E205" s="28"/>
      <c r="F205" s="28"/>
      <c r="G205" s="28"/>
      <c r="H205" s="28"/>
      <c r="I205" s="28"/>
      <c r="J205" s="28"/>
      <c r="K205" s="28"/>
      <c r="L205" s="28"/>
      <c r="M205" s="28"/>
      <c r="N205" s="28"/>
      <c r="O205" s="28"/>
      <c r="P205" s="28"/>
      <c r="Q205" s="28"/>
      <c r="R205" s="28"/>
      <c r="S205" s="28"/>
      <c r="T205" s="28"/>
      <c r="U205" s="28"/>
      <c r="V205" s="28"/>
    </row>
    <row r="206" ht="13.5" customHeight="1">
      <c r="A206" s="28"/>
      <c r="B206" s="28"/>
      <c r="C206" s="28"/>
      <c r="D206" s="28"/>
      <c r="E206" s="28"/>
      <c r="F206" s="28"/>
      <c r="G206" s="28"/>
      <c r="H206" s="28"/>
      <c r="I206" s="28"/>
      <c r="J206" s="28"/>
      <c r="K206" s="28"/>
      <c r="L206" s="28"/>
      <c r="M206" s="28"/>
      <c r="N206" s="28"/>
      <c r="O206" s="28"/>
      <c r="P206" s="28"/>
      <c r="Q206" s="28"/>
      <c r="R206" s="28"/>
      <c r="S206" s="28"/>
      <c r="T206" s="28"/>
      <c r="U206" s="28"/>
      <c r="V206" s="28"/>
    </row>
    <row r="207" ht="13.5" customHeight="1">
      <c r="A207" s="28"/>
      <c r="B207" s="28"/>
      <c r="C207" s="28"/>
      <c r="D207" s="28"/>
      <c r="E207" s="28"/>
      <c r="F207" s="28"/>
      <c r="G207" s="28"/>
      <c r="H207" s="28"/>
      <c r="I207" s="28"/>
      <c r="J207" s="28"/>
      <c r="K207" s="28"/>
      <c r="L207" s="28"/>
      <c r="M207" s="28"/>
      <c r="N207" s="28"/>
      <c r="O207" s="28"/>
      <c r="P207" s="28"/>
      <c r="Q207" s="28"/>
      <c r="R207" s="28"/>
      <c r="S207" s="28"/>
      <c r="T207" s="28"/>
      <c r="U207" s="28"/>
      <c r="V207" s="28"/>
    </row>
    <row r="208" ht="13.5" customHeight="1">
      <c r="A208" s="28"/>
      <c r="B208" s="28"/>
      <c r="C208" s="28"/>
      <c r="D208" s="28"/>
      <c r="E208" s="28"/>
      <c r="F208" s="28"/>
      <c r="G208" s="28"/>
      <c r="H208" s="28"/>
      <c r="I208" s="28"/>
      <c r="J208" s="28"/>
      <c r="K208" s="28"/>
      <c r="L208" s="28"/>
      <c r="M208" s="28"/>
      <c r="N208" s="28"/>
      <c r="O208" s="28"/>
      <c r="P208" s="28"/>
      <c r="Q208" s="28"/>
      <c r="R208" s="28"/>
      <c r="S208" s="28"/>
      <c r="T208" s="28"/>
      <c r="U208" s="28"/>
      <c r="V208" s="28"/>
    </row>
    <row r="209" ht="13.5" customHeight="1">
      <c r="A209" s="28"/>
      <c r="B209" s="28"/>
      <c r="C209" s="28"/>
      <c r="D209" s="28"/>
      <c r="E209" s="28"/>
      <c r="F209" s="28"/>
      <c r="G209" s="28"/>
      <c r="H209" s="28"/>
      <c r="I209" s="28"/>
      <c r="J209" s="28"/>
      <c r="K209" s="28"/>
      <c r="L209" s="28"/>
      <c r="M209" s="28"/>
      <c r="N209" s="28"/>
      <c r="O209" s="28"/>
      <c r="P209" s="28"/>
      <c r="Q209" s="28"/>
      <c r="R209" s="28"/>
      <c r="S209" s="28"/>
      <c r="T209" s="28"/>
      <c r="U209" s="28"/>
      <c r="V209" s="28"/>
    </row>
    <row r="210" ht="13.5" customHeight="1">
      <c r="A210" s="28"/>
      <c r="B210" s="28"/>
      <c r="C210" s="28"/>
      <c r="D210" s="28"/>
      <c r="E210" s="28"/>
      <c r="F210" s="28"/>
      <c r="G210" s="28"/>
      <c r="H210" s="28"/>
      <c r="I210" s="28"/>
      <c r="J210" s="28"/>
      <c r="K210" s="28"/>
      <c r="L210" s="28"/>
      <c r="M210" s="28"/>
      <c r="N210" s="28"/>
      <c r="O210" s="28"/>
      <c r="P210" s="28"/>
      <c r="Q210" s="28"/>
      <c r="R210" s="28"/>
      <c r="S210" s="28"/>
      <c r="T210" s="28"/>
      <c r="U210" s="28"/>
      <c r="V210" s="28"/>
    </row>
    <row r="211" ht="13.5" customHeight="1">
      <c r="A211" s="28"/>
      <c r="B211" s="28"/>
      <c r="C211" s="28"/>
      <c r="D211" s="28"/>
      <c r="E211" s="28"/>
      <c r="F211" s="28"/>
      <c r="G211" s="28"/>
      <c r="H211" s="28"/>
      <c r="I211" s="28"/>
      <c r="J211" s="28"/>
      <c r="K211" s="28"/>
      <c r="L211" s="28"/>
      <c r="M211" s="28"/>
      <c r="N211" s="28"/>
      <c r="O211" s="28"/>
      <c r="P211" s="28"/>
      <c r="Q211" s="28"/>
      <c r="R211" s="28"/>
      <c r="S211" s="28"/>
      <c r="T211" s="28"/>
      <c r="U211" s="28"/>
      <c r="V211" s="28"/>
    </row>
    <row r="212" ht="13.5" customHeight="1">
      <c r="A212" s="28"/>
      <c r="B212" s="28"/>
      <c r="C212" s="28"/>
      <c r="D212" s="28"/>
      <c r="E212" s="28"/>
      <c r="F212" s="28"/>
      <c r="G212" s="28"/>
      <c r="H212" s="28"/>
      <c r="I212" s="28"/>
      <c r="J212" s="28"/>
      <c r="K212" s="28"/>
      <c r="L212" s="28"/>
      <c r="M212" s="28"/>
      <c r="N212" s="28"/>
      <c r="O212" s="28"/>
      <c r="P212" s="28"/>
      <c r="Q212" s="28"/>
      <c r="R212" s="28"/>
      <c r="S212" s="28"/>
      <c r="T212" s="28"/>
      <c r="U212" s="28"/>
      <c r="V212" s="28"/>
    </row>
    <row r="213" ht="13.5" customHeight="1">
      <c r="A213" s="28"/>
      <c r="B213" s="28"/>
      <c r="C213" s="28"/>
      <c r="D213" s="28"/>
      <c r="E213" s="28"/>
      <c r="F213" s="28"/>
      <c r="G213" s="28"/>
      <c r="H213" s="28"/>
      <c r="I213" s="28"/>
      <c r="J213" s="28"/>
      <c r="K213" s="28"/>
      <c r="L213" s="28"/>
      <c r="M213" s="28"/>
      <c r="N213" s="28"/>
      <c r="O213" s="28"/>
      <c r="P213" s="28"/>
      <c r="Q213" s="28"/>
      <c r="R213" s="28"/>
      <c r="S213" s="28"/>
      <c r="T213" s="28"/>
      <c r="U213" s="28"/>
      <c r="V213" s="28"/>
    </row>
    <row r="214" ht="13.5" customHeight="1">
      <c r="A214" s="28"/>
      <c r="B214" s="28"/>
      <c r="C214" s="28"/>
      <c r="D214" s="28"/>
      <c r="E214" s="28"/>
      <c r="F214" s="28"/>
      <c r="G214" s="28"/>
      <c r="H214" s="28"/>
      <c r="I214" s="28"/>
      <c r="J214" s="28"/>
      <c r="K214" s="28"/>
      <c r="L214" s="28"/>
      <c r="M214" s="28"/>
      <c r="N214" s="28"/>
      <c r="O214" s="28"/>
      <c r="P214" s="28"/>
      <c r="Q214" s="28"/>
      <c r="R214" s="28"/>
      <c r="S214" s="28"/>
      <c r="T214" s="28"/>
      <c r="U214" s="28"/>
      <c r="V214" s="28"/>
    </row>
    <row r="215" ht="13.5" customHeight="1">
      <c r="A215" s="28"/>
      <c r="B215" s="28"/>
      <c r="C215" s="28"/>
      <c r="D215" s="28"/>
      <c r="E215" s="28"/>
      <c r="F215" s="28"/>
      <c r="G215" s="28"/>
      <c r="H215" s="28"/>
      <c r="I215" s="28"/>
      <c r="J215" s="28"/>
      <c r="K215" s="28"/>
      <c r="L215" s="28"/>
      <c r="M215" s="28"/>
      <c r="N215" s="28"/>
      <c r="O215" s="28"/>
      <c r="P215" s="28"/>
      <c r="Q215" s="28"/>
      <c r="R215" s="28"/>
      <c r="S215" s="28"/>
      <c r="T215" s="28"/>
      <c r="U215" s="28"/>
      <c r="V215" s="28"/>
    </row>
    <row r="216" ht="13.5" customHeight="1">
      <c r="A216" s="28"/>
      <c r="B216" s="28"/>
      <c r="C216" s="28"/>
      <c r="D216" s="28"/>
      <c r="E216" s="28"/>
      <c r="F216" s="28"/>
      <c r="G216" s="28"/>
      <c r="H216" s="28"/>
      <c r="I216" s="28"/>
      <c r="J216" s="28"/>
      <c r="K216" s="28"/>
      <c r="L216" s="28"/>
      <c r="M216" s="28"/>
      <c r="N216" s="28"/>
      <c r="O216" s="28"/>
      <c r="P216" s="28"/>
      <c r="Q216" s="28"/>
      <c r="R216" s="28"/>
      <c r="S216" s="28"/>
      <c r="T216" s="28"/>
      <c r="U216" s="28"/>
      <c r="V216" s="28"/>
    </row>
    <row r="217" ht="13.5" customHeight="1">
      <c r="A217" s="28"/>
      <c r="B217" s="28"/>
      <c r="C217" s="28"/>
      <c r="D217" s="28"/>
      <c r="E217" s="28"/>
      <c r="F217" s="28"/>
      <c r="G217" s="28"/>
      <c r="H217" s="28"/>
      <c r="I217" s="28"/>
      <c r="J217" s="28"/>
      <c r="K217" s="28"/>
      <c r="L217" s="28"/>
      <c r="M217" s="28"/>
      <c r="N217" s="28"/>
      <c r="O217" s="28"/>
      <c r="P217" s="28"/>
      <c r="Q217" s="28"/>
      <c r="R217" s="28"/>
      <c r="S217" s="28"/>
      <c r="T217" s="28"/>
      <c r="U217" s="28"/>
      <c r="V217" s="28"/>
    </row>
    <row r="218" ht="13.5" customHeight="1">
      <c r="A218" s="28"/>
      <c r="B218" s="28"/>
      <c r="C218" s="28"/>
      <c r="D218" s="28"/>
      <c r="E218" s="28"/>
      <c r="F218" s="28"/>
      <c r="G218" s="28"/>
      <c r="H218" s="28"/>
      <c r="I218" s="28"/>
      <c r="J218" s="28"/>
      <c r="K218" s="28"/>
      <c r="L218" s="28"/>
      <c r="M218" s="28"/>
      <c r="N218" s="28"/>
      <c r="O218" s="28"/>
      <c r="P218" s="28"/>
      <c r="Q218" s="28"/>
      <c r="R218" s="28"/>
      <c r="S218" s="28"/>
      <c r="T218" s="28"/>
      <c r="U218" s="28"/>
      <c r="V218" s="28"/>
    </row>
    <row r="219" ht="13.5" customHeight="1">
      <c r="A219" s="28"/>
      <c r="B219" s="28"/>
      <c r="C219" s="28"/>
      <c r="D219" s="28"/>
      <c r="E219" s="28"/>
      <c r="F219" s="28"/>
      <c r="G219" s="28"/>
      <c r="H219" s="28"/>
      <c r="I219" s="28"/>
      <c r="J219" s="28"/>
      <c r="K219" s="28"/>
      <c r="L219" s="28"/>
      <c r="M219" s="28"/>
      <c r="N219" s="28"/>
      <c r="O219" s="28"/>
      <c r="P219" s="28"/>
      <c r="Q219" s="28"/>
      <c r="R219" s="28"/>
      <c r="S219" s="28"/>
      <c r="T219" s="28"/>
      <c r="U219" s="28"/>
      <c r="V219" s="28"/>
    </row>
    <row r="220" ht="13.5" customHeight="1">
      <c r="A220" s="28"/>
      <c r="B220" s="28"/>
      <c r="C220" s="28"/>
      <c r="D220" s="28"/>
      <c r="E220" s="28"/>
      <c r="F220" s="28"/>
      <c r="G220" s="28"/>
      <c r="H220" s="28"/>
      <c r="I220" s="28"/>
      <c r="J220" s="28"/>
      <c r="K220" s="28"/>
      <c r="L220" s="28"/>
      <c r="M220" s="28"/>
      <c r="N220" s="28"/>
      <c r="O220" s="28"/>
      <c r="P220" s="28"/>
      <c r="Q220" s="28"/>
      <c r="R220" s="28"/>
      <c r="S220" s="28"/>
      <c r="T220" s="28"/>
      <c r="U220" s="28"/>
      <c r="V220" s="28"/>
    </row>
    <row r="221" ht="13.5" customHeight="1">
      <c r="A221" s="28"/>
      <c r="B221" s="28"/>
      <c r="C221" s="28"/>
      <c r="D221" s="28"/>
      <c r="E221" s="28"/>
      <c r="F221" s="28"/>
      <c r="G221" s="28"/>
      <c r="H221" s="28"/>
      <c r="I221" s="28"/>
      <c r="J221" s="28"/>
      <c r="K221" s="28"/>
      <c r="L221" s="28"/>
      <c r="M221" s="28"/>
      <c r="N221" s="28"/>
      <c r="O221" s="28"/>
      <c r="P221" s="28"/>
      <c r="Q221" s="28"/>
      <c r="R221" s="28"/>
      <c r="S221" s="28"/>
      <c r="T221" s="28"/>
      <c r="U221" s="28"/>
      <c r="V221" s="28"/>
    </row>
    <row r="222" ht="13.5" customHeight="1">
      <c r="A222" s="28"/>
      <c r="B222" s="28"/>
      <c r="C222" s="28"/>
      <c r="D222" s="28"/>
      <c r="E222" s="28"/>
      <c r="F222" s="28"/>
      <c r="G222" s="28"/>
      <c r="H222" s="28"/>
      <c r="I222" s="28"/>
      <c r="J222" s="28"/>
      <c r="K222" s="28"/>
      <c r="L222" s="28"/>
      <c r="M222" s="28"/>
      <c r="N222" s="28"/>
      <c r="O222" s="28"/>
      <c r="P222" s="28"/>
      <c r="Q222" s="28"/>
      <c r="R222" s="28"/>
      <c r="S222" s="28"/>
      <c r="T222" s="28"/>
      <c r="U222" s="28"/>
      <c r="V222" s="28"/>
    </row>
    <row r="223" ht="13.5" customHeight="1">
      <c r="A223" s="28"/>
      <c r="B223" s="28"/>
      <c r="C223" s="28"/>
      <c r="D223" s="28"/>
      <c r="E223" s="28"/>
      <c r="F223" s="28"/>
      <c r="G223" s="28"/>
      <c r="H223" s="28"/>
      <c r="I223" s="28"/>
      <c r="J223" s="28"/>
      <c r="K223" s="28"/>
      <c r="L223" s="28"/>
      <c r="M223" s="28"/>
      <c r="N223" s="28"/>
      <c r="O223" s="28"/>
      <c r="P223" s="28"/>
      <c r="Q223" s="28"/>
      <c r="R223" s="28"/>
      <c r="S223" s="28"/>
      <c r="T223" s="28"/>
      <c r="U223" s="28"/>
      <c r="V223" s="28"/>
    </row>
    <row r="224" ht="13.5" customHeight="1">
      <c r="A224" s="28"/>
      <c r="B224" s="28"/>
      <c r="C224" s="28"/>
      <c r="D224" s="28"/>
      <c r="E224" s="28"/>
      <c r="F224" s="28"/>
      <c r="G224" s="28"/>
      <c r="H224" s="28"/>
      <c r="I224" s="28"/>
      <c r="J224" s="28"/>
      <c r="K224" s="28"/>
      <c r="L224" s="28"/>
      <c r="M224" s="28"/>
      <c r="N224" s="28"/>
      <c r="O224" s="28"/>
      <c r="P224" s="28"/>
      <c r="Q224" s="28"/>
      <c r="R224" s="28"/>
      <c r="S224" s="28"/>
      <c r="T224" s="28"/>
      <c r="U224" s="28"/>
      <c r="V224" s="28"/>
    </row>
    <row r="225" ht="13.5" customHeight="1">
      <c r="A225" s="28"/>
      <c r="B225" s="28"/>
      <c r="C225" s="28"/>
      <c r="D225" s="28"/>
      <c r="E225" s="28"/>
      <c r="F225" s="28"/>
      <c r="G225" s="28"/>
      <c r="H225" s="28"/>
      <c r="I225" s="28"/>
      <c r="J225" s="28"/>
      <c r="K225" s="28"/>
      <c r="L225" s="28"/>
      <c r="M225" s="28"/>
      <c r="N225" s="28"/>
      <c r="O225" s="28"/>
      <c r="P225" s="28"/>
      <c r="Q225" s="28"/>
      <c r="R225" s="28"/>
      <c r="S225" s="28"/>
      <c r="T225" s="28"/>
      <c r="U225" s="28"/>
      <c r="V225" s="28"/>
    </row>
    <row r="226" ht="13.5" customHeight="1">
      <c r="A226" s="28"/>
      <c r="B226" s="28"/>
      <c r="C226" s="28"/>
      <c r="D226" s="28"/>
      <c r="E226" s="28"/>
      <c r="F226" s="28"/>
      <c r="G226" s="28"/>
      <c r="H226" s="28"/>
      <c r="I226" s="28"/>
      <c r="J226" s="28"/>
      <c r="K226" s="28"/>
      <c r="L226" s="28"/>
      <c r="M226" s="28"/>
      <c r="N226" s="28"/>
      <c r="O226" s="28"/>
      <c r="P226" s="28"/>
      <c r="Q226" s="28"/>
      <c r="R226" s="28"/>
      <c r="S226" s="28"/>
      <c r="T226" s="28"/>
      <c r="U226" s="28"/>
      <c r="V226" s="28"/>
    </row>
    <row r="227" ht="13.5" customHeight="1">
      <c r="A227" s="28"/>
      <c r="B227" s="28"/>
      <c r="C227" s="28"/>
      <c r="D227" s="28"/>
      <c r="E227" s="28"/>
      <c r="F227" s="28"/>
      <c r="G227" s="28"/>
      <c r="H227" s="28"/>
      <c r="I227" s="28"/>
      <c r="J227" s="28"/>
      <c r="K227" s="28"/>
      <c r="L227" s="28"/>
      <c r="M227" s="28"/>
      <c r="N227" s="28"/>
      <c r="O227" s="28"/>
      <c r="P227" s="28"/>
      <c r="Q227" s="28"/>
      <c r="R227" s="28"/>
      <c r="S227" s="28"/>
      <c r="T227" s="28"/>
      <c r="U227" s="28"/>
      <c r="V227" s="28"/>
    </row>
    <row r="228" ht="13.5" customHeight="1">
      <c r="A228" s="28"/>
      <c r="B228" s="28"/>
      <c r="C228" s="28"/>
      <c r="D228" s="28"/>
      <c r="E228" s="28"/>
      <c r="F228" s="28"/>
      <c r="G228" s="28"/>
      <c r="H228" s="28"/>
      <c r="I228" s="28"/>
      <c r="J228" s="28"/>
      <c r="K228" s="28"/>
      <c r="L228" s="28"/>
      <c r="M228" s="28"/>
      <c r="N228" s="28"/>
      <c r="O228" s="28"/>
      <c r="P228" s="28"/>
      <c r="Q228" s="28"/>
      <c r="R228" s="28"/>
      <c r="S228" s="28"/>
      <c r="T228" s="28"/>
      <c r="U228" s="28"/>
      <c r="V228" s="28"/>
    </row>
    <row r="229" ht="13.5" customHeight="1">
      <c r="A229" s="28"/>
      <c r="B229" s="28"/>
      <c r="C229" s="28"/>
      <c r="D229" s="28"/>
      <c r="E229" s="28"/>
      <c r="F229" s="28"/>
      <c r="G229" s="28"/>
      <c r="H229" s="28"/>
      <c r="I229" s="28"/>
      <c r="J229" s="28"/>
      <c r="K229" s="28"/>
      <c r="L229" s="28"/>
      <c r="M229" s="28"/>
      <c r="N229" s="28"/>
      <c r="O229" s="28"/>
      <c r="P229" s="28"/>
      <c r="Q229" s="28"/>
      <c r="R229" s="28"/>
      <c r="S229" s="28"/>
      <c r="T229" s="28"/>
      <c r="U229" s="28"/>
      <c r="V229" s="28"/>
    </row>
    <row r="230" ht="13.5" customHeight="1">
      <c r="A230" s="28"/>
      <c r="B230" s="28"/>
      <c r="C230" s="28"/>
      <c r="D230" s="28"/>
      <c r="E230" s="28"/>
      <c r="F230" s="28"/>
      <c r="G230" s="28"/>
      <c r="H230" s="28"/>
      <c r="I230" s="28"/>
      <c r="J230" s="28"/>
      <c r="K230" s="28"/>
      <c r="L230" s="28"/>
      <c r="M230" s="28"/>
      <c r="N230" s="28"/>
      <c r="O230" s="28"/>
      <c r="P230" s="28"/>
      <c r="Q230" s="28"/>
      <c r="R230" s="28"/>
      <c r="S230" s="28"/>
      <c r="T230" s="28"/>
      <c r="U230" s="28"/>
      <c r="V230" s="28"/>
    </row>
    <row r="231" ht="13.5" customHeight="1">
      <c r="A231" s="28"/>
      <c r="B231" s="28"/>
      <c r="C231" s="28"/>
      <c r="D231" s="28"/>
      <c r="E231" s="28"/>
      <c r="F231" s="28"/>
      <c r="G231" s="28"/>
      <c r="H231" s="28"/>
      <c r="I231" s="28"/>
      <c r="J231" s="28"/>
      <c r="K231" s="28"/>
      <c r="L231" s="28"/>
      <c r="M231" s="28"/>
      <c r="N231" s="28"/>
      <c r="O231" s="28"/>
      <c r="P231" s="28"/>
      <c r="Q231" s="28"/>
      <c r="R231" s="28"/>
      <c r="S231" s="28"/>
      <c r="T231" s="28"/>
      <c r="U231" s="28"/>
      <c r="V231" s="28"/>
    </row>
    <row r="232" ht="13.5" customHeight="1">
      <c r="A232" s="28"/>
      <c r="B232" s="28"/>
      <c r="C232" s="28"/>
      <c r="D232" s="28"/>
      <c r="E232" s="28"/>
      <c r="F232" s="28"/>
      <c r="G232" s="28"/>
      <c r="H232" s="28"/>
      <c r="I232" s="28"/>
      <c r="J232" s="28"/>
      <c r="K232" s="28"/>
      <c r="L232" s="28"/>
      <c r="M232" s="28"/>
      <c r="N232" s="28"/>
      <c r="O232" s="28"/>
      <c r="P232" s="28"/>
      <c r="Q232" s="28"/>
      <c r="R232" s="28"/>
      <c r="S232" s="28"/>
      <c r="T232" s="28"/>
      <c r="U232" s="28"/>
      <c r="V232" s="28"/>
    </row>
    <row r="233" ht="13.5" customHeight="1">
      <c r="A233" s="28"/>
      <c r="B233" s="28"/>
      <c r="C233" s="28"/>
      <c r="D233" s="28"/>
      <c r="E233" s="28"/>
      <c r="F233" s="28"/>
      <c r="G233" s="28"/>
      <c r="H233" s="28"/>
      <c r="I233" s="28"/>
      <c r="J233" s="28"/>
      <c r="K233" s="28"/>
      <c r="L233" s="28"/>
      <c r="M233" s="28"/>
      <c r="N233" s="28"/>
      <c r="O233" s="28"/>
      <c r="P233" s="28"/>
      <c r="Q233" s="28"/>
      <c r="R233" s="28"/>
      <c r="S233" s="28"/>
      <c r="T233" s="28"/>
      <c r="U233" s="28"/>
      <c r="V233" s="28"/>
    </row>
    <row r="234" ht="13.5" customHeight="1">
      <c r="A234" s="28"/>
      <c r="B234" s="28"/>
      <c r="C234" s="28"/>
      <c r="D234" s="28"/>
      <c r="E234" s="28"/>
      <c r="F234" s="28"/>
      <c r="G234" s="28"/>
      <c r="H234" s="28"/>
      <c r="I234" s="28"/>
      <c r="J234" s="28"/>
      <c r="K234" s="28"/>
      <c r="L234" s="28"/>
      <c r="M234" s="28"/>
      <c r="N234" s="28"/>
      <c r="O234" s="28"/>
      <c r="P234" s="28"/>
      <c r="Q234" s="28"/>
      <c r="R234" s="28"/>
      <c r="S234" s="28"/>
      <c r="T234" s="28"/>
      <c r="U234" s="28"/>
      <c r="V234" s="28"/>
    </row>
    <row r="235" ht="13.5" customHeight="1">
      <c r="A235" s="28"/>
      <c r="B235" s="28"/>
      <c r="C235" s="28"/>
      <c r="D235" s="28"/>
      <c r="E235" s="28"/>
      <c r="F235" s="28"/>
      <c r="G235" s="28"/>
      <c r="H235" s="28"/>
      <c r="I235" s="28"/>
      <c r="J235" s="28"/>
      <c r="K235" s="28"/>
      <c r="L235" s="28"/>
      <c r="M235" s="28"/>
      <c r="N235" s="28"/>
      <c r="O235" s="28"/>
      <c r="P235" s="28"/>
      <c r="Q235" s="28"/>
      <c r="R235" s="28"/>
      <c r="S235" s="28"/>
      <c r="T235" s="28"/>
      <c r="U235" s="28"/>
      <c r="V235" s="28"/>
    </row>
    <row r="236" ht="13.5" customHeight="1">
      <c r="A236" s="28"/>
      <c r="B236" s="28"/>
      <c r="C236" s="28"/>
      <c r="D236" s="28"/>
      <c r="E236" s="28"/>
      <c r="F236" s="28"/>
      <c r="G236" s="28"/>
      <c r="H236" s="28"/>
      <c r="I236" s="28"/>
      <c r="J236" s="28"/>
      <c r="K236" s="28"/>
      <c r="L236" s="28"/>
      <c r="M236" s="28"/>
      <c r="N236" s="28"/>
      <c r="O236" s="28"/>
      <c r="P236" s="28"/>
      <c r="Q236" s="28"/>
      <c r="R236" s="28"/>
      <c r="S236" s="28"/>
      <c r="T236" s="28"/>
      <c r="U236" s="28"/>
      <c r="V236" s="28"/>
    </row>
    <row r="237" ht="13.5" customHeight="1">
      <c r="A237" s="28"/>
      <c r="B237" s="28"/>
      <c r="C237" s="28"/>
      <c r="D237" s="28"/>
      <c r="E237" s="28"/>
      <c r="F237" s="28"/>
      <c r="G237" s="28"/>
      <c r="H237" s="28"/>
      <c r="I237" s="28"/>
      <c r="J237" s="28"/>
      <c r="K237" s="28"/>
      <c r="L237" s="28"/>
      <c r="M237" s="28"/>
      <c r="N237" s="28"/>
      <c r="O237" s="28"/>
      <c r="P237" s="28"/>
      <c r="Q237" s="28"/>
      <c r="R237" s="28"/>
      <c r="S237" s="28"/>
      <c r="T237" s="28"/>
      <c r="U237" s="28"/>
      <c r="V237" s="28"/>
    </row>
    <row r="238" ht="13.5" customHeight="1">
      <c r="A238" s="28"/>
      <c r="B238" s="28"/>
      <c r="C238" s="28"/>
      <c r="D238" s="28"/>
      <c r="E238" s="28"/>
      <c r="F238" s="28"/>
      <c r="G238" s="28"/>
      <c r="H238" s="28"/>
      <c r="I238" s="28"/>
      <c r="J238" s="28"/>
      <c r="K238" s="28"/>
      <c r="L238" s="28"/>
      <c r="M238" s="28"/>
      <c r="N238" s="28"/>
      <c r="O238" s="28"/>
      <c r="P238" s="28"/>
      <c r="Q238" s="28"/>
      <c r="R238" s="28"/>
      <c r="S238" s="28"/>
      <c r="T238" s="28"/>
      <c r="U238" s="28"/>
      <c r="V238" s="28"/>
    </row>
    <row r="239" ht="13.5" customHeight="1">
      <c r="A239" s="28"/>
      <c r="B239" s="28"/>
      <c r="C239" s="28"/>
      <c r="D239" s="28"/>
      <c r="E239" s="28"/>
      <c r="F239" s="28"/>
      <c r="G239" s="28"/>
      <c r="H239" s="28"/>
      <c r="I239" s="28"/>
      <c r="J239" s="28"/>
      <c r="K239" s="28"/>
      <c r="L239" s="28"/>
      <c r="M239" s="28"/>
      <c r="N239" s="28"/>
      <c r="O239" s="28"/>
      <c r="P239" s="28"/>
      <c r="Q239" s="28"/>
      <c r="R239" s="28"/>
      <c r="S239" s="28"/>
      <c r="T239" s="28"/>
      <c r="U239" s="28"/>
      <c r="V239" s="28"/>
    </row>
    <row r="240" ht="13.5" customHeight="1">
      <c r="A240" s="28"/>
      <c r="B240" s="28"/>
      <c r="C240" s="28"/>
      <c r="D240" s="28"/>
      <c r="E240" s="28"/>
      <c r="F240" s="28"/>
      <c r="G240" s="28"/>
      <c r="H240" s="28"/>
      <c r="I240" s="28"/>
      <c r="J240" s="28"/>
      <c r="K240" s="28"/>
      <c r="L240" s="28"/>
      <c r="M240" s="28"/>
      <c r="N240" s="28"/>
      <c r="O240" s="28"/>
      <c r="P240" s="28"/>
      <c r="Q240" s="28"/>
      <c r="R240" s="28"/>
      <c r="S240" s="28"/>
      <c r="T240" s="28"/>
      <c r="U240" s="28"/>
      <c r="V240" s="28"/>
    </row>
    <row r="241" ht="13.5" customHeight="1">
      <c r="A241" s="28"/>
      <c r="B241" s="28"/>
      <c r="C241" s="28"/>
      <c r="D241" s="28"/>
      <c r="E241" s="28"/>
      <c r="F241" s="28"/>
      <c r="G241" s="28"/>
      <c r="H241" s="28"/>
      <c r="I241" s="28"/>
      <c r="J241" s="28"/>
      <c r="K241" s="28"/>
      <c r="L241" s="28"/>
      <c r="M241" s="28"/>
      <c r="N241" s="28"/>
      <c r="O241" s="28"/>
      <c r="P241" s="28"/>
      <c r="Q241" s="28"/>
      <c r="R241" s="28"/>
      <c r="S241" s="28"/>
      <c r="T241" s="28"/>
      <c r="U241" s="28"/>
      <c r="V241" s="28"/>
    </row>
    <row r="242" ht="13.5" customHeight="1">
      <c r="A242" s="28"/>
      <c r="B242" s="28"/>
      <c r="C242" s="28"/>
      <c r="D242" s="28"/>
      <c r="E242" s="28"/>
      <c r="F242" s="28"/>
      <c r="G242" s="28"/>
      <c r="H242" s="28"/>
      <c r="I242" s="28"/>
      <c r="J242" s="28"/>
      <c r="K242" s="28"/>
      <c r="L242" s="28"/>
      <c r="M242" s="28"/>
      <c r="N242" s="28"/>
      <c r="O242" s="28"/>
      <c r="P242" s="28"/>
      <c r="Q242" s="28"/>
      <c r="R242" s="28"/>
      <c r="S242" s="28"/>
      <c r="T242" s="28"/>
      <c r="U242" s="28"/>
      <c r="V242" s="28"/>
    </row>
    <row r="243" ht="13.5" customHeight="1">
      <c r="A243" s="28"/>
      <c r="B243" s="28"/>
      <c r="C243" s="28"/>
      <c r="D243" s="28"/>
      <c r="E243" s="28"/>
      <c r="F243" s="28"/>
      <c r="G243" s="28"/>
      <c r="H243" s="28"/>
      <c r="I243" s="28"/>
      <c r="J243" s="28"/>
      <c r="K243" s="28"/>
      <c r="L243" s="28"/>
      <c r="M243" s="28"/>
      <c r="N243" s="28"/>
      <c r="O243" s="28"/>
      <c r="P243" s="28"/>
      <c r="Q243" s="28"/>
      <c r="R243" s="28"/>
      <c r="S243" s="28"/>
      <c r="T243" s="28"/>
      <c r="U243" s="28"/>
      <c r="V243" s="28"/>
    </row>
    <row r="244" ht="13.5" customHeight="1">
      <c r="A244" s="28"/>
      <c r="B244" s="28"/>
      <c r="C244" s="28"/>
      <c r="D244" s="28"/>
      <c r="E244" s="28"/>
      <c r="F244" s="28"/>
      <c r="G244" s="28"/>
      <c r="H244" s="28"/>
      <c r="I244" s="28"/>
      <c r="J244" s="28"/>
      <c r="K244" s="28"/>
      <c r="L244" s="28"/>
      <c r="M244" s="28"/>
      <c r="N244" s="28"/>
      <c r="O244" s="28"/>
      <c r="P244" s="28"/>
      <c r="Q244" s="28"/>
      <c r="R244" s="28"/>
      <c r="S244" s="28"/>
      <c r="T244" s="28"/>
      <c r="U244" s="28"/>
      <c r="V244" s="28"/>
    </row>
    <row r="245" ht="13.5" customHeight="1">
      <c r="A245" s="28"/>
      <c r="B245" s="28"/>
      <c r="C245" s="28"/>
      <c r="D245" s="28"/>
      <c r="E245" s="28"/>
      <c r="F245" s="28"/>
      <c r="G245" s="28"/>
      <c r="H245" s="28"/>
      <c r="I245" s="28"/>
      <c r="J245" s="28"/>
      <c r="K245" s="28"/>
      <c r="L245" s="28"/>
      <c r="M245" s="28"/>
      <c r="N245" s="28"/>
      <c r="O245" s="28"/>
      <c r="P245" s="28"/>
      <c r="Q245" s="28"/>
      <c r="R245" s="28"/>
      <c r="S245" s="28"/>
      <c r="T245" s="28"/>
      <c r="U245" s="28"/>
      <c r="V245" s="28"/>
    </row>
    <row r="246" ht="13.5" customHeight="1">
      <c r="A246" s="28"/>
      <c r="B246" s="28"/>
      <c r="C246" s="28"/>
      <c r="D246" s="28"/>
      <c r="E246" s="28"/>
      <c r="F246" s="28"/>
      <c r="G246" s="28"/>
      <c r="H246" s="28"/>
      <c r="I246" s="28"/>
      <c r="J246" s="28"/>
      <c r="K246" s="28"/>
      <c r="L246" s="28"/>
      <c r="M246" s="28"/>
      <c r="N246" s="28"/>
      <c r="O246" s="28"/>
      <c r="P246" s="28"/>
      <c r="Q246" s="28"/>
      <c r="R246" s="28"/>
      <c r="S246" s="28"/>
      <c r="T246" s="28"/>
      <c r="U246" s="28"/>
      <c r="V246" s="28"/>
    </row>
    <row r="247" ht="13.5" customHeight="1">
      <c r="A247" s="28"/>
      <c r="B247" s="28"/>
      <c r="C247" s="28"/>
      <c r="D247" s="28"/>
      <c r="E247" s="28"/>
      <c r="F247" s="28"/>
      <c r="G247" s="28"/>
      <c r="H247" s="28"/>
      <c r="I247" s="28"/>
      <c r="J247" s="28"/>
      <c r="K247" s="28"/>
      <c r="L247" s="28"/>
      <c r="M247" s="28"/>
      <c r="N247" s="28"/>
      <c r="O247" s="28"/>
      <c r="P247" s="28"/>
      <c r="Q247" s="28"/>
      <c r="R247" s="28"/>
      <c r="S247" s="28"/>
      <c r="T247" s="28"/>
      <c r="U247" s="28"/>
      <c r="V247" s="28"/>
    </row>
    <row r="248" ht="13.5" customHeight="1">
      <c r="A248" s="28"/>
      <c r="B248" s="28"/>
      <c r="C248" s="28"/>
      <c r="D248" s="28"/>
      <c r="E248" s="28"/>
      <c r="F248" s="28"/>
      <c r="G248" s="28"/>
      <c r="H248" s="28"/>
      <c r="I248" s="28"/>
      <c r="J248" s="28"/>
      <c r="K248" s="28"/>
      <c r="L248" s="28"/>
      <c r="M248" s="28"/>
      <c r="N248" s="28"/>
      <c r="O248" s="28"/>
      <c r="P248" s="28"/>
      <c r="Q248" s="28"/>
      <c r="R248" s="28"/>
      <c r="S248" s="28"/>
      <c r="T248" s="28"/>
      <c r="U248" s="28"/>
      <c r="V248" s="28"/>
    </row>
    <row r="249" ht="13.5" customHeight="1">
      <c r="A249" s="28"/>
      <c r="B249" s="28"/>
      <c r="C249" s="28"/>
      <c r="D249" s="28"/>
      <c r="E249" s="28"/>
      <c r="F249" s="28"/>
      <c r="G249" s="28"/>
      <c r="H249" s="28"/>
      <c r="I249" s="28"/>
      <c r="J249" s="28"/>
      <c r="K249" s="28"/>
      <c r="L249" s="28"/>
      <c r="M249" s="28"/>
      <c r="N249" s="28"/>
      <c r="O249" s="28"/>
      <c r="P249" s="28"/>
      <c r="Q249" s="28"/>
      <c r="R249" s="28"/>
      <c r="S249" s="28"/>
      <c r="T249" s="28"/>
      <c r="U249" s="28"/>
      <c r="V249" s="28"/>
    </row>
    <row r="250" ht="13.5" customHeight="1">
      <c r="A250" s="28"/>
      <c r="B250" s="28"/>
      <c r="C250" s="28"/>
      <c r="D250" s="28"/>
      <c r="E250" s="28"/>
      <c r="F250" s="28"/>
      <c r="G250" s="28"/>
      <c r="H250" s="28"/>
      <c r="I250" s="28"/>
      <c r="J250" s="28"/>
      <c r="K250" s="28"/>
      <c r="L250" s="28"/>
      <c r="M250" s="28"/>
      <c r="N250" s="28"/>
      <c r="O250" s="28"/>
      <c r="P250" s="28"/>
      <c r="Q250" s="28"/>
      <c r="R250" s="28"/>
      <c r="S250" s="28"/>
      <c r="T250" s="28"/>
      <c r="U250" s="28"/>
      <c r="V250" s="28"/>
    </row>
    <row r="251" ht="13.5" customHeight="1">
      <c r="A251" s="28"/>
      <c r="B251" s="28"/>
      <c r="C251" s="28"/>
      <c r="D251" s="28"/>
      <c r="E251" s="28"/>
      <c r="F251" s="28"/>
      <c r="G251" s="28"/>
      <c r="H251" s="28"/>
      <c r="I251" s="28"/>
      <c r="J251" s="28"/>
      <c r="K251" s="28"/>
      <c r="L251" s="28"/>
      <c r="M251" s="28"/>
      <c r="N251" s="28"/>
      <c r="O251" s="28"/>
      <c r="P251" s="28"/>
      <c r="Q251" s="28"/>
      <c r="R251" s="28"/>
      <c r="S251" s="28"/>
      <c r="T251" s="28"/>
      <c r="U251" s="28"/>
      <c r="V251" s="28"/>
    </row>
    <row r="252" ht="13.5" customHeight="1">
      <c r="A252" s="28"/>
      <c r="B252" s="28"/>
      <c r="C252" s="28"/>
      <c r="D252" s="28"/>
      <c r="E252" s="28"/>
      <c r="F252" s="28"/>
      <c r="G252" s="28"/>
      <c r="H252" s="28"/>
      <c r="I252" s="28"/>
      <c r="J252" s="28"/>
      <c r="K252" s="28"/>
      <c r="L252" s="28"/>
      <c r="M252" s="28"/>
      <c r="N252" s="28"/>
      <c r="O252" s="28"/>
      <c r="P252" s="28"/>
      <c r="Q252" s="28"/>
      <c r="R252" s="28"/>
      <c r="S252" s="28"/>
      <c r="T252" s="28"/>
      <c r="U252" s="28"/>
      <c r="V252" s="28"/>
    </row>
    <row r="253" ht="13.5" customHeight="1">
      <c r="A253" s="28"/>
      <c r="B253" s="28"/>
      <c r="C253" s="28"/>
      <c r="D253" s="28"/>
      <c r="E253" s="28"/>
      <c r="F253" s="28"/>
      <c r="G253" s="28"/>
      <c r="H253" s="28"/>
      <c r="I253" s="28"/>
      <c r="J253" s="28"/>
      <c r="K253" s="28"/>
      <c r="L253" s="28"/>
      <c r="M253" s="28"/>
      <c r="N253" s="28"/>
      <c r="O253" s="28"/>
      <c r="P253" s="28"/>
      <c r="Q253" s="28"/>
      <c r="R253" s="28"/>
      <c r="S253" s="28"/>
      <c r="T253" s="28"/>
      <c r="U253" s="28"/>
      <c r="V253" s="28"/>
    </row>
    <row r="254" ht="13.5" customHeight="1">
      <c r="A254" s="28"/>
      <c r="B254" s="28"/>
      <c r="C254" s="28"/>
      <c r="D254" s="28"/>
      <c r="E254" s="28"/>
      <c r="F254" s="28"/>
      <c r="G254" s="28"/>
      <c r="H254" s="28"/>
      <c r="I254" s="28"/>
      <c r="J254" s="28"/>
      <c r="K254" s="28"/>
      <c r="L254" s="28"/>
      <c r="M254" s="28"/>
      <c r="N254" s="28"/>
      <c r="O254" s="28"/>
      <c r="P254" s="28"/>
      <c r="Q254" s="28"/>
      <c r="R254" s="28"/>
      <c r="S254" s="28"/>
      <c r="T254" s="28"/>
      <c r="U254" s="28"/>
      <c r="V254" s="28"/>
    </row>
    <row r="255" ht="13.5" customHeight="1">
      <c r="A255" s="28"/>
      <c r="B255" s="28"/>
      <c r="C255" s="28"/>
      <c r="D255" s="28"/>
      <c r="E255" s="28"/>
      <c r="F255" s="28"/>
      <c r="G255" s="28"/>
      <c r="H255" s="28"/>
      <c r="I255" s="28"/>
      <c r="J255" s="28"/>
      <c r="K255" s="28"/>
      <c r="L255" s="28"/>
      <c r="M255" s="28"/>
      <c r="N255" s="28"/>
      <c r="O255" s="28"/>
      <c r="P255" s="28"/>
      <c r="Q255" s="28"/>
      <c r="R255" s="28"/>
      <c r="S255" s="28"/>
      <c r="T255" s="28"/>
      <c r="U255" s="28"/>
      <c r="V255" s="28"/>
    </row>
    <row r="256" ht="13.5" customHeight="1">
      <c r="A256" s="28"/>
      <c r="B256" s="28"/>
      <c r="C256" s="28"/>
      <c r="D256" s="28"/>
      <c r="E256" s="28"/>
      <c r="F256" s="28"/>
      <c r="G256" s="28"/>
      <c r="H256" s="28"/>
      <c r="I256" s="28"/>
      <c r="J256" s="28"/>
      <c r="K256" s="28"/>
      <c r="L256" s="28"/>
      <c r="M256" s="28"/>
      <c r="N256" s="28"/>
      <c r="O256" s="28"/>
      <c r="P256" s="28"/>
      <c r="Q256" s="28"/>
      <c r="R256" s="28"/>
      <c r="S256" s="28"/>
      <c r="T256" s="28"/>
      <c r="U256" s="28"/>
      <c r="V256" s="28"/>
    </row>
    <row r="257" ht="13.5" customHeight="1">
      <c r="A257" s="28"/>
      <c r="B257" s="28"/>
      <c r="C257" s="28"/>
      <c r="D257" s="28"/>
      <c r="E257" s="28"/>
      <c r="F257" s="28"/>
      <c r="G257" s="28"/>
      <c r="H257" s="28"/>
      <c r="I257" s="28"/>
      <c r="J257" s="28"/>
      <c r="K257" s="28"/>
      <c r="L257" s="28"/>
      <c r="M257" s="28"/>
      <c r="N257" s="28"/>
      <c r="O257" s="28"/>
      <c r="P257" s="28"/>
      <c r="Q257" s="28"/>
      <c r="R257" s="28"/>
      <c r="S257" s="28"/>
      <c r="T257" s="28"/>
      <c r="U257" s="28"/>
      <c r="V257" s="28"/>
    </row>
    <row r="258" ht="13.5" customHeight="1">
      <c r="A258" s="28"/>
      <c r="B258" s="28"/>
      <c r="C258" s="28"/>
      <c r="D258" s="28"/>
      <c r="E258" s="28"/>
      <c r="F258" s="28"/>
      <c r="G258" s="28"/>
      <c r="H258" s="28"/>
      <c r="I258" s="28"/>
      <c r="J258" s="28"/>
      <c r="K258" s="28"/>
      <c r="L258" s="28"/>
      <c r="M258" s="28"/>
      <c r="N258" s="28"/>
      <c r="O258" s="28"/>
      <c r="P258" s="28"/>
      <c r="Q258" s="28"/>
      <c r="R258" s="28"/>
      <c r="S258" s="28"/>
      <c r="T258" s="28"/>
      <c r="U258" s="28"/>
      <c r="V258" s="28"/>
    </row>
    <row r="259" ht="13.5" customHeight="1">
      <c r="A259" s="28"/>
      <c r="B259" s="28"/>
      <c r="C259" s="28"/>
      <c r="D259" s="28"/>
      <c r="E259" s="28"/>
      <c r="F259" s="28"/>
      <c r="G259" s="28"/>
      <c r="H259" s="28"/>
      <c r="I259" s="28"/>
      <c r="J259" s="28"/>
      <c r="K259" s="28"/>
      <c r="L259" s="28"/>
      <c r="M259" s="28"/>
      <c r="N259" s="28"/>
      <c r="O259" s="28"/>
      <c r="P259" s="28"/>
      <c r="Q259" s="28"/>
      <c r="R259" s="28"/>
      <c r="S259" s="28"/>
      <c r="T259" s="28"/>
      <c r="U259" s="28"/>
      <c r="V259" s="28"/>
    </row>
    <row r="260" ht="13.5" customHeight="1">
      <c r="A260" s="28"/>
      <c r="B260" s="28"/>
      <c r="C260" s="28"/>
      <c r="D260" s="28"/>
      <c r="E260" s="28"/>
      <c r="F260" s="28"/>
      <c r="G260" s="28"/>
      <c r="H260" s="28"/>
      <c r="I260" s="28"/>
      <c r="J260" s="28"/>
      <c r="K260" s="28"/>
      <c r="L260" s="28"/>
      <c r="M260" s="28"/>
      <c r="N260" s="28"/>
      <c r="O260" s="28"/>
      <c r="P260" s="28"/>
      <c r="Q260" s="28"/>
      <c r="R260" s="28"/>
      <c r="S260" s="28"/>
      <c r="T260" s="28"/>
      <c r="U260" s="28"/>
      <c r="V260" s="28"/>
    </row>
    <row r="261" ht="13.5" customHeight="1">
      <c r="A261" s="28"/>
      <c r="B261" s="28"/>
      <c r="C261" s="28"/>
      <c r="D261" s="28"/>
      <c r="E261" s="28"/>
      <c r="F261" s="28"/>
      <c r="G261" s="28"/>
      <c r="H261" s="28"/>
      <c r="I261" s="28"/>
      <c r="J261" s="28"/>
      <c r="K261" s="28"/>
      <c r="L261" s="28"/>
      <c r="M261" s="28"/>
      <c r="N261" s="28"/>
      <c r="O261" s="28"/>
      <c r="P261" s="28"/>
      <c r="Q261" s="28"/>
      <c r="R261" s="28"/>
      <c r="S261" s="28"/>
      <c r="T261" s="28"/>
      <c r="U261" s="28"/>
      <c r="V261" s="28"/>
    </row>
    <row r="262" ht="13.5" customHeight="1">
      <c r="A262" s="28"/>
      <c r="B262" s="28"/>
      <c r="C262" s="28"/>
      <c r="D262" s="28"/>
      <c r="E262" s="28"/>
      <c r="F262" s="28"/>
      <c r="G262" s="28"/>
      <c r="H262" s="28"/>
      <c r="I262" s="28"/>
      <c r="J262" s="28"/>
      <c r="K262" s="28"/>
      <c r="L262" s="28"/>
      <c r="M262" s="28"/>
      <c r="N262" s="28"/>
      <c r="O262" s="28"/>
      <c r="P262" s="28"/>
      <c r="Q262" s="28"/>
      <c r="R262" s="28"/>
      <c r="S262" s="28"/>
      <c r="T262" s="28"/>
      <c r="U262" s="28"/>
      <c r="V262" s="28"/>
    </row>
    <row r="263" ht="13.5" customHeight="1">
      <c r="A263" s="28"/>
      <c r="B263" s="28"/>
      <c r="C263" s="28"/>
      <c r="D263" s="28"/>
      <c r="E263" s="28"/>
      <c r="F263" s="28"/>
      <c r="G263" s="28"/>
      <c r="H263" s="28"/>
      <c r="I263" s="28"/>
      <c r="J263" s="28"/>
      <c r="K263" s="28"/>
      <c r="L263" s="28"/>
      <c r="M263" s="28"/>
      <c r="N263" s="28"/>
      <c r="O263" s="28"/>
      <c r="P263" s="28"/>
      <c r="Q263" s="28"/>
      <c r="R263" s="28"/>
      <c r="S263" s="28"/>
      <c r="T263" s="28"/>
      <c r="U263" s="28"/>
      <c r="V263" s="28"/>
    </row>
    <row r="264" ht="13.5" customHeight="1">
      <c r="A264" s="28"/>
      <c r="B264" s="28"/>
      <c r="C264" s="28"/>
      <c r="D264" s="28"/>
      <c r="E264" s="28"/>
      <c r="F264" s="28"/>
      <c r="G264" s="28"/>
      <c r="H264" s="28"/>
      <c r="I264" s="28"/>
      <c r="J264" s="28"/>
      <c r="K264" s="28"/>
      <c r="L264" s="28"/>
      <c r="M264" s="28"/>
      <c r="N264" s="28"/>
      <c r="O264" s="28"/>
      <c r="P264" s="28"/>
      <c r="Q264" s="28"/>
      <c r="R264" s="28"/>
      <c r="S264" s="28"/>
      <c r="T264" s="28"/>
      <c r="U264" s="28"/>
      <c r="V264" s="28"/>
    </row>
    <row r="265" ht="13.5" customHeight="1">
      <c r="A265" s="28"/>
      <c r="B265" s="28"/>
      <c r="C265" s="28"/>
      <c r="D265" s="28"/>
      <c r="E265" s="28"/>
      <c r="F265" s="28"/>
      <c r="G265" s="28"/>
      <c r="H265" s="28"/>
      <c r="I265" s="28"/>
      <c r="J265" s="28"/>
      <c r="K265" s="28"/>
      <c r="L265" s="28"/>
      <c r="M265" s="28"/>
      <c r="N265" s="28"/>
      <c r="O265" s="28"/>
      <c r="P265" s="28"/>
      <c r="Q265" s="28"/>
      <c r="R265" s="28"/>
      <c r="S265" s="28"/>
      <c r="T265" s="28"/>
      <c r="U265" s="28"/>
      <c r="V265" s="28"/>
    </row>
    <row r="266" ht="13.5" customHeight="1">
      <c r="A266" s="28"/>
      <c r="B266" s="28"/>
      <c r="C266" s="28"/>
      <c r="D266" s="28"/>
      <c r="E266" s="28"/>
      <c r="F266" s="28"/>
      <c r="G266" s="28"/>
      <c r="H266" s="28"/>
      <c r="I266" s="28"/>
      <c r="J266" s="28"/>
      <c r="K266" s="28"/>
      <c r="L266" s="28"/>
      <c r="M266" s="28"/>
      <c r="N266" s="28"/>
      <c r="O266" s="28"/>
      <c r="P266" s="28"/>
      <c r="Q266" s="28"/>
      <c r="R266" s="28"/>
      <c r="S266" s="28"/>
      <c r="T266" s="28"/>
      <c r="U266" s="28"/>
      <c r="V266" s="28"/>
    </row>
    <row r="267" ht="13.5" customHeight="1">
      <c r="A267" s="28"/>
      <c r="B267" s="28"/>
      <c r="C267" s="28"/>
      <c r="D267" s="28"/>
      <c r="E267" s="28"/>
      <c r="F267" s="28"/>
      <c r="G267" s="28"/>
      <c r="H267" s="28"/>
      <c r="I267" s="28"/>
      <c r="J267" s="28"/>
      <c r="K267" s="28"/>
      <c r="L267" s="28"/>
      <c r="M267" s="28"/>
      <c r="N267" s="28"/>
      <c r="O267" s="28"/>
      <c r="P267" s="28"/>
      <c r="Q267" s="28"/>
      <c r="R267" s="28"/>
      <c r="S267" s="28"/>
      <c r="T267" s="28"/>
      <c r="U267" s="28"/>
      <c r="V267" s="28"/>
    </row>
    <row r="268" ht="13.5" customHeight="1">
      <c r="A268" s="28"/>
      <c r="B268" s="28"/>
      <c r="C268" s="28"/>
      <c r="D268" s="28"/>
      <c r="E268" s="28"/>
      <c r="F268" s="28"/>
      <c r="G268" s="28"/>
      <c r="H268" s="28"/>
      <c r="I268" s="28"/>
      <c r="J268" s="28"/>
      <c r="K268" s="28"/>
      <c r="L268" s="28"/>
      <c r="M268" s="28"/>
      <c r="N268" s="28"/>
      <c r="O268" s="28"/>
      <c r="P268" s="28"/>
      <c r="Q268" s="28"/>
      <c r="R268" s="28"/>
      <c r="S268" s="28"/>
      <c r="T268" s="28"/>
      <c r="U268" s="28"/>
      <c r="V268" s="28"/>
    </row>
    <row r="269" ht="13.5" customHeight="1">
      <c r="A269" s="28"/>
      <c r="B269" s="28"/>
      <c r="C269" s="28"/>
      <c r="D269" s="28"/>
      <c r="E269" s="28"/>
      <c r="F269" s="28"/>
      <c r="G269" s="28"/>
      <c r="H269" s="28"/>
      <c r="I269" s="28"/>
      <c r="J269" s="28"/>
      <c r="K269" s="28"/>
      <c r="L269" s="28"/>
      <c r="M269" s="28"/>
      <c r="N269" s="28"/>
      <c r="O269" s="28"/>
      <c r="P269" s="28"/>
      <c r="Q269" s="28"/>
      <c r="R269" s="28"/>
      <c r="S269" s="28"/>
      <c r="T269" s="28"/>
      <c r="U269" s="28"/>
      <c r="V269" s="28"/>
    </row>
    <row r="270" ht="13.5" customHeight="1">
      <c r="A270" s="28"/>
      <c r="B270" s="28"/>
      <c r="C270" s="28"/>
      <c r="D270" s="28"/>
      <c r="E270" s="28"/>
      <c r="F270" s="28"/>
      <c r="G270" s="28"/>
      <c r="H270" s="28"/>
      <c r="I270" s="28"/>
      <c r="J270" s="28"/>
      <c r="K270" s="28"/>
      <c r="L270" s="28"/>
      <c r="M270" s="28"/>
      <c r="N270" s="28"/>
      <c r="O270" s="28"/>
      <c r="P270" s="28"/>
      <c r="Q270" s="28"/>
      <c r="R270" s="28"/>
      <c r="S270" s="28"/>
      <c r="T270" s="28"/>
      <c r="U270" s="28"/>
      <c r="V270" s="28"/>
    </row>
    <row r="271" ht="13.5" customHeight="1">
      <c r="A271" s="28"/>
      <c r="B271" s="28"/>
      <c r="C271" s="28"/>
      <c r="D271" s="28"/>
      <c r="E271" s="28"/>
      <c r="F271" s="28"/>
      <c r="G271" s="28"/>
      <c r="H271" s="28"/>
      <c r="I271" s="28"/>
      <c r="J271" s="28"/>
      <c r="K271" s="28"/>
      <c r="L271" s="28"/>
      <c r="M271" s="28"/>
      <c r="N271" s="28"/>
      <c r="O271" s="28"/>
      <c r="P271" s="28"/>
      <c r="Q271" s="28"/>
      <c r="R271" s="28"/>
      <c r="S271" s="28"/>
      <c r="T271" s="28"/>
      <c r="U271" s="28"/>
      <c r="V271" s="28"/>
    </row>
    <row r="272" ht="13.5" customHeight="1">
      <c r="A272" s="28"/>
      <c r="B272" s="28"/>
      <c r="C272" s="28"/>
      <c r="D272" s="28"/>
      <c r="E272" s="28"/>
      <c r="F272" s="28"/>
      <c r="G272" s="28"/>
      <c r="H272" s="28"/>
      <c r="I272" s="28"/>
      <c r="J272" s="28"/>
      <c r="K272" s="28"/>
      <c r="L272" s="28"/>
      <c r="M272" s="28"/>
      <c r="N272" s="28"/>
      <c r="O272" s="28"/>
      <c r="P272" s="28"/>
      <c r="Q272" s="28"/>
      <c r="R272" s="28"/>
      <c r="S272" s="28"/>
      <c r="T272" s="28"/>
      <c r="U272" s="28"/>
      <c r="V272" s="28"/>
    </row>
    <row r="273" ht="13.5" customHeight="1">
      <c r="A273" s="28"/>
      <c r="B273" s="28"/>
      <c r="C273" s="28"/>
      <c r="D273" s="28"/>
      <c r="E273" s="28"/>
      <c r="F273" s="28"/>
      <c r="G273" s="28"/>
      <c r="H273" s="28"/>
      <c r="I273" s="28"/>
      <c r="J273" s="28"/>
      <c r="K273" s="28"/>
      <c r="L273" s="28"/>
      <c r="M273" s="28"/>
      <c r="N273" s="28"/>
      <c r="O273" s="28"/>
      <c r="P273" s="28"/>
      <c r="Q273" s="28"/>
      <c r="R273" s="28"/>
      <c r="S273" s="28"/>
      <c r="T273" s="28"/>
      <c r="U273" s="28"/>
      <c r="V273" s="28"/>
    </row>
    <row r="274" ht="13.5" customHeight="1">
      <c r="A274" s="28"/>
      <c r="B274" s="28"/>
      <c r="C274" s="28"/>
      <c r="D274" s="28"/>
      <c r="E274" s="28"/>
      <c r="F274" s="28"/>
      <c r="G274" s="28"/>
      <c r="H274" s="28"/>
      <c r="I274" s="28"/>
      <c r="J274" s="28"/>
      <c r="K274" s="28"/>
      <c r="L274" s="28"/>
      <c r="M274" s="28"/>
      <c r="N274" s="28"/>
      <c r="O274" s="28"/>
      <c r="P274" s="28"/>
      <c r="Q274" s="28"/>
      <c r="R274" s="28"/>
      <c r="S274" s="28"/>
      <c r="T274" s="28"/>
      <c r="U274" s="28"/>
      <c r="V274" s="28"/>
    </row>
    <row r="275" ht="13.5" customHeight="1">
      <c r="A275" s="28"/>
      <c r="B275" s="28"/>
      <c r="C275" s="28"/>
      <c r="D275" s="28"/>
      <c r="E275" s="28"/>
      <c r="F275" s="28"/>
      <c r="G275" s="28"/>
      <c r="H275" s="28"/>
      <c r="I275" s="28"/>
      <c r="J275" s="28"/>
      <c r="K275" s="28"/>
      <c r="L275" s="28"/>
      <c r="M275" s="28"/>
      <c r="N275" s="28"/>
      <c r="O275" s="28"/>
      <c r="P275" s="28"/>
      <c r="Q275" s="28"/>
      <c r="R275" s="28"/>
      <c r="S275" s="28"/>
      <c r="T275" s="28"/>
      <c r="U275" s="28"/>
      <c r="V275" s="28"/>
    </row>
    <row r="276" ht="13.5" customHeight="1">
      <c r="A276" s="28"/>
      <c r="B276" s="28"/>
      <c r="C276" s="28"/>
      <c r="D276" s="28"/>
      <c r="E276" s="28"/>
      <c r="F276" s="28"/>
      <c r="G276" s="28"/>
      <c r="H276" s="28"/>
      <c r="I276" s="28"/>
      <c r="J276" s="28"/>
      <c r="K276" s="28"/>
      <c r="L276" s="28"/>
      <c r="M276" s="28"/>
      <c r="N276" s="28"/>
      <c r="O276" s="28"/>
      <c r="P276" s="28"/>
      <c r="Q276" s="28"/>
      <c r="R276" s="28"/>
      <c r="S276" s="28"/>
      <c r="T276" s="28"/>
      <c r="U276" s="28"/>
      <c r="V276" s="28"/>
    </row>
    <row r="277" ht="13.5" customHeight="1">
      <c r="A277" s="28"/>
      <c r="B277" s="28"/>
      <c r="C277" s="28"/>
      <c r="D277" s="28"/>
      <c r="E277" s="28"/>
      <c r="F277" s="28"/>
      <c r="G277" s="28"/>
      <c r="H277" s="28"/>
      <c r="I277" s="28"/>
      <c r="J277" s="28"/>
      <c r="K277" s="28"/>
      <c r="L277" s="28"/>
      <c r="M277" s="28"/>
      <c r="N277" s="28"/>
      <c r="O277" s="28"/>
      <c r="P277" s="28"/>
      <c r="Q277" s="28"/>
      <c r="R277" s="28"/>
      <c r="S277" s="28"/>
      <c r="T277" s="28"/>
      <c r="U277" s="28"/>
      <c r="V277" s="28"/>
    </row>
    <row r="278" ht="13.5" customHeight="1">
      <c r="A278" s="28"/>
      <c r="B278" s="28"/>
      <c r="C278" s="28"/>
      <c r="D278" s="28"/>
      <c r="E278" s="28"/>
      <c r="F278" s="28"/>
      <c r="G278" s="28"/>
      <c r="H278" s="28"/>
      <c r="I278" s="28"/>
      <c r="J278" s="28"/>
      <c r="K278" s="28"/>
      <c r="L278" s="28"/>
      <c r="M278" s="28"/>
      <c r="N278" s="28"/>
      <c r="O278" s="28"/>
      <c r="P278" s="28"/>
      <c r="Q278" s="28"/>
      <c r="R278" s="28"/>
      <c r="S278" s="28"/>
      <c r="T278" s="28"/>
      <c r="U278" s="28"/>
      <c r="V278" s="28"/>
    </row>
    <row r="279" ht="13.5" customHeight="1">
      <c r="A279" s="28"/>
      <c r="B279" s="28"/>
      <c r="C279" s="28"/>
      <c r="D279" s="28"/>
      <c r="E279" s="28"/>
      <c r="F279" s="28"/>
      <c r="G279" s="28"/>
      <c r="H279" s="28"/>
      <c r="I279" s="28"/>
      <c r="J279" s="28"/>
      <c r="K279" s="28"/>
      <c r="L279" s="28"/>
      <c r="M279" s="28"/>
      <c r="N279" s="28"/>
      <c r="O279" s="28"/>
      <c r="P279" s="28"/>
      <c r="Q279" s="28"/>
      <c r="R279" s="28"/>
      <c r="S279" s="28"/>
      <c r="T279" s="28"/>
      <c r="U279" s="28"/>
      <c r="V279" s="28"/>
    </row>
    <row r="280" ht="13.5" customHeight="1">
      <c r="A280" s="28"/>
      <c r="B280" s="28"/>
      <c r="C280" s="28"/>
      <c r="D280" s="28"/>
      <c r="E280" s="28"/>
      <c r="F280" s="28"/>
      <c r="G280" s="28"/>
      <c r="H280" s="28"/>
      <c r="I280" s="28"/>
      <c r="J280" s="28"/>
      <c r="K280" s="28"/>
      <c r="L280" s="28"/>
      <c r="M280" s="28"/>
      <c r="N280" s="28"/>
      <c r="O280" s="28"/>
      <c r="P280" s="28"/>
      <c r="Q280" s="28"/>
      <c r="R280" s="28"/>
      <c r="S280" s="28"/>
      <c r="T280" s="28"/>
      <c r="U280" s="28"/>
      <c r="V280" s="28"/>
    </row>
    <row r="281" ht="13.5" customHeight="1">
      <c r="A281" s="28"/>
      <c r="B281" s="28"/>
      <c r="C281" s="28"/>
      <c r="D281" s="28"/>
      <c r="E281" s="28"/>
      <c r="F281" s="28"/>
      <c r="G281" s="28"/>
      <c r="H281" s="28"/>
      <c r="I281" s="28"/>
      <c r="J281" s="28"/>
      <c r="K281" s="28"/>
      <c r="L281" s="28"/>
      <c r="M281" s="28"/>
      <c r="N281" s="28"/>
      <c r="O281" s="28"/>
      <c r="P281" s="28"/>
      <c r="Q281" s="28"/>
      <c r="R281" s="28"/>
      <c r="S281" s="28"/>
      <c r="T281" s="28"/>
      <c r="U281" s="28"/>
      <c r="V281" s="28"/>
    </row>
    <row r="282" ht="13.5" customHeight="1">
      <c r="A282" s="28"/>
      <c r="B282" s="28"/>
      <c r="C282" s="28"/>
      <c r="D282" s="28"/>
      <c r="E282" s="28"/>
      <c r="F282" s="28"/>
      <c r="G282" s="28"/>
      <c r="H282" s="28"/>
      <c r="I282" s="28"/>
      <c r="J282" s="28"/>
      <c r="K282" s="28"/>
      <c r="L282" s="28"/>
      <c r="M282" s="28"/>
      <c r="N282" s="28"/>
      <c r="O282" s="28"/>
      <c r="P282" s="28"/>
      <c r="Q282" s="28"/>
      <c r="R282" s="28"/>
      <c r="S282" s="28"/>
      <c r="T282" s="28"/>
      <c r="U282" s="28"/>
      <c r="V282" s="28"/>
    </row>
    <row r="283" ht="13.5" customHeight="1">
      <c r="A283" s="28"/>
      <c r="B283" s="28"/>
      <c r="C283" s="28"/>
      <c r="D283" s="28"/>
      <c r="E283" s="28"/>
      <c r="F283" s="28"/>
      <c r="G283" s="28"/>
      <c r="H283" s="28"/>
      <c r="I283" s="28"/>
      <c r="J283" s="28"/>
      <c r="K283" s="28"/>
      <c r="L283" s="28"/>
      <c r="M283" s="28"/>
      <c r="N283" s="28"/>
      <c r="O283" s="28"/>
      <c r="P283" s="28"/>
      <c r="Q283" s="28"/>
      <c r="R283" s="28"/>
      <c r="S283" s="28"/>
      <c r="T283" s="28"/>
      <c r="U283" s="28"/>
      <c r="V283" s="28"/>
    </row>
    <row r="284" ht="13.5" customHeight="1">
      <c r="A284" s="28"/>
      <c r="B284" s="28"/>
      <c r="C284" s="28"/>
      <c r="D284" s="28"/>
      <c r="E284" s="28"/>
      <c r="F284" s="28"/>
      <c r="G284" s="28"/>
      <c r="H284" s="28"/>
      <c r="I284" s="28"/>
      <c r="J284" s="28"/>
      <c r="K284" s="28"/>
      <c r="L284" s="28"/>
      <c r="M284" s="28"/>
      <c r="N284" s="28"/>
      <c r="O284" s="28"/>
      <c r="P284" s="28"/>
      <c r="Q284" s="28"/>
      <c r="R284" s="28"/>
      <c r="S284" s="28"/>
      <c r="T284" s="28"/>
      <c r="U284" s="28"/>
      <c r="V284" s="28"/>
    </row>
    <row r="285" ht="13.5" customHeight="1">
      <c r="A285" s="28"/>
      <c r="B285" s="28"/>
      <c r="C285" s="28"/>
      <c r="D285" s="28"/>
      <c r="E285" s="28"/>
      <c r="F285" s="28"/>
      <c r="G285" s="28"/>
      <c r="H285" s="28"/>
      <c r="I285" s="28"/>
      <c r="J285" s="28"/>
      <c r="K285" s="28"/>
      <c r="L285" s="28"/>
      <c r="M285" s="28"/>
      <c r="N285" s="28"/>
      <c r="O285" s="28"/>
      <c r="P285" s="28"/>
      <c r="Q285" s="28"/>
      <c r="R285" s="28"/>
      <c r="S285" s="28"/>
      <c r="T285" s="28"/>
      <c r="U285" s="28"/>
      <c r="V285" s="28"/>
    </row>
    <row r="286" ht="13.5" customHeight="1">
      <c r="A286" s="28"/>
      <c r="B286" s="28"/>
      <c r="C286" s="28"/>
      <c r="D286" s="28"/>
      <c r="E286" s="28"/>
      <c r="F286" s="28"/>
      <c r="G286" s="28"/>
      <c r="H286" s="28"/>
      <c r="I286" s="28"/>
      <c r="J286" s="28"/>
      <c r="K286" s="28"/>
      <c r="L286" s="28"/>
      <c r="M286" s="28"/>
      <c r="N286" s="28"/>
      <c r="O286" s="28"/>
      <c r="P286" s="28"/>
      <c r="Q286" s="28"/>
      <c r="R286" s="28"/>
      <c r="S286" s="28"/>
      <c r="T286" s="28"/>
      <c r="U286" s="28"/>
      <c r="V286" s="28"/>
    </row>
    <row r="287" ht="13.5" customHeight="1">
      <c r="A287" s="28"/>
      <c r="B287" s="28"/>
      <c r="C287" s="28"/>
      <c r="D287" s="28"/>
      <c r="E287" s="28"/>
      <c r="F287" s="28"/>
      <c r="G287" s="28"/>
      <c r="H287" s="28"/>
      <c r="I287" s="28"/>
      <c r="J287" s="28"/>
      <c r="K287" s="28"/>
      <c r="L287" s="28"/>
      <c r="M287" s="28"/>
      <c r="N287" s="28"/>
      <c r="O287" s="28"/>
      <c r="P287" s="28"/>
      <c r="Q287" s="28"/>
      <c r="R287" s="28"/>
      <c r="S287" s="28"/>
      <c r="T287" s="28"/>
      <c r="U287" s="28"/>
      <c r="V287" s="28"/>
    </row>
    <row r="288" ht="13.5" customHeight="1">
      <c r="A288" s="28"/>
      <c r="B288" s="28"/>
      <c r="C288" s="28"/>
      <c r="D288" s="28"/>
      <c r="E288" s="28"/>
      <c r="F288" s="28"/>
      <c r="G288" s="28"/>
      <c r="H288" s="28"/>
      <c r="I288" s="28"/>
      <c r="J288" s="28"/>
      <c r="K288" s="28"/>
      <c r="L288" s="28"/>
      <c r="M288" s="28"/>
      <c r="N288" s="28"/>
      <c r="O288" s="28"/>
      <c r="P288" s="28"/>
      <c r="Q288" s="28"/>
      <c r="R288" s="28"/>
      <c r="S288" s="28"/>
      <c r="T288" s="28"/>
      <c r="U288" s="28"/>
      <c r="V288" s="28"/>
    </row>
    <row r="289" ht="13.5" customHeight="1">
      <c r="A289" s="28"/>
      <c r="B289" s="28"/>
      <c r="C289" s="28"/>
      <c r="D289" s="28"/>
      <c r="E289" s="28"/>
      <c r="F289" s="28"/>
      <c r="G289" s="28"/>
      <c r="H289" s="28"/>
      <c r="I289" s="28"/>
      <c r="J289" s="28"/>
      <c r="K289" s="28"/>
      <c r="L289" s="28"/>
      <c r="M289" s="28"/>
      <c r="N289" s="28"/>
      <c r="O289" s="28"/>
      <c r="P289" s="28"/>
      <c r="Q289" s="28"/>
      <c r="R289" s="28"/>
      <c r="S289" s="28"/>
      <c r="T289" s="28"/>
      <c r="U289" s="28"/>
      <c r="V289" s="28"/>
    </row>
    <row r="290" ht="13.5" customHeight="1">
      <c r="A290" s="28"/>
      <c r="B290" s="28"/>
      <c r="C290" s="28"/>
      <c r="D290" s="28"/>
      <c r="E290" s="28"/>
      <c r="F290" s="28"/>
      <c r="G290" s="28"/>
      <c r="H290" s="28"/>
      <c r="I290" s="28"/>
      <c r="J290" s="28"/>
      <c r="K290" s="28"/>
      <c r="L290" s="28"/>
      <c r="M290" s="28"/>
      <c r="N290" s="28"/>
      <c r="O290" s="28"/>
      <c r="P290" s="28"/>
      <c r="Q290" s="28"/>
      <c r="R290" s="28"/>
      <c r="S290" s="28"/>
      <c r="T290" s="28"/>
      <c r="U290" s="28"/>
      <c r="V290" s="28"/>
    </row>
    <row r="291" ht="13.5" customHeight="1">
      <c r="A291" s="28"/>
      <c r="B291" s="28"/>
      <c r="C291" s="28"/>
      <c r="D291" s="28"/>
      <c r="E291" s="28"/>
      <c r="F291" s="28"/>
      <c r="G291" s="28"/>
      <c r="H291" s="28"/>
      <c r="I291" s="28"/>
      <c r="J291" s="28"/>
      <c r="K291" s="28"/>
      <c r="L291" s="28"/>
      <c r="M291" s="28"/>
      <c r="N291" s="28"/>
      <c r="O291" s="28"/>
      <c r="P291" s="28"/>
      <c r="Q291" s="28"/>
      <c r="R291" s="28"/>
      <c r="S291" s="28"/>
      <c r="T291" s="28"/>
      <c r="U291" s="28"/>
      <c r="V291" s="28"/>
    </row>
    <row r="292" ht="13.5" customHeight="1">
      <c r="A292" s="28"/>
      <c r="B292" s="28"/>
      <c r="C292" s="28"/>
      <c r="D292" s="28"/>
      <c r="E292" s="28"/>
      <c r="F292" s="28"/>
      <c r="G292" s="28"/>
      <c r="H292" s="28"/>
      <c r="I292" s="28"/>
      <c r="J292" s="28"/>
      <c r="K292" s="28"/>
      <c r="L292" s="28"/>
      <c r="M292" s="28"/>
      <c r="N292" s="28"/>
      <c r="O292" s="28"/>
      <c r="P292" s="28"/>
      <c r="Q292" s="28"/>
      <c r="R292" s="28"/>
      <c r="S292" s="28"/>
      <c r="T292" s="28"/>
      <c r="U292" s="28"/>
      <c r="V292" s="28"/>
    </row>
    <row r="293" ht="13.5" customHeight="1">
      <c r="A293" s="28"/>
      <c r="B293" s="28"/>
      <c r="C293" s="28"/>
      <c r="D293" s="28"/>
      <c r="E293" s="28"/>
      <c r="F293" s="28"/>
      <c r="G293" s="28"/>
      <c r="H293" s="28"/>
      <c r="I293" s="28"/>
      <c r="J293" s="28"/>
      <c r="K293" s="28"/>
      <c r="L293" s="28"/>
      <c r="M293" s="28"/>
      <c r="N293" s="28"/>
      <c r="O293" s="28"/>
      <c r="P293" s="28"/>
      <c r="Q293" s="28"/>
      <c r="R293" s="28"/>
      <c r="S293" s="28"/>
      <c r="T293" s="28"/>
      <c r="U293" s="28"/>
      <c r="V293" s="28"/>
    </row>
    <row r="294" ht="13.5" customHeight="1">
      <c r="A294" s="28"/>
      <c r="B294" s="28"/>
      <c r="C294" s="28"/>
      <c r="D294" s="28"/>
      <c r="E294" s="28"/>
      <c r="F294" s="28"/>
      <c r="G294" s="28"/>
      <c r="H294" s="28"/>
      <c r="I294" s="28"/>
      <c r="J294" s="28"/>
      <c r="K294" s="28"/>
      <c r="L294" s="28"/>
      <c r="M294" s="28"/>
      <c r="N294" s="28"/>
      <c r="O294" s="28"/>
      <c r="P294" s="28"/>
      <c r="Q294" s="28"/>
      <c r="R294" s="28"/>
      <c r="S294" s="28"/>
      <c r="T294" s="28"/>
      <c r="U294" s="28"/>
      <c r="V294" s="28"/>
    </row>
    <row r="295" ht="13.5" customHeight="1">
      <c r="A295" s="28"/>
      <c r="B295" s="28"/>
      <c r="C295" s="28"/>
      <c r="D295" s="28"/>
      <c r="E295" s="28"/>
      <c r="F295" s="28"/>
      <c r="G295" s="28"/>
      <c r="H295" s="28"/>
      <c r="I295" s="28"/>
      <c r="J295" s="28"/>
      <c r="K295" s="28"/>
      <c r="L295" s="28"/>
      <c r="M295" s="28"/>
      <c r="N295" s="28"/>
      <c r="O295" s="28"/>
      <c r="P295" s="28"/>
      <c r="Q295" s="28"/>
      <c r="R295" s="28"/>
      <c r="S295" s="28"/>
      <c r="T295" s="28"/>
      <c r="U295" s="28"/>
      <c r="V295" s="28"/>
    </row>
    <row r="296" ht="13.5" customHeight="1">
      <c r="A296" s="28"/>
      <c r="B296" s="28"/>
      <c r="C296" s="28"/>
      <c r="D296" s="28"/>
      <c r="E296" s="28"/>
      <c r="F296" s="28"/>
      <c r="G296" s="28"/>
      <c r="H296" s="28"/>
      <c r="I296" s="28"/>
      <c r="J296" s="28"/>
      <c r="K296" s="28"/>
      <c r="L296" s="28"/>
      <c r="M296" s="28"/>
      <c r="N296" s="28"/>
      <c r="O296" s="28"/>
      <c r="P296" s="28"/>
      <c r="Q296" s="28"/>
      <c r="R296" s="28"/>
      <c r="S296" s="28"/>
      <c r="T296" s="28"/>
      <c r="U296" s="28"/>
      <c r="V296" s="28"/>
    </row>
    <row r="297" ht="13.5" customHeight="1">
      <c r="A297" s="28"/>
      <c r="B297" s="28"/>
      <c r="C297" s="28"/>
      <c r="D297" s="28"/>
      <c r="E297" s="28"/>
      <c r="F297" s="28"/>
      <c r="G297" s="28"/>
      <c r="H297" s="28"/>
      <c r="I297" s="28"/>
      <c r="J297" s="28"/>
      <c r="K297" s="28"/>
      <c r="L297" s="28"/>
      <c r="M297" s="28"/>
      <c r="N297" s="28"/>
      <c r="O297" s="28"/>
      <c r="P297" s="28"/>
      <c r="Q297" s="28"/>
      <c r="R297" s="28"/>
      <c r="S297" s="28"/>
      <c r="T297" s="28"/>
      <c r="U297" s="28"/>
      <c r="V297" s="28"/>
    </row>
    <row r="298" ht="13.5" customHeight="1">
      <c r="A298" s="28"/>
      <c r="B298" s="28"/>
      <c r="C298" s="28"/>
      <c r="D298" s="28"/>
      <c r="E298" s="28"/>
      <c r="F298" s="28"/>
      <c r="G298" s="28"/>
      <c r="H298" s="28"/>
      <c r="I298" s="28"/>
      <c r="J298" s="28"/>
      <c r="K298" s="28"/>
      <c r="L298" s="28"/>
      <c r="M298" s="28"/>
      <c r="N298" s="28"/>
      <c r="O298" s="28"/>
      <c r="P298" s="28"/>
      <c r="Q298" s="28"/>
      <c r="R298" s="28"/>
      <c r="S298" s="28"/>
      <c r="T298" s="28"/>
      <c r="U298" s="28"/>
      <c r="V298" s="28"/>
    </row>
    <row r="299" ht="13.5" customHeight="1">
      <c r="A299" s="28"/>
      <c r="B299" s="28"/>
      <c r="C299" s="28"/>
      <c r="D299" s="28"/>
      <c r="E299" s="28"/>
      <c r="F299" s="28"/>
      <c r="G299" s="28"/>
      <c r="H299" s="28"/>
      <c r="I299" s="28"/>
      <c r="J299" s="28"/>
      <c r="K299" s="28"/>
      <c r="L299" s="28"/>
      <c r="M299" s="28"/>
      <c r="N299" s="28"/>
      <c r="O299" s="28"/>
      <c r="P299" s="28"/>
      <c r="Q299" s="28"/>
      <c r="R299" s="28"/>
      <c r="S299" s="28"/>
      <c r="T299" s="28"/>
      <c r="U299" s="28"/>
      <c r="V299" s="28"/>
    </row>
    <row r="300" ht="13.5" customHeight="1">
      <c r="A300" s="28"/>
      <c r="B300" s="28"/>
      <c r="C300" s="28"/>
      <c r="D300" s="28"/>
      <c r="E300" s="28"/>
      <c r="F300" s="28"/>
      <c r="G300" s="28"/>
      <c r="H300" s="28"/>
      <c r="I300" s="28"/>
      <c r="J300" s="28"/>
      <c r="K300" s="28"/>
      <c r="L300" s="28"/>
      <c r="M300" s="28"/>
      <c r="N300" s="28"/>
      <c r="O300" s="28"/>
      <c r="P300" s="28"/>
      <c r="Q300" s="28"/>
      <c r="R300" s="28"/>
      <c r="S300" s="28"/>
      <c r="T300" s="28"/>
      <c r="U300" s="28"/>
      <c r="V300" s="28"/>
    </row>
    <row r="301" ht="13.5" customHeight="1">
      <c r="A301" s="28"/>
      <c r="B301" s="28"/>
      <c r="C301" s="28"/>
      <c r="D301" s="28"/>
      <c r="E301" s="28"/>
      <c r="F301" s="28"/>
      <c r="G301" s="28"/>
      <c r="H301" s="28"/>
      <c r="I301" s="28"/>
      <c r="J301" s="28"/>
      <c r="K301" s="28"/>
      <c r="L301" s="28"/>
      <c r="M301" s="28"/>
      <c r="N301" s="28"/>
      <c r="O301" s="28"/>
      <c r="P301" s="28"/>
      <c r="Q301" s="28"/>
      <c r="R301" s="28"/>
      <c r="S301" s="28"/>
      <c r="T301" s="28"/>
      <c r="U301" s="28"/>
      <c r="V301" s="28"/>
    </row>
    <row r="302" ht="13.5" customHeight="1">
      <c r="A302" s="28"/>
      <c r="B302" s="28"/>
      <c r="C302" s="28"/>
      <c r="D302" s="28"/>
      <c r="E302" s="28"/>
      <c r="F302" s="28"/>
      <c r="G302" s="28"/>
      <c r="H302" s="28"/>
      <c r="I302" s="28"/>
      <c r="J302" s="28"/>
      <c r="K302" s="28"/>
      <c r="L302" s="28"/>
      <c r="M302" s="28"/>
      <c r="N302" s="28"/>
      <c r="O302" s="28"/>
      <c r="P302" s="28"/>
      <c r="Q302" s="28"/>
      <c r="R302" s="28"/>
      <c r="S302" s="28"/>
      <c r="T302" s="28"/>
      <c r="U302" s="28"/>
      <c r="V302" s="28"/>
    </row>
    <row r="303" ht="13.5" customHeight="1">
      <c r="A303" s="28"/>
      <c r="B303" s="28"/>
      <c r="C303" s="28"/>
      <c r="D303" s="28"/>
      <c r="E303" s="28"/>
      <c r="F303" s="28"/>
      <c r="G303" s="28"/>
      <c r="H303" s="28"/>
      <c r="I303" s="28"/>
      <c r="J303" s="28"/>
      <c r="K303" s="28"/>
      <c r="L303" s="28"/>
      <c r="M303" s="28"/>
      <c r="N303" s="28"/>
      <c r="O303" s="28"/>
      <c r="P303" s="28"/>
      <c r="Q303" s="28"/>
      <c r="R303" s="28"/>
      <c r="S303" s="28"/>
      <c r="T303" s="28"/>
      <c r="U303" s="28"/>
      <c r="V303" s="28"/>
    </row>
    <row r="304" ht="13.5" customHeight="1">
      <c r="A304" s="28"/>
      <c r="B304" s="28"/>
      <c r="C304" s="28"/>
      <c r="D304" s="28"/>
      <c r="E304" s="28"/>
      <c r="F304" s="28"/>
      <c r="G304" s="28"/>
      <c r="H304" s="28"/>
      <c r="I304" s="28"/>
      <c r="J304" s="28"/>
      <c r="K304" s="28"/>
      <c r="L304" s="28"/>
      <c r="M304" s="28"/>
      <c r="N304" s="28"/>
      <c r="O304" s="28"/>
      <c r="P304" s="28"/>
      <c r="Q304" s="28"/>
      <c r="R304" s="28"/>
      <c r="S304" s="28"/>
      <c r="T304" s="28"/>
      <c r="U304" s="28"/>
      <c r="V304" s="28"/>
    </row>
    <row r="305" ht="13.5" customHeight="1">
      <c r="A305" s="28"/>
      <c r="B305" s="28"/>
      <c r="C305" s="28"/>
      <c r="D305" s="28"/>
      <c r="E305" s="28"/>
      <c r="F305" s="28"/>
      <c r="G305" s="28"/>
      <c r="H305" s="28"/>
      <c r="I305" s="28"/>
      <c r="J305" s="28"/>
      <c r="K305" s="28"/>
      <c r="L305" s="28"/>
      <c r="M305" s="28"/>
      <c r="N305" s="28"/>
      <c r="O305" s="28"/>
      <c r="P305" s="28"/>
      <c r="Q305" s="28"/>
      <c r="R305" s="28"/>
      <c r="S305" s="28"/>
      <c r="T305" s="28"/>
      <c r="U305" s="28"/>
      <c r="V305" s="28"/>
    </row>
    <row r="306" ht="13.5" customHeight="1">
      <c r="A306" s="28"/>
      <c r="B306" s="28"/>
      <c r="C306" s="28"/>
      <c r="D306" s="28"/>
      <c r="E306" s="28"/>
      <c r="F306" s="28"/>
      <c r="G306" s="28"/>
      <c r="H306" s="28"/>
      <c r="I306" s="28"/>
      <c r="J306" s="28"/>
      <c r="K306" s="28"/>
      <c r="L306" s="28"/>
      <c r="M306" s="28"/>
      <c r="N306" s="28"/>
      <c r="O306" s="28"/>
      <c r="P306" s="28"/>
      <c r="Q306" s="28"/>
      <c r="R306" s="28"/>
      <c r="S306" s="28"/>
      <c r="T306" s="28"/>
      <c r="U306" s="28"/>
      <c r="V306" s="28"/>
    </row>
    <row r="307" ht="13.5" customHeight="1">
      <c r="A307" s="28"/>
      <c r="B307" s="28"/>
      <c r="C307" s="28"/>
      <c r="D307" s="28"/>
      <c r="E307" s="28"/>
      <c r="F307" s="28"/>
      <c r="G307" s="28"/>
      <c r="H307" s="28"/>
      <c r="I307" s="28"/>
      <c r="J307" s="28"/>
      <c r="K307" s="28"/>
      <c r="L307" s="28"/>
      <c r="M307" s="28"/>
      <c r="N307" s="28"/>
      <c r="O307" s="28"/>
      <c r="P307" s="28"/>
      <c r="Q307" s="28"/>
      <c r="R307" s="28"/>
      <c r="S307" s="28"/>
      <c r="T307" s="28"/>
      <c r="U307" s="28"/>
      <c r="V307" s="28"/>
    </row>
    <row r="308" ht="13.5" customHeight="1">
      <c r="A308" s="28"/>
      <c r="B308" s="28"/>
      <c r="C308" s="28"/>
      <c r="D308" s="28"/>
      <c r="E308" s="28"/>
      <c r="F308" s="28"/>
      <c r="G308" s="28"/>
      <c r="H308" s="28"/>
      <c r="I308" s="28"/>
      <c r="J308" s="28"/>
      <c r="K308" s="28"/>
      <c r="L308" s="28"/>
      <c r="M308" s="28"/>
      <c r="N308" s="28"/>
      <c r="O308" s="28"/>
      <c r="P308" s="28"/>
      <c r="Q308" s="28"/>
      <c r="R308" s="28"/>
      <c r="S308" s="28"/>
      <c r="T308" s="28"/>
      <c r="U308" s="28"/>
      <c r="V308" s="28"/>
    </row>
    <row r="309" ht="13.5" customHeight="1">
      <c r="A309" s="28"/>
      <c r="B309" s="28"/>
      <c r="C309" s="28"/>
      <c r="D309" s="28"/>
      <c r="E309" s="28"/>
      <c r="F309" s="28"/>
      <c r="G309" s="28"/>
      <c r="H309" s="28"/>
      <c r="I309" s="28"/>
      <c r="J309" s="28"/>
      <c r="K309" s="28"/>
      <c r="L309" s="28"/>
      <c r="M309" s="28"/>
      <c r="N309" s="28"/>
      <c r="O309" s="28"/>
      <c r="P309" s="28"/>
      <c r="Q309" s="28"/>
      <c r="R309" s="28"/>
      <c r="S309" s="28"/>
      <c r="T309" s="28"/>
      <c r="U309" s="28"/>
      <c r="V309" s="28"/>
    </row>
    <row r="310" ht="13.5" customHeight="1">
      <c r="A310" s="28"/>
      <c r="B310" s="28"/>
      <c r="C310" s="28"/>
      <c r="D310" s="28"/>
      <c r="E310" s="28"/>
      <c r="F310" s="28"/>
      <c r="G310" s="28"/>
      <c r="H310" s="28"/>
      <c r="I310" s="28"/>
      <c r="J310" s="28"/>
      <c r="K310" s="28"/>
      <c r="L310" s="28"/>
      <c r="M310" s="28"/>
      <c r="N310" s="28"/>
      <c r="O310" s="28"/>
      <c r="P310" s="28"/>
      <c r="Q310" s="28"/>
      <c r="R310" s="28"/>
      <c r="S310" s="28"/>
      <c r="T310" s="28"/>
      <c r="U310" s="28"/>
      <c r="V310" s="28"/>
    </row>
    <row r="311" ht="13.5" customHeight="1">
      <c r="A311" s="28"/>
      <c r="B311" s="28"/>
      <c r="C311" s="28"/>
      <c r="D311" s="28"/>
      <c r="E311" s="28"/>
      <c r="F311" s="28"/>
      <c r="G311" s="28"/>
      <c r="H311" s="28"/>
      <c r="I311" s="28"/>
      <c r="J311" s="28"/>
      <c r="K311" s="28"/>
      <c r="L311" s="28"/>
      <c r="M311" s="28"/>
      <c r="N311" s="28"/>
      <c r="O311" s="28"/>
      <c r="P311" s="28"/>
      <c r="Q311" s="28"/>
      <c r="R311" s="28"/>
      <c r="S311" s="28"/>
      <c r="T311" s="28"/>
      <c r="U311" s="28"/>
      <c r="V311" s="28"/>
    </row>
    <row r="312" ht="13.5" customHeight="1">
      <c r="A312" s="28"/>
      <c r="B312" s="28"/>
      <c r="C312" s="28"/>
      <c r="D312" s="28"/>
      <c r="E312" s="28"/>
      <c r="F312" s="28"/>
      <c r="G312" s="28"/>
      <c r="H312" s="28"/>
      <c r="I312" s="28"/>
      <c r="J312" s="28"/>
      <c r="K312" s="28"/>
      <c r="L312" s="28"/>
      <c r="M312" s="28"/>
      <c r="N312" s="28"/>
      <c r="O312" s="28"/>
      <c r="P312" s="28"/>
      <c r="Q312" s="28"/>
      <c r="R312" s="28"/>
      <c r="S312" s="28"/>
      <c r="T312" s="28"/>
      <c r="U312" s="28"/>
      <c r="V312" s="28"/>
    </row>
    <row r="313" ht="13.5" customHeight="1">
      <c r="A313" s="28"/>
      <c r="B313" s="28"/>
      <c r="C313" s="28"/>
      <c r="D313" s="28"/>
      <c r="E313" s="28"/>
      <c r="F313" s="28"/>
      <c r="G313" s="28"/>
      <c r="H313" s="28"/>
      <c r="I313" s="28"/>
      <c r="J313" s="28"/>
      <c r="K313" s="28"/>
      <c r="L313" s="28"/>
      <c r="M313" s="28"/>
      <c r="N313" s="28"/>
      <c r="O313" s="28"/>
      <c r="P313" s="28"/>
      <c r="Q313" s="28"/>
      <c r="R313" s="28"/>
      <c r="S313" s="28"/>
      <c r="T313" s="28"/>
      <c r="U313" s="28"/>
      <c r="V313" s="28"/>
    </row>
    <row r="314" ht="13.5" customHeight="1">
      <c r="A314" s="28"/>
      <c r="B314" s="28"/>
      <c r="C314" s="28"/>
      <c r="D314" s="28"/>
      <c r="E314" s="28"/>
      <c r="F314" s="28"/>
      <c r="G314" s="28"/>
      <c r="H314" s="28"/>
      <c r="I314" s="28"/>
      <c r="J314" s="28"/>
      <c r="K314" s="28"/>
      <c r="L314" s="28"/>
      <c r="M314" s="28"/>
      <c r="N314" s="28"/>
      <c r="O314" s="28"/>
      <c r="P314" s="28"/>
      <c r="Q314" s="28"/>
      <c r="R314" s="28"/>
      <c r="S314" s="28"/>
      <c r="T314" s="28"/>
      <c r="U314" s="28"/>
      <c r="V314" s="28"/>
    </row>
    <row r="315" ht="13.5" customHeight="1">
      <c r="A315" s="28"/>
      <c r="B315" s="28"/>
      <c r="C315" s="28"/>
      <c r="D315" s="28"/>
      <c r="E315" s="28"/>
      <c r="F315" s="28"/>
      <c r="G315" s="28"/>
      <c r="H315" s="28"/>
      <c r="I315" s="28"/>
      <c r="J315" s="28"/>
      <c r="K315" s="28"/>
      <c r="L315" s="28"/>
      <c r="M315" s="28"/>
      <c r="N315" s="28"/>
      <c r="O315" s="28"/>
      <c r="P315" s="28"/>
      <c r="Q315" s="28"/>
      <c r="R315" s="28"/>
      <c r="S315" s="28"/>
      <c r="T315" s="28"/>
      <c r="U315" s="28"/>
      <c r="V315" s="28"/>
    </row>
    <row r="316" ht="13.5" customHeight="1">
      <c r="A316" s="28"/>
      <c r="B316" s="28"/>
      <c r="C316" s="28"/>
      <c r="D316" s="28"/>
      <c r="E316" s="28"/>
      <c r="F316" s="28"/>
      <c r="G316" s="28"/>
      <c r="H316" s="28"/>
      <c r="I316" s="28"/>
      <c r="J316" s="28"/>
      <c r="K316" s="28"/>
      <c r="L316" s="28"/>
      <c r="M316" s="28"/>
      <c r="N316" s="28"/>
      <c r="O316" s="28"/>
      <c r="P316" s="28"/>
      <c r="Q316" s="28"/>
      <c r="R316" s="28"/>
      <c r="S316" s="28"/>
      <c r="T316" s="28"/>
      <c r="U316" s="28"/>
      <c r="V316" s="28"/>
    </row>
    <row r="317" ht="13.5" customHeight="1">
      <c r="A317" s="28"/>
      <c r="B317" s="28"/>
      <c r="C317" s="28"/>
      <c r="D317" s="28"/>
      <c r="E317" s="28"/>
      <c r="F317" s="28"/>
      <c r="G317" s="28"/>
      <c r="H317" s="28"/>
      <c r="I317" s="28"/>
      <c r="J317" s="28"/>
      <c r="K317" s="28"/>
      <c r="L317" s="28"/>
      <c r="M317" s="28"/>
      <c r="N317" s="28"/>
      <c r="O317" s="28"/>
      <c r="P317" s="28"/>
      <c r="Q317" s="28"/>
      <c r="R317" s="28"/>
      <c r="S317" s="28"/>
      <c r="T317" s="28"/>
      <c r="U317" s="28"/>
      <c r="V317" s="28"/>
    </row>
    <row r="318" ht="13.5" customHeight="1">
      <c r="A318" s="28"/>
      <c r="B318" s="28"/>
      <c r="C318" s="28"/>
      <c r="D318" s="28"/>
      <c r="E318" s="28"/>
      <c r="F318" s="28"/>
      <c r="G318" s="28"/>
      <c r="H318" s="28"/>
      <c r="I318" s="28"/>
      <c r="J318" s="28"/>
      <c r="K318" s="28"/>
      <c r="L318" s="28"/>
      <c r="M318" s="28"/>
      <c r="N318" s="28"/>
      <c r="O318" s="28"/>
      <c r="P318" s="28"/>
      <c r="Q318" s="28"/>
      <c r="R318" s="28"/>
      <c r="S318" s="28"/>
      <c r="T318" s="28"/>
      <c r="U318" s="28"/>
      <c r="V318" s="28"/>
    </row>
    <row r="319" ht="13.5" customHeight="1">
      <c r="A319" s="28"/>
      <c r="B319" s="28"/>
      <c r="C319" s="28"/>
      <c r="D319" s="28"/>
      <c r="E319" s="28"/>
      <c r="F319" s="28"/>
      <c r="G319" s="28"/>
      <c r="H319" s="28"/>
      <c r="I319" s="28"/>
      <c r="J319" s="28"/>
      <c r="K319" s="28"/>
      <c r="L319" s="28"/>
      <c r="M319" s="28"/>
      <c r="N319" s="28"/>
      <c r="O319" s="28"/>
      <c r="P319" s="28"/>
      <c r="Q319" s="28"/>
      <c r="R319" s="28"/>
      <c r="S319" s="28"/>
      <c r="T319" s="28"/>
      <c r="U319" s="28"/>
      <c r="V319" s="28"/>
    </row>
    <row r="320" ht="13.5" customHeight="1">
      <c r="A320" s="28"/>
      <c r="B320" s="28"/>
      <c r="C320" s="28"/>
      <c r="D320" s="28"/>
      <c r="E320" s="28"/>
      <c r="F320" s="28"/>
      <c r="G320" s="28"/>
      <c r="H320" s="28"/>
      <c r="I320" s="28"/>
      <c r="J320" s="28"/>
      <c r="K320" s="28"/>
      <c r="L320" s="28"/>
      <c r="M320" s="28"/>
      <c r="N320" s="28"/>
      <c r="O320" s="28"/>
      <c r="P320" s="28"/>
      <c r="Q320" s="28"/>
      <c r="R320" s="28"/>
      <c r="S320" s="28"/>
      <c r="T320" s="28"/>
      <c r="U320" s="28"/>
      <c r="V320" s="28"/>
    </row>
    <row r="321" ht="13.5" customHeight="1">
      <c r="A321" s="28"/>
      <c r="B321" s="28"/>
      <c r="C321" s="28"/>
      <c r="D321" s="28"/>
      <c r="E321" s="28"/>
      <c r="F321" s="28"/>
      <c r="G321" s="28"/>
      <c r="H321" s="28"/>
      <c r="I321" s="28"/>
      <c r="J321" s="28"/>
      <c r="K321" s="28"/>
      <c r="L321" s="28"/>
      <c r="M321" s="28"/>
      <c r="N321" s="28"/>
      <c r="O321" s="28"/>
      <c r="P321" s="28"/>
      <c r="Q321" s="28"/>
      <c r="R321" s="28"/>
      <c r="S321" s="28"/>
      <c r="T321" s="28"/>
      <c r="U321" s="28"/>
      <c r="V321" s="28"/>
    </row>
    <row r="322" ht="13.5" customHeight="1">
      <c r="A322" s="28"/>
      <c r="B322" s="28"/>
      <c r="C322" s="28"/>
      <c r="D322" s="28"/>
      <c r="E322" s="28"/>
      <c r="F322" s="28"/>
      <c r="G322" s="28"/>
      <c r="H322" s="28"/>
      <c r="I322" s="28"/>
      <c r="J322" s="28"/>
      <c r="K322" s="28"/>
      <c r="L322" s="28"/>
      <c r="M322" s="28"/>
      <c r="N322" s="28"/>
      <c r="O322" s="28"/>
      <c r="P322" s="28"/>
      <c r="Q322" s="28"/>
      <c r="R322" s="28"/>
      <c r="S322" s="28"/>
      <c r="T322" s="28"/>
      <c r="U322" s="28"/>
      <c r="V322" s="28"/>
    </row>
    <row r="323" ht="13.5" customHeight="1">
      <c r="A323" s="28"/>
      <c r="B323" s="28"/>
      <c r="C323" s="28"/>
      <c r="D323" s="28"/>
      <c r="E323" s="28"/>
      <c r="F323" s="28"/>
      <c r="G323" s="28"/>
      <c r="H323" s="28"/>
      <c r="I323" s="28"/>
      <c r="J323" s="28"/>
      <c r="K323" s="28"/>
      <c r="L323" s="28"/>
      <c r="M323" s="28"/>
      <c r="N323" s="28"/>
      <c r="O323" s="28"/>
      <c r="P323" s="28"/>
      <c r="Q323" s="28"/>
      <c r="R323" s="28"/>
      <c r="S323" s="28"/>
      <c r="T323" s="28"/>
      <c r="U323" s="28"/>
      <c r="V323" s="28"/>
    </row>
    <row r="324" ht="13.5" customHeight="1">
      <c r="A324" s="28"/>
      <c r="B324" s="28"/>
      <c r="C324" s="28"/>
      <c r="D324" s="28"/>
      <c r="E324" s="28"/>
      <c r="F324" s="28"/>
      <c r="G324" s="28"/>
      <c r="H324" s="28"/>
      <c r="I324" s="28"/>
      <c r="J324" s="28"/>
      <c r="K324" s="28"/>
      <c r="L324" s="28"/>
      <c r="M324" s="28"/>
      <c r="N324" s="28"/>
      <c r="O324" s="28"/>
      <c r="P324" s="28"/>
      <c r="Q324" s="28"/>
      <c r="R324" s="28"/>
      <c r="S324" s="28"/>
      <c r="T324" s="28"/>
      <c r="U324" s="28"/>
      <c r="V324" s="28"/>
    </row>
    <row r="325" ht="13.5" customHeight="1">
      <c r="A325" s="28"/>
      <c r="B325" s="28"/>
      <c r="C325" s="28"/>
      <c r="D325" s="28"/>
      <c r="E325" s="28"/>
      <c r="F325" s="28"/>
      <c r="G325" s="28"/>
      <c r="H325" s="28"/>
      <c r="I325" s="28"/>
      <c r="J325" s="28"/>
      <c r="K325" s="28"/>
      <c r="L325" s="28"/>
      <c r="M325" s="28"/>
      <c r="N325" s="28"/>
      <c r="O325" s="28"/>
      <c r="P325" s="28"/>
      <c r="Q325" s="28"/>
      <c r="R325" s="28"/>
      <c r="S325" s="28"/>
      <c r="T325" s="28"/>
      <c r="U325" s="28"/>
      <c r="V325" s="28"/>
    </row>
    <row r="326" ht="13.5" customHeight="1">
      <c r="A326" s="28"/>
      <c r="B326" s="28"/>
      <c r="C326" s="28"/>
      <c r="D326" s="28"/>
      <c r="E326" s="28"/>
      <c r="F326" s="28"/>
      <c r="G326" s="28"/>
      <c r="H326" s="28"/>
      <c r="I326" s="28"/>
      <c r="J326" s="28"/>
      <c r="K326" s="28"/>
      <c r="L326" s="28"/>
      <c r="M326" s="28"/>
      <c r="N326" s="28"/>
      <c r="O326" s="28"/>
      <c r="P326" s="28"/>
      <c r="Q326" s="28"/>
      <c r="R326" s="28"/>
      <c r="S326" s="28"/>
      <c r="T326" s="28"/>
      <c r="U326" s="28"/>
      <c r="V326" s="28"/>
    </row>
    <row r="327" ht="13.5" customHeight="1">
      <c r="A327" s="28"/>
      <c r="B327" s="28"/>
      <c r="C327" s="28"/>
      <c r="D327" s="28"/>
      <c r="E327" s="28"/>
      <c r="F327" s="28"/>
      <c r="G327" s="28"/>
      <c r="H327" s="28"/>
      <c r="I327" s="28"/>
      <c r="J327" s="28"/>
      <c r="K327" s="28"/>
      <c r="L327" s="28"/>
      <c r="M327" s="28"/>
      <c r="N327" s="28"/>
      <c r="O327" s="28"/>
      <c r="P327" s="28"/>
      <c r="Q327" s="28"/>
      <c r="R327" s="28"/>
      <c r="S327" s="28"/>
      <c r="T327" s="28"/>
      <c r="U327" s="28"/>
      <c r="V327" s="28"/>
    </row>
    <row r="328" ht="13.5" customHeight="1">
      <c r="A328" s="28"/>
      <c r="B328" s="28"/>
      <c r="C328" s="28"/>
      <c r="D328" s="28"/>
      <c r="E328" s="28"/>
      <c r="F328" s="28"/>
      <c r="G328" s="28"/>
      <c r="H328" s="28"/>
      <c r="I328" s="28"/>
      <c r="J328" s="28"/>
      <c r="K328" s="28"/>
      <c r="L328" s="28"/>
      <c r="M328" s="28"/>
      <c r="N328" s="28"/>
      <c r="O328" s="28"/>
      <c r="P328" s="28"/>
      <c r="Q328" s="28"/>
      <c r="R328" s="28"/>
      <c r="S328" s="28"/>
      <c r="T328" s="28"/>
      <c r="U328" s="28"/>
      <c r="V328" s="28"/>
    </row>
    <row r="329" ht="13.5" customHeight="1">
      <c r="A329" s="28"/>
      <c r="B329" s="28"/>
      <c r="C329" s="28"/>
      <c r="D329" s="28"/>
      <c r="E329" s="28"/>
      <c r="F329" s="28"/>
      <c r="G329" s="28"/>
      <c r="H329" s="28"/>
      <c r="I329" s="28"/>
      <c r="J329" s="28"/>
      <c r="K329" s="28"/>
      <c r="L329" s="28"/>
      <c r="M329" s="28"/>
      <c r="N329" s="28"/>
      <c r="O329" s="28"/>
      <c r="P329" s="28"/>
      <c r="Q329" s="28"/>
      <c r="R329" s="28"/>
      <c r="S329" s="28"/>
      <c r="T329" s="28"/>
      <c r="U329" s="28"/>
      <c r="V329" s="28"/>
    </row>
    <row r="330" ht="13.5" customHeight="1">
      <c r="A330" s="28"/>
      <c r="B330" s="28"/>
      <c r="C330" s="28"/>
      <c r="D330" s="28"/>
      <c r="E330" s="28"/>
      <c r="F330" s="28"/>
      <c r="G330" s="28"/>
      <c r="H330" s="28"/>
      <c r="I330" s="28"/>
      <c r="J330" s="28"/>
      <c r="K330" s="28"/>
      <c r="L330" s="28"/>
      <c r="M330" s="28"/>
      <c r="N330" s="28"/>
      <c r="O330" s="28"/>
      <c r="P330" s="28"/>
      <c r="Q330" s="28"/>
      <c r="R330" s="28"/>
      <c r="S330" s="28"/>
      <c r="T330" s="28"/>
      <c r="U330" s="28"/>
      <c r="V330" s="28"/>
    </row>
    <row r="331" ht="13.5" customHeight="1">
      <c r="A331" s="28"/>
      <c r="B331" s="28"/>
      <c r="C331" s="28"/>
      <c r="D331" s="28"/>
      <c r="E331" s="28"/>
      <c r="F331" s="28"/>
      <c r="G331" s="28"/>
      <c r="H331" s="28"/>
      <c r="I331" s="28"/>
      <c r="J331" s="28"/>
      <c r="K331" s="28"/>
      <c r="L331" s="28"/>
      <c r="M331" s="28"/>
      <c r="N331" s="28"/>
      <c r="O331" s="28"/>
      <c r="P331" s="28"/>
      <c r="Q331" s="28"/>
      <c r="R331" s="28"/>
      <c r="S331" s="28"/>
      <c r="T331" s="28"/>
      <c r="U331" s="28"/>
      <c r="V331" s="28"/>
    </row>
    <row r="332" ht="13.5" customHeight="1">
      <c r="A332" s="28"/>
      <c r="B332" s="28"/>
      <c r="C332" s="28"/>
      <c r="D332" s="28"/>
      <c r="E332" s="28"/>
      <c r="F332" s="28"/>
      <c r="G332" s="28"/>
      <c r="H332" s="28"/>
      <c r="I332" s="28"/>
      <c r="J332" s="28"/>
      <c r="K332" s="28"/>
      <c r="L332" s="28"/>
      <c r="M332" s="28"/>
      <c r="N332" s="28"/>
      <c r="O332" s="28"/>
      <c r="P332" s="28"/>
      <c r="Q332" s="28"/>
      <c r="R332" s="28"/>
      <c r="S332" s="28"/>
      <c r="T332" s="28"/>
      <c r="U332" s="28"/>
      <c r="V332" s="28"/>
    </row>
    <row r="333" ht="13.5" customHeight="1">
      <c r="A333" s="28"/>
      <c r="B333" s="28"/>
      <c r="C333" s="28"/>
      <c r="D333" s="28"/>
      <c r="E333" s="28"/>
      <c r="F333" s="28"/>
      <c r="G333" s="28"/>
      <c r="H333" s="28"/>
      <c r="I333" s="28"/>
      <c r="J333" s="28"/>
      <c r="K333" s="28"/>
      <c r="L333" s="28"/>
      <c r="M333" s="28"/>
      <c r="N333" s="28"/>
      <c r="O333" s="28"/>
      <c r="P333" s="28"/>
      <c r="Q333" s="28"/>
      <c r="R333" s="28"/>
      <c r="S333" s="28"/>
      <c r="T333" s="28"/>
      <c r="U333" s="28"/>
      <c r="V333" s="28"/>
    </row>
    <row r="334" ht="13.5" customHeight="1">
      <c r="A334" s="28"/>
      <c r="B334" s="28"/>
      <c r="C334" s="28"/>
      <c r="D334" s="28"/>
      <c r="E334" s="28"/>
      <c r="F334" s="28"/>
      <c r="G334" s="28"/>
      <c r="H334" s="28"/>
      <c r="I334" s="28"/>
      <c r="J334" s="28"/>
      <c r="K334" s="28"/>
      <c r="L334" s="28"/>
      <c r="M334" s="28"/>
      <c r="N334" s="28"/>
      <c r="O334" s="28"/>
      <c r="P334" s="28"/>
      <c r="Q334" s="28"/>
      <c r="R334" s="28"/>
      <c r="S334" s="28"/>
      <c r="T334" s="28"/>
      <c r="U334" s="28"/>
      <c r="V334" s="28"/>
    </row>
    <row r="335" ht="13.5" customHeight="1">
      <c r="A335" s="28"/>
      <c r="B335" s="28"/>
      <c r="C335" s="28"/>
      <c r="D335" s="28"/>
      <c r="E335" s="28"/>
      <c r="F335" s="28"/>
      <c r="G335" s="28"/>
      <c r="H335" s="28"/>
      <c r="I335" s="28"/>
      <c r="J335" s="28"/>
      <c r="K335" s="28"/>
      <c r="L335" s="28"/>
      <c r="M335" s="28"/>
      <c r="N335" s="28"/>
      <c r="O335" s="28"/>
      <c r="P335" s="28"/>
      <c r="Q335" s="28"/>
      <c r="R335" s="28"/>
      <c r="S335" s="28"/>
      <c r="T335" s="28"/>
      <c r="U335" s="28"/>
      <c r="V335" s="28"/>
    </row>
    <row r="336" ht="13.5" customHeight="1">
      <c r="A336" s="28"/>
      <c r="B336" s="28"/>
      <c r="C336" s="28"/>
      <c r="D336" s="28"/>
      <c r="E336" s="28"/>
      <c r="F336" s="28"/>
      <c r="G336" s="28"/>
      <c r="H336" s="28"/>
      <c r="I336" s="28"/>
      <c r="J336" s="28"/>
      <c r="K336" s="28"/>
      <c r="L336" s="28"/>
      <c r="M336" s="28"/>
      <c r="N336" s="28"/>
      <c r="O336" s="28"/>
      <c r="P336" s="28"/>
      <c r="Q336" s="28"/>
      <c r="R336" s="28"/>
      <c r="S336" s="28"/>
      <c r="T336" s="28"/>
      <c r="U336" s="28"/>
      <c r="V336" s="28"/>
    </row>
    <row r="337" ht="13.5" customHeight="1">
      <c r="A337" s="28"/>
      <c r="B337" s="28"/>
      <c r="C337" s="28"/>
      <c r="D337" s="28"/>
      <c r="E337" s="28"/>
      <c r="F337" s="28"/>
      <c r="G337" s="28"/>
      <c r="H337" s="28"/>
      <c r="I337" s="28"/>
      <c r="J337" s="28"/>
      <c r="K337" s="28"/>
      <c r="L337" s="28"/>
      <c r="M337" s="28"/>
      <c r="N337" s="28"/>
      <c r="O337" s="28"/>
      <c r="P337" s="28"/>
      <c r="Q337" s="28"/>
      <c r="R337" s="28"/>
      <c r="S337" s="28"/>
      <c r="T337" s="28"/>
      <c r="U337" s="28"/>
      <c r="V337" s="28"/>
    </row>
    <row r="338" ht="13.5" customHeight="1">
      <c r="A338" s="28"/>
      <c r="B338" s="28"/>
      <c r="C338" s="28"/>
      <c r="D338" s="28"/>
      <c r="E338" s="28"/>
      <c r="F338" s="28"/>
      <c r="G338" s="28"/>
      <c r="H338" s="28"/>
      <c r="I338" s="28"/>
      <c r="J338" s="28"/>
      <c r="K338" s="28"/>
      <c r="L338" s="28"/>
      <c r="M338" s="28"/>
      <c r="N338" s="28"/>
      <c r="O338" s="28"/>
      <c r="P338" s="28"/>
      <c r="Q338" s="28"/>
      <c r="R338" s="28"/>
      <c r="S338" s="28"/>
      <c r="T338" s="28"/>
      <c r="U338" s="28"/>
      <c r="V338" s="28"/>
    </row>
    <row r="339" ht="13.5" customHeight="1">
      <c r="A339" s="28"/>
      <c r="B339" s="28"/>
      <c r="C339" s="28"/>
      <c r="D339" s="28"/>
      <c r="E339" s="28"/>
      <c r="F339" s="28"/>
      <c r="G339" s="28"/>
      <c r="H339" s="28"/>
      <c r="I339" s="28"/>
      <c r="J339" s="28"/>
      <c r="K339" s="28"/>
      <c r="L339" s="28"/>
      <c r="M339" s="28"/>
      <c r="N339" s="28"/>
      <c r="O339" s="28"/>
      <c r="P339" s="28"/>
      <c r="Q339" s="28"/>
      <c r="R339" s="28"/>
      <c r="S339" s="28"/>
      <c r="T339" s="28"/>
      <c r="U339" s="28"/>
      <c r="V339" s="28"/>
    </row>
    <row r="340" ht="13.5" customHeight="1">
      <c r="A340" s="28"/>
      <c r="B340" s="28"/>
      <c r="C340" s="28"/>
      <c r="D340" s="28"/>
      <c r="E340" s="28"/>
      <c r="F340" s="28"/>
      <c r="G340" s="28"/>
      <c r="H340" s="28"/>
      <c r="I340" s="28"/>
      <c r="J340" s="28"/>
      <c r="K340" s="28"/>
      <c r="L340" s="28"/>
      <c r="M340" s="28"/>
      <c r="N340" s="28"/>
      <c r="O340" s="28"/>
      <c r="P340" s="28"/>
      <c r="Q340" s="28"/>
      <c r="R340" s="28"/>
      <c r="S340" s="28"/>
      <c r="T340" s="28"/>
      <c r="U340" s="28"/>
      <c r="V340" s="28"/>
    </row>
    <row r="341" ht="13.5" customHeight="1">
      <c r="A341" s="28"/>
      <c r="B341" s="28"/>
      <c r="C341" s="28"/>
      <c r="D341" s="28"/>
      <c r="E341" s="28"/>
      <c r="F341" s="28"/>
      <c r="G341" s="28"/>
      <c r="H341" s="28"/>
      <c r="I341" s="28"/>
      <c r="J341" s="28"/>
      <c r="K341" s="28"/>
      <c r="L341" s="28"/>
      <c r="M341" s="28"/>
      <c r="N341" s="28"/>
      <c r="O341" s="28"/>
      <c r="P341" s="28"/>
      <c r="Q341" s="28"/>
      <c r="R341" s="28"/>
      <c r="S341" s="28"/>
      <c r="T341" s="28"/>
      <c r="U341" s="28"/>
      <c r="V341" s="28"/>
    </row>
    <row r="342" ht="13.5" customHeight="1">
      <c r="A342" s="28"/>
      <c r="B342" s="28"/>
      <c r="C342" s="28"/>
      <c r="D342" s="28"/>
      <c r="E342" s="28"/>
      <c r="F342" s="28"/>
      <c r="G342" s="28"/>
      <c r="H342" s="28"/>
      <c r="I342" s="28"/>
      <c r="J342" s="28"/>
      <c r="K342" s="28"/>
      <c r="L342" s="28"/>
      <c r="M342" s="28"/>
      <c r="N342" s="28"/>
      <c r="O342" s="28"/>
      <c r="P342" s="28"/>
      <c r="Q342" s="28"/>
      <c r="R342" s="28"/>
      <c r="S342" s="28"/>
      <c r="T342" s="28"/>
      <c r="U342" s="28"/>
      <c r="V342" s="28"/>
    </row>
    <row r="343" ht="13.5" customHeight="1">
      <c r="A343" s="28"/>
      <c r="B343" s="28"/>
      <c r="C343" s="28"/>
      <c r="D343" s="28"/>
      <c r="E343" s="28"/>
      <c r="F343" s="28"/>
      <c r="G343" s="28"/>
      <c r="H343" s="28"/>
      <c r="I343" s="28"/>
      <c r="J343" s="28"/>
      <c r="K343" s="28"/>
      <c r="L343" s="28"/>
      <c r="M343" s="28"/>
      <c r="N343" s="28"/>
      <c r="O343" s="28"/>
      <c r="P343" s="28"/>
      <c r="Q343" s="28"/>
      <c r="R343" s="28"/>
      <c r="S343" s="28"/>
      <c r="T343" s="28"/>
      <c r="U343" s="28"/>
      <c r="V343" s="28"/>
    </row>
    <row r="344" ht="13.5" customHeight="1">
      <c r="A344" s="28"/>
      <c r="B344" s="28"/>
      <c r="C344" s="28"/>
      <c r="D344" s="28"/>
      <c r="E344" s="28"/>
      <c r="F344" s="28"/>
      <c r="G344" s="28"/>
      <c r="H344" s="28"/>
      <c r="I344" s="28"/>
      <c r="J344" s="28"/>
      <c r="K344" s="28"/>
      <c r="L344" s="28"/>
      <c r="M344" s="28"/>
      <c r="N344" s="28"/>
      <c r="O344" s="28"/>
      <c r="P344" s="28"/>
      <c r="Q344" s="28"/>
      <c r="R344" s="28"/>
      <c r="S344" s="28"/>
      <c r="T344" s="28"/>
      <c r="U344" s="28"/>
      <c r="V344" s="28"/>
    </row>
    <row r="345" ht="13.5" customHeight="1">
      <c r="A345" s="28"/>
      <c r="B345" s="28"/>
      <c r="C345" s="28"/>
      <c r="D345" s="28"/>
      <c r="E345" s="28"/>
      <c r="F345" s="28"/>
      <c r="G345" s="28"/>
      <c r="H345" s="28"/>
      <c r="I345" s="28"/>
      <c r="J345" s="28"/>
      <c r="K345" s="28"/>
      <c r="L345" s="28"/>
      <c r="M345" s="28"/>
      <c r="N345" s="28"/>
      <c r="O345" s="28"/>
      <c r="P345" s="28"/>
      <c r="Q345" s="28"/>
      <c r="R345" s="28"/>
      <c r="S345" s="28"/>
      <c r="T345" s="28"/>
      <c r="U345" s="28"/>
      <c r="V345" s="28"/>
    </row>
    <row r="346" ht="13.5" customHeight="1">
      <c r="A346" s="28"/>
      <c r="B346" s="28"/>
      <c r="C346" s="28"/>
      <c r="D346" s="28"/>
      <c r="E346" s="28"/>
      <c r="F346" s="28"/>
      <c r="G346" s="28"/>
      <c r="H346" s="28"/>
      <c r="I346" s="28"/>
      <c r="J346" s="28"/>
      <c r="K346" s="28"/>
      <c r="L346" s="28"/>
      <c r="M346" s="28"/>
      <c r="N346" s="28"/>
      <c r="O346" s="28"/>
      <c r="P346" s="28"/>
      <c r="Q346" s="28"/>
      <c r="R346" s="28"/>
      <c r="S346" s="28"/>
      <c r="T346" s="28"/>
      <c r="U346" s="28"/>
      <c r="V346" s="28"/>
    </row>
    <row r="347" ht="13.5" customHeight="1">
      <c r="A347" s="28"/>
      <c r="B347" s="28"/>
      <c r="C347" s="28"/>
      <c r="D347" s="28"/>
      <c r="E347" s="28"/>
      <c r="F347" s="28"/>
      <c r="G347" s="28"/>
      <c r="H347" s="28"/>
      <c r="I347" s="28"/>
      <c r="J347" s="28"/>
      <c r="K347" s="28"/>
      <c r="L347" s="28"/>
      <c r="M347" s="28"/>
      <c r="N347" s="28"/>
      <c r="O347" s="28"/>
      <c r="P347" s="28"/>
      <c r="Q347" s="28"/>
      <c r="R347" s="28"/>
      <c r="S347" s="28"/>
      <c r="T347" s="28"/>
      <c r="U347" s="28"/>
      <c r="V347" s="28"/>
    </row>
    <row r="348" ht="13.5" customHeight="1">
      <c r="A348" s="28"/>
      <c r="B348" s="28"/>
      <c r="C348" s="28"/>
      <c r="D348" s="28"/>
      <c r="E348" s="28"/>
      <c r="F348" s="28"/>
      <c r="G348" s="28"/>
      <c r="H348" s="28"/>
      <c r="I348" s="28"/>
      <c r="J348" s="28"/>
      <c r="K348" s="28"/>
      <c r="L348" s="28"/>
      <c r="M348" s="28"/>
      <c r="N348" s="28"/>
      <c r="O348" s="28"/>
      <c r="P348" s="28"/>
      <c r="Q348" s="28"/>
      <c r="R348" s="28"/>
      <c r="S348" s="28"/>
      <c r="T348" s="28"/>
      <c r="U348" s="28"/>
      <c r="V348" s="28"/>
    </row>
    <row r="349" ht="13.5" customHeight="1">
      <c r="A349" s="28"/>
      <c r="B349" s="28"/>
      <c r="C349" s="28"/>
      <c r="D349" s="28"/>
      <c r="E349" s="28"/>
      <c r="F349" s="28"/>
      <c r="G349" s="28"/>
      <c r="H349" s="28"/>
      <c r="I349" s="28"/>
      <c r="J349" s="28"/>
      <c r="K349" s="28"/>
      <c r="L349" s="28"/>
      <c r="M349" s="28"/>
      <c r="N349" s="28"/>
      <c r="O349" s="28"/>
      <c r="P349" s="28"/>
      <c r="Q349" s="28"/>
      <c r="R349" s="28"/>
      <c r="S349" s="28"/>
      <c r="T349" s="28"/>
      <c r="U349" s="28"/>
      <c r="V349" s="28"/>
    </row>
    <row r="350" ht="13.5" customHeight="1">
      <c r="A350" s="28"/>
      <c r="B350" s="28"/>
      <c r="C350" s="28"/>
      <c r="D350" s="28"/>
      <c r="E350" s="28"/>
      <c r="F350" s="28"/>
      <c r="G350" s="28"/>
      <c r="H350" s="28"/>
      <c r="I350" s="28"/>
      <c r="J350" s="28"/>
      <c r="K350" s="28"/>
      <c r="L350" s="28"/>
      <c r="M350" s="28"/>
      <c r="N350" s="28"/>
      <c r="O350" s="28"/>
      <c r="P350" s="28"/>
      <c r="Q350" s="28"/>
      <c r="R350" s="28"/>
      <c r="S350" s="28"/>
      <c r="T350" s="28"/>
      <c r="U350" s="28"/>
      <c r="V350" s="28"/>
    </row>
    <row r="351" ht="13.5" customHeight="1">
      <c r="A351" s="28"/>
      <c r="B351" s="28"/>
      <c r="C351" s="28"/>
      <c r="D351" s="28"/>
      <c r="E351" s="28"/>
      <c r="F351" s="28"/>
      <c r="G351" s="28"/>
      <c r="H351" s="28"/>
      <c r="I351" s="28"/>
      <c r="J351" s="28"/>
      <c r="K351" s="28"/>
      <c r="L351" s="28"/>
      <c r="M351" s="28"/>
      <c r="N351" s="28"/>
      <c r="O351" s="28"/>
      <c r="P351" s="28"/>
      <c r="Q351" s="28"/>
      <c r="R351" s="28"/>
      <c r="S351" s="28"/>
      <c r="T351" s="28"/>
      <c r="U351" s="28"/>
      <c r="V351" s="28"/>
    </row>
    <row r="352" ht="13.5" customHeight="1">
      <c r="A352" s="28"/>
      <c r="B352" s="28"/>
      <c r="C352" s="28"/>
      <c r="D352" s="28"/>
      <c r="E352" s="28"/>
      <c r="F352" s="28"/>
      <c r="G352" s="28"/>
      <c r="H352" s="28"/>
      <c r="I352" s="28"/>
      <c r="J352" s="28"/>
      <c r="K352" s="28"/>
      <c r="L352" s="28"/>
      <c r="M352" s="28"/>
      <c r="N352" s="28"/>
      <c r="O352" s="28"/>
      <c r="P352" s="28"/>
      <c r="Q352" s="28"/>
      <c r="R352" s="28"/>
      <c r="S352" s="28"/>
      <c r="T352" s="28"/>
      <c r="U352" s="28"/>
      <c r="V352" s="28"/>
    </row>
    <row r="353" ht="13.5" customHeight="1">
      <c r="A353" s="28"/>
      <c r="B353" s="28"/>
      <c r="C353" s="28"/>
      <c r="D353" s="28"/>
      <c r="E353" s="28"/>
      <c r="F353" s="28"/>
      <c r="G353" s="28"/>
      <c r="H353" s="28"/>
      <c r="I353" s="28"/>
      <c r="J353" s="28"/>
      <c r="K353" s="28"/>
      <c r="L353" s="28"/>
      <c r="M353" s="28"/>
      <c r="N353" s="28"/>
      <c r="O353" s="28"/>
      <c r="P353" s="28"/>
      <c r="Q353" s="28"/>
      <c r="R353" s="28"/>
      <c r="S353" s="28"/>
      <c r="T353" s="28"/>
      <c r="U353" s="28"/>
      <c r="V353" s="28"/>
    </row>
    <row r="354" ht="13.5" customHeight="1">
      <c r="A354" s="28"/>
      <c r="B354" s="28"/>
      <c r="C354" s="28"/>
      <c r="D354" s="28"/>
      <c r="E354" s="28"/>
      <c r="F354" s="28"/>
      <c r="G354" s="28"/>
      <c r="H354" s="28"/>
      <c r="I354" s="28"/>
      <c r="J354" s="28"/>
      <c r="K354" s="28"/>
      <c r="L354" s="28"/>
      <c r="M354" s="28"/>
      <c r="N354" s="28"/>
      <c r="O354" s="28"/>
      <c r="P354" s="28"/>
      <c r="Q354" s="28"/>
      <c r="R354" s="28"/>
      <c r="S354" s="28"/>
      <c r="T354" s="28"/>
      <c r="U354" s="28"/>
      <c r="V354" s="28"/>
    </row>
    <row r="355" ht="13.5" customHeight="1">
      <c r="A355" s="28"/>
      <c r="B355" s="28"/>
      <c r="C355" s="28"/>
      <c r="D355" s="28"/>
      <c r="E355" s="28"/>
      <c r="F355" s="28"/>
      <c r="G355" s="28"/>
      <c r="H355" s="28"/>
      <c r="I355" s="28"/>
      <c r="J355" s="28"/>
      <c r="K355" s="28"/>
      <c r="L355" s="28"/>
      <c r="M355" s="28"/>
      <c r="N355" s="28"/>
      <c r="O355" s="28"/>
      <c r="P355" s="28"/>
      <c r="Q355" s="28"/>
      <c r="R355" s="28"/>
      <c r="S355" s="28"/>
      <c r="T355" s="28"/>
      <c r="U355" s="28"/>
      <c r="V355" s="28"/>
    </row>
    <row r="356" ht="13.5" customHeight="1">
      <c r="A356" s="28"/>
      <c r="B356" s="28"/>
      <c r="C356" s="28"/>
      <c r="D356" s="28"/>
      <c r="E356" s="28"/>
      <c r="F356" s="28"/>
      <c r="G356" s="28"/>
      <c r="H356" s="28"/>
      <c r="I356" s="28"/>
      <c r="J356" s="28"/>
      <c r="K356" s="28"/>
      <c r="L356" s="28"/>
      <c r="M356" s="28"/>
      <c r="N356" s="28"/>
      <c r="O356" s="28"/>
      <c r="P356" s="28"/>
      <c r="Q356" s="28"/>
      <c r="R356" s="28"/>
      <c r="S356" s="28"/>
      <c r="T356" s="28"/>
      <c r="U356" s="28"/>
      <c r="V356" s="28"/>
    </row>
    <row r="357" ht="13.5" customHeight="1">
      <c r="A357" s="28"/>
      <c r="B357" s="28"/>
      <c r="C357" s="28"/>
      <c r="D357" s="28"/>
      <c r="E357" s="28"/>
      <c r="F357" s="28"/>
      <c r="G357" s="28"/>
      <c r="H357" s="28"/>
      <c r="I357" s="28"/>
      <c r="J357" s="28"/>
      <c r="K357" s="28"/>
      <c r="L357" s="28"/>
      <c r="M357" s="28"/>
      <c r="N357" s="28"/>
      <c r="O357" s="28"/>
      <c r="P357" s="28"/>
      <c r="Q357" s="28"/>
      <c r="R357" s="28"/>
      <c r="S357" s="28"/>
      <c r="T357" s="28"/>
      <c r="U357" s="28"/>
      <c r="V357" s="28"/>
    </row>
    <row r="358" ht="13.5" customHeight="1">
      <c r="A358" s="28"/>
      <c r="B358" s="28"/>
      <c r="C358" s="28"/>
      <c r="D358" s="28"/>
      <c r="E358" s="28"/>
      <c r="F358" s="28"/>
      <c r="G358" s="28"/>
      <c r="H358" s="28"/>
      <c r="I358" s="28"/>
      <c r="J358" s="28"/>
      <c r="K358" s="28"/>
      <c r="L358" s="28"/>
      <c r="M358" s="28"/>
      <c r="N358" s="28"/>
      <c r="O358" s="28"/>
      <c r="P358" s="28"/>
      <c r="Q358" s="28"/>
      <c r="R358" s="28"/>
      <c r="S358" s="28"/>
      <c r="T358" s="28"/>
      <c r="U358" s="28"/>
      <c r="V358" s="28"/>
    </row>
    <row r="359" ht="13.5" customHeight="1">
      <c r="A359" s="28"/>
      <c r="B359" s="28"/>
      <c r="C359" s="28"/>
      <c r="D359" s="28"/>
      <c r="E359" s="28"/>
      <c r="F359" s="28"/>
      <c r="G359" s="28"/>
      <c r="H359" s="28"/>
      <c r="I359" s="28"/>
      <c r="J359" s="28"/>
      <c r="K359" s="28"/>
      <c r="L359" s="28"/>
      <c r="M359" s="28"/>
      <c r="N359" s="28"/>
      <c r="O359" s="28"/>
      <c r="P359" s="28"/>
      <c r="Q359" s="28"/>
      <c r="R359" s="28"/>
      <c r="S359" s="28"/>
      <c r="T359" s="28"/>
      <c r="U359" s="28"/>
      <c r="V359" s="28"/>
    </row>
    <row r="360" ht="13.5" customHeight="1">
      <c r="A360" s="28"/>
      <c r="B360" s="28"/>
      <c r="C360" s="28"/>
      <c r="D360" s="28"/>
      <c r="E360" s="28"/>
      <c r="F360" s="28"/>
      <c r="G360" s="28"/>
      <c r="H360" s="28"/>
      <c r="I360" s="28"/>
      <c r="J360" s="28"/>
      <c r="K360" s="28"/>
      <c r="L360" s="28"/>
      <c r="M360" s="28"/>
      <c r="N360" s="28"/>
      <c r="O360" s="28"/>
      <c r="P360" s="28"/>
      <c r="Q360" s="28"/>
      <c r="R360" s="28"/>
      <c r="S360" s="28"/>
      <c r="T360" s="28"/>
      <c r="U360" s="28"/>
      <c r="V360" s="28"/>
    </row>
    <row r="361" ht="13.5" customHeight="1">
      <c r="A361" s="28"/>
      <c r="B361" s="28"/>
      <c r="C361" s="28"/>
      <c r="D361" s="28"/>
      <c r="E361" s="28"/>
      <c r="F361" s="28"/>
      <c r="G361" s="28"/>
      <c r="H361" s="28"/>
      <c r="I361" s="28"/>
      <c r="J361" s="28"/>
      <c r="K361" s="28"/>
      <c r="L361" s="28"/>
      <c r="M361" s="28"/>
      <c r="N361" s="28"/>
      <c r="O361" s="28"/>
      <c r="P361" s="28"/>
      <c r="Q361" s="28"/>
      <c r="R361" s="28"/>
      <c r="S361" s="28"/>
      <c r="T361" s="28"/>
      <c r="U361" s="28"/>
      <c r="V361" s="28"/>
    </row>
    <row r="362" ht="13.5" customHeight="1">
      <c r="A362" s="28"/>
      <c r="B362" s="28"/>
      <c r="C362" s="28"/>
      <c r="D362" s="28"/>
      <c r="E362" s="28"/>
      <c r="F362" s="28"/>
      <c r="G362" s="28"/>
      <c r="H362" s="28"/>
      <c r="I362" s="28"/>
      <c r="J362" s="28"/>
      <c r="K362" s="28"/>
      <c r="L362" s="28"/>
      <c r="M362" s="28"/>
      <c r="N362" s="28"/>
      <c r="O362" s="28"/>
      <c r="P362" s="28"/>
      <c r="Q362" s="28"/>
      <c r="R362" s="28"/>
      <c r="S362" s="28"/>
      <c r="T362" s="28"/>
      <c r="U362" s="28"/>
      <c r="V362" s="28"/>
    </row>
    <row r="363" ht="13.5" customHeight="1">
      <c r="A363" s="28"/>
      <c r="B363" s="28"/>
      <c r="C363" s="28"/>
      <c r="D363" s="28"/>
      <c r="E363" s="28"/>
      <c r="F363" s="28"/>
      <c r="G363" s="28"/>
      <c r="H363" s="28"/>
      <c r="I363" s="28"/>
      <c r="J363" s="28"/>
      <c r="K363" s="28"/>
      <c r="L363" s="28"/>
      <c r="M363" s="28"/>
      <c r="N363" s="28"/>
      <c r="O363" s="28"/>
      <c r="P363" s="28"/>
      <c r="Q363" s="28"/>
      <c r="R363" s="28"/>
      <c r="S363" s="28"/>
      <c r="T363" s="28"/>
      <c r="U363" s="28"/>
      <c r="V363" s="28"/>
    </row>
    <row r="364" ht="13.5" customHeight="1">
      <c r="A364" s="28"/>
      <c r="B364" s="28"/>
      <c r="C364" s="28"/>
      <c r="D364" s="28"/>
      <c r="E364" s="28"/>
      <c r="F364" s="28"/>
      <c r="G364" s="28"/>
      <c r="H364" s="28"/>
      <c r="I364" s="28"/>
      <c r="J364" s="28"/>
      <c r="K364" s="28"/>
      <c r="L364" s="28"/>
      <c r="M364" s="28"/>
      <c r="N364" s="28"/>
      <c r="O364" s="28"/>
      <c r="P364" s="28"/>
      <c r="Q364" s="28"/>
      <c r="R364" s="28"/>
      <c r="S364" s="28"/>
      <c r="T364" s="28"/>
      <c r="U364" s="28"/>
      <c r="V364" s="28"/>
    </row>
    <row r="365" ht="13.5" customHeight="1">
      <c r="A365" s="28"/>
      <c r="B365" s="28"/>
      <c r="C365" s="28"/>
      <c r="D365" s="28"/>
      <c r="E365" s="28"/>
      <c r="F365" s="28"/>
      <c r="G365" s="28"/>
      <c r="H365" s="28"/>
      <c r="I365" s="28"/>
      <c r="J365" s="28"/>
      <c r="K365" s="28"/>
      <c r="L365" s="28"/>
      <c r="M365" s="28"/>
      <c r="N365" s="28"/>
      <c r="O365" s="28"/>
      <c r="P365" s="28"/>
      <c r="Q365" s="28"/>
      <c r="R365" s="28"/>
      <c r="S365" s="28"/>
      <c r="T365" s="28"/>
      <c r="U365" s="28"/>
      <c r="V365" s="28"/>
    </row>
    <row r="366" ht="13.5" customHeight="1">
      <c r="A366" s="28"/>
      <c r="B366" s="28"/>
      <c r="C366" s="28"/>
      <c r="D366" s="28"/>
      <c r="E366" s="28"/>
      <c r="F366" s="28"/>
      <c r="G366" s="28"/>
      <c r="H366" s="28"/>
      <c r="I366" s="28"/>
      <c r="J366" s="28"/>
      <c r="K366" s="28"/>
      <c r="L366" s="28"/>
      <c r="M366" s="28"/>
      <c r="N366" s="28"/>
      <c r="O366" s="28"/>
      <c r="P366" s="28"/>
      <c r="Q366" s="28"/>
      <c r="R366" s="28"/>
      <c r="S366" s="28"/>
      <c r="T366" s="28"/>
      <c r="U366" s="28"/>
      <c r="V366" s="28"/>
    </row>
    <row r="367" ht="13.5" customHeight="1">
      <c r="A367" s="28"/>
      <c r="B367" s="28"/>
      <c r="C367" s="28"/>
      <c r="D367" s="28"/>
      <c r="E367" s="28"/>
      <c r="F367" s="28"/>
      <c r="G367" s="28"/>
      <c r="H367" s="28"/>
      <c r="I367" s="28"/>
      <c r="J367" s="28"/>
      <c r="K367" s="28"/>
      <c r="L367" s="28"/>
      <c r="M367" s="28"/>
      <c r="N367" s="28"/>
      <c r="O367" s="28"/>
      <c r="P367" s="28"/>
      <c r="Q367" s="28"/>
      <c r="R367" s="28"/>
      <c r="S367" s="28"/>
      <c r="T367" s="28"/>
      <c r="U367" s="28"/>
      <c r="V367" s="28"/>
    </row>
    <row r="368" ht="13.5" customHeight="1">
      <c r="A368" s="28"/>
      <c r="B368" s="28"/>
      <c r="C368" s="28"/>
      <c r="D368" s="28"/>
      <c r="E368" s="28"/>
      <c r="F368" s="28"/>
      <c r="G368" s="28"/>
      <c r="H368" s="28"/>
      <c r="I368" s="28"/>
      <c r="J368" s="28"/>
      <c r="K368" s="28"/>
      <c r="L368" s="28"/>
      <c r="M368" s="28"/>
      <c r="N368" s="28"/>
      <c r="O368" s="28"/>
      <c r="P368" s="28"/>
      <c r="Q368" s="28"/>
      <c r="R368" s="28"/>
      <c r="S368" s="28"/>
      <c r="T368" s="28"/>
      <c r="U368" s="28"/>
      <c r="V368" s="28"/>
    </row>
    <row r="369" ht="13.5" customHeight="1">
      <c r="A369" s="28"/>
      <c r="B369" s="28"/>
      <c r="C369" s="28"/>
      <c r="D369" s="28"/>
      <c r="E369" s="28"/>
      <c r="F369" s="28"/>
      <c r="G369" s="28"/>
      <c r="H369" s="28"/>
      <c r="I369" s="28"/>
      <c r="J369" s="28"/>
      <c r="K369" s="28"/>
      <c r="L369" s="28"/>
      <c r="M369" s="28"/>
      <c r="N369" s="28"/>
      <c r="O369" s="28"/>
      <c r="P369" s="28"/>
      <c r="Q369" s="28"/>
      <c r="R369" s="28"/>
      <c r="S369" s="28"/>
      <c r="T369" s="28"/>
      <c r="U369" s="28"/>
      <c r="V369" s="28"/>
    </row>
    <row r="370" ht="13.5" customHeight="1">
      <c r="A370" s="28"/>
      <c r="B370" s="28"/>
      <c r="C370" s="28"/>
      <c r="D370" s="28"/>
      <c r="E370" s="28"/>
      <c r="F370" s="28"/>
      <c r="G370" s="28"/>
      <c r="H370" s="28"/>
      <c r="I370" s="28"/>
      <c r="J370" s="28"/>
      <c r="K370" s="28"/>
      <c r="L370" s="28"/>
      <c r="M370" s="28"/>
      <c r="N370" s="28"/>
      <c r="O370" s="28"/>
      <c r="P370" s="28"/>
      <c r="Q370" s="28"/>
      <c r="R370" s="28"/>
      <c r="S370" s="28"/>
      <c r="T370" s="28"/>
      <c r="U370" s="28"/>
      <c r="V370" s="28"/>
    </row>
    <row r="371" ht="13.5" customHeight="1">
      <c r="A371" s="28"/>
      <c r="B371" s="28"/>
      <c r="C371" s="28"/>
      <c r="D371" s="28"/>
      <c r="E371" s="28"/>
      <c r="F371" s="28"/>
      <c r="G371" s="28"/>
      <c r="H371" s="28"/>
      <c r="I371" s="28"/>
      <c r="J371" s="28"/>
      <c r="K371" s="28"/>
      <c r="L371" s="28"/>
      <c r="M371" s="28"/>
      <c r="N371" s="28"/>
      <c r="O371" s="28"/>
      <c r="P371" s="28"/>
      <c r="Q371" s="28"/>
      <c r="R371" s="28"/>
      <c r="S371" s="28"/>
      <c r="T371" s="28"/>
      <c r="U371" s="28"/>
      <c r="V371" s="28"/>
    </row>
    <row r="372" ht="13.5" customHeight="1">
      <c r="A372" s="28"/>
      <c r="B372" s="28"/>
      <c r="C372" s="28"/>
      <c r="D372" s="28"/>
      <c r="E372" s="28"/>
      <c r="F372" s="28"/>
      <c r="G372" s="28"/>
      <c r="H372" s="28"/>
      <c r="I372" s="28"/>
      <c r="J372" s="28"/>
      <c r="K372" s="28"/>
      <c r="L372" s="28"/>
      <c r="M372" s="28"/>
      <c r="N372" s="28"/>
      <c r="O372" s="28"/>
      <c r="P372" s="28"/>
      <c r="Q372" s="28"/>
      <c r="R372" s="28"/>
      <c r="S372" s="28"/>
      <c r="T372" s="28"/>
      <c r="U372" s="28"/>
      <c r="V372" s="28"/>
    </row>
    <row r="373" ht="13.5" customHeight="1">
      <c r="A373" s="28"/>
      <c r="B373" s="28"/>
      <c r="C373" s="28"/>
      <c r="D373" s="28"/>
      <c r="E373" s="28"/>
      <c r="F373" s="28"/>
      <c r="G373" s="28"/>
      <c r="H373" s="28"/>
      <c r="I373" s="28"/>
      <c r="J373" s="28"/>
      <c r="K373" s="28"/>
      <c r="L373" s="28"/>
      <c r="M373" s="28"/>
      <c r="N373" s="28"/>
      <c r="O373" s="28"/>
      <c r="P373" s="28"/>
      <c r="Q373" s="28"/>
      <c r="R373" s="28"/>
      <c r="S373" s="28"/>
      <c r="T373" s="28"/>
      <c r="U373" s="28"/>
      <c r="V373" s="28"/>
    </row>
    <row r="374" ht="13.5" customHeight="1">
      <c r="A374" s="28"/>
      <c r="B374" s="28"/>
      <c r="C374" s="28"/>
      <c r="D374" s="28"/>
      <c r="E374" s="28"/>
      <c r="F374" s="28"/>
      <c r="G374" s="28"/>
      <c r="H374" s="28"/>
      <c r="I374" s="28"/>
      <c r="J374" s="28"/>
      <c r="K374" s="28"/>
      <c r="L374" s="28"/>
      <c r="M374" s="28"/>
      <c r="N374" s="28"/>
      <c r="O374" s="28"/>
      <c r="P374" s="28"/>
      <c r="Q374" s="28"/>
      <c r="R374" s="28"/>
      <c r="S374" s="28"/>
      <c r="T374" s="28"/>
      <c r="U374" s="28"/>
      <c r="V374" s="28"/>
    </row>
    <row r="375" ht="13.5" customHeight="1">
      <c r="A375" s="28"/>
      <c r="B375" s="28"/>
      <c r="C375" s="28"/>
      <c r="D375" s="28"/>
      <c r="E375" s="28"/>
      <c r="F375" s="28"/>
      <c r="G375" s="28"/>
      <c r="H375" s="28"/>
      <c r="I375" s="28"/>
      <c r="J375" s="28"/>
      <c r="K375" s="28"/>
      <c r="L375" s="28"/>
      <c r="M375" s="28"/>
      <c r="N375" s="28"/>
      <c r="O375" s="28"/>
      <c r="P375" s="28"/>
      <c r="Q375" s="28"/>
      <c r="R375" s="28"/>
      <c r="S375" s="28"/>
      <c r="T375" s="28"/>
      <c r="U375" s="28"/>
      <c r="V375" s="28"/>
    </row>
    <row r="376" ht="13.5" customHeight="1">
      <c r="A376" s="28"/>
      <c r="B376" s="28"/>
      <c r="C376" s="28"/>
      <c r="D376" s="28"/>
      <c r="E376" s="28"/>
      <c r="F376" s="28"/>
      <c r="G376" s="28"/>
      <c r="H376" s="28"/>
      <c r="I376" s="28"/>
      <c r="J376" s="28"/>
      <c r="K376" s="28"/>
      <c r="L376" s="28"/>
      <c r="M376" s="28"/>
      <c r="N376" s="28"/>
      <c r="O376" s="28"/>
      <c r="P376" s="28"/>
      <c r="Q376" s="28"/>
      <c r="R376" s="28"/>
      <c r="S376" s="28"/>
      <c r="T376" s="28"/>
      <c r="U376" s="28"/>
      <c r="V376" s="28"/>
    </row>
    <row r="377" ht="13.5" customHeight="1">
      <c r="A377" s="28"/>
      <c r="B377" s="28"/>
      <c r="C377" s="28"/>
      <c r="D377" s="28"/>
      <c r="E377" s="28"/>
      <c r="F377" s="28"/>
      <c r="G377" s="28"/>
      <c r="H377" s="28"/>
      <c r="I377" s="28"/>
      <c r="J377" s="28"/>
      <c r="K377" s="28"/>
      <c r="L377" s="28"/>
      <c r="M377" s="28"/>
      <c r="N377" s="28"/>
      <c r="O377" s="28"/>
      <c r="P377" s="28"/>
      <c r="Q377" s="28"/>
      <c r="R377" s="28"/>
      <c r="S377" s="28"/>
      <c r="T377" s="28"/>
      <c r="U377" s="28"/>
      <c r="V377" s="28"/>
    </row>
    <row r="378" ht="13.5" customHeight="1">
      <c r="A378" s="28"/>
      <c r="B378" s="28"/>
      <c r="C378" s="28"/>
      <c r="D378" s="28"/>
      <c r="E378" s="28"/>
      <c r="F378" s="28"/>
      <c r="G378" s="28"/>
      <c r="H378" s="28"/>
      <c r="I378" s="28"/>
      <c r="J378" s="28"/>
      <c r="K378" s="28"/>
      <c r="L378" s="28"/>
      <c r="M378" s="28"/>
      <c r="N378" s="28"/>
      <c r="O378" s="28"/>
      <c r="P378" s="28"/>
      <c r="Q378" s="28"/>
      <c r="R378" s="28"/>
      <c r="S378" s="28"/>
      <c r="T378" s="28"/>
      <c r="U378" s="28"/>
      <c r="V378" s="28"/>
    </row>
    <row r="379" ht="13.5" customHeight="1">
      <c r="A379" s="28"/>
      <c r="B379" s="28"/>
      <c r="C379" s="28"/>
      <c r="D379" s="28"/>
      <c r="E379" s="28"/>
      <c r="F379" s="28"/>
      <c r="G379" s="28"/>
      <c r="H379" s="28"/>
      <c r="I379" s="28"/>
      <c r="J379" s="28"/>
      <c r="K379" s="28"/>
      <c r="L379" s="28"/>
      <c r="M379" s="28"/>
      <c r="N379" s="28"/>
      <c r="O379" s="28"/>
      <c r="P379" s="28"/>
      <c r="Q379" s="28"/>
      <c r="R379" s="28"/>
      <c r="S379" s="28"/>
      <c r="T379" s="28"/>
      <c r="U379" s="28"/>
      <c r="V379" s="28"/>
    </row>
    <row r="380" ht="13.5" customHeight="1">
      <c r="A380" s="28"/>
      <c r="B380" s="28"/>
      <c r="C380" s="28"/>
      <c r="D380" s="28"/>
      <c r="E380" s="28"/>
      <c r="F380" s="28"/>
      <c r="G380" s="28"/>
      <c r="H380" s="28"/>
      <c r="I380" s="28"/>
      <c r="J380" s="28"/>
      <c r="K380" s="28"/>
      <c r="L380" s="28"/>
      <c r="M380" s="28"/>
      <c r="N380" s="28"/>
      <c r="O380" s="28"/>
      <c r="P380" s="28"/>
      <c r="Q380" s="28"/>
      <c r="R380" s="28"/>
      <c r="S380" s="28"/>
      <c r="T380" s="28"/>
      <c r="U380" s="28"/>
      <c r="V380" s="28"/>
    </row>
    <row r="381" ht="13.5" customHeight="1">
      <c r="A381" s="28"/>
      <c r="B381" s="28"/>
      <c r="C381" s="28"/>
      <c r="D381" s="28"/>
      <c r="E381" s="28"/>
      <c r="F381" s="28"/>
      <c r="G381" s="28"/>
      <c r="H381" s="28"/>
      <c r="I381" s="28"/>
      <c r="J381" s="28"/>
      <c r="K381" s="28"/>
      <c r="L381" s="28"/>
      <c r="M381" s="28"/>
      <c r="N381" s="28"/>
      <c r="O381" s="28"/>
      <c r="P381" s="28"/>
      <c r="Q381" s="28"/>
      <c r="R381" s="28"/>
      <c r="S381" s="28"/>
      <c r="T381" s="28"/>
      <c r="U381" s="28"/>
      <c r="V381" s="28"/>
    </row>
    <row r="382" ht="13.5" customHeight="1">
      <c r="A382" s="28"/>
      <c r="B382" s="28"/>
      <c r="C382" s="28"/>
      <c r="D382" s="28"/>
      <c r="E382" s="28"/>
      <c r="F382" s="28"/>
      <c r="G382" s="28"/>
      <c r="H382" s="28"/>
      <c r="I382" s="28"/>
      <c r="J382" s="28"/>
      <c r="K382" s="28"/>
      <c r="L382" s="28"/>
      <c r="M382" s="28"/>
      <c r="N382" s="28"/>
      <c r="O382" s="28"/>
      <c r="P382" s="28"/>
      <c r="Q382" s="28"/>
      <c r="R382" s="28"/>
      <c r="S382" s="28"/>
      <c r="T382" s="28"/>
      <c r="U382" s="28"/>
      <c r="V382" s="28"/>
    </row>
    <row r="383" ht="13.5" customHeight="1">
      <c r="A383" s="28"/>
      <c r="B383" s="28"/>
      <c r="C383" s="28"/>
      <c r="D383" s="28"/>
      <c r="E383" s="28"/>
      <c r="F383" s="28"/>
      <c r="G383" s="28"/>
      <c r="H383" s="28"/>
      <c r="I383" s="28"/>
      <c r="J383" s="28"/>
      <c r="K383" s="28"/>
      <c r="L383" s="28"/>
      <c r="M383" s="28"/>
      <c r="N383" s="28"/>
      <c r="O383" s="28"/>
      <c r="P383" s="28"/>
      <c r="Q383" s="28"/>
      <c r="R383" s="28"/>
      <c r="S383" s="28"/>
      <c r="T383" s="28"/>
      <c r="U383" s="28"/>
      <c r="V383" s="28"/>
    </row>
    <row r="384" ht="13.5" customHeight="1">
      <c r="A384" s="28"/>
      <c r="B384" s="28"/>
      <c r="C384" s="28"/>
      <c r="D384" s="28"/>
      <c r="E384" s="28"/>
      <c r="F384" s="28"/>
      <c r="G384" s="28"/>
      <c r="H384" s="28"/>
      <c r="I384" s="28"/>
      <c r="J384" s="28"/>
      <c r="K384" s="28"/>
      <c r="L384" s="28"/>
      <c r="M384" s="28"/>
      <c r="N384" s="28"/>
      <c r="O384" s="28"/>
      <c r="P384" s="28"/>
      <c r="Q384" s="28"/>
      <c r="R384" s="28"/>
      <c r="S384" s="28"/>
      <c r="T384" s="28"/>
      <c r="U384" s="28"/>
      <c r="V384" s="28"/>
    </row>
    <row r="385" ht="13.5" customHeight="1">
      <c r="A385" s="28"/>
      <c r="B385" s="28"/>
      <c r="C385" s="28"/>
      <c r="D385" s="28"/>
      <c r="E385" s="28"/>
      <c r="F385" s="28"/>
      <c r="G385" s="28"/>
      <c r="H385" s="28"/>
      <c r="I385" s="28"/>
      <c r="J385" s="28"/>
      <c r="K385" s="28"/>
      <c r="L385" s="28"/>
      <c r="M385" s="28"/>
      <c r="N385" s="28"/>
      <c r="O385" s="28"/>
      <c r="P385" s="28"/>
      <c r="Q385" s="28"/>
      <c r="R385" s="28"/>
      <c r="S385" s="28"/>
      <c r="T385" s="28"/>
      <c r="U385" s="28"/>
      <c r="V385" s="28"/>
    </row>
    <row r="386" ht="13.5" customHeight="1">
      <c r="A386" s="28"/>
      <c r="B386" s="28"/>
      <c r="C386" s="28"/>
      <c r="D386" s="28"/>
      <c r="E386" s="28"/>
      <c r="F386" s="28"/>
      <c r="G386" s="28"/>
      <c r="H386" s="28"/>
      <c r="I386" s="28"/>
      <c r="J386" s="28"/>
      <c r="K386" s="28"/>
      <c r="L386" s="28"/>
      <c r="M386" s="28"/>
      <c r="N386" s="28"/>
      <c r="O386" s="28"/>
      <c r="P386" s="28"/>
      <c r="Q386" s="28"/>
      <c r="R386" s="28"/>
      <c r="S386" s="28"/>
      <c r="T386" s="28"/>
      <c r="U386" s="28"/>
      <c r="V386" s="28"/>
    </row>
    <row r="387" ht="13.5" customHeight="1">
      <c r="A387" s="28"/>
      <c r="B387" s="28"/>
      <c r="C387" s="28"/>
      <c r="D387" s="28"/>
      <c r="E387" s="28"/>
      <c r="F387" s="28"/>
      <c r="G387" s="28"/>
      <c r="H387" s="28"/>
      <c r="I387" s="28"/>
      <c r="J387" s="28"/>
      <c r="K387" s="28"/>
      <c r="L387" s="28"/>
      <c r="M387" s="28"/>
      <c r="N387" s="28"/>
      <c r="O387" s="28"/>
      <c r="P387" s="28"/>
      <c r="Q387" s="28"/>
      <c r="R387" s="28"/>
      <c r="S387" s="28"/>
      <c r="T387" s="28"/>
      <c r="U387" s="28"/>
      <c r="V387" s="28"/>
    </row>
    <row r="388" ht="13.5" customHeight="1">
      <c r="A388" s="28"/>
      <c r="B388" s="28"/>
      <c r="C388" s="28"/>
      <c r="D388" s="28"/>
      <c r="E388" s="28"/>
      <c r="F388" s="28"/>
      <c r="G388" s="28"/>
      <c r="H388" s="28"/>
      <c r="I388" s="28"/>
      <c r="J388" s="28"/>
      <c r="K388" s="28"/>
      <c r="L388" s="28"/>
      <c r="M388" s="28"/>
      <c r="N388" s="28"/>
      <c r="O388" s="28"/>
      <c r="P388" s="28"/>
      <c r="Q388" s="28"/>
      <c r="R388" s="28"/>
      <c r="S388" s="28"/>
      <c r="T388" s="28"/>
      <c r="U388" s="28"/>
      <c r="V388" s="28"/>
    </row>
    <row r="389" ht="13.5" customHeight="1">
      <c r="A389" s="28"/>
      <c r="B389" s="28"/>
      <c r="C389" s="28"/>
      <c r="D389" s="28"/>
      <c r="E389" s="28"/>
      <c r="F389" s="28"/>
      <c r="G389" s="28"/>
      <c r="H389" s="28"/>
      <c r="I389" s="28"/>
      <c r="J389" s="28"/>
      <c r="K389" s="28"/>
      <c r="L389" s="28"/>
      <c r="M389" s="28"/>
      <c r="N389" s="28"/>
      <c r="O389" s="28"/>
      <c r="P389" s="28"/>
      <c r="Q389" s="28"/>
      <c r="R389" s="28"/>
      <c r="S389" s="28"/>
      <c r="T389" s="28"/>
      <c r="U389" s="28"/>
      <c r="V389" s="28"/>
    </row>
    <row r="390" ht="13.5" customHeight="1">
      <c r="A390" s="28"/>
      <c r="B390" s="28"/>
      <c r="C390" s="28"/>
      <c r="D390" s="28"/>
      <c r="E390" s="28"/>
      <c r="F390" s="28"/>
      <c r="G390" s="28"/>
      <c r="H390" s="28"/>
      <c r="I390" s="28"/>
      <c r="J390" s="28"/>
      <c r="K390" s="28"/>
      <c r="L390" s="28"/>
      <c r="M390" s="28"/>
      <c r="N390" s="28"/>
      <c r="O390" s="28"/>
      <c r="P390" s="28"/>
      <c r="Q390" s="28"/>
      <c r="R390" s="28"/>
      <c r="S390" s="28"/>
      <c r="T390" s="28"/>
      <c r="U390" s="28"/>
      <c r="V390" s="28"/>
    </row>
    <row r="391" ht="13.5" customHeight="1">
      <c r="A391" s="28"/>
      <c r="B391" s="28"/>
      <c r="C391" s="28"/>
      <c r="D391" s="28"/>
      <c r="E391" s="28"/>
      <c r="F391" s="28"/>
      <c r="G391" s="28"/>
      <c r="H391" s="28"/>
      <c r="I391" s="28"/>
      <c r="J391" s="28"/>
      <c r="K391" s="28"/>
      <c r="L391" s="28"/>
      <c r="M391" s="28"/>
      <c r="N391" s="28"/>
      <c r="O391" s="28"/>
      <c r="P391" s="28"/>
      <c r="Q391" s="28"/>
      <c r="R391" s="28"/>
      <c r="S391" s="28"/>
      <c r="T391" s="28"/>
      <c r="U391" s="28"/>
      <c r="V391" s="28"/>
    </row>
    <row r="392" ht="13.5" customHeight="1">
      <c r="A392" s="28"/>
      <c r="B392" s="28"/>
      <c r="C392" s="28"/>
      <c r="D392" s="28"/>
      <c r="E392" s="28"/>
      <c r="F392" s="28"/>
      <c r="G392" s="28"/>
      <c r="H392" s="28"/>
      <c r="I392" s="28"/>
      <c r="J392" s="28"/>
      <c r="K392" s="28"/>
      <c r="L392" s="28"/>
      <c r="M392" s="28"/>
      <c r="N392" s="28"/>
      <c r="O392" s="28"/>
      <c r="P392" s="28"/>
      <c r="Q392" s="28"/>
      <c r="R392" s="28"/>
      <c r="S392" s="28"/>
      <c r="T392" s="28"/>
      <c r="U392" s="28"/>
      <c r="V392" s="28"/>
    </row>
    <row r="393" ht="13.5" customHeight="1">
      <c r="A393" s="28"/>
      <c r="B393" s="28"/>
      <c r="C393" s="28"/>
      <c r="D393" s="28"/>
      <c r="E393" s="28"/>
      <c r="F393" s="28"/>
      <c r="G393" s="28"/>
      <c r="H393" s="28"/>
      <c r="I393" s="28"/>
      <c r="J393" s="28"/>
      <c r="K393" s="28"/>
      <c r="L393" s="28"/>
      <c r="M393" s="28"/>
      <c r="N393" s="28"/>
      <c r="O393" s="28"/>
      <c r="P393" s="28"/>
      <c r="Q393" s="28"/>
      <c r="R393" s="28"/>
      <c r="S393" s="28"/>
      <c r="T393" s="28"/>
      <c r="U393" s="28"/>
      <c r="V393" s="28"/>
    </row>
    <row r="394" ht="13.5" customHeight="1">
      <c r="A394" s="28"/>
      <c r="B394" s="28"/>
      <c r="C394" s="28"/>
      <c r="D394" s="28"/>
      <c r="E394" s="28"/>
      <c r="F394" s="28"/>
      <c r="G394" s="28"/>
      <c r="H394" s="28"/>
      <c r="I394" s="28"/>
      <c r="J394" s="28"/>
      <c r="K394" s="28"/>
      <c r="L394" s="28"/>
      <c r="M394" s="28"/>
      <c r="N394" s="28"/>
      <c r="O394" s="28"/>
      <c r="P394" s="28"/>
      <c r="Q394" s="28"/>
      <c r="R394" s="28"/>
      <c r="S394" s="28"/>
      <c r="T394" s="28"/>
      <c r="U394" s="28"/>
      <c r="V394" s="28"/>
    </row>
    <row r="395" ht="13.5" customHeight="1">
      <c r="A395" s="28"/>
      <c r="B395" s="28"/>
      <c r="C395" s="28"/>
      <c r="D395" s="28"/>
      <c r="E395" s="28"/>
      <c r="F395" s="28"/>
      <c r="G395" s="28"/>
      <c r="H395" s="28"/>
      <c r="I395" s="28"/>
      <c r="J395" s="28"/>
      <c r="K395" s="28"/>
      <c r="L395" s="28"/>
      <c r="M395" s="28"/>
      <c r="N395" s="28"/>
      <c r="O395" s="28"/>
      <c r="P395" s="28"/>
      <c r="Q395" s="28"/>
      <c r="R395" s="28"/>
      <c r="S395" s="28"/>
      <c r="T395" s="28"/>
      <c r="U395" s="28"/>
      <c r="V395" s="28"/>
    </row>
    <row r="396" ht="13.5" customHeight="1">
      <c r="A396" s="28"/>
      <c r="B396" s="28"/>
      <c r="C396" s="28"/>
      <c r="D396" s="28"/>
      <c r="E396" s="28"/>
      <c r="F396" s="28"/>
      <c r="G396" s="28"/>
      <c r="H396" s="28"/>
      <c r="I396" s="28"/>
      <c r="J396" s="28"/>
      <c r="K396" s="28"/>
      <c r="L396" s="28"/>
      <c r="M396" s="28"/>
      <c r="N396" s="28"/>
      <c r="O396" s="28"/>
      <c r="P396" s="28"/>
      <c r="Q396" s="28"/>
      <c r="R396" s="28"/>
      <c r="S396" s="28"/>
      <c r="T396" s="28"/>
      <c r="U396" s="28"/>
      <c r="V396" s="28"/>
    </row>
    <row r="397" ht="13.5" customHeight="1">
      <c r="A397" s="28"/>
      <c r="B397" s="28"/>
      <c r="C397" s="28"/>
      <c r="D397" s="28"/>
      <c r="E397" s="28"/>
      <c r="F397" s="28"/>
      <c r="G397" s="28"/>
      <c r="H397" s="28"/>
      <c r="I397" s="28"/>
      <c r="J397" s="28"/>
      <c r="K397" s="28"/>
      <c r="L397" s="28"/>
      <c r="M397" s="28"/>
      <c r="N397" s="28"/>
      <c r="O397" s="28"/>
      <c r="P397" s="28"/>
      <c r="Q397" s="28"/>
      <c r="R397" s="28"/>
      <c r="S397" s="28"/>
      <c r="T397" s="28"/>
      <c r="U397" s="28"/>
      <c r="V397" s="28"/>
    </row>
    <row r="398" ht="13.5" customHeight="1">
      <c r="A398" s="28"/>
      <c r="B398" s="28"/>
      <c r="C398" s="28"/>
      <c r="D398" s="28"/>
      <c r="E398" s="28"/>
      <c r="F398" s="28"/>
      <c r="G398" s="28"/>
      <c r="H398" s="28"/>
      <c r="I398" s="28"/>
      <c r="J398" s="28"/>
      <c r="K398" s="28"/>
      <c r="L398" s="28"/>
      <c r="M398" s="28"/>
      <c r="N398" s="28"/>
      <c r="O398" s="28"/>
      <c r="P398" s="28"/>
      <c r="Q398" s="28"/>
      <c r="R398" s="28"/>
      <c r="S398" s="28"/>
      <c r="T398" s="28"/>
      <c r="U398" s="28"/>
      <c r="V398" s="28"/>
    </row>
    <row r="399" ht="13.5" customHeight="1">
      <c r="A399" s="28"/>
      <c r="B399" s="28"/>
      <c r="C399" s="28"/>
      <c r="D399" s="28"/>
      <c r="E399" s="28"/>
      <c r="F399" s="28"/>
      <c r="G399" s="28"/>
      <c r="H399" s="28"/>
      <c r="I399" s="28"/>
      <c r="J399" s="28"/>
      <c r="K399" s="28"/>
      <c r="L399" s="28"/>
      <c r="M399" s="28"/>
      <c r="N399" s="28"/>
      <c r="O399" s="28"/>
      <c r="P399" s="28"/>
      <c r="Q399" s="28"/>
      <c r="R399" s="28"/>
      <c r="S399" s="28"/>
      <c r="T399" s="28"/>
      <c r="U399" s="28"/>
      <c r="V399" s="28"/>
    </row>
    <row r="400" ht="13.5" customHeight="1">
      <c r="A400" s="28"/>
      <c r="B400" s="28"/>
      <c r="C400" s="28"/>
      <c r="D400" s="28"/>
      <c r="E400" s="28"/>
      <c r="F400" s="28"/>
      <c r="G400" s="28"/>
      <c r="H400" s="28"/>
      <c r="I400" s="28"/>
      <c r="J400" s="28"/>
      <c r="K400" s="28"/>
      <c r="L400" s="28"/>
      <c r="M400" s="28"/>
      <c r="N400" s="28"/>
      <c r="O400" s="28"/>
      <c r="P400" s="28"/>
      <c r="Q400" s="28"/>
      <c r="R400" s="28"/>
      <c r="S400" s="28"/>
      <c r="T400" s="28"/>
      <c r="U400" s="28"/>
      <c r="V400" s="28"/>
    </row>
    <row r="401" ht="13.5" customHeight="1">
      <c r="A401" s="28"/>
      <c r="B401" s="28"/>
      <c r="C401" s="28"/>
      <c r="D401" s="28"/>
      <c r="E401" s="28"/>
      <c r="F401" s="28"/>
      <c r="G401" s="28"/>
      <c r="H401" s="28"/>
      <c r="I401" s="28"/>
      <c r="J401" s="28"/>
      <c r="K401" s="28"/>
      <c r="L401" s="28"/>
      <c r="M401" s="28"/>
      <c r="N401" s="28"/>
      <c r="O401" s="28"/>
      <c r="P401" s="28"/>
      <c r="Q401" s="28"/>
      <c r="R401" s="28"/>
      <c r="S401" s="28"/>
      <c r="T401" s="28"/>
      <c r="U401" s="28"/>
      <c r="V401" s="28"/>
    </row>
    <row r="402" ht="13.5" customHeight="1">
      <c r="A402" s="28"/>
      <c r="B402" s="28"/>
      <c r="C402" s="28"/>
      <c r="D402" s="28"/>
      <c r="E402" s="28"/>
      <c r="F402" s="28"/>
      <c r="G402" s="28"/>
      <c r="H402" s="28"/>
      <c r="I402" s="28"/>
      <c r="J402" s="28"/>
      <c r="K402" s="28"/>
      <c r="L402" s="28"/>
      <c r="M402" s="28"/>
      <c r="N402" s="28"/>
      <c r="O402" s="28"/>
      <c r="P402" s="28"/>
      <c r="Q402" s="28"/>
      <c r="R402" s="28"/>
      <c r="S402" s="28"/>
      <c r="T402" s="28"/>
      <c r="U402" s="28"/>
      <c r="V402" s="28"/>
    </row>
    <row r="403" ht="13.5" customHeight="1">
      <c r="A403" s="28"/>
      <c r="B403" s="28"/>
      <c r="C403" s="28"/>
      <c r="D403" s="28"/>
      <c r="E403" s="28"/>
      <c r="F403" s="28"/>
      <c r="G403" s="28"/>
      <c r="H403" s="28"/>
      <c r="I403" s="28"/>
      <c r="J403" s="28"/>
      <c r="K403" s="28"/>
      <c r="L403" s="28"/>
      <c r="M403" s="28"/>
      <c r="N403" s="28"/>
      <c r="O403" s="28"/>
      <c r="P403" s="28"/>
      <c r="Q403" s="28"/>
      <c r="R403" s="28"/>
      <c r="S403" s="28"/>
      <c r="T403" s="28"/>
      <c r="U403" s="28"/>
      <c r="V403" s="28"/>
    </row>
    <row r="404" ht="13.5" customHeight="1">
      <c r="A404" s="28"/>
      <c r="B404" s="28"/>
      <c r="C404" s="28"/>
      <c r="D404" s="28"/>
      <c r="E404" s="28"/>
      <c r="F404" s="28"/>
      <c r="G404" s="28"/>
      <c r="H404" s="28"/>
      <c r="I404" s="28"/>
      <c r="J404" s="28"/>
      <c r="K404" s="28"/>
      <c r="L404" s="28"/>
      <c r="M404" s="28"/>
      <c r="N404" s="28"/>
      <c r="O404" s="28"/>
      <c r="P404" s="28"/>
      <c r="Q404" s="28"/>
      <c r="R404" s="28"/>
      <c r="S404" s="28"/>
      <c r="T404" s="28"/>
      <c r="U404" s="28"/>
      <c r="V404" s="28"/>
    </row>
    <row r="405" ht="13.5" customHeight="1">
      <c r="A405" s="28"/>
      <c r="B405" s="28"/>
      <c r="C405" s="28"/>
      <c r="D405" s="28"/>
      <c r="E405" s="28"/>
      <c r="F405" s="28"/>
      <c r="G405" s="28"/>
      <c r="H405" s="28"/>
      <c r="I405" s="28"/>
      <c r="J405" s="28"/>
      <c r="K405" s="28"/>
      <c r="L405" s="28"/>
      <c r="M405" s="28"/>
      <c r="N405" s="28"/>
      <c r="O405" s="28"/>
      <c r="P405" s="28"/>
      <c r="Q405" s="28"/>
      <c r="R405" s="28"/>
      <c r="S405" s="28"/>
      <c r="T405" s="28"/>
      <c r="U405" s="28"/>
      <c r="V405" s="28"/>
    </row>
    <row r="406" ht="13.5" customHeight="1">
      <c r="A406" s="28"/>
      <c r="B406" s="28"/>
      <c r="C406" s="28"/>
      <c r="D406" s="28"/>
      <c r="E406" s="28"/>
      <c r="F406" s="28"/>
      <c r="G406" s="28"/>
      <c r="H406" s="28"/>
      <c r="I406" s="28"/>
      <c r="J406" s="28"/>
      <c r="K406" s="28"/>
      <c r="L406" s="28"/>
      <c r="M406" s="28"/>
      <c r="N406" s="28"/>
      <c r="O406" s="28"/>
      <c r="P406" s="28"/>
      <c r="Q406" s="28"/>
      <c r="R406" s="28"/>
      <c r="S406" s="28"/>
      <c r="T406" s="28"/>
      <c r="U406" s="28"/>
      <c r="V406" s="28"/>
    </row>
    <row r="407" ht="13.5" customHeight="1">
      <c r="A407" s="28"/>
      <c r="B407" s="28"/>
      <c r="C407" s="28"/>
      <c r="D407" s="28"/>
      <c r="E407" s="28"/>
      <c r="F407" s="28"/>
      <c r="G407" s="28"/>
      <c r="H407" s="28"/>
      <c r="I407" s="28"/>
      <c r="J407" s="28"/>
      <c r="K407" s="28"/>
      <c r="L407" s="28"/>
      <c r="M407" s="28"/>
      <c r="N407" s="28"/>
      <c r="O407" s="28"/>
      <c r="P407" s="28"/>
      <c r="Q407" s="28"/>
      <c r="R407" s="28"/>
      <c r="S407" s="28"/>
      <c r="T407" s="28"/>
      <c r="U407" s="28"/>
      <c r="V407" s="28"/>
    </row>
    <row r="408" ht="13.5" customHeight="1">
      <c r="A408" s="28"/>
      <c r="B408" s="28"/>
      <c r="C408" s="28"/>
      <c r="D408" s="28"/>
      <c r="E408" s="28"/>
      <c r="F408" s="28"/>
      <c r="G408" s="28"/>
      <c r="H408" s="28"/>
      <c r="I408" s="28"/>
      <c r="J408" s="28"/>
      <c r="K408" s="28"/>
      <c r="L408" s="28"/>
      <c r="M408" s="28"/>
      <c r="N408" s="28"/>
      <c r="O408" s="28"/>
      <c r="P408" s="28"/>
      <c r="Q408" s="28"/>
      <c r="R408" s="28"/>
      <c r="S408" s="28"/>
      <c r="T408" s="28"/>
      <c r="U408" s="28"/>
      <c r="V408" s="28"/>
    </row>
    <row r="409" ht="13.5" customHeight="1">
      <c r="A409" s="28"/>
      <c r="B409" s="28"/>
      <c r="C409" s="28"/>
      <c r="D409" s="28"/>
      <c r="E409" s="28"/>
      <c r="F409" s="28"/>
      <c r="G409" s="28"/>
      <c r="H409" s="28"/>
      <c r="I409" s="28"/>
      <c r="J409" s="28"/>
      <c r="K409" s="28"/>
      <c r="L409" s="28"/>
      <c r="M409" s="28"/>
      <c r="N409" s="28"/>
      <c r="O409" s="28"/>
      <c r="P409" s="28"/>
      <c r="Q409" s="28"/>
      <c r="R409" s="28"/>
      <c r="S409" s="28"/>
      <c r="T409" s="28"/>
      <c r="U409" s="28"/>
      <c r="V409" s="28"/>
    </row>
    <row r="410" ht="13.5" customHeight="1">
      <c r="A410" s="28"/>
      <c r="B410" s="28"/>
      <c r="C410" s="28"/>
      <c r="D410" s="28"/>
      <c r="E410" s="28"/>
      <c r="F410" s="28"/>
      <c r="G410" s="28"/>
      <c r="H410" s="28"/>
      <c r="I410" s="28"/>
      <c r="J410" s="28"/>
      <c r="K410" s="28"/>
      <c r="L410" s="28"/>
      <c r="M410" s="28"/>
      <c r="N410" s="28"/>
      <c r="O410" s="28"/>
      <c r="P410" s="28"/>
      <c r="Q410" s="28"/>
      <c r="R410" s="28"/>
      <c r="S410" s="28"/>
      <c r="T410" s="28"/>
      <c r="U410" s="28"/>
      <c r="V410" s="28"/>
    </row>
    <row r="411" ht="13.5" customHeight="1">
      <c r="A411" s="28"/>
      <c r="B411" s="28"/>
      <c r="C411" s="28"/>
      <c r="D411" s="28"/>
      <c r="E411" s="28"/>
      <c r="F411" s="28"/>
      <c r="G411" s="28"/>
      <c r="H411" s="28"/>
      <c r="I411" s="28"/>
      <c r="J411" s="28"/>
      <c r="K411" s="28"/>
      <c r="L411" s="28"/>
      <c r="M411" s="28"/>
      <c r="N411" s="28"/>
      <c r="O411" s="28"/>
      <c r="P411" s="28"/>
      <c r="Q411" s="28"/>
      <c r="R411" s="28"/>
      <c r="S411" s="28"/>
      <c r="T411" s="28"/>
      <c r="U411" s="28"/>
      <c r="V411" s="28"/>
    </row>
    <row r="412" ht="13.5" customHeight="1">
      <c r="A412" s="28"/>
      <c r="B412" s="28"/>
      <c r="C412" s="28"/>
      <c r="D412" s="28"/>
      <c r="E412" s="28"/>
      <c r="F412" s="28"/>
      <c r="G412" s="28"/>
      <c r="H412" s="28"/>
      <c r="I412" s="28"/>
      <c r="J412" s="28"/>
      <c r="K412" s="28"/>
      <c r="L412" s="28"/>
      <c r="M412" s="28"/>
      <c r="N412" s="28"/>
      <c r="O412" s="28"/>
      <c r="P412" s="28"/>
      <c r="Q412" s="28"/>
      <c r="R412" s="28"/>
      <c r="S412" s="28"/>
      <c r="T412" s="28"/>
      <c r="U412" s="28"/>
      <c r="V412" s="28"/>
    </row>
    <row r="413" ht="13.5" customHeight="1">
      <c r="A413" s="28"/>
      <c r="B413" s="28"/>
      <c r="C413" s="28"/>
      <c r="D413" s="28"/>
      <c r="E413" s="28"/>
      <c r="F413" s="28"/>
      <c r="G413" s="28"/>
      <c r="H413" s="28"/>
      <c r="I413" s="28"/>
      <c r="J413" s="28"/>
      <c r="K413" s="28"/>
      <c r="L413" s="28"/>
      <c r="M413" s="28"/>
      <c r="N413" s="28"/>
      <c r="O413" s="28"/>
      <c r="P413" s="28"/>
      <c r="Q413" s="28"/>
      <c r="R413" s="28"/>
      <c r="S413" s="28"/>
      <c r="T413" s="28"/>
      <c r="U413" s="28"/>
      <c r="V413" s="28"/>
    </row>
    <row r="414" ht="13.5" customHeight="1">
      <c r="A414" s="28"/>
      <c r="B414" s="28"/>
      <c r="C414" s="28"/>
      <c r="D414" s="28"/>
      <c r="E414" s="28"/>
      <c r="F414" s="28"/>
      <c r="G414" s="28"/>
      <c r="H414" s="28"/>
      <c r="I414" s="28"/>
      <c r="J414" s="28"/>
      <c r="K414" s="28"/>
      <c r="L414" s="28"/>
      <c r="M414" s="28"/>
      <c r="N414" s="28"/>
      <c r="O414" s="28"/>
      <c r="P414" s="28"/>
      <c r="Q414" s="28"/>
      <c r="R414" s="28"/>
      <c r="S414" s="28"/>
      <c r="T414" s="28"/>
      <c r="U414" s="28"/>
      <c r="V414" s="28"/>
    </row>
    <row r="415" ht="13.5" customHeight="1">
      <c r="A415" s="28"/>
      <c r="B415" s="28"/>
      <c r="C415" s="28"/>
      <c r="D415" s="28"/>
      <c r="E415" s="28"/>
      <c r="F415" s="28"/>
      <c r="G415" s="28"/>
      <c r="H415" s="28"/>
      <c r="I415" s="28"/>
      <c r="J415" s="28"/>
      <c r="K415" s="28"/>
      <c r="L415" s="28"/>
      <c r="M415" s="28"/>
      <c r="N415" s="28"/>
      <c r="O415" s="28"/>
      <c r="P415" s="28"/>
      <c r="Q415" s="28"/>
      <c r="R415" s="28"/>
      <c r="S415" s="28"/>
      <c r="T415" s="28"/>
      <c r="U415" s="28"/>
      <c r="V415" s="28"/>
    </row>
    <row r="416" ht="13.5" customHeight="1">
      <c r="A416" s="28"/>
      <c r="B416" s="28"/>
      <c r="C416" s="28"/>
      <c r="D416" s="28"/>
      <c r="E416" s="28"/>
      <c r="F416" s="28"/>
      <c r="G416" s="28"/>
      <c r="H416" s="28"/>
      <c r="I416" s="28"/>
      <c r="J416" s="28"/>
      <c r="K416" s="28"/>
      <c r="L416" s="28"/>
      <c r="M416" s="28"/>
      <c r="N416" s="28"/>
      <c r="O416" s="28"/>
      <c r="P416" s="28"/>
      <c r="Q416" s="28"/>
      <c r="R416" s="28"/>
      <c r="S416" s="28"/>
      <c r="T416" s="28"/>
      <c r="U416" s="28"/>
      <c r="V416" s="28"/>
    </row>
    <row r="417" ht="13.5" customHeight="1">
      <c r="A417" s="28"/>
      <c r="B417" s="28"/>
      <c r="C417" s="28"/>
      <c r="D417" s="28"/>
      <c r="E417" s="28"/>
      <c r="F417" s="28"/>
      <c r="G417" s="28"/>
      <c r="H417" s="28"/>
      <c r="I417" s="28"/>
      <c r="J417" s="28"/>
      <c r="K417" s="28"/>
      <c r="L417" s="28"/>
      <c r="M417" s="28"/>
      <c r="N417" s="28"/>
      <c r="O417" s="28"/>
      <c r="P417" s="28"/>
      <c r="Q417" s="28"/>
      <c r="R417" s="28"/>
      <c r="S417" s="28"/>
      <c r="T417" s="28"/>
      <c r="U417" s="28"/>
      <c r="V417" s="28"/>
    </row>
    <row r="418" ht="13.5" customHeight="1">
      <c r="A418" s="28"/>
      <c r="B418" s="28"/>
      <c r="C418" s="28"/>
      <c r="D418" s="28"/>
      <c r="E418" s="28"/>
      <c r="F418" s="28"/>
      <c r="G418" s="28"/>
      <c r="H418" s="28"/>
      <c r="I418" s="28"/>
      <c r="J418" s="28"/>
      <c r="K418" s="28"/>
      <c r="L418" s="28"/>
      <c r="M418" s="28"/>
      <c r="N418" s="28"/>
      <c r="O418" s="28"/>
      <c r="P418" s="28"/>
      <c r="Q418" s="28"/>
      <c r="R418" s="28"/>
      <c r="S418" s="28"/>
      <c r="T418" s="28"/>
      <c r="U418" s="28"/>
      <c r="V418" s="28"/>
    </row>
    <row r="419" ht="13.5" customHeight="1">
      <c r="A419" s="28"/>
      <c r="B419" s="28"/>
      <c r="C419" s="28"/>
      <c r="D419" s="28"/>
      <c r="E419" s="28"/>
      <c r="F419" s="28"/>
      <c r="G419" s="28"/>
      <c r="H419" s="28"/>
      <c r="I419" s="28"/>
      <c r="J419" s="28"/>
      <c r="K419" s="28"/>
      <c r="L419" s="28"/>
      <c r="M419" s="28"/>
      <c r="N419" s="28"/>
      <c r="O419" s="28"/>
      <c r="P419" s="28"/>
      <c r="Q419" s="28"/>
      <c r="R419" s="28"/>
      <c r="S419" s="28"/>
      <c r="T419" s="28"/>
      <c r="U419" s="28"/>
      <c r="V419" s="28"/>
    </row>
    <row r="420" ht="13.5" customHeight="1">
      <c r="A420" s="28"/>
      <c r="B420" s="28"/>
      <c r="C420" s="28"/>
      <c r="D420" s="28"/>
      <c r="E420" s="28"/>
      <c r="F420" s="28"/>
      <c r="G420" s="28"/>
      <c r="H420" s="28"/>
      <c r="I420" s="28"/>
      <c r="J420" s="28"/>
      <c r="K420" s="28"/>
      <c r="L420" s="28"/>
      <c r="M420" s="28"/>
      <c r="N420" s="28"/>
      <c r="O420" s="28"/>
      <c r="P420" s="28"/>
      <c r="Q420" s="28"/>
      <c r="R420" s="28"/>
      <c r="S420" s="28"/>
      <c r="T420" s="28"/>
      <c r="U420" s="28"/>
      <c r="V420" s="28"/>
    </row>
    <row r="421" ht="13.5" customHeight="1">
      <c r="A421" s="28"/>
      <c r="B421" s="28"/>
      <c r="C421" s="28"/>
      <c r="D421" s="28"/>
      <c r="E421" s="28"/>
      <c r="F421" s="28"/>
      <c r="G421" s="28"/>
      <c r="H421" s="28"/>
      <c r="I421" s="28"/>
      <c r="J421" s="28"/>
      <c r="K421" s="28"/>
      <c r="L421" s="28"/>
      <c r="M421" s="28"/>
      <c r="N421" s="28"/>
      <c r="O421" s="28"/>
      <c r="P421" s="28"/>
      <c r="Q421" s="28"/>
      <c r="R421" s="28"/>
      <c r="S421" s="28"/>
      <c r="T421" s="28"/>
      <c r="U421" s="28"/>
      <c r="V421" s="28"/>
    </row>
    <row r="422" ht="13.5" customHeight="1">
      <c r="A422" s="28"/>
      <c r="B422" s="28"/>
      <c r="C422" s="28"/>
      <c r="D422" s="28"/>
      <c r="E422" s="28"/>
      <c r="F422" s="28"/>
      <c r="G422" s="28"/>
      <c r="H422" s="28"/>
      <c r="I422" s="28"/>
      <c r="J422" s="28"/>
      <c r="K422" s="28"/>
      <c r="L422" s="28"/>
      <c r="M422" s="28"/>
      <c r="N422" s="28"/>
      <c r="O422" s="28"/>
      <c r="P422" s="28"/>
      <c r="Q422" s="28"/>
      <c r="R422" s="28"/>
      <c r="S422" s="28"/>
      <c r="T422" s="28"/>
      <c r="U422" s="28"/>
      <c r="V422" s="28"/>
    </row>
    <row r="423" ht="13.5" customHeight="1">
      <c r="A423" s="28"/>
      <c r="B423" s="28"/>
      <c r="C423" s="28"/>
      <c r="D423" s="28"/>
      <c r="E423" s="28"/>
      <c r="F423" s="28"/>
      <c r="G423" s="28"/>
      <c r="H423" s="28"/>
      <c r="I423" s="28"/>
      <c r="J423" s="28"/>
      <c r="K423" s="28"/>
      <c r="L423" s="28"/>
      <c r="M423" s="28"/>
      <c r="N423" s="28"/>
      <c r="O423" s="28"/>
      <c r="P423" s="28"/>
      <c r="Q423" s="28"/>
      <c r="R423" s="28"/>
      <c r="S423" s="28"/>
      <c r="T423" s="28"/>
      <c r="U423" s="28"/>
      <c r="V423" s="28"/>
    </row>
    <row r="424" ht="13.5" customHeight="1">
      <c r="A424" s="28"/>
      <c r="B424" s="28"/>
      <c r="C424" s="28"/>
      <c r="D424" s="28"/>
      <c r="E424" s="28"/>
      <c r="F424" s="28"/>
      <c r="G424" s="28"/>
      <c r="H424" s="28"/>
      <c r="I424" s="28"/>
      <c r="J424" s="28"/>
      <c r="K424" s="28"/>
      <c r="L424" s="28"/>
      <c r="M424" s="28"/>
      <c r="N424" s="28"/>
      <c r="O424" s="28"/>
      <c r="P424" s="28"/>
      <c r="Q424" s="28"/>
      <c r="R424" s="28"/>
      <c r="S424" s="28"/>
      <c r="T424" s="28"/>
      <c r="U424" s="28"/>
      <c r="V424" s="28"/>
    </row>
    <row r="425" ht="13.5" customHeight="1">
      <c r="A425" s="28"/>
      <c r="B425" s="28"/>
      <c r="C425" s="28"/>
      <c r="D425" s="28"/>
      <c r="E425" s="28"/>
      <c r="F425" s="28"/>
      <c r="G425" s="28"/>
      <c r="H425" s="28"/>
      <c r="I425" s="28"/>
      <c r="J425" s="28"/>
      <c r="K425" s="28"/>
      <c r="L425" s="28"/>
      <c r="M425" s="28"/>
      <c r="N425" s="28"/>
      <c r="O425" s="28"/>
      <c r="P425" s="28"/>
      <c r="Q425" s="28"/>
      <c r="R425" s="28"/>
      <c r="S425" s="28"/>
      <c r="T425" s="28"/>
      <c r="U425" s="28"/>
      <c r="V425" s="28"/>
    </row>
    <row r="426" ht="13.5" customHeight="1">
      <c r="A426" s="28"/>
      <c r="B426" s="28"/>
      <c r="C426" s="28"/>
      <c r="D426" s="28"/>
      <c r="E426" s="28"/>
      <c r="F426" s="28"/>
      <c r="G426" s="28"/>
      <c r="H426" s="28"/>
      <c r="I426" s="28"/>
      <c r="J426" s="28"/>
      <c r="K426" s="28"/>
      <c r="L426" s="28"/>
      <c r="M426" s="28"/>
      <c r="N426" s="28"/>
      <c r="O426" s="28"/>
      <c r="P426" s="28"/>
      <c r="Q426" s="28"/>
      <c r="R426" s="28"/>
      <c r="S426" s="28"/>
      <c r="T426" s="28"/>
      <c r="U426" s="28"/>
      <c r="V426" s="28"/>
    </row>
    <row r="427" ht="13.5" customHeight="1">
      <c r="A427" s="28"/>
      <c r="B427" s="28"/>
      <c r="C427" s="28"/>
      <c r="D427" s="28"/>
      <c r="E427" s="28"/>
      <c r="F427" s="28"/>
      <c r="G427" s="28"/>
      <c r="H427" s="28"/>
      <c r="I427" s="28"/>
      <c r="J427" s="28"/>
      <c r="K427" s="28"/>
      <c r="L427" s="28"/>
      <c r="M427" s="28"/>
      <c r="N427" s="28"/>
      <c r="O427" s="28"/>
      <c r="P427" s="28"/>
      <c r="Q427" s="28"/>
      <c r="R427" s="28"/>
      <c r="S427" s="28"/>
      <c r="T427" s="28"/>
      <c r="U427" s="28"/>
      <c r="V427" s="28"/>
    </row>
    <row r="428" ht="13.5" customHeight="1">
      <c r="A428" s="28"/>
      <c r="B428" s="28"/>
      <c r="C428" s="28"/>
      <c r="D428" s="28"/>
      <c r="E428" s="28"/>
      <c r="F428" s="28"/>
      <c r="G428" s="28"/>
      <c r="H428" s="28"/>
      <c r="I428" s="28"/>
      <c r="J428" s="28"/>
      <c r="K428" s="28"/>
      <c r="L428" s="28"/>
      <c r="M428" s="28"/>
      <c r="N428" s="28"/>
      <c r="O428" s="28"/>
      <c r="P428" s="28"/>
      <c r="Q428" s="28"/>
      <c r="R428" s="28"/>
      <c r="S428" s="28"/>
      <c r="T428" s="28"/>
      <c r="U428" s="28"/>
      <c r="V428" s="28"/>
    </row>
    <row r="429" ht="13.5" customHeight="1">
      <c r="A429" s="28"/>
      <c r="B429" s="28"/>
      <c r="C429" s="28"/>
      <c r="D429" s="28"/>
      <c r="E429" s="28"/>
      <c r="F429" s="28"/>
      <c r="G429" s="28"/>
      <c r="H429" s="28"/>
      <c r="I429" s="28"/>
      <c r="J429" s="28"/>
      <c r="K429" s="28"/>
      <c r="L429" s="28"/>
      <c r="M429" s="28"/>
      <c r="N429" s="28"/>
      <c r="O429" s="28"/>
      <c r="P429" s="28"/>
      <c r="Q429" s="28"/>
      <c r="R429" s="28"/>
      <c r="S429" s="28"/>
      <c r="T429" s="28"/>
      <c r="U429" s="28"/>
      <c r="V429" s="28"/>
    </row>
    <row r="430" ht="13.5" customHeight="1">
      <c r="A430" s="28"/>
      <c r="B430" s="28"/>
      <c r="C430" s="28"/>
      <c r="D430" s="28"/>
      <c r="E430" s="28"/>
      <c r="F430" s="28"/>
      <c r="G430" s="28"/>
      <c r="H430" s="28"/>
      <c r="I430" s="28"/>
      <c r="J430" s="28"/>
      <c r="K430" s="28"/>
      <c r="L430" s="28"/>
      <c r="M430" s="28"/>
      <c r="N430" s="28"/>
      <c r="O430" s="28"/>
      <c r="P430" s="28"/>
      <c r="Q430" s="28"/>
      <c r="R430" s="28"/>
      <c r="S430" s="28"/>
      <c r="T430" s="28"/>
      <c r="U430" s="28"/>
      <c r="V430" s="28"/>
    </row>
    <row r="431" ht="13.5" customHeight="1">
      <c r="A431" s="28"/>
      <c r="B431" s="28"/>
      <c r="C431" s="28"/>
      <c r="D431" s="28"/>
      <c r="E431" s="28"/>
      <c r="F431" s="28"/>
      <c r="G431" s="28"/>
      <c r="H431" s="28"/>
      <c r="I431" s="28"/>
      <c r="J431" s="28"/>
      <c r="K431" s="28"/>
      <c r="L431" s="28"/>
      <c r="M431" s="28"/>
      <c r="N431" s="28"/>
      <c r="O431" s="28"/>
      <c r="P431" s="28"/>
      <c r="Q431" s="28"/>
      <c r="R431" s="28"/>
      <c r="S431" s="28"/>
      <c r="T431" s="28"/>
      <c r="U431" s="28"/>
      <c r="V431" s="28"/>
    </row>
    <row r="432" ht="13.5" customHeight="1">
      <c r="A432" s="28"/>
      <c r="B432" s="28"/>
      <c r="C432" s="28"/>
      <c r="D432" s="28"/>
      <c r="E432" s="28"/>
      <c r="F432" s="28"/>
      <c r="G432" s="28"/>
      <c r="H432" s="28"/>
      <c r="I432" s="28"/>
      <c r="J432" s="28"/>
      <c r="K432" s="28"/>
      <c r="L432" s="28"/>
      <c r="M432" s="28"/>
      <c r="N432" s="28"/>
      <c r="O432" s="28"/>
      <c r="P432" s="28"/>
      <c r="Q432" s="28"/>
      <c r="R432" s="28"/>
      <c r="S432" s="28"/>
      <c r="T432" s="28"/>
      <c r="U432" s="28"/>
      <c r="V432" s="28"/>
    </row>
    <row r="433" ht="13.5" customHeight="1">
      <c r="A433" s="28"/>
      <c r="B433" s="28"/>
      <c r="C433" s="28"/>
      <c r="D433" s="28"/>
      <c r="E433" s="28"/>
      <c r="F433" s="28"/>
      <c r="G433" s="28"/>
      <c r="H433" s="28"/>
      <c r="I433" s="28"/>
      <c r="J433" s="28"/>
      <c r="K433" s="28"/>
      <c r="L433" s="28"/>
      <c r="M433" s="28"/>
      <c r="N433" s="28"/>
      <c r="O433" s="28"/>
      <c r="P433" s="28"/>
      <c r="Q433" s="28"/>
      <c r="R433" s="28"/>
      <c r="S433" s="28"/>
      <c r="T433" s="28"/>
      <c r="U433" s="28"/>
      <c r="V433" s="28"/>
    </row>
    <row r="434" ht="13.5" customHeight="1">
      <c r="A434" s="28"/>
      <c r="B434" s="28"/>
      <c r="C434" s="28"/>
      <c r="D434" s="28"/>
      <c r="E434" s="28"/>
      <c r="F434" s="28"/>
      <c r="G434" s="28"/>
      <c r="H434" s="28"/>
      <c r="I434" s="28"/>
      <c r="J434" s="28"/>
      <c r="K434" s="28"/>
      <c r="L434" s="28"/>
      <c r="M434" s="28"/>
      <c r="N434" s="28"/>
      <c r="O434" s="28"/>
      <c r="P434" s="28"/>
      <c r="Q434" s="28"/>
      <c r="R434" s="28"/>
      <c r="S434" s="28"/>
      <c r="T434" s="28"/>
      <c r="U434" s="28"/>
      <c r="V434" s="28"/>
    </row>
    <row r="435" ht="13.5" customHeight="1">
      <c r="A435" s="28"/>
      <c r="B435" s="28"/>
      <c r="C435" s="28"/>
      <c r="D435" s="28"/>
      <c r="E435" s="28"/>
      <c r="F435" s="28"/>
      <c r="G435" s="28"/>
      <c r="H435" s="28"/>
      <c r="I435" s="28"/>
      <c r="J435" s="28"/>
      <c r="K435" s="28"/>
      <c r="L435" s="28"/>
      <c r="M435" s="28"/>
      <c r="N435" s="28"/>
      <c r="O435" s="28"/>
      <c r="P435" s="28"/>
      <c r="Q435" s="28"/>
      <c r="R435" s="28"/>
      <c r="S435" s="28"/>
      <c r="T435" s="28"/>
      <c r="U435" s="28"/>
      <c r="V435" s="28"/>
    </row>
    <row r="436" ht="13.5" customHeight="1">
      <c r="A436" s="28"/>
      <c r="B436" s="28"/>
      <c r="C436" s="28"/>
      <c r="D436" s="28"/>
      <c r="E436" s="28"/>
      <c r="F436" s="28"/>
      <c r="G436" s="28"/>
      <c r="H436" s="28"/>
      <c r="I436" s="28"/>
      <c r="J436" s="28"/>
      <c r="K436" s="28"/>
      <c r="L436" s="28"/>
      <c r="M436" s="28"/>
      <c r="N436" s="28"/>
      <c r="O436" s="28"/>
      <c r="P436" s="28"/>
      <c r="Q436" s="28"/>
      <c r="R436" s="28"/>
      <c r="S436" s="28"/>
      <c r="T436" s="28"/>
      <c r="U436" s="28"/>
      <c r="V436" s="28"/>
    </row>
    <row r="437" ht="13.5" customHeight="1">
      <c r="A437" s="28"/>
      <c r="B437" s="28"/>
      <c r="C437" s="28"/>
      <c r="D437" s="28"/>
      <c r="E437" s="28"/>
      <c r="F437" s="28"/>
      <c r="G437" s="28"/>
      <c r="H437" s="28"/>
      <c r="I437" s="28"/>
      <c r="J437" s="28"/>
      <c r="K437" s="28"/>
      <c r="L437" s="28"/>
      <c r="M437" s="28"/>
      <c r="N437" s="28"/>
      <c r="O437" s="28"/>
      <c r="P437" s="28"/>
      <c r="Q437" s="28"/>
      <c r="R437" s="28"/>
      <c r="S437" s="28"/>
      <c r="T437" s="28"/>
      <c r="U437" s="28"/>
      <c r="V437" s="28"/>
    </row>
    <row r="438" ht="13.5" customHeight="1">
      <c r="A438" s="28"/>
      <c r="B438" s="28"/>
      <c r="C438" s="28"/>
      <c r="D438" s="28"/>
      <c r="E438" s="28"/>
      <c r="F438" s="28"/>
      <c r="G438" s="28"/>
      <c r="H438" s="28"/>
      <c r="I438" s="28"/>
      <c r="J438" s="28"/>
      <c r="K438" s="28"/>
      <c r="L438" s="28"/>
      <c r="M438" s="28"/>
      <c r="N438" s="28"/>
      <c r="O438" s="28"/>
      <c r="P438" s="28"/>
      <c r="Q438" s="28"/>
      <c r="R438" s="28"/>
      <c r="S438" s="28"/>
      <c r="T438" s="28"/>
      <c r="U438" s="28"/>
      <c r="V438" s="28"/>
    </row>
    <row r="439" ht="13.5" customHeight="1">
      <c r="A439" s="28"/>
      <c r="B439" s="28"/>
      <c r="C439" s="28"/>
      <c r="D439" s="28"/>
      <c r="E439" s="28"/>
      <c r="F439" s="28"/>
      <c r="G439" s="28"/>
      <c r="H439" s="28"/>
      <c r="I439" s="28"/>
      <c r="J439" s="28"/>
      <c r="K439" s="28"/>
      <c r="L439" s="28"/>
      <c r="M439" s="28"/>
      <c r="N439" s="28"/>
      <c r="O439" s="28"/>
      <c r="P439" s="28"/>
      <c r="Q439" s="28"/>
      <c r="R439" s="28"/>
      <c r="S439" s="28"/>
      <c r="T439" s="28"/>
      <c r="U439" s="28"/>
      <c r="V439" s="28"/>
    </row>
    <row r="440" ht="13.5" customHeight="1">
      <c r="A440" s="28"/>
      <c r="B440" s="28"/>
      <c r="C440" s="28"/>
      <c r="D440" s="28"/>
      <c r="E440" s="28"/>
      <c r="F440" s="28"/>
      <c r="G440" s="28"/>
      <c r="H440" s="28"/>
      <c r="I440" s="28"/>
      <c r="J440" s="28"/>
      <c r="K440" s="28"/>
      <c r="L440" s="28"/>
      <c r="M440" s="28"/>
      <c r="N440" s="28"/>
      <c r="O440" s="28"/>
      <c r="P440" s="28"/>
      <c r="Q440" s="28"/>
      <c r="R440" s="28"/>
      <c r="S440" s="28"/>
      <c r="T440" s="28"/>
      <c r="U440" s="28"/>
      <c r="V440" s="28"/>
    </row>
    <row r="441" ht="13.5" customHeight="1">
      <c r="A441" s="28"/>
      <c r="B441" s="28"/>
      <c r="C441" s="28"/>
      <c r="D441" s="28"/>
      <c r="E441" s="28"/>
      <c r="F441" s="28"/>
      <c r="G441" s="28"/>
      <c r="H441" s="28"/>
      <c r="I441" s="28"/>
      <c r="J441" s="28"/>
      <c r="K441" s="28"/>
      <c r="L441" s="28"/>
      <c r="M441" s="28"/>
      <c r="N441" s="28"/>
      <c r="O441" s="28"/>
      <c r="P441" s="28"/>
      <c r="Q441" s="28"/>
      <c r="R441" s="28"/>
      <c r="S441" s="28"/>
      <c r="T441" s="28"/>
      <c r="U441" s="28"/>
      <c r="V441" s="28"/>
    </row>
    <row r="442" ht="13.5" customHeight="1">
      <c r="A442" s="28"/>
      <c r="B442" s="28"/>
      <c r="C442" s="28"/>
      <c r="D442" s="28"/>
      <c r="E442" s="28"/>
      <c r="F442" s="28"/>
      <c r="G442" s="28"/>
      <c r="H442" s="28"/>
      <c r="I442" s="28"/>
      <c r="J442" s="28"/>
      <c r="K442" s="28"/>
      <c r="L442" s="28"/>
      <c r="M442" s="28"/>
      <c r="N442" s="28"/>
      <c r="O442" s="28"/>
      <c r="P442" s="28"/>
      <c r="Q442" s="28"/>
      <c r="R442" s="28"/>
      <c r="S442" s="28"/>
      <c r="T442" s="28"/>
      <c r="U442" s="28"/>
      <c r="V442" s="28"/>
    </row>
    <row r="443" ht="13.5" customHeight="1">
      <c r="A443" s="28"/>
      <c r="B443" s="28"/>
      <c r="C443" s="28"/>
      <c r="D443" s="28"/>
      <c r="E443" s="28"/>
      <c r="F443" s="28"/>
      <c r="G443" s="28"/>
      <c r="H443" s="28"/>
      <c r="I443" s="28"/>
      <c r="J443" s="28"/>
      <c r="K443" s="28"/>
      <c r="L443" s="28"/>
      <c r="M443" s="28"/>
      <c r="N443" s="28"/>
      <c r="O443" s="28"/>
      <c r="P443" s="28"/>
      <c r="Q443" s="28"/>
      <c r="R443" s="28"/>
      <c r="S443" s="28"/>
      <c r="T443" s="28"/>
      <c r="U443" s="28"/>
      <c r="V443" s="28"/>
    </row>
    <row r="444" ht="13.5" customHeight="1">
      <c r="A444" s="28"/>
      <c r="B444" s="28"/>
      <c r="C444" s="28"/>
      <c r="D444" s="28"/>
      <c r="E444" s="28"/>
      <c r="F444" s="28"/>
      <c r="G444" s="28"/>
      <c r="H444" s="28"/>
      <c r="I444" s="28"/>
      <c r="J444" s="28"/>
      <c r="K444" s="28"/>
      <c r="L444" s="28"/>
      <c r="M444" s="28"/>
      <c r="N444" s="28"/>
      <c r="O444" s="28"/>
      <c r="P444" s="28"/>
      <c r="Q444" s="28"/>
      <c r="R444" s="28"/>
      <c r="S444" s="28"/>
      <c r="T444" s="28"/>
      <c r="U444" s="28"/>
      <c r="V444" s="28"/>
    </row>
    <row r="445" ht="13.5" customHeight="1">
      <c r="A445" s="28"/>
      <c r="B445" s="28"/>
      <c r="C445" s="28"/>
      <c r="D445" s="28"/>
      <c r="E445" s="28"/>
      <c r="F445" s="28"/>
      <c r="G445" s="28"/>
      <c r="H445" s="28"/>
      <c r="I445" s="28"/>
      <c r="J445" s="28"/>
      <c r="K445" s="28"/>
      <c r="L445" s="28"/>
      <c r="M445" s="28"/>
      <c r="N445" s="28"/>
      <c r="O445" s="28"/>
      <c r="P445" s="28"/>
      <c r="Q445" s="28"/>
      <c r="R445" s="28"/>
      <c r="S445" s="28"/>
      <c r="T445" s="28"/>
      <c r="U445" s="28"/>
      <c r="V445" s="28"/>
    </row>
    <row r="446" ht="13.5" customHeight="1">
      <c r="A446" s="28"/>
      <c r="B446" s="28"/>
      <c r="C446" s="28"/>
      <c r="D446" s="28"/>
      <c r="E446" s="28"/>
      <c r="F446" s="28"/>
      <c r="G446" s="28"/>
      <c r="H446" s="28"/>
      <c r="I446" s="28"/>
      <c r="J446" s="28"/>
      <c r="K446" s="28"/>
      <c r="L446" s="28"/>
      <c r="M446" s="28"/>
      <c r="N446" s="28"/>
      <c r="O446" s="28"/>
      <c r="P446" s="28"/>
      <c r="Q446" s="28"/>
      <c r="R446" s="28"/>
      <c r="S446" s="28"/>
      <c r="T446" s="28"/>
      <c r="U446" s="28"/>
      <c r="V446" s="28"/>
    </row>
    <row r="447" ht="13.5" customHeight="1">
      <c r="A447" s="28"/>
      <c r="B447" s="28"/>
      <c r="C447" s="28"/>
      <c r="D447" s="28"/>
      <c r="E447" s="28"/>
      <c r="F447" s="28"/>
      <c r="G447" s="28"/>
      <c r="H447" s="28"/>
      <c r="I447" s="28"/>
      <c r="J447" s="28"/>
      <c r="K447" s="28"/>
      <c r="L447" s="28"/>
      <c r="M447" s="28"/>
      <c r="N447" s="28"/>
      <c r="O447" s="28"/>
      <c r="P447" s="28"/>
      <c r="Q447" s="28"/>
      <c r="R447" s="28"/>
      <c r="S447" s="28"/>
      <c r="T447" s="28"/>
      <c r="U447" s="28"/>
      <c r="V447" s="28"/>
    </row>
    <row r="448" ht="13.5" customHeight="1">
      <c r="A448" s="28"/>
      <c r="B448" s="28"/>
      <c r="C448" s="28"/>
      <c r="D448" s="28"/>
      <c r="E448" s="28"/>
      <c r="F448" s="28"/>
      <c r="G448" s="28"/>
      <c r="H448" s="28"/>
      <c r="I448" s="28"/>
      <c r="J448" s="28"/>
      <c r="K448" s="28"/>
      <c r="L448" s="28"/>
      <c r="M448" s="28"/>
      <c r="N448" s="28"/>
      <c r="O448" s="28"/>
      <c r="P448" s="28"/>
      <c r="Q448" s="28"/>
      <c r="R448" s="28"/>
      <c r="S448" s="28"/>
      <c r="T448" s="28"/>
      <c r="U448" s="28"/>
      <c r="V448" s="28"/>
    </row>
    <row r="449" ht="13.5" customHeight="1">
      <c r="A449" s="28"/>
      <c r="B449" s="28"/>
      <c r="C449" s="28"/>
      <c r="D449" s="28"/>
      <c r="E449" s="28"/>
      <c r="F449" s="28"/>
      <c r="G449" s="28"/>
      <c r="H449" s="28"/>
      <c r="I449" s="28"/>
      <c r="J449" s="28"/>
      <c r="K449" s="28"/>
      <c r="L449" s="28"/>
      <c r="M449" s="28"/>
      <c r="N449" s="28"/>
      <c r="O449" s="28"/>
      <c r="P449" s="28"/>
      <c r="Q449" s="28"/>
      <c r="R449" s="28"/>
      <c r="S449" s="28"/>
      <c r="T449" s="28"/>
      <c r="U449" s="28"/>
      <c r="V449" s="28"/>
    </row>
    <row r="450" ht="13.5" customHeight="1">
      <c r="A450" s="28"/>
      <c r="B450" s="28"/>
      <c r="C450" s="28"/>
      <c r="D450" s="28"/>
      <c r="E450" s="28"/>
      <c r="F450" s="28"/>
      <c r="G450" s="28"/>
      <c r="H450" s="28"/>
      <c r="I450" s="28"/>
      <c r="J450" s="28"/>
      <c r="K450" s="28"/>
      <c r="L450" s="28"/>
      <c r="M450" s="28"/>
      <c r="N450" s="28"/>
      <c r="O450" s="28"/>
      <c r="P450" s="28"/>
      <c r="Q450" s="28"/>
      <c r="R450" s="28"/>
      <c r="S450" s="28"/>
      <c r="T450" s="28"/>
      <c r="U450" s="28"/>
      <c r="V450" s="28"/>
    </row>
    <row r="451" ht="13.5" customHeight="1">
      <c r="A451" s="28"/>
      <c r="B451" s="28"/>
      <c r="C451" s="28"/>
      <c r="D451" s="28"/>
      <c r="E451" s="28"/>
      <c r="F451" s="28"/>
      <c r="G451" s="28"/>
      <c r="H451" s="28"/>
      <c r="I451" s="28"/>
      <c r="J451" s="28"/>
      <c r="K451" s="28"/>
      <c r="L451" s="28"/>
      <c r="M451" s="28"/>
      <c r="N451" s="28"/>
      <c r="O451" s="28"/>
      <c r="P451" s="28"/>
      <c r="Q451" s="28"/>
      <c r="R451" s="28"/>
      <c r="S451" s="28"/>
      <c r="T451" s="28"/>
      <c r="U451" s="28"/>
      <c r="V451" s="28"/>
    </row>
    <row r="452" ht="13.5" customHeight="1">
      <c r="A452" s="28"/>
      <c r="B452" s="28"/>
      <c r="C452" s="28"/>
      <c r="D452" s="28"/>
      <c r="E452" s="28"/>
      <c r="F452" s="28"/>
      <c r="G452" s="28"/>
      <c r="H452" s="28"/>
      <c r="I452" s="28"/>
      <c r="J452" s="28"/>
      <c r="K452" s="28"/>
      <c r="L452" s="28"/>
      <c r="M452" s="28"/>
      <c r="N452" s="28"/>
      <c r="O452" s="28"/>
      <c r="P452" s="28"/>
      <c r="Q452" s="28"/>
      <c r="R452" s="28"/>
      <c r="S452" s="28"/>
      <c r="T452" s="28"/>
      <c r="U452" s="28"/>
      <c r="V452" s="28"/>
    </row>
    <row r="453" ht="13.5" customHeight="1">
      <c r="A453" s="28"/>
      <c r="B453" s="28"/>
      <c r="C453" s="28"/>
      <c r="D453" s="28"/>
      <c r="E453" s="28"/>
      <c r="F453" s="28"/>
      <c r="G453" s="28"/>
      <c r="H453" s="28"/>
      <c r="I453" s="28"/>
      <c r="J453" s="28"/>
      <c r="K453" s="28"/>
      <c r="L453" s="28"/>
      <c r="M453" s="28"/>
      <c r="N453" s="28"/>
      <c r="O453" s="28"/>
      <c r="P453" s="28"/>
      <c r="Q453" s="28"/>
      <c r="R453" s="28"/>
      <c r="S453" s="28"/>
      <c r="T453" s="28"/>
      <c r="U453" s="28"/>
      <c r="V453" s="28"/>
    </row>
    <row r="454" ht="13.5" customHeight="1">
      <c r="A454" s="28"/>
      <c r="B454" s="28"/>
      <c r="C454" s="28"/>
      <c r="D454" s="28"/>
      <c r="E454" s="28"/>
      <c r="F454" s="28"/>
      <c r="G454" s="28"/>
      <c r="H454" s="28"/>
      <c r="I454" s="28"/>
      <c r="J454" s="28"/>
      <c r="K454" s="28"/>
      <c r="L454" s="28"/>
      <c r="M454" s="28"/>
      <c r="N454" s="28"/>
      <c r="O454" s="28"/>
      <c r="P454" s="28"/>
      <c r="Q454" s="28"/>
      <c r="R454" s="28"/>
      <c r="S454" s="28"/>
      <c r="T454" s="28"/>
      <c r="U454" s="28"/>
      <c r="V454" s="28"/>
    </row>
    <row r="455" ht="13.5" customHeight="1">
      <c r="A455" s="28"/>
      <c r="B455" s="28"/>
      <c r="C455" s="28"/>
      <c r="D455" s="28"/>
      <c r="E455" s="28"/>
      <c r="F455" s="28"/>
      <c r="G455" s="28"/>
      <c r="H455" s="28"/>
      <c r="I455" s="28"/>
      <c r="J455" s="28"/>
      <c r="K455" s="28"/>
      <c r="L455" s="28"/>
      <c r="M455" s="28"/>
      <c r="N455" s="28"/>
      <c r="O455" s="28"/>
      <c r="P455" s="28"/>
      <c r="Q455" s="28"/>
      <c r="R455" s="28"/>
      <c r="S455" s="28"/>
      <c r="T455" s="28"/>
      <c r="U455" s="28"/>
      <c r="V455" s="28"/>
    </row>
    <row r="456" ht="13.5" customHeight="1">
      <c r="A456" s="28"/>
      <c r="B456" s="28"/>
      <c r="C456" s="28"/>
      <c r="D456" s="28"/>
      <c r="E456" s="28"/>
      <c r="F456" s="28"/>
      <c r="G456" s="28"/>
      <c r="H456" s="28"/>
      <c r="I456" s="28"/>
      <c r="J456" s="28"/>
      <c r="K456" s="28"/>
      <c r="L456" s="28"/>
      <c r="M456" s="28"/>
      <c r="N456" s="28"/>
      <c r="O456" s="28"/>
      <c r="P456" s="28"/>
      <c r="Q456" s="28"/>
      <c r="R456" s="28"/>
      <c r="S456" s="28"/>
      <c r="T456" s="28"/>
      <c r="U456" s="28"/>
      <c r="V456" s="28"/>
    </row>
    <row r="457" ht="13.5" customHeight="1">
      <c r="A457" s="28"/>
      <c r="B457" s="28"/>
      <c r="C457" s="28"/>
      <c r="D457" s="28"/>
      <c r="E457" s="28"/>
      <c r="F457" s="28"/>
      <c r="G457" s="28"/>
      <c r="H457" s="28"/>
      <c r="I457" s="28"/>
      <c r="J457" s="28"/>
      <c r="K457" s="28"/>
      <c r="L457" s="28"/>
      <c r="M457" s="28"/>
      <c r="N457" s="28"/>
      <c r="O457" s="28"/>
      <c r="P457" s="28"/>
      <c r="Q457" s="28"/>
      <c r="R457" s="28"/>
      <c r="S457" s="28"/>
      <c r="T457" s="28"/>
      <c r="U457" s="28"/>
      <c r="V457" s="28"/>
    </row>
    <row r="458" ht="13.5" customHeight="1">
      <c r="A458" s="28"/>
      <c r="B458" s="28"/>
      <c r="C458" s="28"/>
      <c r="D458" s="28"/>
      <c r="E458" s="28"/>
      <c r="F458" s="28"/>
      <c r="G458" s="28"/>
      <c r="H458" s="28"/>
      <c r="I458" s="28"/>
      <c r="J458" s="28"/>
      <c r="K458" s="28"/>
      <c r="L458" s="28"/>
      <c r="M458" s="28"/>
      <c r="N458" s="28"/>
      <c r="O458" s="28"/>
      <c r="P458" s="28"/>
      <c r="Q458" s="28"/>
      <c r="R458" s="28"/>
      <c r="S458" s="28"/>
      <c r="T458" s="28"/>
      <c r="U458" s="28"/>
      <c r="V458" s="28"/>
    </row>
    <row r="459" ht="13.5" customHeight="1">
      <c r="A459" s="28"/>
      <c r="B459" s="28"/>
      <c r="C459" s="28"/>
      <c r="D459" s="28"/>
      <c r="E459" s="28"/>
      <c r="F459" s="28"/>
      <c r="G459" s="28"/>
      <c r="H459" s="28"/>
      <c r="I459" s="28"/>
      <c r="J459" s="28"/>
      <c r="K459" s="28"/>
      <c r="L459" s="28"/>
      <c r="M459" s="28"/>
      <c r="N459" s="28"/>
      <c r="O459" s="28"/>
      <c r="P459" s="28"/>
      <c r="Q459" s="28"/>
      <c r="R459" s="28"/>
      <c r="S459" s="28"/>
      <c r="T459" s="28"/>
      <c r="U459" s="28"/>
      <c r="V459" s="28"/>
    </row>
    <row r="460" ht="13.5" customHeight="1">
      <c r="A460" s="28"/>
      <c r="B460" s="28"/>
      <c r="C460" s="28"/>
      <c r="D460" s="28"/>
      <c r="E460" s="28"/>
      <c r="F460" s="28"/>
      <c r="G460" s="28"/>
      <c r="H460" s="28"/>
      <c r="I460" s="28"/>
      <c r="J460" s="28"/>
      <c r="K460" s="28"/>
      <c r="L460" s="28"/>
      <c r="M460" s="28"/>
      <c r="N460" s="28"/>
      <c r="O460" s="28"/>
      <c r="P460" s="28"/>
      <c r="Q460" s="28"/>
      <c r="R460" s="28"/>
      <c r="S460" s="28"/>
      <c r="T460" s="28"/>
      <c r="U460" s="28"/>
      <c r="V460" s="28"/>
    </row>
    <row r="461" ht="13.5" customHeight="1">
      <c r="A461" s="28"/>
      <c r="B461" s="28"/>
      <c r="C461" s="28"/>
      <c r="D461" s="28"/>
      <c r="E461" s="28"/>
      <c r="F461" s="28"/>
      <c r="G461" s="28"/>
      <c r="H461" s="28"/>
      <c r="I461" s="28"/>
      <c r="J461" s="28"/>
      <c r="K461" s="28"/>
      <c r="L461" s="28"/>
      <c r="M461" s="28"/>
      <c r="N461" s="28"/>
      <c r="O461" s="28"/>
      <c r="P461" s="28"/>
      <c r="Q461" s="28"/>
      <c r="R461" s="28"/>
      <c r="S461" s="28"/>
      <c r="T461" s="28"/>
      <c r="U461" s="28"/>
      <c r="V461" s="28"/>
    </row>
    <row r="462" ht="13.5" customHeight="1">
      <c r="A462" s="28"/>
      <c r="B462" s="28"/>
      <c r="C462" s="28"/>
      <c r="D462" s="28"/>
      <c r="E462" s="28"/>
      <c r="F462" s="28"/>
      <c r="G462" s="28"/>
      <c r="H462" s="28"/>
      <c r="I462" s="28"/>
      <c r="J462" s="28"/>
      <c r="K462" s="28"/>
      <c r="L462" s="28"/>
      <c r="M462" s="28"/>
      <c r="N462" s="28"/>
      <c r="O462" s="28"/>
      <c r="P462" s="28"/>
      <c r="Q462" s="28"/>
      <c r="R462" s="28"/>
      <c r="S462" s="28"/>
      <c r="T462" s="28"/>
      <c r="U462" s="28"/>
      <c r="V462" s="28"/>
    </row>
    <row r="463" ht="13.5" customHeight="1">
      <c r="A463" s="28"/>
      <c r="B463" s="28"/>
      <c r="C463" s="28"/>
      <c r="D463" s="28"/>
      <c r="E463" s="28"/>
      <c r="F463" s="28"/>
      <c r="G463" s="28"/>
      <c r="H463" s="28"/>
      <c r="I463" s="28"/>
      <c r="J463" s="28"/>
      <c r="K463" s="28"/>
      <c r="L463" s="28"/>
      <c r="M463" s="28"/>
      <c r="N463" s="28"/>
      <c r="O463" s="28"/>
      <c r="P463" s="28"/>
      <c r="Q463" s="28"/>
      <c r="R463" s="28"/>
      <c r="S463" s="28"/>
      <c r="T463" s="28"/>
      <c r="U463" s="28"/>
      <c r="V463" s="28"/>
    </row>
    <row r="464" ht="13.5" customHeight="1">
      <c r="A464" s="28"/>
      <c r="B464" s="28"/>
      <c r="C464" s="28"/>
      <c r="D464" s="28"/>
      <c r="E464" s="28"/>
      <c r="F464" s="28"/>
      <c r="G464" s="28"/>
      <c r="H464" s="28"/>
      <c r="I464" s="28"/>
      <c r="J464" s="28"/>
      <c r="K464" s="28"/>
      <c r="L464" s="28"/>
      <c r="M464" s="28"/>
      <c r="N464" s="28"/>
      <c r="O464" s="28"/>
      <c r="P464" s="28"/>
      <c r="Q464" s="28"/>
      <c r="R464" s="28"/>
      <c r="S464" s="28"/>
      <c r="T464" s="28"/>
      <c r="U464" s="28"/>
      <c r="V464" s="28"/>
    </row>
    <row r="465" ht="13.5" customHeight="1">
      <c r="A465" s="28"/>
      <c r="B465" s="28"/>
      <c r="C465" s="28"/>
      <c r="D465" s="28"/>
      <c r="E465" s="28"/>
      <c r="F465" s="28"/>
      <c r="G465" s="28"/>
      <c r="H465" s="28"/>
      <c r="I465" s="28"/>
      <c r="J465" s="28"/>
      <c r="K465" s="28"/>
      <c r="L465" s="28"/>
      <c r="M465" s="28"/>
      <c r="N465" s="28"/>
      <c r="O465" s="28"/>
      <c r="P465" s="28"/>
      <c r="Q465" s="28"/>
      <c r="R465" s="28"/>
      <c r="S465" s="28"/>
      <c r="T465" s="28"/>
      <c r="U465" s="28"/>
      <c r="V465" s="28"/>
    </row>
    <row r="466" ht="13.5" customHeight="1">
      <c r="A466" s="28"/>
      <c r="B466" s="28"/>
      <c r="C466" s="28"/>
      <c r="D466" s="28"/>
      <c r="E466" s="28"/>
      <c r="F466" s="28"/>
      <c r="G466" s="28"/>
      <c r="H466" s="28"/>
      <c r="I466" s="28"/>
      <c r="J466" s="28"/>
      <c r="K466" s="28"/>
      <c r="L466" s="28"/>
      <c r="M466" s="28"/>
      <c r="N466" s="28"/>
      <c r="O466" s="28"/>
      <c r="P466" s="28"/>
      <c r="Q466" s="28"/>
      <c r="R466" s="28"/>
      <c r="S466" s="28"/>
      <c r="T466" s="28"/>
      <c r="U466" s="28"/>
      <c r="V466" s="28"/>
    </row>
    <row r="467" ht="13.5" customHeight="1">
      <c r="A467" s="28"/>
      <c r="B467" s="28"/>
      <c r="C467" s="28"/>
      <c r="D467" s="28"/>
      <c r="E467" s="28"/>
      <c r="F467" s="28"/>
      <c r="G467" s="28"/>
      <c r="H467" s="28"/>
      <c r="I467" s="28"/>
      <c r="J467" s="28"/>
      <c r="K467" s="28"/>
      <c r="L467" s="28"/>
      <c r="M467" s="28"/>
      <c r="N467" s="28"/>
      <c r="O467" s="28"/>
      <c r="P467" s="28"/>
      <c r="Q467" s="28"/>
      <c r="R467" s="28"/>
      <c r="S467" s="28"/>
      <c r="T467" s="28"/>
      <c r="U467" s="28"/>
      <c r="V467" s="28"/>
    </row>
    <row r="468" ht="13.5" customHeight="1">
      <c r="A468" s="28"/>
      <c r="B468" s="28"/>
      <c r="C468" s="28"/>
      <c r="D468" s="28"/>
      <c r="E468" s="28"/>
      <c r="F468" s="28"/>
      <c r="G468" s="28"/>
      <c r="H468" s="28"/>
      <c r="I468" s="28"/>
      <c r="J468" s="28"/>
      <c r="K468" s="28"/>
      <c r="L468" s="28"/>
      <c r="M468" s="28"/>
      <c r="N468" s="28"/>
      <c r="O468" s="28"/>
      <c r="P468" s="28"/>
      <c r="Q468" s="28"/>
      <c r="R468" s="28"/>
      <c r="S468" s="28"/>
      <c r="T468" s="28"/>
      <c r="U468" s="28"/>
      <c r="V468" s="28"/>
    </row>
    <row r="469" ht="13.5" customHeight="1">
      <c r="A469" s="28"/>
      <c r="B469" s="28"/>
      <c r="C469" s="28"/>
      <c r="D469" s="28"/>
      <c r="E469" s="28"/>
      <c r="F469" s="28"/>
      <c r="G469" s="28"/>
      <c r="H469" s="28"/>
      <c r="I469" s="28"/>
      <c r="J469" s="28"/>
      <c r="K469" s="28"/>
      <c r="L469" s="28"/>
      <c r="M469" s="28"/>
      <c r="N469" s="28"/>
      <c r="O469" s="28"/>
      <c r="P469" s="28"/>
      <c r="Q469" s="28"/>
      <c r="R469" s="28"/>
      <c r="S469" s="28"/>
      <c r="T469" s="28"/>
      <c r="U469" s="28"/>
      <c r="V469" s="28"/>
    </row>
    <row r="470" ht="13.5" customHeight="1">
      <c r="A470" s="28"/>
      <c r="B470" s="28"/>
      <c r="C470" s="28"/>
      <c r="D470" s="28"/>
      <c r="E470" s="28"/>
      <c r="F470" s="28"/>
      <c r="G470" s="28"/>
      <c r="H470" s="28"/>
      <c r="I470" s="28"/>
      <c r="J470" s="28"/>
      <c r="K470" s="28"/>
      <c r="L470" s="28"/>
      <c r="M470" s="28"/>
      <c r="N470" s="28"/>
      <c r="O470" s="28"/>
      <c r="P470" s="28"/>
      <c r="Q470" s="28"/>
      <c r="R470" s="28"/>
      <c r="S470" s="28"/>
      <c r="T470" s="28"/>
      <c r="U470" s="28"/>
      <c r="V470" s="28"/>
    </row>
    <row r="471" ht="13.5" customHeight="1">
      <c r="A471" s="28"/>
      <c r="B471" s="28"/>
      <c r="C471" s="28"/>
      <c r="D471" s="28"/>
      <c r="E471" s="28"/>
      <c r="F471" s="28"/>
      <c r="G471" s="28"/>
      <c r="H471" s="28"/>
      <c r="I471" s="28"/>
      <c r="J471" s="28"/>
      <c r="K471" s="28"/>
      <c r="L471" s="28"/>
      <c r="M471" s="28"/>
      <c r="N471" s="28"/>
      <c r="O471" s="28"/>
      <c r="P471" s="28"/>
      <c r="Q471" s="28"/>
      <c r="R471" s="28"/>
      <c r="S471" s="28"/>
      <c r="T471" s="28"/>
      <c r="U471" s="28"/>
      <c r="V471" s="28"/>
    </row>
    <row r="472" ht="13.5" customHeight="1">
      <c r="A472" s="28"/>
      <c r="B472" s="28"/>
      <c r="C472" s="28"/>
      <c r="D472" s="28"/>
      <c r="E472" s="28"/>
      <c r="F472" s="28"/>
      <c r="G472" s="28"/>
      <c r="H472" s="28"/>
      <c r="I472" s="28"/>
      <c r="J472" s="28"/>
      <c r="K472" s="28"/>
      <c r="L472" s="28"/>
      <c r="M472" s="28"/>
      <c r="N472" s="28"/>
      <c r="O472" s="28"/>
      <c r="P472" s="28"/>
      <c r="Q472" s="28"/>
      <c r="R472" s="28"/>
      <c r="S472" s="28"/>
      <c r="T472" s="28"/>
      <c r="U472" s="28"/>
      <c r="V472" s="28"/>
    </row>
    <row r="473" ht="13.5" customHeight="1">
      <c r="A473" s="28"/>
      <c r="B473" s="28"/>
      <c r="C473" s="28"/>
      <c r="D473" s="28"/>
      <c r="E473" s="28"/>
      <c r="F473" s="28"/>
      <c r="G473" s="28"/>
      <c r="H473" s="28"/>
      <c r="I473" s="28"/>
      <c r="J473" s="28"/>
      <c r="K473" s="28"/>
      <c r="L473" s="28"/>
      <c r="M473" s="28"/>
      <c r="N473" s="28"/>
      <c r="O473" s="28"/>
      <c r="P473" s="28"/>
      <c r="Q473" s="28"/>
      <c r="R473" s="28"/>
      <c r="S473" s="28"/>
      <c r="T473" s="28"/>
      <c r="U473" s="28"/>
      <c r="V473" s="28"/>
    </row>
    <row r="474" ht="13.5" customHeight="1">
      <c r="A474" s="28"/>
      <c r="B474" s="28"/>
      <c r="C474" s="28"/>
      <c r="D474" s="28"/>
      <c r="E474" s="28"/>
      <c r="F474" s="28"/>
      <c r="G474" s="28"/>
      <c r="H474" s="28"/>
      <c r="I474" s="28"/>
      <c r="J474" s="28"/>
      <c r="K474" s="28"/>
      <c r="L474" s="28"/>
      <c r="M474" s="28"/>
      <c r="N474" s="28"/>
      <c r="O474" s="28"/>
      <c r="P474" s="28"/>
      <c r="Q474" s="28"/>
      <c r="R474" s="28"/>
      <c r="S474" s="28"/>
      <c r="T474" s="28"/>
      <c r="U474" s="28"/>
      <c r="V474" s="28"/>
    </row>
    <row r="475" ht="13.5" customHeight="1">
      <c r="A475" s="28"/>
      <c r="B475" s="28"/>
      <c r="C475" s="28"/>
      <c r="D475" s="28"/>
      <c r="E475" s="28"/>
      <c r="F475" s="28"/>
      <c r="G475" s="28"/>
      <c r="H475" s="28"/>
      <c r="I475" s="28"/>
      <c r="J475" s="28"/>
      <c r="K475" s="28"/>
      <c r="L475" s="28"/>
      <c r="M475" s="28"/>
      <c r="N475" s="28"/>
      <c r="O475" s="28"/>
      <c r="P475" s="28"/>
      <c r="Q475" s="28"/>
      <c r="R475" s="28"/>
      <c r="S475" s="28"/>
      <c r="T475" s="28"/>
      <c r="U475" s="28"/>
      <c r="V475" s="28"/>
    </row>
    <row r="476" ht="13.5" customHeight="1">
      <c r="A476" s="28"/>
      <c r="B476" s="28"/>
      <c r="C476" s="28"/>
      <c r="D476" s="28"/>
      <c r="E476" s="28"/>
      <c r="F476" s="28"/>
      <c r="G476" s="28"/>
      <c r="H476" s="28"/>
      <c r="I476" s="28"/>
      <c r="J476" s="28"/>
      <c r="K476" s="28"/>
      <c r="L476" s="28"/>
      <c r="M476" s="28"/>
      <c r="N476" s="28"/>
      <c r="O476" s="28"/>
      <c r="P476" s="28"/>
      <c r="Q476" s="28"/>
      <c r="R476" s="28"/>
      <c r="S476" s="28"/>
      <c r="T476" s="28"/>
      <c r="U476" s="28"/>
      <c r="V476" s="28"/>
    </row>
    <row r="477" ht="13.5" customHeight="1">
      <c r="A477" s="28"/>
      <c r="B477" s="28"/>
      <c r="C477" s="28"/>
      <c r="D477" s="28"/>
      <c r="E477" s="28"/>
      <c r="F477" s="28"/>
      <c r="G477" s="28"/>
      <c r="H477" s="28"/>
      <c r="I477" s="28"/>
      <c r="J477" s="28"/>
      <c r="K477" s="28"/>
      <c r="L477" s="28"/>
      <c r="M477" s="28"/>
      <c r="N477" s="28"/>
      <c r="O477" s="28"/>
      <c r="P477" s="28"/>
      <c r="Q477" s="28"/>
      <c r="R477" s="28"/>
      <c r="S477" s="28"/>
      <c r="T477" s="28"/>
      <c r="U477" s="28"/>
      <c r="V477" s="28"/>
    </row>
    <row r="478" ht="13.5" customHeight="1">
      <c r="A478" s="28"/>
      <c r="B478" s="28"/>
      <c r="C478" s="28"/>
      <c r="D478" s="28"/>
      <c r="E478" s="28"/>
      <c r="F478" s="28"/>
      <c r="G478" s="28"/>
      <c r="H478" s="28"/>
      <c r="I478" s="28"/>
      <c r="J478" s="28"/>
      <c r="K478" s="28"/>
      <c r="L478" s="28"/>
      <c r="M478" s="28"/>
      <c r="N478" s="28"/>
      <c r="O478" s="28"/>
      <c r="P478" s="28"/>
      <c r="Q478" s="28"/>
      <c r="R478" s="28"/>
      <c r="S478" s="28"/>
      <c r="T478" s="28"/>
      <c r="U478" s="28"/>
      <c r="V478" s="28"/>
    </row>
    <row r="479" ht="13.5" customHeight="1">
      <c r="A479" s="28"/>
      <c r="B479" s="28"/>
      <c r="C479" s="28"/>
      <c r="D479" s="28"/>
      <c r="E479" s="28"/>
      <c r="F479" s="28"/>
      <c r="G479" s="28"/>
      <c r="H479" s="28"/>
      <c r="I479" s="28"/>
      <c r="J479" s="28"/>
      <c r="K479" s="28"/>
      <c r="L479" s="28"/>
      <c r="M479" s="28"/>
      <c r="N479" s="28"/>
      <c r="O479" s="28"/>
      <c r="P479" s="28"/>
      <c r="Q479" s="28"/>
      <c r="R479" s="28"/>
      <c r="S479" s="28"/>
      <c r="T479" s="28"/>
      <c r="U479" s="28"/>
      <c r="V479" s="28"/>
    </row>
    <row r="480" ht="13.5" customHeight="1">
      <c r="A480" s="28"/>
      <c r="B480" s="28"/>
      <c r="C480" s="28"/>
      <c r="D480" s="28"/>
      <c r="E480" s="28"/>
      <c r="F480" s="28"/>
      <c r="G480" s="28"/>
      <c r="H480" s="28"/>
      <c r="I480" s="28"/>
      <c r="J480" s="28"/>
      <c r="K480" s="28"/>
      <c r="L480" s="28"/>
      <c r="M480" s="28"/>
      <c r="N480" s="28"/>
      <c r="O480" s="28"/>
      <c r="P480" s="28"/>
      <c r="Q480" s="28"/>
      <c r="R480" s="28"/>
      <c r="S480" s="28"/>
      <c r="T480" s="28"/>
      <c r="U480" s="28"/>
      <c r="V480" s="28"/>
    </row>
    <row r="481" ht="13.5" customHeight="1">
      <c r="A481" s="28"/>
      <c r="B481" s="28"/>
      <c r="C481" s="28"/>
      <c r="D481" s="28"/>
      <c r="E481" s="28"/>
      <c r="F481" s="28"/>
      <c r="G481" s="28"/>
      <c r="H481" s="28"/>
      <c r="I481" s="28"/>
      <c r="J481" s="28"/>
      <c r="K481" s="28"/>
      <c r="L481" s="28"/>
      <c r="M481" s="28"/>
      <c r="N481" s="28"/>
      <c r="O481" s="28"/>
      <c r="P481" s="28"/>
      <c r="Q481" s="28"/>
      <c r="R481" s="28"/>
      <c r="S481" s="28"/>
      <c r="T481" s="28"/>
      <c r="U481" s="28"/>
      <c r="V481" s="28"/>
    </row>
    <row r="482" ht="13.5" customHeight="1">
      <c r="A482" s="28"/>
      <c r="B482" s="28"/>
      <c r="C482" s="28"/>
      <c r="D482" s="28"/>
      <c r="E482" s="28"/>
      <c r="F482" s="28"/>
      <c r="G482" s="28"/>
      <c r="H482" s="28"/>
      <c r="I482" s="28"/>
      <c r="J482" s="28"/>
      <c r="K482" s="28"/>
      <c r="L482" s="28"/>
      <c r="M482" s="28"/>
      <c r="N482" s="28"/>
      <c r="O482" s="28"/>
      <c r="P482" s="28"/>
      <c r="Q482" s="28"/>
      <c r="R482" s="28"/>
      <c r="S482" s="28"/>
      <c r="T482" s="28"/>
      <c r="U482" s="28"/>
      <c r="V482" s="28"/>
    </row>
    <row r="483" ht="13.5" customHeight="1">
      <c r="A483" s="28"/>
      <c r="B483" s="28"/>
      <c r="C483" s="28"/>
      <c r="D483" s="28"/>
      <c r="E483" s="28"/>
      <c r="F483" s="28"/>
      <c r="G483" s="28"/>
      <c r="H483" s="28"/>
      <c r="I483" s="28"/>
      <c r="J483" s="28"/>
      <c r="K483" s="28"/>
      <c r="L483" s="28"/>
      <c r="M483" s="28"/>
      <c r="N483" s="28"/>
      <c r="O483" s="28"/>
      <c r="P483" s="28"/>
      <c r="Q483" s="28"/>
      <c r="R483" s="28"/>
      <c r="S483" s="28"/>
      <c r="T483" s="28"/>
      <c r="U483" s="28"/>
      <c r="V483" s="28"/>
    </row>
    <row r="484" ht="13.5" customHeight="1">
      <c r="A484" s="28"/>
      <c r="B484" s="28"/>
      <c r="C484" s="28"/>
      <c r="D484" s="28"/>
      <c r="E484" s="28"/>
      <c r="F484" s="28"/>
      <c r="G484" s="28"/>
      <c r="H484" s="28"/>
      <c r="I484" s="28"/>
      <c r="J484" s="28"/>
      <c r="K484" s="28"/>
      <c r="L484" s="28"/>
      <c r="M484" s="28"/>
      <c r="N484" s="28"/>
      <c r="O484" s="28"/>
      <c r="P484" s="28"/>
      <c r="Q484" s="28"/>
      <c r="R484" s="28"/>
      <c r="S484" s="28"/>
      <c r="T484" s="28"/>
      <c r="U484" s="28"/>
      <c r="V484" s="28"/>
    </row>
    <row r="485" ht="13.5" customHeight="1">
      <c r="A485" s="28"/>
      <c r="B485" s="28"/>
      <c r="C485" s="28"/>
      <c r="D485" s="28"/>
      <c r="E485" s="28"/>
      <c r="F485" s="28"/>
      <c r="G485" s="28"/>
      <c r="H485" s="28"/>
      <c r="I485" s="28"/>
      <c r="J485" s="28"/>
      <c r="K485" s="28"/>
      <c r="L485" s="28"/>
      <c r="M485" s="28"/>
      <c r="N485" s="28"/>
      <c r="O485" s="28"/>
      <c r="P485" s="28"/>
      <c r="Q485" s="28"/>
      <c r="R485" s="28"/>
      <c r="S485" s="28"/>
      <c r="T485" s="28"/>
      <c r="U485" s="28"/>
      <c r="V485" s="28"/>
    </row>
    <row r="486" ht="13.5" customHeight="1">
      <c r="A486" s="28"/>
      <c r="B486" s="28"/>
      <c r="C486" s="28"/>
      <c r="D486" s="28"/>
      <c r="E486" s="28"/>
      <c r="F486" s="28"/>
      <c r="G486" s="28"/>
      <c r="H486" s="28"/>
      <c r="I486" s="28"/>
      <c r="J486" s="28"/>
      <c r="K486" s="28"/>
      <c r="L486" s="28"/>
      <c r="M486" s="28"/>
      <c r="N486" s="28"/>
      <c r="O486" s="28"/>
      <c r="P486" s="28"/>
      <c r="Q486" s="28"/>
      <c r="R486" s="28"/>
      <c r="S486" s="28"/>
      <c r="T486" s="28"/>
      <c r="U486" s="28"/>
      <c r="V486" s="28"/>
    </row>
    <row r="487" ht="13.5" customHeight="1">
      <c r="A487" s="28"/>
      <c r="B487" s="28"/>
      <c r="C487" s="28"/>
      <c r="D487" s="28"/>
      <c r="E487" s="28"/>
      <c r="F487" s="28"/>
      <c r="G487" s="28"/>
      <c r="H487" s="28"/>
      <c r="I487" s="28"/>
      <c r="J487" s="28"/>
      <c r="K487" s="28"/>
      <c r="L487" s="28"/>
      <c r="M487" s="28"/>
      <c r="N487" s="28"/>
      <c r="O487" s="28"/>
      <c r="P487" s="28"/>
      <c r="Q487" s="28"/>
      <c r="R487" s="28"/>
      <c r="S487" s="28"/>
      <c r="T487" s="28"/>
      <c r="U487" s="28"/>
      <c r="V487" s="28"/>
    </row>
    <row r="488" ht="13.5" customHeight="1">
      <c r="A488" s="28"/>
      <c r="B488" s="28"/>
      <c r="C488" s="28"/>
      <c r="D488" s="28"/>
      <c r="E488" s="28"/>
      <c r="F488" s="28"/>
      <c r="G488" s="28"/>
      <c r="H488" s="28"/>
      <c r="I488" s="28"/>
      <c r="J488" s="28"/>
      <c r="K488" s="28"/>
      <c r="L488" s="28"/>
      <c r="M488" s="28"/>
      <c r="N488" s="28"/>
      <c r="O488" s="28"/>
      <c r="P488" s="28"/>
      <c r="Q488" s="28"/>
      <c r="R488" s="28"/>
      <c r="S488" s="28"/>
      <c r="T488" s="28"/>
      <c r="U488" s="28"/>
      <c r="V488" s="28"/>
    </row>
    <row r="489" ht="13.5" customHeight="1">
      <c r="A489" s="28"/>
      <c r="B489" s="28"/>
      <c r="C489" s="28"/>
      <c r="D489" s="28"/>
      <c r="E489" s="28"/>
      <c r="F489" s="28"/>
      <c r="G489" s="28"/>
      <c r="H489" s="28"/>
      <c r="I489" s="28"/>
      <c r="J489" s="28"/>
      <c r="K489" s="28"/>
      <c r="L489" s="28"/>
      <c r="M489" s="28"/>
      <c r="N489" s="28"/>
      <c r="O489" s="28"/>
      <c r="P489" s="28"/>
      <c r="Q489" s="28"/>
      <c r="R489" s="28"/>
      <c r="S489" s="28"/>
      <c r="T489" s="28"/>
      <c r="U489" s="28"/>
      <c r="V489" s="28"/>
    </row>
    <row r="490" ht="13.5" customHeight="1">
      <c r="A490" s="28"/>
      <c r="B490" s="28"/>
      <c r="C490" s="28"/>
      <c r="D490" s="28"/>
      <c r="E490" s="28"/>
      <c r="F490" s="28"/>
      <c r="G490" s="28"/>
      <c r="H490" s="28"/>
      <c r="I490" s="28"/>
      <c r="J490" s="28"/>
      <c r="K490" s="28"/>
      <c r="L490" s="28"/>
      <c r="M490" s="28"/>
      <c r="N490" s="28"/>
      <c r="O490" s="28"/>
      <c r="P490" s="28"/>
      <c r="Q490" s="28"/>
      <c r="R490" s="28"/>
      <c r="S490" s="28"/>
      <c r="T490" s="28"/>
      <c r="U490" s="28"/>
      <c r="V490" s="28"/>
    </row>
    <row r="491" ht="13.5" customHeight="1">
      <c r="A491" s="28"/>
      <c r="B491" s="28"/>
      <c r="C491" s="28"/>
      <c r="D491" s="28"/>
      <c r="E491" s="28"/>
      <c r="F491" s="28"/>
      <c r="G491" s="28"/>
      <c r="H491" s="28"/>
      <c r="I491" s="28"/>
      <c r="J491" s="28"/>
      <c r="K491" s="28"/>
      <c r="L491" s="28"/>
      <c r="M491" s="28"/>
      <c r="N491" s="28"/>
      <c r="O491" s="28"/>
      <c r="P491" s="28"/>
      <c r="Q491" s="28"/>
      <c r="R491" s="28"/>
      <c r="S491" s="28"/>
      <c r="T491" s="28"/>
      <c r="U491" s="28"/>
      <c r="V491" s="28"/>
    </row>
    <row r="492" ht="13.5" customHeight="1">
      <c r="A492" s="28"/>
      <c r="B492" s="28"/>
      <c r="C492" s="28"/>
      <c r="D492" s="28"/>
      <c r="E492" s="28"/>
      <c r="F492" s="28"/>
      <c r="G492" s="28"/>
      <c r="H492" s="28"/>
      <c r="I492" s="28"/>
      <c r="J492" s="28"/>
      <c r="K492" s="28"/>
      <c r="L492" s="28"/>
      <c r="M492" s="28"/>
      <c r="N492" s="28"/>
      <c r="O492" s="28"/>
      <c r="P492" s="28"/>
      <c r="Q492" s="28"/>
      <c r="R492" s="28"/>
      <c r="S492" s="28"/>
      <c r="T492" s="28"/>
      <c r="U492" s="28"/>
      <c r="V492" s="28"/>
    </row>
    <row r="493" ht="13.5" customHeight="1">
      <c r="A493" s="28"/>
      <c r="B493" s="28"/>
      <c r="C493" s="28"/>
      <c r="D493" s="28"/>
      <c r="E493" s="28"/>
      <c r="F493" s="28"/>
      <c r="G493" s="28"/>
      <c r="H493" s="28"/>
      <c r="I493" s="28"/>
      <c r="J493" s="28"/>
      <c r="K493" s="28"/>
      <c r="L493" s="28"/>
      <c r="M493" s="28"/>
      <c r="N493" s="28"/>
      <c r="O493" s="28"/>
      <c r="P493" s="28"/>
      <c r="Q493" s="28"/>
      <c r="R493" s="28"/>
      <c r="S493" s="28"/>
      <c r="T493" s="28"/>
      <c r="U493" s="28"/>
      <c r="V493" s="28"/>
    </row>
    <row r="494" ht="13.5" customHeight="1">
      <c r="A494" s="28"/>
      <c r="B494" s="28"/>
      <c r="C494" s="28"/>
      <c r="D494" s="28"/>
      <c r="E494" s="28"/>
      <c r="F494" s="28"/>
      <c r="G494" s="28"/>
      <c r="H494" s="28"/>
      <c r="I494" s="28"/>
      <c r="J494" s="28"/>
      <c r="K494" s="28"/>
      <c r="L494" s="28"/>
      <c r="M494" s="28"/>
      <c r="N494" s="28"/>
      <c r="O494" s="28"/>
      <c r="P494" s="28"/>
      <c r="Q494" s="28"/>
      <c r="R494" s="28"/>
      <c r="S494" s="28"/>
      <c r="T494" s="28"/>
      <c r="U494" s="28"/>
      <c r="V494" s="28"/>
    </row>
    <row r="495" ht="13.5" customHeight="1">
      <c r="A495" s="28"/>
      <c r="B495" s="28"/>
      <c r="C495" s="28"/>
      <c r="D495" s="28"/>
      <c r="E495" s="28"/>
      <c r="F495" s="28"/>
      <c r="G495" s="28"/>
      <c r="H495" s="28"/>
      <c r="I495" s="28"/>
      <c r="J495" s="28"/>
      <c r="K495" s="28"/>
      <c r="L495" s="28"/>
      <c r="M495" s="28"/>
      <c r="N495" s="28"/>
      <c r="O495" s="28"/>
      <c r="P495" s="28"/>
      <c r="Q495" s="28"/>
      <c r="R495" s="28"/>
      <c r="S495" s="28"/>
      <c r="T495" s="28"/>
      <c r="U495" s="28"/>
      <c r="V495" s="28"/>
    </row>
    <row r="496" ht="13.5" customHeight="1">
      <c r="A496" s="28"/>
      <c r="B496" s="28"/>
      <c r="C496" s="28"/>
      <c r="D496" s="28"/>
      <c r="E496" s="28"/>
      <c r="F496" s="28"/>
      <c r="G496" s="28"/>
      <c r="H496" s="28"/>
      <c r="I496" s="28"/>
      <c r="J496" s="28"/>
      <c r="K496" s="28"/>
      <c r="L496" s="28"/>
      <c r="M496" s="28"/>
      <c r="N496" s="28"/>
      <c r="O496" s="28"/>
      <c r="P496" s="28"/>
      <c r="Q496" s="28"/>
      <c r="R496" s="28"/>
      <c r="S496" s="28"/>
      <c r="T496" s="28"/>
      <c r="U496" s="28"/>
      <c r="V496" s="28"/>
    </row>
    <row r="497" ht="13.5" customHeight="1">
      <c r="A497" s="28"/>
      <c r="B497" s="28"/>
      <c r="C497" s="28"/>
      <c r="D497" s="28"/>
      <c r="E497" s="28"/>
      <c r="F497" s="28"/>
      <c r="G497" s="28"/>
      <c r="H497" s="28"/>
      <c r="I497" s="28"/>
      <c r="J497" s="28"/>
      <c r="K497" s="28"/>
      <c r="L497" s="28"/>
      <c r="M497" s="28"/>
      <c r="N497" s="28"/>
      <c r="O497" s="28"/>
      <c r="P497" s="28"/>
      <c r="Q497" s="28"/>
      <c r="R497" s="28"/>
      <c r="S497" s="28"/>
      <c r="T497" s="28"/>
      <c r="U497" s="28"/>
      <c r="V497" s="28"/>
    </row>
    <row r="498" ht="13.5" customHeight="1">
      <c r="A498" s="28"/>
      <c r="B498" s="28"/>
      <c r="C498" s="28"/>
      <c r="D498" s="28"/>
      <c r="E498" s="28"/>
      <c r="F498" s="28"/>
      <c r="G498" s="28"/>
      <c r="H498" s="28"/>
      <c r="I498" s="28"/>
      <c r="J498" s="28"/>
      <c r="K498" s="28"/>
      <c r="L498" s="28"/>
      <c r="M498" s="28"/>
      <c r="N498" s="28"/>
      <c r="O498" s="28"/>
      <c r="P498" s="28"/>
      <c r="Q498" s="28"/>
      <c r="R498" s="28"/>
      <c r="S498" s="28"/>
      <c r="T498" s="28"/>
      <c r="U498" s="28"/>
      <c r="V498" s="28"/>
    </row>
    <row r="499" ht="13.5" customHeight="1">
      <c r="A499" s="28"/>
      <c r="B499" s="28"/>
      <c r="C499" s="28"/>
      <c r="D499" s="28"/>
      <c r="E499" s="28"/>
      <c r="F499" s="28"/>
      <c r="G499" s="28"/>
      <c r="H499" s="28"/>
      <c r="I499" s="28"/>
      <c r="J499" s="28"/>
      <c r="K499" s="28"/>
      <c r="L499" s="28"/>
      <c r="M499" s="28"/>
      <c r="N499" s="28"/>
      <c r="O499" s="28"/>
      <c r="P499" s="28"/>
      <c r="Q499" s="28"/>
      <c r="R499" s="28"/>
      <c r="S499" s="28"/>
      <c r="T499" s="28"/>
      <c r="U499" s="28"/>
      <c r="V499" s="28"/>
    </row>
    <row r="500" ht="13.5" customHeight="1">
      <c r="A500" s="28"/>
      <c r="B500" s="28"/>
      <c r="C500" s="28"/>
      <c r="D500" s="28"/>
      <c r="E500" s="28"/>
      <c r="F500" s="28"/>
      <c r="G500" s="28"/>
      <c r="H500" s="28"/>
      <c r="I500" s="28"/>
      <c r="J500" s="28"/>
      <c r="K500" s="28"/>
      <c r="L500" s="28"/>
      <c r="M500" s="28"/>
      <c r="N500" s="28"/>
      <c r="O500" s="28"/>
      <c r="P500" s="28"/>
      <c r="Q500" s="28"/>
      <c r="R500" s="28"/>
      <c r="S500" s="28"/>
      <c r="T500" s="28"/>
      <c r="U500" s="28"/>
      <c r="V500" s="28"/>
    </row>
    <row r="501" ht="13.5" customHeight="1">
      <c r="A501" s="28"/>
      <c r="B501" s="28"/>
      <c r="C501" s="28"/>
      <c r="D501" s="28"/>
      <c r="E501" s="28"/>
      <c r="F501" s="28"/>
      <c r="G501" s="28"/>
      <c r="H501" s="28"/>
      <c r="I501" s="28"/>
      <c r="J501" s="28"/>
      <c r="K501" s="28"/>
      <c r="L501" s="28"/>
      <c r="M501" s="28"/>
      <c r="N501" s="28"/>
      <c r="O501" s="28"/>
      <c r="P501" s="28"/>
      <c r="Q501" s="28"/>
      <c r="R501" s="28"/>
      <c r="S501" s="28"/>
      <c r="T501" s="28"/>
      <c r="U501" s="28"/>
      <c r="V501" s="28"/>
    </row>
    <row r="502" ht="13.5" customHeight="1">
      <c r="A502" s="28"/>
      <c r="B502" s="28"/>
      <c r="C502" s="28"/>
      <c r="D502" s="28"/>
      <c r="E502" s="28"/>
      <c r="F502" s="28"/>
      <c r="G502" s="28"/>
      <c r="H502" s="28"/>
      <c r="I502" s="28"/>
      <c r="J502" s="28"/>
      <c r="K502" s="28"/>
      <c r="L502" s="28"/>
      <c r="M502" s="28"/>
      <c r="N502" s="28"/>
      <c r="O502" s="28"/>
      <c r="P502" s="28"/>
      <c r="Q502" s="28"/>
      <c r="R502" s="28"/>
      <c r="S502" s="28"/>
      <c r="T502" s="28"/>
      <c r="U502" s="28"/>
      <c r="V502" s="28"/>
    </row>
    <row r="503" ht="13.5" customHeight="1">
      <c r="A503" s="28"/>
      <c r="B503" s="28"/>
      <c r="C503" s="28"/>
      <c r="D503" s="28"/>
      <c r="E503" s="28"/>
      <c r="F503" s="28"/>
      <c r="G503" s="28"/>
      <c r="H503" s="28"/>
      <c r="I503" s="28"/>
      <c r="J503" s="28"/>
      <c r="K503" s="28"/>
      <c r="L503" s="28"/>
      <c r="M503" s="28"/>
      <c r="N503" s="28"/>
      <c r="O503" s="28"/>
      <c r="P503" s="28"/>
      <c r="Q503" s="28"/>
      <c r="R503" s="28"/>
      <c r="S503" s="28"/>
      <c r="T503" s="28"/>
      <c r="U503" s="28"/>
      <c r="V503" s="28"/>
    </row>
    <row r="504" ht="13.5" customHeight="1">
      <c r="A504" s="28"/>
      <c r="B504" s="28"/>
      <c r="C504" s="28"/>
      <c r="D504" s="28"/>
      <c r="E504" s="28"/>
      <c r="F504" s="28"/>
      <c r="G504" s="28"/>
      <c r="H504" s="28"/>
      <c r="I504" s="28"/>
      <c r="J504" s="28"/>
      <c r="K504" s="28"/>
      <c r="L504" s="28"/>
      <c r="M504" s="28"/>
      <c r="N504" s="28"/>
      <c r="O504" s="28"/>
      <c r="P504" s="28"/>
      <c r="Q504" s="28"/>
      <c r="R504" s="28"/>
      <c r="S504" s="28"/>
      <c r="T504" s="28"/>
      <c r="U504" s="28"/>
      <c r="V504" s="28"/>
    </row>
    <row r="505" ht="13.5" customHeight="1">
      <c r="A505" s="28"/>
      <c r="B505" s="28"/>
      <c r="C505" s="28"/>
      <c r="D505" s="28"/>
      <c r="E505" s="28"/>
      <c r="F505" s="28"/>
      <c r="G505" s="28"/>
      <c r="H505" s="28"/>
      <c r="I505" s="28"/>
      <c r="J505" s="28"/>
      <c r="K505" s="28"/>
      <c r="L505" s="28"/>
      <c r="M505" s="28"/>
      <c r="N505" s="28"/>
      <c r="O505" s="28"/>
      <c r="P505" s="28"/>
      <c r="Q505" s="28"/>
      <c r="R505" s="28"/>
      <c r="S505" s="28"/>
      <c r="T505" s="28"/>
      <c r="U505" s="28"/>
      <c r="V505" s="28"/>
    </row>
    <row r="506" ht="13.5" customHeight="1">
      <c r="A506" s="28"/>
      <c r="B506" s="28"/>
      <c r="C506" s="28"/>
      <c r="D506" s="28"/>
      <c r="E506" s="28"/>
      <c r="F506" s="28"/>
      <c r="G506" s="28"/>
      <c r="H506" s="28"/>
      <c r="I506" s="28"/>
      <c r="J506" s="28"/>
      <c r="K506" s="28"/>
      <c r="L506" s="28"/>
      <c r="M506" s="28"/>
      <c r="N506" s="28"/>
      <c r="O506" s="28"/>
      <c r="P506" s="28"/>
      <c r="Q506" s="28"/>
      <c r="R506" s="28"/>
      <c r="S506" s="28"/>
      <c r="T506" s="28"/>
      <c r="U506" s="28"/>
      <c r="V506" s="28"/>
    </row>
    <row r="507" ht="13.5" customHeight="1">
      <c r="A507" s="28"/>
      <c r="B507" s="28"/>
      <c r="C507" s="28"/>
      <c r="D507" s="28"/>
      <c r="E507" s="28"/>
      <c r="F507" s="28"/>
      <c r="G507" s="28"/>
      <c r="H507" s="28"/>
      <c r="I507" s="28"/>
      <c r="J507" s="28"/>
      <c r="K507" s="28"/>
      <c r="L507" s="28"/>
      <c r="M507" s="28"/>
      <c r="N507" s="28"/>
      <c r="O507" s="28"/>
      <c r="P507" s="28"/>
      <c r="Q507" s="28"/>
      <c r="R507" s="28"/>
      <c r="S507" s="28"/>
      <c r="T507" s="28"/>
      <c r="U507" s="28"/>
      <c r="V507" s="28"/>
    </row>
    <row r="508" ht="13.5" customHeight="1">
      <c r="A508" s="28"/>
      <c r="B508" s="28"/>
      <c r="C508" s="28"/>
      <c r="D508" s="28"/>
      <c r="E508" s="28"/>
      <c r="F508" s="28"/>
      <c r="G508" s="28"/>
      <c r="H508" s="28"/>
      <c r="I508" s="28"/>
      <c r="J508" s="28"/>
      <c r="K508" s="28"/>
      <c r="L508" s="28"/>
      <c r="M508" s="28"/>
      <c r="N508" s="28"/>
      <c r="O508" s="28"/>
      <c r="P508" s="28"/>
      <c r="Q508" s="28"/>
      <c r="R508" s="28"/>
      <c r="S508" s="28"/>
      <c r="T508" s="28"/>
      <c r="U508" s="28"/>
      <c r="V508" s="28"/>
    </row>
    <row r="509" ht="13.5" customHeight="1">
      <c r="A509" s="28"/>
      <c r="B509" s="28"/>
      <c r="C509" s="28"/>
      <c r="D509" s="28"/>
      <c r="E509" s="28"/>
      <c r="F509" s="28"/>
      <c r="G509" s="28"/>
      <c r="H509" s="28"/>
      <c r="I509" s="28"/>
      <c r="J509" s="28"/>
      <c r="K509" s="28"/>
      <c r="L509" s="28"/>
      <c r="M509" s="28"/>
      <c r="N509" s="28"/>
      <c r="O509" s="28"/>
      <c r="P509" s="28"/>
      <c r="Q509" s="28"/>
      <c r="R509" s="28"/>
      <c r="S509" s="28"/>
      <c r="T509" s="28"/>
      <c r="U509" s="28"/>
      <c r="V509" s="28"/>
    </row>
    <row r="510" ht="13.5" customHeight="1">
      <c r="A510" s="28"/>
      <c r="B510" s="28"/>
      <c r="C510" s="28"/>
      <c r="D510" s="28"/>
      <c r="E510" s="28"/>
      <c r="F510" s="28"/>
      <c r="G510" s="28"/>
      <c r="H510" s="28"/>
      <c r="I510" s="28"/>
      <c r="J510" s="28"/>
      <c r="K510" s="28"/>
      <c r="L510" s="28"/>
      <c r="M510" s="28"/>
      <c r="N510" s="28"/>
      <c r="O510" s="28"/>
      <c r="P510" s="28"/>
      <c r="Q510" s="28"/>
      <c r="R510" s="28"/>
      <c r="S510" s="28"/>
      <c r="T510" s="28"/>
      <c r="U510" s="28"/>
      <c r="V510" s="28"/>
    </row>
    <row r="511" ht="13.5" customHeight="1">
      <c r="A511" s="28"/>
      <c r="B511" s="28"/>
      <c r="C511" s="28"/>
      <c r="D511" s="28"/>
      <c r="E511" s="28"/>
      <c r="F511" s="28"/>
      <c r="G511" s="28"/>
      <c r="H511" s="28"/>
      <c r="I511" s="28"/>
      <c r="J511" s="28"/>
      <c r="K511" s="28"/>
      <c r="L511" s="28"/>
      <c r="M511" s="28"/>
      <c r="N511" s="28"/>
      <c r="O511" s="28"/>
      <c r="P511" s="28"/>
      <c r="Q511" s="28"/>
      <c r="R511" s="28"/>
      <c r="S511" s="28"/>
      <c r="T511" s="28"/>
      <c r="U511" s="28"/>
      <c r="V511" s="28"/>
    </row>
    <row r="512" ht="13.5" customHeight="1">
      <c r="A512" s="28"/>
      <c r="B512" s="28"/>
      <c r="C512" s="28"/>
      <c r="D512" s="28"/>
      <c r="E512" s="28"/>
      <c r="F512" s="28"/>
      <c r="G512" s="28"/>
      <c r="H512" s="28"/>
      <c r="I512" s="28"/>
      <c r="J512" s="28"/>
      <c r="K512" s="28"/>
      <c r="L512" s="28"/>
      <c r="M512" s="28"/>
      <c r="N512" s="28"/>
      <c r="O512" s="28"/>
      <c r="P512" s="28"/>
      <c r="Q512" s="28"/>
      <c r="R512" s="28"/>
      <c r="S512" s="28"/>
      <c r="T512" s="28"/>
      <c r="U512" s="28"/>
      <c r="V512" s="28"/>
    </row>
    <row r="513" ht="13.5" customHeight="1">
      <c r="A513" s="28"/>
      <c r="B513" s="28"/>
      <c r="C513" s="28"/>
      <c r="D513" s="28"/>
      <c r="E513" s="28"/>
      <c r="F513" s="28"/>
      <c r="G513" s="28"/>
      <c r="H513" s="28"/>
      <c r="I513" s="28"/>
      <c r="J513" s="28"/>
      <c r="K513" s="28"/>
      <c r="L513" s="28"/>
      <c r="M513" s="28"/>
      <c r="N513" s="28"/>
      <c r="O513" s="28"/>
      <c r="P513" s="28"/>
      <c r="Q513" s="28"/>
      <c r="R513" s="28"/>
      <c r="S513" s="28"/>
      <c r="T513" s="28"/>
      <c r="U513" s="28"/>
      <c r="V513" s="28"/>
    </row>
    <row r="514" ht="13.5" customHeight="1">
      <c r="A514" s="28"/>
      <c r="B514" s="28"/>
      <c r="C514" s="28"/>
      <c r="D514" s="28"/>
      <c r="E514" s="28"/>
      <c r="F514" s="28"/>
      <c r="G514" s="28"/>
      <c r="H514" s="28"/>
      <c r="I514" s="28"/>
      <c r="J514" s="28"/>
      <c r="K514" s="28"/>
      <c r="L514" s="28"/>
      <c r="M514" s="28"/>
      <c r="N514" s="28"/>
      <c r="O514" s="28"/>
      <c r="P514" s="28"/>
      <c r="Q514" s="28"/>
      <c r="R514" s="28"/>
      <c r="S514" s="28"/>
      <c r="T514" s="28"/>
      <c r="U514" s="28"/>
      <c r="V514" s="28"/>
    </row>
    <row r="515" ht="13.5" customHeight="1">
      <c r="A515" s="28"/>
      <c r="B515" s="28"/>
      <c r="C515" s="28"/>
      <c r="D515" s="28"/>
      <c r="E515" s="28"/>
      <c r="F515" s="28"/>
      <c r="G515" s="28"/>
      <c r="H515" s="28"/>
      <c r="I515" s="28"/>
      <c r="J515" s="28"/>
      <c r="K515" s="28"/>
      <c r="L515" s="28"/>
      <c r="M515" s="28"/>
      <c r="N515" s="28"/>
      <c r="O515" s="28"/>
      <c r="P515" s="28"/>
      <c r="Q515" s="28"/>
      <c r="R515" s="28"/>
      <c r="S515" s="28"/>
      <c r="T515" s="28"/>
      <c r="U515" s="28"/>
      <c r="V515" s="28"/>
    </row>
    <row r="516" ht="13.5" customHeight="1">
      <c r="A516" s="28"/>
      <c r="B516" s="28"/>
      <c r="C516" s="28"/>
      <c r="D516" s="28"/>
      <c r="E516" s="28"/>
      <c r="F516" s="28"/>
      <c r="G516" s="28"/>
      <c r="H516" s="28"/>
      <c r="I516" s="28"/>
      <c r="J516" s="28"/>
      <c r="K516" s="28"/>
      <c r="L516" s="28"/>
      <c r="M516" s="28"/>
      <c r="N516" s="28"/>
      <c r="O516" s="28"/>
      <c r="P516" s="28"/>
      <c r="Q516" s="28"/>
      <c r="R516" s="28"/>
      <c r="S516" s="28"/>
      <c r="T516" s="28"/>
      <c r="U516" s="28"/>
      <c r="V516" s="28"/>
    </row>
    <row r="517" ht="13.5" customHeight="1">
      <c r="A517" s="28"/>
      <c r="B517" s="28"/>
      <c r="C517" s="28"/>
      <c r="D517" s="28"/>
      <c r="E517" s="28"/>
      <c r="F517" s="28"/>
      <c r="G517" s="28"/>
      <c r="H517" s="28"/>
      <c r="I517" s="28"/>
      <c r="J517" s="28"/>
      <c r="K517" s="28"/>
      <c r="L517" s="28"/>
      <c r="M517" s="28"/>
      <c r="N517" s="28"/>
      <c r="O517" s="28"/>
      <c r="P517" s="28"/>
      <c r="Q517" s="28"/>
      <c r="R517" s="28"/>
      <c r="S517" s="28"/>
      <c r="T517" s="28"/>
      <c r="U517" s="28"/>
      <c r="V517" s="28"/>
    </row>
    <row r="518" ht="13.5" customHeight="1">
      <c r="A518" s="28"/>
      <c r="B518" s="28"/>
      <c r="C518" s="28"/>
      <c r="D518" s="28"/>
      <c r="E518" s="28"/>
      <c r="F518" s="28"/>
      <c r="G518" s="28"/>
      <c r="H518" s="28"/>
      <c r="I518" s="28"/>
      <c r="J518" s="28"/>
      <c r="K518" s="28"/>
      <c r="L518" s="28"/>
      <c r="M518" s="28"/>
      <c r="N518" s="28"/>
      <c r="O518" s="28"/>
      <c r="P518" s="28"/>
      <c r="Q518" s="28"/>
      <c r="R518" s="28"/>
      <c r="S518" s="28"/>
      <c r="T518" s="28"/>
      <c r="U518" s="28"/>
      <c r="V518" s="28"/>
    </row>
    <row r="519" ht="13.5" customHeight="1">
      <c r="A519" s="28"/>
      <c r="B519" s="28"/>
      <c r="C519" s="28"/>
      <c r="D519" s="28"/>
      <c r="E519" s="28"/>
      <c r="F519" s="28"/>
      <c r="G519" s="28"/>
      <c r="H519" s="28"/>
      <c r="I519" s="28"/>
      <c r="J519" s="28"/>
      <c r="K519" s="28"/>
      <c r="L519" s="28"/>
      <c r="M519" s="28"/>
      <c r="N519" s="28"/>
      <c r="O519" s="28"/>
      <c r="P519" s="28"/>
      <c r="Q519" s="28"/>
      <c r="R519" s="28"/>
      <c r="S519" s="28"/>
      <c r="T519" s="28"/>
      <c r="U519" s="28"/>
      <c r="V519" s="28"/>
    </row>
    <row r="520" ht="13.5" customHeight="1">
      <c r="A520" s="28"/>
      <c r="B520" s="28"/>
      <c r="C520" s="28"/>
      <c r="D520" s="28"/>
      <c r="E520" s="28"/>
      <c r="F520" s="28"/>
      <c r="G520" s="28"/>
      <c r="H520" s="28"/>
      <c r="I520" s="28"/>
      <c r="J520" s="28"/>
      <c r="K520" s="28"/>
      <c r="L520" s="28"/>
      <c r="M520" s="28"/>
      <c r="N520" s="28"/>
      <c r="O520" s="28"/>
      <c r="P520" s="28"/>
      <c r="Q520" s="28"/>
      <c r="R520" s="28"/>
      <c r="S520" s="28"/>
      <c r="T520" s="28"/>
      <c r="U520" s="28"/>
      <c r="V520" s="28"/>
    </row>
    <row r="521" ht="13.5" customHeight="1">
      <c r="A521" s="28"/>
      <c r="B521" s="28"/>
      <c r="C521" s="28"/>
      <c r="D521" s="28"/>
      <c r="E521" s="28"/>
      <c r="F521" s="28"/>
      <c r="G521" s="28"/>
      <c r="H521" s="28"/>
      <c r="I521" s="28"/>
      <c r="J521" s="28"/>
      <c r="K521" s="28"/>
      <c r="L521" s="28"/>
      <c r="M521" s="28"/>
      <c r="N521" s="28"/>
      <c r="O521" s="28"/>
      <c r="P521" s="28"/>
      <c r="Q521" s="28"/>
      <c r="R521" s="28"/>
      <c r="S521" s="28"/>
      <c r="T521" s="28"/>
      <c r="U521" s="28"/>
      <c r="V521" s="28"/>
    </row>
    <row r="522" ht="13.5" customHeight="1">
      <c r="A522" s="28"/>
      <c r="B522" s="28"/>
      <c r="C522" s="28"/>
      <c r="D522" s="28"/>
      <c r="E522" s="28"/>
      <c r="F522" s="28"/>
      <c r="G522" s="28"/>
      <c r="H522" s="28"/>
      <c r="I522" s="28"/>
      <c r="J522" s="28"/>
      <c r="K522" s="28"/>
      <c r="L522" s="28"/>
      <c r="M522" s="28"/>
      <c r="N522" s="28"/>
      <c r="O522" s="28"/>
      <c r="P522" s="28"/>
      <c r="Q522" s="28"/>
      <c r="R522" s="28"/>
      <c r="S522" s="28"/>
      <c r="T522" s="28"/>
      <c r="U522" s="28"/>
      <c r="V522" s="28"/>
    </row>
    <row r="523" ht="13.5" customHeight="1">
      <c r="A523" s="28"/>
      <c r="B523" s="28"/>
      <c r="C523" s="28"/>
      <c r="D523" s="28"/>
      <c r="E523" s="28"/>
      <c r="F523" s="28"/>
      <c r="G523" s="28"/>
      <c r="H523" s="28"/>
      <c r="I523" s="28"/>
      <c r="J523" s="28"/>
      <c r="K523" s="28"/>
      <c r="L523" s="28"/>
      <c r="M523" s="28"/>
      <c r="N523" s="28"/>
      <c r="O523" s="28"/>
      <c r="P523" s="28"/>
      <c r="Q523" s="28"/>
      <c r="R523" s="28"/>
      <c r="S523" s="28"/>
      <c r="T523" s="28"/>
      <c r="U523" s="28"/>
      <c r="V523" s="28"/>
    </row>
    <row r="524" ht="13.5" customHeight="1">
      <c r="A524" s="28"/>
      <c r="B524" s="28"/>
      <c r="C524" s="28"/>
      <c r="D524" s="28"/>
      <c r="E524" s="28"/>
      <c r="F524" s="28"/>
      <c r="G524" s="28"/>
      <c r="H524" s="28"/>
      <c r="I524" s="28"/>
      <c r="J524" s="28"/>
      <c r="K524" s="28"/>
      <c r="L524" s="28"/>
      <c r="M524" s="28"/>
      <c r="N524" s="28"/>
      <c r="O524" s="28"/>
      <c r="P524" s="28"/>
      <c r="Q524" s="28"/>
      <c r="R524" s="28"/>
      <c r="S524" s="28"/>
      <c r="T524" s="28"/>
      <c r="U524" s="28"/>
      <c r="V524" s="28"/>
    </row>
    <row r="525" ht="13.5" customHeight="1">
      <c r="A525" s="28"/>
      <c r="B525" s="28"/>
      <c r="C525" s="28"/>
      <c r="D525" s="28"/>
      <c r="E525" s="28"/>
      <c r="F525" s="28"/>
      <c r="G525" s="28"/>
      <c r="H525" s="28"/>
      <c r="I525" s="28"/>
      <c r="J525" s="28"/>
      <c r="K525" s="28"/>
      <c r="L525" s="28"/>
      <c r="M525" s="28"/>
      <c r="N525" s="28"/>
      <c r="O525" s="28"/>
      <c r="P525" s="28"/>
      <c r="Q525" s="28"/>
      <c r="R525" s="28"/>
      <c r="S525" s="28"/>
      <c r="T525" s="28"/>
      <c r="U525" s="28"/>
      <c r="V525" s="28"/>
    </row>
    <row r="526" ht="13.5" customHeight="1">
      <c r="A526" s="28"/>
      <c r="B526" s="28"/>
      <c r="C526" s="28"/>
      <c r="D526" s="28"/>
      <c r="E526" s="28"/>
      <c r="F526" s="28"/>
      <c r="G526" s="28"/>
      <c r="H526" s="28"/>
      <c r="I526" s="28"/>
      <c r="J526" s="28"/>
      <c r="K526" s="28"/>
      <c r="L526" s="28"/>
      <c r="M526" s="28"/>
      <c r="N526" s="28"/>
      <c r="O526" s="28"/>
      <c r="P526" s="28"/>
      <c r="Q526" s="28"/>
      <c r="R526" s="28"/>
      <c r="S526" s="28"/>
      <c r="T526" s="28"/>
      <c r="U526" s="28"/>
      <c r="V526" s="28"/>
    </row>
    <row r="527" ht="13.5" customHeight="1">
      <c r="A527" s="28"/>
      <c r="B527" s="28"/>
      <c r="C527" s="28"/>
      <c r="D527" s="28"/>
      <c r="E527" s="28"/>
      <c r="F527" s="28"/>
      <c r="G527" s="28"/>
      <c r="H527" s="28"/>
      <c r="I527" s="28"/>
      <c r="J527" s="28"/>
      <c r="K527" s="28"/>
      <c r="L527" s="28"/>
      <c r="M527" s="28"/>
      <c r="N527" s="28"/>
      <c r="O527" s="28"/>
      <c r="P527" s="28"/>
      <c r="Q527" s="28"/>
      <c r="R527" s="28"/>
      <c r="S527" s="28"/>
      <c r="T527" s="28"/>
      <c r="U527" s="28"/>
      <c r="V527" s="28"/>
    </row>
    <row r="528" ht="13.5" customHeight="1">
      <c r="A528" s="28"/>
      <c r="B528" s="28"/>
      <c r="C528" s="28"/>
      <c r="D528" s="28"/>
      <c r="E528" s="28"/>
      <c r="F528" s="28"/>
      <c r="G528" s="28"/>
      <c r="H528" s="28"/>
      <c r="I528" s="28"/>
      <c r="J528" s="28"/>
      <c r="K528" s="28"/>
      <c r="L528" s="28"/>
      <c r="M528" s="28"/>
      <c r="N528" s="28"/>
      <c r="O528" s="28"/>
      <c r="P528" s="28"/>
      <c r="Q528" s="28"/>
      <c r="R528" s="28"/>
      <c r="S528" s="28"/>
      <c r="T528" s="28"/>
      <c r="U528" s="28"/>
      <c r="V528" s="28"/>
    </row>
    <row r="529" ht="13.5" customHeight="1">
      <c r="A529" s="28"/>
      <c r="B529" s="28"/>
      <c r="C529" s="28"/>
      <c r="D529" s="28"/>
      <c r="E529" s="28"/>
      <c r="F529" s="28"/>
      <c r="G529" s="28"/>
      <c r="H529" s="28"/>
      <c r="I529" s="28"/>
      <c r="J529" s="28"/>
      <c r="K529" s="28"/>
      <c r="L529" s="28"/>
      <c r="M529" s="28"/>
      <c r="N529" s="28"/>
      <c r="O529" s="28"/>
      <c r="P529" s="28"/>
      <c r="Q529" s="28"/>
      <c r="R529" s="28"/>
      <c r="S529" s="28"/>
      <c r="T529" s="28"/>
      <c r="U529" s="28"/>
      <c r="V529" s="28"/>
    </row>
    <row r="530" ht="13.5" customHeight="1">
      <c r="A530" s="28"/>
      <c r="B530" s="28"/>
      <c r="C530" s="28"/>
      <c r="D530" s="28"/>
      <c r="E530" s="28"/>
      <c r="F530" s="28"/>
      <c r="G530" s="28"/>
      <c r="H530" s="28"/>
      <c r="I530" s="28"/>
      <c r="J530" s="28"/>
      <c r="K530" s="28"/>
      <c r="L530" s="28"/>
      <c r="M530" s="28"/>
      <c r="N530" s="28"/>
      <c r="O530" s="28"/>
      <c r="P530" s="28"/>
      <c r="Q530" s="28"/>
      <c r="R530" s="28"/>
      <c r="S530" s="28"/>
      <c r="T530" s="28"/>
      <c r="U530" s="28"/>
      <c r="V530" s="28"/>
    </row>
    <row r="531" ht="13.5" customHeight="1">
      <c r="A531" s="28"/>
      <c r="B531" s="28"/>
      <c r="C531" s="28"/>
      <c r="D531" s="28"/>
      <c r="E531" s="28"/>
      <c r="F531" s="28"/>
      <c r="G531" s="28"/>
      <c r="H531" s="28"/>
      <c r="I531" s="28"/>
      <c r="J531" s="28"/>
      <c r="K531" s="28"/>
      <c r="L531" s="28"/>
      <c r="M531" s="28"/>
      <c r="N531" s="28"/>
      <c r="O531" s="28"/>
      <c r="P531" s="28"/>
      <c r="Q531" s="28"/>
      <c r="R531" s="28"/>
      <c r="S531" s="28"/>
      <c r="T531" s="28"/>
      <c r="U531" s="28"/>
      <c r="V531" s="28"/>
    </row>
    <row r="532" ht="13.5" customHeight="1">
      <c r="A532" s="28"/>
      <c r="B532" s="28"/>
      <c r="C532" s="28"/>
      <c r="D532" s="28"/>
      <c r="E532" s="28"/>
      <c r="F532" s="28"/>
      <c r="G532" s="28"/>
      <c r="H532" s="28"/>
      <c r="I532" s="28"/>
      <c r="J532" s="28"/>
      <c r="K532" s="28"/>
      <c r="L532" s="28"/>
      <c r="M532" s="28"/>
      <c r="N532" s="28"/>
      <c r="O532" s="28"/>
      <c r="P532" s="28"/>
      <c r="Q532" s="28"/>
      <c r="R532" s="28"/>
      <c r="S532" s="28"/>
      <c r="T532" s="28"/>
      <c r="U532" s="28"/>
      <c r="V532" s="28"/>
    </row>
    <row r="533" ht="13.5" customHeight="1">
      <c r="A533" s="28"/>
      <c r="B533" s="28"/>
      <c r="C533" s="28"/>
      <c r="D533" s="28"/>
      <c r="E533" s="28"/>
      <c r="F533" s="28"/>
      <c r="G533" s="28"/>
      <c r="H533" s="28"/>
      <c r="I533" s="28"/>
      <c r="J533" s="28"/>
      <c r="K533" s="28"/>
      <c r="L533" s="28"/>
      <c r="M533" s="28"/>
      <c r="N533" s="28"/>
      <c r="O533" s="28"/>
      <c r="P533" s="28"/>
      <c r="Q533" s="28"/>
      <c r="R533" s="28"/>
      <c r="S533" s="28"/>
      <c r="T533" s="28"/>
      <c r="U533" s="28"/>
      <c r="V533" s="28"/>
    </row>
    <row r="534" ht="13.5" customHeight="1">
      <c r="A534" s="28"/>
      <c r="B534" s="28"/>
      <c r="C534" s="28"/>
      <c r="D534" s="28"/>
      <c r="E534" s="28"/>
      <c r="F534" s="28"/>
      <c r="G534" s="28"/>
      <c r="H534" s="28"/>
      <c r="I534" s="28"/>
      <c r="J534" s="28"/>
      <c r="K534" s="28"/>
      <c r="L534" s="28"/>
      <c r="M534" s="28"/>
      <c r="N534" s="28"/>
      <c r="O534" s="28"/>
      <c r="P534" s="28"/>
      <c r="Q534" s="28"/>
      <c r="R534" s="28"/>
      <c r="S534" s="28"/>
      <c r="T534" s="28"/>
      <c r="U534" s="28"/>
      <c r="V534" s="28"/>
    </row>
    <row r="535" ht="13.5" customHeight="1">
      <c r="A535" s="28"/>
      <c r="B535" s="28"/>
      <c r="C535" s="28"/>
      <c r="D535" s="28"/>
      <c r="E535" s="28"/>
      <c r="F535" s="28"/>
      <c r="G535" s="28"/>
      <c r="H535" s="28"/>
      <c r="I535" s="28"/>
      <c r="J535" s="28"/>
      <c r="K535" s="28"/>
      <c r="L535" s="28"/>
      <c r="M535" s="28"/>
      <c r="N535" s="28"/>
      <c r="O535" s="28"/>
      <c r="P535" s="28"/>
      <c r="Q535" s="28"/>
      <c r="R535" s="28"/>
      <c r="S535" s="28"/>
      <c r="T535" s="28"/>
      <c r="U535" s="28"/>
      <c r="V535" s="28"/>
    </row>
    <row r="536" ht="13.5" customHeight="1">
      <c r="A536" s="28"/>
      <c r="B536" s="28"/>
      <c r="C536" s="28"/>
      <c r="D536" s="28"/>
      <c r="E536" s="28"/>
      <c r="F536" s="28"/>
      <c r="G536" s="28"/>
      <c r="H536" s="28"/>
      <c r="I536" s="28"/>
      <c r="J536" s="28"/>
      <c r="K536" s="28"/>
      <c r="L536" s="28"/>
      <c r="M536" s="28"/>
      <c r="N536" s="28"/>
      <c r="O536" s="28"/>
      <c r="P536" s="28"/>
      <c r="Q536" s="28"/>
      <c r="R536" s="28"/>
      <c r="S536" s="28"/>
      <c r="T536" s="28"/>
      <c r="U536" s="28"/>
      <c r="V536" s="28"/>
    </row>
    <row r="537" ht="13.5" customHeight="1">
      <c r="A537" s="28"/>
      <c r="B537" s="28"/>
      <c r="C537" s="28"/>
      <c r="D537" s="28"/>
      <c r="E537" s="28"/>
      <c r="F537" s="28"/>
      <c r="G537" s="28"/>
      <c r="H537" s="28"/>
      <c r="I537" s="28"/>
      <c r="J537" s="28"/>
      <c r="K537" s="28"/>
      <c r="L537" s="28"/>
      <c r="M537" s="28"/>
      <c r="N537" s="28"/>
      <c r="O537" s="28"/>
      <c r="P537" s="28"/>
      <c r="Q537" s="28"/>
      <c r="R537" s="28"/>
      <c r="S537" s="28"/>
      <c r="T537" s="28"/>
      <c r="U537" s="28"/>
      <c r="V537" s="28"/>
    </row>
    <row r="538" ht="13.5" customHeight="1">
      <c r="A538" s="28"/>
      <c r="B538" s="28"/>
      <c r="C538" s="28"/>
      <c r="D538" s="28"/>
      <c r="E538" s="28"/>
      <c r="F538" s="28"/>
      <c r="G538" s="28"/>
      <c r="H538" s="28"/>
      <c r="I538" s="28"/>
      <c r="J538" s="28"/>
      <c r="K538" s="28"/>
      <c r="L538" s="28"/>
      <c r="M538" s="28"/>
      <c r="N538" s="28"/>
      <c r="O538" s="28"/>
      <c r="P538" s="28"/>
      <c r="Q538" s="28"/>
      <c r="R538" s="28"/>
      <c r="S538" s="28"/>
      <c r="T538" s="28"/>
      <c r="U538" s="28"/>
      <c r="V538" s="28"/>
    </row>
    <row r="539" ht="13.5" customHeight="1">
      <c r="A539" s="28"/>
      <c r="B539" s="28"/>
      <c r="C539" s="28"/>
      <c r="D539" s="28"/>
      <c r="E539" s="28"/>
      <c r="F539" s="28"/>
      <c r="G539" s="28"/>
      <c r="H539" s="28"/>
      <c r="I539" s="28"/>
      <c r="J539" s="28"/>
      <c r="K539" s="28"/>
      <c r="L539" s="28"/>
      <c r="M539" s="28"/>
      <c r="N539" s="28"/>
      <c r="O539" s="28"/>
      <c r="P539" s="28"/>
      <c r="Q539" s="28"/>
      <c r="R539" s="28"/>
      <c r="S539" s="28"/>
      <c r="T539" s="28"/>
      <c r="U539" s="28"/>
      <c r="V539" s="28"/>
    </row>
    <row r="540" ht="13.5" customHeight="1">
      <c r="A540" s="28"/>
      <c r="B540" s="28"/>
      <c r="C540" s="28"/>
      <c r="D540" s="28"/>
      <c r="E540" s="28"/>
      <c r="F540" s="28"/>
      <c r="G540" s="28"/>
      <c r="H540" s="28"/>
      <c r="I540" s="28"/>
      <c r="J540" s="28"/>
      <c r="K540" s="28"/>
      <c r="L540" s="28"/>
      <c r="M540" s="28"/>
      <c r="N540" s="28"/>
      <c r="O540" s="28"/>
      <c r="P540" s="28"/>
      <c r="Q540" s="28"/>
      <c r="R540" s="28"/>
      <c r="S540" s="28"/>
      <c r="T540" s="28"/>
      <c r="U540" s="28"/>
      <c r="V540" s="28"/>
    </row>
    <row r="541" ht="13.5" customHeight="1">
      <c r="A541" s="28"/>
      <c r="B541" s="28"/>
      <c r="C541" s="28"/>
      <c r="D541" s="28"/>
      <c r="E541" s="28"/>
      <c r="F541" s="28"/>
      <c r="G541" s="28"/>
      <c r="H541" s="28"/>
      <c r="I541" s="28"/>
      <c r="J541" s="28"/>
      <c r="K541" s="28"/>
      <c r="L541" s="28"/>
      <c r="M541" s="28"/>
      <c r="N541" s="28"/>
      <c r="O541" s="28"/>
      <c r="P541" s="28"/>
      <c r="Q541" s="28"/>
      <c r="R541" s="28"/>
      <c r="S541" s="28"/>
      <c r="T541" s="28"/>
      <c r="U541" s="28"/>
      <c r="V541" s="28"/>
    </row>
    <row r="542" ht="13.5" customHeight="1">
      <c r="A542" s="28"/>
      <c r="B542" s="28"/>
      <c r="C542" s="28"/>
      <c r="D542" s="28"/>
      <c r="E542" s="28"/>
      <c r="F542" s="28"/>
      <c r="G542" s="28"/>
      <c r="H542" s="28"/>
      <c r="I542" s="28"/>
      <c r="J542" s="28"/>
      <c r="K542" s="28"/>
      <c r="L542" s="28"/>
      <c r="M542" s="28"/>
      <c r="N542" s="28"/>
      <c r="O542" s="28"/>
      <c r="P542" s="28"/>
      <c r="Q542" s="28"/>
      <c r="R542" s="28"/>
      <c r="S542" s="28"/>
      <c r="T542" s="28"/>
      <c r="U542" s="28"/>
      <c r="V542" s="28"/>
    </row>
    <row r="543" ht="13.5" customHeight="1">
      <c r="A543" s="28"/>
      <c r="B543" s="28"/>
      <c r="C543" s="28"/>
      <c r="D543" s="28"/>
      <c r="E543" s="28"/>
      <c r="F543" s="28"/>
      <c r="G543" s="28"/>
      <c r="H543" s="28"/>
      <c r="I543" s="28"/>
      <c r="J543" s="28"/>
      <c r="K543" s="28"/>
      <c r="L543" s="28"/>
      <c r="M543" s="28"/>
      <c r="N543" s="28"/>
      <c r="O543" s="28"/>
      <c r="P543" s="28"/>
      <c r="Q543" s="28"/>
      <c r="R543" s="28"/>
      <c r="S543" s="28"/>
      <c r="T543" s="28"/>
      <c r="U543" s="28"/>
      <c r="V543" s="28"/>
    </row>
    <row r="544" ht="13.5" customHeight="1">
      <c r="A544" s="28"/>
      <c r="B544" s="28"/>
      <c r="C544" s="28"/>
      <c r="D544" s="28"/>
      <c r="E544" s="28"/>
      <c r="F544" s="28"/>
      <c r="G544" s="28"/>
      <c r="H544" s="28"/>
      <c r="I544" s="28"/>
      <c r="J544" s="28"/>
      <c r="K544" s="28"/>
      <c r="L544" s="28"/>
      <c r="M544" s="28"/>
      <c r="N544" s="28"/>
      <c r="O544" s="28"/>
      <c r="P544" s="28"/>
      <c r="Q544" s="28"/>
      <c r="R544" s="28"/>
      <c r="S544" s="28"/>
      <c r="T544" s="28"/>
      <c r="U544" s="28"/>
      <c r="V544" s="28"/>
    </row>
    <row r="545" ht="13.5" customHeight="1">
      <c r="A545" s="28"/>
      <c r="B545" s="28"/>
      <c r="C545" s="28"/>
      <c r="D545" s="28"/>
      <c r="E545" s="28"/>
      <c r="F545" s="28"/>
      <c r="G545" s="28"/>
      <c r="H545" s="28"/>
      <c r="I545" s="28"/>
      <c r="J545" s="28"/>
      <c r="K545" s="28"/>
      <c r="L545" s="28"/>
      <c r="M545" s="28"/>
      <c r="N545" s="28"/>
      <c r="O545" s="28"/>
      <c r="P545" s="28"/>
      <c r="Q545" s="28"/>
      <c r="R545" s="28"/>
      <c r="S545" s="28"/>
      <c r="T545" s="28"/>
      <c r="U545" s="28"/>
      <c r="V545" s="28"/>
    </row>
    <row r="546" ht="13.5" customHeight="1">
      <c r="A546" s="28"/>
      <c r="B546" s="28"/>
      <c r="C546" s="28"/>
      <c r="D546" s="28"/>
      <c r="E546" s="28"/>
      <c r="F546" s="28"/>
      <c r="G546" s="28"/>
      <c r="H546" s="28"/>
      <c r="I546" s="28"/>
      <c r="J546" s="28"/>
      <c r="K546" s="28"/>
      <c r="L546" s="28"/>
      <c r="M546" s="28"/>
      <c r="N546" s="28"/>
      <c r="O546" s="28"/>
      <c r="P546" s="28"/>
      <c r="Q546" s="28"/>
      <c r="R546" s="28"/>
      <c r="S546" s="28"/>
      <c r="T546" s="28"/>
      <c r="U546" s="28"/>
      <c r="V546" s="28"/>
    </row>
    <row r="547" ht="13.5" customHeight="1">
      <c r="A547" s="28"/>
      <c r="B547" s="28"/>
      <c r="C547" s="28"/>
      <c r="D547" s="28"/>
      <c r="E547" s="28"/>
      <c r="F547" s="28"/>
      <c r="G547" s="28"/>
      <c r="H547" s="28"/>
      <c r="I547" s="28"/>
      <c r="J547" s="28"/>
      <c r="K547" s="28"/>
      <c r="L547" s="28"/>
      <c r="M547" s="28"/>
      <c r="N547" s="28"/>
      <c r="O547" s="28"/>
      <c r="P547" s="28"/>
      <c r="Q547" s="28"/>
      <c r="R547" s="28"/>
      <c r="S547" s="28"/>
      <c r="T547" s="28"/>
      <c r="U547" s="28"/>
      <c r="V547" s="28"/>
    </row>
    <row r="548" ht="13.5" customHeight="1">
      <c r="A548" s="28"/>
      <c r="B548" s="28"/>
      <c r="C548" s="28"/>
      <c r="D548" s="28"/>
      <c r="E548" s="28"/>
      <c r="F548" s="28"/>
      <c r="G548" s="28"/>
      <c r="H548" s="28"/>
      <c r="I548" s="28"/>
      <c r="J548" s="28"/>
      <c r="K548" s="28"/>
      <c r="L548" s="28"/>
      <c r="M548" s="28"/>
      <c r="N548" s="28"/>
      <c r="O548" s="28"/>
      <c r="P548" s="28"/>
      <c r="Q548" s="28"/>
      <c r="R548" s="28"/>
      <c r="S548" s="28"/>
      <c r="T548" s="28"/>
      <c r="U548" s="28"/>
      <c r="V548" s="28"/>
    </row>
    <row r="549" ht="13.5" customHeight="1">
      <c r="A549" s="28"/>
      <c r="B549" s="28"/>
      <c r="C549" s="28"/>
      <c r="D549" s="28"/>
      <c r="E549" s="28"/>
      <c r="F549" s="28"/>
      <c r="G549" s="28"/>
      <c r="H549" s="28"/>
      <c r="I549" s="28"/>
      <c r="J549" s="28"/>
      <c r="K549" s="28"/>
      <c r="L549" s="28"/>
      <c r="M549" s="28"/>
      <c r="N549" s="28"/>
      <c r="O549" s="28"/>
      <c r="P549" s="28"/>
      <c r="Q549" s="28"/>
      <c r="R549" s="28"/>
      <c r="S549" s="28"/>
      <c r="T549" s="28"/>
      <c r="U549" s="28"/>
      <c r="V549" s="28"/>
    </row>
    <row r="550" ht="13.5" customHeight="1">
      <c r="A550" s="28"/>
      <c r="B550" s="28"/>
      <c r="C550" s="28"/>
      <c r="D550" s="28"/>
      <c r="E550" s="28"/>
      <c r="F550" s="28"/>
      <c r="G550" s="28"/>
      <c r="H550" s="28"/>
      <c r="I550" s="28"/>
      <c r="J550" s="28"/>
      <c r="K550" s="28"/>
      <c r="L550" s="28"/>
      <c r="M550" s="28"/>
      <c r="N550" s="28"/>
      <c r="O550" s="28"/>
      <c r="P550" s="28"/>
      <c r="Q550" s="28"/>
      <c r="R550" s="28"/>
      <c r="S550" s="28"/>
      <c r="T550" s="28"/>
      <c r="U550" s="28"/>
      <c r="V550" s="28"/>
    </row>
    <row r="551" ht="13.5" customHeight="1">
      <c r="A551" s="28"/>
      <c r="B551" s="28"/>
      <c r="C551" s="28"/>
      <c r="D551" s="28"/>
      <c r="E551" s="28"/>
      <c r="F551" s="28"/>
      <c r="G551" s="28"/>
      <c r="H551" s="28"/>
      <c r="I551" s="28"/>
      <c r="J551" s="28"/>
      <c r="K551" s="28"/>
      <c r="L551" s="28"/>
      <c r="M551" s="28"/>
      <c r="N551" s="28"/>
      <c r="O551" s="28"/>
      <c r="P551" s="28"/>
      <c r="Q551" s="28"/>
      <c r="R551" s="28"/>
      <c r="S551" s="28"/>
      <c r="T551" s="28"/>
      <c r="U551" s="28"/>
      <c r="V551" s="28"/>
    </row>
    <row r="552" ht="13.5" customHeight="1">
      <c r="A552" s="28"/>
      <c r="B552" s="28"/>
      <c r="C552" s="28"/>
      <c r="D552" s="28"/>
      <c r="E552" s="28"/>
      <c r="F552" s="28"/>
      <c r="G552" s="28"/>
      <c r="H552" s="28"/>
      <c r="I552" s="28"/>
      <c r="J552" s="28"/>
      <c r="K552" s="28"/>
      <c r="L552" s="28"/>
      <c r="M552" s="28"/>
      <c r="N552" s="28"/>
      <c r="O552" s="28"/>
      <c r="P552" s="28"/>
      <c r="Q552" s="28"/>
      <c r="R552" s="28"/>
      <c r="S552" s="28"/>
      <c r="T552" s="28"/>
      <c r="U552" s="28"/>
      <c r="V552" s="28"/>
    </row>
    <row r="553" ht="13.5" customHeight="1">
      <c r="A553" s="28"/>
      <c r="B553" s="28"/>
      <c r="C553" s="28"/>
      <c r="D553" s="28"/>
      <c r="E553" s="28"/>
      <c r="F553" s="28"/>
      <c r="G553" s="28"/>
      <c r="H553" s="28"/>
      <c r="I553" s="28"/>
      <c r="J553" s="28"/>
      <c r="K553" s="28"/>
      <c r="L553" s="28"/>
      <c r="M553" s="28"/>
      <c r="N553" s="28"/>
      <c r="O553" s="28"/>
      <c r="P553" s="28"/>
      <c r="Q553" s="28"/>
      <c r="R553" s="28"/>
      <c r="S553" s="28"/>
      <c r="T553" s="28"/>
      <c r="U553" s="28"/>
      <c r="V553" s="28"/>
    </row>
    <row r="554" ht="13.5" customHeight="1">
      <c r="A554" s="28"/>
      <c r="B554" s="28"/>
      <c r="C554" s="28"/>
      <c r="D554" s="28"/>
      <c r="E554" s="28"/>
      <c r="F554" s="28"/>
      <c r="G554" s="28"/>
      <c r="H554" s="28"/>
      <c r="I554" s="28"/>
      <c r="J554" s="28"/>
      <c r="K554" s="28"/>
      <c r="L554" s="28"/>
      <c r="M554" s="28"/>
      <c r="N554" s="28"/>
      <c r="O554" s="28"/>
      <c r="P554" s="28"/>
      <c r="Q554" s="28"/>
      <c r="R554" s="28"/>
      <c r="S554" s="28"/>
      <c r="T554" s="28"/>
      <c r="U554" s="28"/>
      <c r="V554" s="28"/>
    </row>
    <row r="555" ht="13.5" customHeight="1">
      <c r="A555" s="28"/>
      <c r="B555" s="28"/>
      <c r="C555" s="28"/>
      <c r="D555" s="28"/>
      <c r="E555" s="28"/>
      <c r="F555" s="28"/>
      <c r="G555" s="28"/>
      <c r="H555" s="28"/>
      <c r="I555" s="28"/>
      <c r="J555" s="28"/>
      <c r="K555" s="28"/>
      <c r="L555" s="28"/>
      <c r="M555" s="28"/>
      <c r="N555" s="28"/>
      <c r="O555" s="28"/>
      <c r="P555" s="28"/>
      <c r="Q555" s="28"/>
      <c r="R555" s="28"/>
      <c r="S555" s="28"/>
      <c r="T555" s="28"/>
      <c r="U555" s="28"/>
      <c r="V555" s="28"/>
    </row>
    <row r="556" ht="13.5" customHeight="1">
      <c r="A556" s="28"/>
      <c r="B556" s="28"/>
      <c r="C556" s="28"/>
      <c r="D556" s="28"/>
      <c r="E556" s="28"/>
      <c r="F556" s="28"/>
      <c r="G556" s="28"/>
      <c r="H556" s="28"/>
      <c r="I556" s="28"/>
      <c r="J556" s="28"/>
      <c r="K556" s="28"/>
      <c r="L556" s="28"/>
      <c r="M556" s="28"/>
      <c r="N556" s="28"/>
      <c r="O556" s="28"/>
      <c r="P556" s="28"/>
      <c r="Q556" s="28"/>
      <c r="R556" s="28"/>
      <c r="S556" s="28"/>
      <c r="T556" s="28"/>
      <c r="U556" s="28"/>
      <c r="V556" s="28"/>
    </row>
    <row r="557" ht="13.5" customHeight="1">
      <c r="A557" s="28"/>
      <c r="B557" s="28"/>
      <c r="C557" s="28"/>
      <c r="D557" s="28"/>
      <c r="E557" s="28"/>
      <c r="F557" s="28"/>
      <c r="G557" s="28"/>
      <c r="H557" s="28"/>
      <c r="I557" s="28"/>
      <c r="J557" s="28"/>
      <c r="K557" s="28"/>
      <c r="L557" s="28"/>
      <c r="M557" s="28"/>
      <c r="N557" s="28"/>
      <c r="O557" s="28"/>
      <c r="P557" s="28"/>
      <c r="Q557" s="28"/>
      <c r="R557" s="28"/>
      <c r="S557" s="28"/>
      <c r="T557" s="28"/>
      <c r="U557" s="28"/>
      <c r="V557" s="28"/>
    </row>
    <row r="558" ht="13.5" customHeight="1">
      <c r="A558" s="28"/>
      <c r="B558" s="28"/>
      <c r="C558" s="28"/>
      <c r="D558" s="28"/>
      <c r="E558" s="28"/>
      <c r="F558" s="28"/>
      <c r="G558" s="28"/>
      <c r="H558" s="28"/>
      <c r="I558" s="28"/>
      <c r="J558" s="28"/>
      <c r="K558" s="28"/>
      <c r="L558" s="28"/>
      <c r="M558" s="28"/>
      <c r="N558" s="28"/>
      <c r="O558" s="28"/>
      <c r="P558" s="28"/>
      <c r="Q558" s="28"/>
      <c r="R558" s="28"/>
      <c r="S558" s="28"/>
      <c r="T558" s="28"/>
      <c r="U558" s="28"/>
      <c r="V558" s="28"/>
    </row>
    <row r="559" ht="13.5" customHeight="1">
      <c r="A559" s="28"/>
      <c r="B559" s="28"/>
      <c r="C559" s="28"/>
      <c r="D559" s="28"/>
      <c r="E559" s="28"/>
      <c r="F559" s="28"/>
      <c r="G559" s="28"/>
      <c r="H559" s="28"/>
      <c r="I559" s="28"/>
      <c r="J559" s="28"/>
      <c r="K559" s="28"/>
      <c r="L559" s="28"/>
      <c r="M559" s="28"/>
      <c r="N559" s="28"/>
      <c r="O559" s="28"/>
      <c r="P559" s="28"/>
      <c r="Q559" s="28"/>
      <c r="R559" s="28"/>
      <c r="S559" s="28"/>
      <c r="T559" s="28"/>
      <c r="U559" s="28"/>
      <c r="V559" s="28"/>
    </row>
    <row r="560" ht="13.5" customHeight="1">
      <c r="A560" s="28"/>
      <c r="B560" s="28"/>
      <c r="C560" s="28"/>
      <c r="D560" s="28"/>
      <c r="E560" s="28"/>
      <c r="F560" s="28"/>
      <c r="G560" s="28"/>
      <c r="H560" s="28"/>
      <c r="I560" s="28"/>
      <c r="J560" s="28"/>
      <c r="K560" s="28"/>
      <c r="L560" s="28"/>
      <c r="M560" s="28"/>
      <c r="N560" s="28"/>
      <c r="O560" s="28"/>
      <c r="P560" s="28"/>
      <c r="Q560" s="28"/>
      <c r="R560" s="28"/>
      <c r="S560" s="28"/>
      <c r="T560" s="28"/>
      <c r="U560" s="28"/>
      <c r="V560" s="28"/>
    </row>
    <row r="561" ht="13.5" customHeight="1">
      <c r="A561" s="28"/>
      <c r="B561" s="28"/>
      <c r="C561" s="28"/>
      <c r="D561" s="28"/>
      <c r="E561" s="28"/>
      <c r="F561" s="28"/>
      <c r="G561" s="28"/>
      <c r="H561" s="28"/>
      <c r="I561" s="28"/>
      <c r="J561" s="28"/>
      <c r="K561" s="28"/>
      <c r="L561" s="28"/>
      <c r="M561" s="28"/>
      <c r="N561" s="28"/>
      <c r="O561" s="28"/>
      <c r="P561" s="28"/>
      <c r="Q561" s="28"/>
      <c r="R561" s="28"/>
      <c r="S561" s="28"/>
      <c r="T561" s="28"/>
      <c r="U561" s="28"/>
      <c r="V561" s="28"/>
    </row>
    <row r="562" ht="13.5" customHeight="1">
      <c r="A562" s="28"/>
      <c r="B562" s="28"/>
      <c r="C562" s="28"/>
      <c r="D562" s="28"/>
      <c r="E562" s="28"/>
      <c r="F562" s="28"/>
      <c r="G562" s="28"/>
      <c r="H562" s="28"/>
      <c r="I562" s="28"/>
      <c r="J562" s="28"/>
      <c r="K562" s="28"/>
      <c r="L562" s="28"/>
      <c r="M562" s="28"/>
      <c r="N562" s="28"/>
      <c r="O562" s="28"/>
      <c r="P562" s="28"/>
      <c r="Q562" s="28"/>
      <c r="R562" s="28"/>
      <c r="S562" s="28"/>
      <c r="T562" s="28"/>
      <c r="U562" s="28"/>
      <c r="V562" s="28"/>
    </row>
    <row r="563" ht="13.5" customHeight="1">
      <c r="A563" s="28"/>
      <c r="B563" s="28"/>
      <c r="C563" s="28"/>
      <c r="D563" s="28"/>
      <c r="E563" s="28"/>
      <c r="F563" s="28"/>
      <c r="G563" s="28"/>
      <c r="H563" s="28"/>
      <c r="I563" s="28"/>
      <c r="J563" s="28"/>
      <c r="K563" s="28"/>
      <c r="L563" s="28"/>
      <c r="M563" s="28"/>
      <c r="N563" s="28"/>
      <c r="O563" s="28"/>
      <c r="P563" s="28"/>
      <c r="Q563" s="28"/>
      <c r="R563" s="28"/>
      <c r="S563" s="28"/>
      <c r="T563" s="28"/>
      <c r="U563" s="28"/>
      <c r="V563" s="28"/>
    </row>
    <row r="564" ht="13.5" customHeight="1">
      <c r="A564" s="28"/>
      <c r="B564" s="28"/>
      <c r="C564" s="28"/>
      <c r="D564" s="28"/>
      <c r="E564" s="28"/>
      <c r="F564" s="28"/>
      <c r="G564" s="28"/>
      <c r="H564" s="28"/>
      <c r="I564" s="28"/>
      <c r="J564" s="28"/>
      <c r="K564" s="28"/>
      <c r="L564" s="28"/>
      <c r="M564" s="28"/>
      <c r="N564" s="28"/>
      <c r="O564" s="28"/>
      <c r="P564" s="28"/>
      <c r="Q564" s="28"/>
      <c r="R564" s="28"/>
      <c r="S564" s="28"/>
      <c r="T564" s="28"/>
      <c r="U564" s="28"/>
      <c r="V564" s="28"/>
    </row>
    <row r="565" ht="13.5" customHeight="1">
      <c r="A565" s="28"/>
      <c r="B565" s="28"/>
      <c r="C565" s="28"/>
      <c r="D565" s="28"/>
      <c r="E565" s="28"/>
      <c r="F565" s="28"/>
      <c r="G565" s="28"/>
      <c r="H565" s="28"/>
      <c r="I565" s="28"/>
      <c r="J565" s="28"/>
      <c r="K565" s="28"/>
      <c r="L565" s="28"/>
      <c r="M565" s="28"/>
      <c r="N565" s="28"/>
      <c r="O565" s="28"/>
      <c r="P565" s="28"/>
      <c r="Q565" s="28"/>
      <c r="R565" s="28"/>
      <c r="S565" s="28"/>
      <c r="T565" s="28"/>
      <c r="U565" s="28"/>
      <c r="V565" s="28"/>
    </row>
    <row r="566" ht="13.5" customHeight="1">
      <c r="A566" s="28"/>
      <c r="B566" s="28"/>
      <c r="C566" s="28"/>
      <c r="D566" s="28"/>
      <c r="E566" s="28"/>
      <c r="F566" s="28"/>
      <c r="G566" s="28"/>
      <c r="H566" s="28"/>
      <c r="I566" s="28"/>
      <c r="J566" s="28"/>
      <c r="K566" s="28"/>
      <c r="L566" s="28"/>
      <c r="M566" s="28"/>
      <c r="N566" s="28"/>
      <c r="O566" s="28"/>
      <c r="P566" s="28"/>
      <c r="Q566" s="28"/>
      <c r="R566" s="28"/>
      <c r="S566" s="28"/>
      <c r="T566" s="28"/>
      <c r="U566" s="28"/>
      <c r="V566" s="28"/>
    </row>
    <row r="567" ht="13.5" customHeight="1">
      <c r="A567" s="28"/>
      <c r="B567" s="28"/>
      <c r="C567" s="28"/>
      <c r="D567" s="28"/>
      <c r="E567" s="28"/>
      <c r="F567" s="28"/>
      <c r="G567" s="28"/>
      <c r="H567" s="28"/>
      <c r="I567" s="28"/>
      <c r="J567" s="28"/>
      <c r="K567" s="28"/>
      <c r="L567" s="28"/>
      <c r="M567" s="28"/>
      <c r="N567" s="28"/>
      <c r="O567" s="28"/>
      <c r="P567" s="28"/>
      <c r="Q567" s="28"/>
      <c r="R567" s="28"/>
      <c r="S567" s="28"/>
      <c r="T567" s="28"/>
      <c r="U567" s="28"/>
      <c r="V567" s="28"/>
    </row>
    <row r="568" ht="13.5" customHeight="1">
      <c r="A568" s="28"/>
      <c r="B568" s="28"/>
      <c r="C568" s="28"/>
      <c r="D568" s="28"/>
      <c r="E568" s="28"/>
      <c r="F568" s="28"/>
      <c r="G568" s="28"/>
      <c r="H568" s="28"/>
      <c r="I568" s="28"/>
      <c r="J568" s="28"/>
      <c r="K568" s="28"/>
      <c r="L568" s="28"/>
      <c r="M568" s="28"/>
      <c r="N568" s="28"/>
      <c r="O568" s="28"/>
      <c r="P568" s="28"/>
      <c r="Q568" s="28"/>
      <c r="R568" s="28"/>
      <c r="S568" s="28"/>
      <c r="T568" s="28"/>
      <c r="U568" s="28"/>
      <c r="V568" s="28"/>
    </row>
    <row r="569" ht="13.5" customHeight="1">
      <c r="A569" s="28"/>
      <c r="B569" s="28"/>
      <c r="C569" s="28"/>
      <c r="D569" s="28"/>
      <c r="E569" s="28"/>
      <c r="F569" s="28"/>
      <c r="G569" s="28"/>
      <c r="H569" s="28"/>
      <c r="I569" s="28"/>
      <c r="J569" s="28"/>
      <c r="K569" s="28"/>
      <c r="L569" s="28"/>
      <c r="M569" s="28"/>
      <c r="N569" s="28"/>
      <c r="O569" s="28"/>
      <c r="P569" s="28"/>
      <c r="Q569" s="28"/>
      <c r="R569" s="28"/>
      <c r="S569" s="28"/>
      <c r="T569" s="28"/>
      <c r="U569" s="28"/>
      <c r="V569" s="28"/>
    </row>
    <row r="570" ht="13.5" customHeight="1">
      <c r="A570" s="28"/>
      <c r="B570" s="28"/>
      <c r="C570" s="28"/>
      <c r="D570" s="28"/>
      <c r="E570" s="28"/>
      <c r="F570" s="28"/>
      <c r="G570" s="28"/>
      <c r="H570" s="28"/>
      <c r="I570" s="28"/>
      <c r="J570" s="28"/>
      <c r="K570" s="28"/>
      <c r="L570" s="28"/>
      <c r="M570" s="28"/>
      <c r="N570" s="28"/>
      <c r="O570" s="28"/>
      <c r="P570" s="28"/>
      <c r="Q570" s="28"/>
      <c r="R570" s="28"/>
      <c r="S570" s="28"/>
      <c r="T570" s="28"/>
      <c r="U570" s="28"/>
      <c r="V570" s="28"/>
    </row>
    <row r="571" ht="13.5" customHeight="1">
      <c r="A571" s="28"/>
      <c r="B571" s="28"/>
      <c r="C571" s="28"/>
      <c r="D571" s="28"/>
      <c r="E571" s="28"/>
      <c r="F571" s="28"/>
      <c r="G571" s="28"/>
      <c r="H571" s="28"/>
      <c r="I571" s="28"/>
      <c r="J571" s="28"/>
      <c r="K571" s="28"/>
      <c r="L571" s="28"/>
      <c r="M571" s="28"/>
      <c r="N571" s="28"/>
      <c r="O571" s="28"/>
      <c r="P571" s="28"/>
      <c r="Q571" s="28"/>
      <c r="R571" s="28"/>
      <c r="S571" s="28"/>
      <c r="T571" s="28"/>
      <c r="U571" s="28"/>
      <c r="V571" s="28"/>
    </row>
    <row r="572" ht="13.5" customHeight="1">
      <c r="A572" s="28"/>
      <c r="B572" s="28"/>
      <c r="C572" s="28"/>
      <c r="D572" s="28"/>
      <c r="E572" s="28"/>
      <c r="F572" s="28"/>
      <c r="G572" s="28"/>
      <c r="H572" s="28"/>
      <c r="I572" s="28"/>
      <c r="J572" s="28"/>
      <c r="K572" s="28"/>
      <c r="L572" s="28"/>
      <c r="M572" s="28"/>
      <c r="N572" s="28"/>
      <c r="O572" s="28"/>
      <c r="P572" s="28"/>
      <c r="Q572" s="28"/>
      <c r="R572" s="28"/>
      <c r="S572" s="28"/>
      <c r="T572" s="28"/>
      <c r="U572" s="28"/>
      <c r="V572" s="28"/>
    </row>
    <row r="573" ht="13.5" customHeight="1">
      <c r="A573" s="28"/>
      <c r="B573" s="28"/>
      <c r="C573" s="28"/>
      <c r="D573" s="28"/>
      <c r="E573" s="28"/>
      <c r="F573" s="28"/>
      <c r="G573" s="28"/>
      <c r="H573" s="28"/>
      <c r="I573" s="28"/>
      <c r="J573" s="28"/>
      <c r="K573" s="28"/>
      <c r="L573" s="28"/>
      <c r="M573" s="28"/>
      <c r="N573" s="28"/>
      <c r="O573" s="28"/>
      <c r="P573" s="28"/>
      <c r="Q573" s="28"/>
      <c r="R573" s="28"/>
      <c r="S573" s="28"/>
      <c r="T573" s="28"/>
      <c r="U573" s="28"/>
      <c r="V573" s="28"/>
    </row>
    <row r="574" ht="13.5" customHeight="1">
      <c r="A574" s="28"/>
      <c r="B574" s="28"/>
      <c r="C574" s="28"/>
      <c r="D574" s="28"/>
      <c r="E574" s="28"/>
      <c r="F574" s="28"/>
      <c r="G574" s="28"/>
      <c r="H574" s="28"/>
      <c r="I574" s="28"/>
      <c r="J574" s="28"/>
      <c r="K574" s="28"/>
      <c r="L574" s="28"/>
      <c r="M574" s="28"/>
      <c r="N574" s="28"/>
      <c r="O574" s="28"/>
      <c r="P574" s="28"/>
      <c r="Q574" s="28"/>
      <c r="R574" s="28"/>
      <c r="S574" s="28"/>
      <c r="T574" s="28"/>
      <c r="U574" s="28"/>
      <c r="V574" s="28"/>
    </row>
    <row r="575" ht="13.5" customHeight="1">
      <c r="A575" s="28"/>
      <c r="B575" s="28"/>
      <c r="C575" s="28"/>
      <c r="D575" s="28"/>
      <c r="E575" s="28"/>
      <c r="F575" s="28"/>
      <c r="G575" s="28"/>
      <c r="H575" s="28"/>
      <c r="I575" s="28"/>
      <c r="J575" s="28"/>
      <c r="K575" s="28"/>
      <c r="L575" s="28"/>
      <c r="M575" s="28"/>
      <c r="N575" s="28"/>
      <c r="O575" s="28"/>
      <c r="P575" s="28"/>
      <c r="Q575" s="28"/>
      <c r="R575" s="28"/>
      <c r="S575" s="28"/>
      <c r="T575" s="28"/>
      <c r="U575" s="28"/>
      <c r="V575" s="28"/>
    </row>
    <row r="576" ht="13.5" customHeight="1">
      <c r="A576" s="28"/>
      <c r="B576" s="28"/>
      <c r="C576" s="28"/>
      <c r="D576" s="28"/>
      <c r="E576" s="28"/>
      <c r="F576" s="28"/>
      <c r="G576" s="28"/>
      <c r="H576" s="28"/>
      <c r="I576" s="28"/>
      <c r="J576" s="28"/>
      <c r="K576" s="28"/>
      <c r="L576" s="28"/>
      <c r="M576" s="28"/>
      <c r="N576" s="28"/>
      <c r="O576" s="28"/>
      <c r="P576" s="28"/>
      <c r="Q576" s="28"/>
      <c r="R576" s="28"/>
      <c r="S576" s="28"/>
      <c r="T576" s="28"/>
      <c r="U576" s="28"/>
      <c r="V576" s="28"/>
    </row>
    <row r="577" ht="13.5" customHeight="1">
      <c r="A577" s="28"/>
      <c r="B577" s="28"/>
      <c r="C577" s="28"/>
      <c r="D577" s="28"/>
      <c r="E577" s="28"/>
      <c r="F577" s="28"/>
      <c r="G577" s="28"/>
      <c r="H577" s="28"/>
      <c r="I577" s="28"/>
      <c r="J577" s="28"/>
      <c r="K577" s="28"/>
      <c r="L577" s="28"/>
      <c r="M577" s="28"/>
      <c r="N577" s="28"/>
      <c r="O577" s="28"/>
      <c r="P577" s="28"/>
      <c r="Q577" s="28"/>
      <c r="R577" s="28"/>
      <c r="S577" s="28"/>
      <c r="T577" s="28"/>
      <c r="U577" s="28"/>
      <c r="V577" s="28"/>
    </row>
    <row r="578" ht="13.5" customHeight="1">
      <c r="A578" s="28"/>
      <c r="B578" s="28"/>
      <c r="C578" s="28"/>
      <c r="D578" s="28"/>
      <c r="E578" s="28"/>
      <c r="F578" s="28"/>
      <c r="G578" s="28"/>
      <c r="H578" s="28"/>
      <c r="I578" s="28"/>
      <c r="J578" s="28"/>
      <c r="K578" s="28"/>
      <c r="L578" s="28"/>
      <c r="M578" s="28"/>
      <c r="N578" s="28"/>
      <c r="O578" s="28"/>
      <c r="P578" s="28"/>
      <c r="Q578" s="28"/>
      <c r="R578" s="28"/>
      <c r="S578" s="28"/>
      <c r="T578" s="28"/>
      <c r="U578" s="28"/>
      <c r="V578" s="28"/>
    </row>
    <row r="579" ht="13.5" customHeight="1">
      <c r="A579" s="28"/>
      <c r="B579" s="28"/>
      <c r="C579" s="28"/>
      <c r="D579" s="28"/>
      <c r="E579" s="28"/>
      <c r="F579" s="28"/>
      <c r="G579" s="28"/>
      <c r="H579" s="28"/>
      <c r="I579" s="28"/>
      <c r="J579" s="28"/>
      <c r="K579" s="28"/>
      <c r="L579" s="28"/>
      <c r="M579" s="28"/>
      <c r="N579" s="28"/>
      <c r="O579" s="28"/>
      <c r="P579" s="28"/>
      <c r="Q579" s="28"/>
      <c r="R579" s="28"/>
      <c r="S579" s="28"/>
      <c r="T579" s="28"/>
      <c r="U579" s="28"/>
      <c r="V579" s="28"/>
    </row>
    <row r="580" ht="13.5" customHeight="1">
      <c r="A580" s="28"/>
      <c r="B580" s="28"/>
      <c r="C580" s="28"/>
      <c r="D580" s="28"/>
      <c r="E580" s="28"/>
      <c r="F580" s="28"/>
      <c r="G580" s="28"/>
      <c r="H580" s="28"/>
      <c r="I580" s="28"/>
      <c r="J580" s="28"/>
      <c r="K580" s="28"/>
      <c r="L580" s="28"/>
      <c r="M580" s="28"/>
      <c r="N580" s="28"/>
      <c r="O580" s="28"/>
      <c r="P580" s="28"/>
      <c r="Q580" s="28"/>
      <c r="R580" s="28"/>
      <c r="S580" s="28"/>
      <c r="T580" s="28"/>
      <c r="U580" s="28"/>
      <c r="V580" s="28"/>
    </row>
    <row r="581" ht="13.5" customHeight="1">
      <c r="A581" s="28"/>
      <c r="B581" s="28"/>
      <c r="C581" s="28"/>
      <c r="D581" s="28"/>
      <c r="E581" s="28"/>
      <c r="F581" s="28"/>
      <c r="G581" s="28"/>
      <c r="H581" s="28"/>
      <c r="I581" s="28"/>
      <c r="J581" s="28"/>
      <c r="K581" s="28"/>
      <c r="L581" s="28"/>
      <c r="M581" s="28"/>
      <c r="N581" s="28"/>
      <c r="O581" s="28"/>
      <c r="P581" s="28"/>
      <c r="Q581" s="28"/>
      <c r="R581" s="28"/>
      <c r="S581" s="28"/>
      <c r="T581" s="28"/>
      <c r="U581" s="28"/>
      <c r="V581" s="28"/>
    </row>
    <row r="582" ht="13.5" customHeight="1">
      <c r="A582" s="28"/>
      <c r="B582" s="28"/>
      <c r="C582" s="28"/>
      <c r="D582" s="28"/>
      <c r="E582" s="28"/>
      <c r="F582" s="28"/>
      <c r="G582" s="28"/>
      <c r="H582" s="28"/>
      <c r="I582" s="28"/>
      <c r="J582" s="28"/>
      <c r="K582" s="28"/>
      <c r="L582" s="28"/>
      <c r="M582" s="28"/>
      <c r="N582" s="28"/>
      <c r="O582" s="28"/>
      <c r="P582" s="28"/>
      <c r="Q582" s="28"/>
      <c r="R582" s="28"/>
      <c r="S582" s="28"/>
      <c r="T582" s="28"/>
      <c r="U582" s="28"/>
      <c r="V582" s="28"/>
    </row>
    <row r="583" ht="13.5" customHeight="1">
      <c r="A583" s="28"/>
      <c r="B583" s="28"/>
      <c r="C583" s="28"/>
      <c r="D583" s="28"/>
      <c r="E583" s="28"/>
      <c r="F583" s="28"/>
      <c r="G583" s="28"/>
      <c r="H583" s="28"/>
      <c r="I583" s="28"/>
      <c r="J583" s="28"/>
      <c r="K583" s="28"/>
      <c r="L583" s="28"/>
      <c r="M583" s="28"/>
      <c r="N583" s="28"/>
      <c r="O583" s="28"/>
      <c r="P583" s="28"/>
      <c r="Q583" s="28"/>
      <c r="R583" s="28"/>
      <c r="S583" s="28"/>
      <c r="T583" s="28"/>
      <c r="U583" s="28"/>
      <c r="V583" s="28"/>
    </row>
    <row r="584" ht="13.5" customHeight="1">
      <c r="A584" s="28"/>
      <c r="B584" s="28"/>
      <c r="C584" s="28"/>
      <c r="D584" s="28"/>
      <c r="E584" s="28"/>
      <c r="F584" s="28"/>
      <c r="G584" s="28"/>
      <c r="H584" s="28"/>
      <c r="I584" s="28"/>
      <c r="J584" s="28"/>
      <c r="K584" s="28"/>
      <c r="L584" s="28"/>
      <c r="M584" s="28"/>
      <c r="N584" s="28"/>
      <c r="O584" s="28"/>
      <c r="P584" s="28"/>
      <c r="Q584" s="28"/>
      <c r="R584" s="28"/>
      <c r="S584" s="28"/>
      <c r="T584" s="28"/>
      <c r="U584" s="28"/>
      <c r="V584" s="28"/>
    </row>
    <row r="585" ht="13.5" customHeight="1">
      <c r="A585" s="28"/>
      <c r="B585" s="28"/>
      <c r="C585" s="28"/>
      <c r="D585" s="28"/>
      <c r="E585" s="28"/>
      <c r="F585" s="28"/>
      <c r="G585" s="28"/>
      <c r="H585" s="28"/>
      <c r="I585" s="28"/>
      <c r="J585" s="28"/>
      <c r="K585" s="28"/>
      <c r="L585" s="28"/>
      <c r="M585" s="28"/>
      <c r="N585" s="28"/>
      <c r="O585" s="28"/>
      <c r="P585" s="28"/>
      <c r="Q585" s="28"/>
      <c r="R585" s="28"/>
      <c r="S585" s="28"/>
      <c r="T585" s="28"/>
      <c r="U585" s="28"/>
      <c r="V585" s="28"/>
    </row>
    <row r="586" ht="13.5" customHeight="1">
      <c r="A586" s="28"/>
      <c r="B586" s="28"/>
      <c r="C586" s="28"/>
      <c r="D586" s="28"/>
      <c r="E586" s="28"/>
      <c r="F586" s="28"/>
      <c r="G586" s="28"/>
      <c r="H586" s="28"/>
      <c r="I586" s="28"/>
      <c r="J586" s="28"/>
      <c r="K586" s="28"/>
      <c r="L586" s="28"/>
      <c r="M586" s="28"/>
      <c r="N586" s="28"/>
      <c r="O586" s="28"/>
      <c r="P586" s="28"/>
      <c r="Q586" s="28"/>
      <c r="R586" s="28"/>
      <c r="S586" s="28"/>
      <c r="T586" s="28"/>
      <c r="U586" s="28"/>
      <c r="V586" s="28"/>
    </row>
    <row r="587" ht="13.5" customHeight="1">
      <c r="A587" s="28"/>
      <c r="B587" s="28"/>
      <c r="C587" s="28"/>
      <c r="D587" s="28"/>
      <c r="E587" s="28"/>
      <c r="F587" s="28"/>
      <c r="G587" s="28"/>
      <c r="H587" s="28"/>
      <c r="I587" s="28"/>
      <c r="J587" s="28"/>
      <c r="K587" s="28"/>
      <c r="L587" s="28"/>
      <c r="M587" s="28"/>
      <c r="N587" s="28"/>
      <c r="O587" s="28"/>
      <c r="P587" s="28"/>
      <c r="Q587" s="28"/>
      <c r="R587" s="28"/>
      <c r="S587" s="28"/>
      <c r="T587" s="28"/>
      <c r="U587" s="28"/>
      <c r="V587" s="28"/>
    </row>
    <row r="588" ht="13.5" customHeight="1">
      <c r="A588" s="28"/>
      <c r="B588" s="28"/>
      <c r="C588" s="28"/>
      <c r="D588" s="28"/>
      <c r="E588" s="28"/>
      <c r="F588" s="28"/>
      <c r="G588" s="28"/>
      <c r="H588" s="28"/>
      <c r="I588" s="28"/>
      <c r="J588" s="28"/>
      <c r="K588" s="28"/>
      <c r="L588" s="28"/>
      <c r="M588" s="28"/>
      <c r="N588" s="28"/>
      <c r="O588" s="28"/>
      <c r="P588" s="28"/>
      <c r="Q588" s="28"/>
      <c r="R588" s="28"/>
      <c r="S588" s="28"/>
      <c r="T588" s="28"/>
      <c r="U588" s="28"/>
      <c r="V588" s="28"/>
    </row>
    <row r="589" ht="13.5" customHeight="1">
      <c r="A589" s="28"/>
      <c r="B589" s="28"/>
      <c r="C589" s="28"/>
      <c r="D589" s="28"/>
      <c r="E589" s="28"/>
      <c r="F589" s="28"/>
      <c r="G589" s="28"/>
      <c r="H589" s="28"/>
      <c r="I589" s="28"/>
      <c r="J589" s="28"/>
      <c r="K589" s="28"/>
      <c r="L589" s="28"/>
      <c r="M589" s="28"/>
      <c r="N589" s="28"/>
      <c r="O589" s="28"/>
      <c r="P589" s="28"/>
      <c r="Q589" s="28"/>
      <c r="R589" s="28"/>
      <c r="S589" s="28"/>
      <c r="T589" s="28"/>
      <c r="U589" s="28"/>
      <c r="V589" s="28"/>
    </row>
    <row r="590" ht="13.5" customHeight="1">
      <c r="A590" s="28"/>
      <c r="B590" s="28"/>
      <c r="C590" s="28"/>
      <c r="D590" s="28"/>
      <c r="E590" s="28"/>
      <c r="F590" s="28"/>
      <c r="G590" s="28"/>
      <c r="H590" s="28"/>
      <c r="I590" s="28"/>
      <c r="J590" s="28"/>
      <c r="K590" s="28"/>
      <c r="L590" s="28"/>
      <c r="M590" s="28"/>
      <c r="N590" s="28"/>
      <c r="O590" s="28"/>
      <c r="P590" s="28"/>
      <c r="Q590" s="28"/>
      <c r="R590" s="28"/>
      <c r="S590" s="28"/>
      <c r="T590" s="28"/>
      <c r="U590" s="28"/>
      <c r="V590" s="28"/>
    </row>
    <row r="591" ht="13.5" customHeight="1">
      <c r="A591" s="28"/>
      <c r="B591" s="28"/>
      <c r="C591" s="28"/>
      <c r="D591" s="28"/>
      <c r="E591" s="28"/>
      <c r="F591" s="28"/>
      <c r="G591" s="28"/>
      <c r="H591" s="28"/>
      <c r="I591" s="28"/>
      <c r="J591" s="28"/>
      <c r="K591" s="28"/>
      <c r="L591" s="28"/>
      <c r="M591" s="28"/>
      <c r="N591" s="28"/>
      <c r="O591" s="28"/>
      <c r="P591" s="28"/>
      <c r="Q591" s="28"/>
      <c r="R591" s="28"/>
      <c r="S591" s="28"/>
      <c r="T591" s="28"/>
      <c r="U591" s="28"/>
      <c r="V591" s="28"/>
    </row>
    <row r="592" ht="13.5" customHeight="1">
      <c r="A592" s="28"/>
      <c r="B592" s="28"/>
      <c r="C592" s="28"/>
      <c r="D592" s="28"/>
      <c r="E592" s="28"/>
      <c r="F592" s="28"/>
      <c r="G592" s="28"/>
      <c r="H592" s="28"/>
      <c r="I592" s="28"/>
      <c r="J592" s="28"/>
      <c r="K592" s="28"/>
      <c r="L592" s="28"/>
      <c r="M592" s="28"/>
      <c r="N592" s="28"/>
      <c r="O592" s="28"/>
      <c r="P592" s="28"/>
      <c r="Q592" s="28"/>
      <c r="R592" s="28"/>
      <c r="S592" s="28"/>
      <c r="T592" s="28"/>
      <c r="U592" s="28"/>
      <c r="V592" s="28"/>
    </row>
    <row r="593" ht="13.5" customHeight="1">
      <c r="A593" s="28"/>
      <c r="B593" s="28"/>
      <c r="C593" s="28"/>
      <c r="D593" s="28"/>
      <c r="E593" s="28"/>
      <c r="F593" s="28"/>
      <c r="G593" s="28"/>
      <c r="H593" s="28"/>
      <c r="I593" s="28"/>
      <c r="J593" s="28"/>
      <c r="K593" s="28"/>
      <c r="L593" s="28"/>
      <c r="M593" s="28"/>
      <c r="N593" s="28"/>
      <c r="O593" s="28"/>
      <c r="P593" s="28"/>
      <c r="Q593" s="28"/>
      <c r="R593" s="28"/>
      <c r="S593" s="28"/>
      <c r="T593" s="28"/>
      <c r="U593" s="28"/>
      <c r="V593" s="28"/>
    </row>
    <row r="594" ht="13.5" customHeight="1">
      <c r="A594" s="28"/>
      <c r="B594" s="28"/>
      <c r="C594" s="28"/>
      <c r="D594" s="28"/>
      <c r="E594" s="28"/>
      <c r="F594" s="28"/>
      <c r="G594" s="28"/>
      <c r="H594" s="28"/>
      <c r="I594" s="28"/>
      <c r="J594" s="28"/>
      <c r="K594" s="28"/>
      <c r="L594" s="28"/>
      <c r="M594" s="28"/>
      <c r="N594" s="28"/>
      <c r="O594" s="28"/>
      <c r="P594" s="28"/>
      <c r="Q594" s="28"/>
      <c r="R594" s="28"/>
      <c r="S594" s="28"/>
      <c r="T594" s="28"/>
      <c r="U594" s="28"/>
      <c r="V594" s="28"/>
    </row>
    <row r="595" ht="13.5" customHeight="1">
      <c r="A595" s="28"/>
      <c r="B595" s="28"/>
      <c r="C595" s="28"/>
      <c r="D595" s="28"/>
      <c r="E595" s="28"/>
      <c r="F595" s="28"/>
      <c r="G595" s="28"/>
      <c r="H595" s="28"/>
      <c r="I595" s="28"/>
      <c r="J595" s="28"/>
      <c r="K595" s="28"/>
      <c r="L595" s="28"/>
      <c r="M595" s="28"/>
      <c r="N595" s="28"/>
      <c r="O595" s="28"/>
      <c r="P595" s="28"/>
      <c r="Q595" s="28"/>
      <c r="R595" s="28"/>
      <c r="S595" s="28"/>
      <c r="T595" s="28"/>
      <c r="U595" s="28"/>
      <c r="V595" s="28"/>
    </row>
    <row r="596" ht="13.5" customHeight="1">
      <c r="A596" s="28"/>
      <c r="B596" s="28"/>
      <c r="C596" s="28"/>
      <c r="D596" s="28"/>
      <c r="E596" s="28"/>
      <c r="F596" s="28"/>
      <c r="G596" s="28"/>
      <c r="H596" s="28"/>
      <c r="I596" s="28"/>
      <c r="J596" s="28"/>
      <c r="K596" s="28"/>
      <c r="L596" s="28"/>
      <c r="M596" s="28"/>
      <c r="N596" s="28"/>
      <c r="O596" s="28"/>
      <c r="P596" s="28"/>
      <c r="Q596" s="28"/>
      <c r="R596" s="28"/>
      <c r="S596" s="28"/>
      <c r="T596" s="28"/>
      <c r="U596" s="28"/>
      <c r="V596" s="28"/>
    </row>
    <row r="597" ht="13.5" customHeight="1">
      <c r="A597" s="28"/>
      <c r="B597" s="28"/>
      <c r="C597" s="28"/>
      <c r="D597" s="28"/>
      <c r="E597" s="28"/>
      <c r="F597" s="28"/>
      <c r="G597" s="28"/>
      <c r="H597" s="28"/>
      <c r="I597" s="28"/>
      <c r="J597" s="28"/>
      <c r="K597" s="28"/>
      <c r="L597" s="28"/>
      <c r="M597" s="28"/>
      <c r="N597" s="28"/>
      <c r="O597" s="28"/>
      <c r="P597" s="28"/>
      <c r="Q597" s="28"/>
      <c r="R597" s="28"/>
      <c r="S597" s="28"/>
      <c r="T597" s="28"/>
      <c r="U597" s="28"/>
      <c r="V597" s="28"/>
    </row>
    <row r="598" ht="13.5" customHeight="1">
      <c r="A598" s="28"/>
      <c r="B598" s="28"/>
      <c r="C598" s="28"/>
      <c r="D598" s="28"/>
      <c r="E598" s="28"/>
      <c r="F598" s="28"/>
      <c r="G598" s="28"/>
      <c r="H598" s="28"/>
      <c r="I598" s="28"/>
      <c r="J598" s="28"/>
      <c r="K598" s="28"/>
      <c r="L598" s="28"/>
      <c r="M598" s="28"/>
      <c r="N598" s="28"/>
      <c r="O598" s="28"/>
      <c r="P598" s="28"/>
      <c r="Q598" s="28"/>
      <c r="R598" s="28"/>
      <c r="S598" s="28"/>
      <c r="T598" s="28"/>
      <c r="U598" s="28"/>
      <c r="V598" s="28"/>
    </row>
    <row r="599" ht="13.5" customHeight="1">
      <c r="A599" s="28"/>
      <c r="B599" s="28"/>
      <c r="C599" s="28"/>
      <c r="D599" s="28"/>
      <c r="E599" s="28"/>
      <c r="F599" s="28"/>
      <c r="G599" s="28"/>
      <c r="H599" s="28"/>
      <c r="I599" s="28"/>
      <c r="J599" s="28"/>
      <c r="K599" s="28"/>
      <c r="L599" s="28"/>
      <c r="M599" s="28"/>
      <c r="N599" s="28"/>
      <c r="O599" s="28"/>
      <c r="P599" s="28"/>
      <c r="Q599" s="28"/>
      <c r="R599" s="28"/>
      <c r="S599" s="28"/>
      <c r="T599" s="28"/>
      <c r="U599" s="28"/>
      <c r="V599" s="28"/>
    </row>
    <row r="600" ht="13.5" customHeight="1">
      <c r="A600" s="28"/>
      <c r="B600" s="28"/>
      <c r="C600" s="28"/>
      <c r="D600" s="28"/>
      <c r="E600" s="28"/>
      <c r="F600" s="28"/>
      <c r="G600" s="28"/>
      <c r="H600" s="28"/>
      <c r="I600" s="28"/>
      <c r="J600" s="28"/>
      <c r="K600" s="28"/>
      <c r="L600" s="28"/>
      <c r="M600" s="28"/>
      <c r="N600" s="28"/>
      <c r="O600" s="28"/>
      <c r="P600" s="28"/>
      <c r="Q600" s="28"/>
      <c r="R600" s="28"/>
      <c r="S600" s="28"/>
      <c r="T600" s="28"/>
      <c r="U600" s="28"/>
      <c r="V600" s="28"/>
    </row>
    <row r="601" ht="13.5" customHeight="1">
      <c r="A601" s="28"/>
      <c r="B601" s="28"/>
      <c r="C601" s="28"/>
      <c r="D601" s="28"/>
      <c r="E601" s="28"/>
      <c r="F601" s="28"/>
      <c r="G601" s="28"/>
      <c r="H601" s="28"/>
      <c r="I601" s="28"/>
      <c r="J601" s="28"/>
      <c r="K601" s="28"/>
      <c r="L601" s="28"/>
      <c r="M601" s="28"/>
      <c r="N601" s="28"/>
      <c r="O601" s="28"/>
      <c r="P601" s="28"/>
      <c r="Q601" s="28"/>
      <c r="R601" s="28"/>
      <c r="S601" s="28"/>
      <c r="T601" s="28"/>
      <c r="U601" s="28"/>
      <c r="V601" s="28"/>
    </row>
    <row r="602" ht="13.5" customHeight="1">
      <c r="A602" s="28"/>
      <c r="B602" s="28"/>
      <c r="C602" s="28"/>
      <c r="D602" s="28"/>
      <c r="E602" s="28"/>
      <c r="F602" s="28"/>
      <c r="G602" s="28"/>
      <c r="H602" s="28"/>
      <c r="I602" s="28"/>
      <c r="J602" s="28"/>
      <c r="K602" s="28"/>
      <c r="L602" s="28"/>
      <c r="M602" s="28"/>
      <c r="N602" s="28"/>
      <c r="O602" s="28"/>
      <c r="P602" s="28"/>
      <c r="Q602" s="28"/>
      <c r="R602" s="28"/>
      <c r="S602" s="28"/>
      <c r="T602" s="28"/>
      <c r="U602" s="28"/>
      <c r="V602" s="28"/>
    </row>
    <row r="603" ht="13.5" customHeight="1">
      <c r="A603" s="28"/>
      <c r="B603" s="28"/>
      <c r="C603" s="28"/>
      <c r="D603" s="28"/>
      <c r="E603" s="28"/>
      <c r="F603" s="28"/>
      <c r="G603" s="28"/>
      <c r="H603" s="28"/>
      <c r="I603" s="28"/>
      <c r="J603" s="28"/>
      <c r="K603" s="28"/>
      <c r="L603" s="28"/>
      <c r="M603" s="28"/>
      <c r="N603" s="28"/>
      <c r="O603" s="28"/>
      <c r="P603" s="28"/>
      <c r="Q603" s="28"/>
      <c r="R603" s="28"/>
      <c r="S603" s="28"/>
      <c r="T603" s="28"/>
      <c r="U603" s="28"/>
      <c r="V603" s="28"/>
    </row>
    <row r="604" ht="13.5" customHeight="1">
      <c r="A604" s="28"/>
      <c r="B604" s="28"/>
      <c r="C604" s="28"/>
      <c r="D604" s="28"/>
      <c r="E604" s="28"/>
      <c r="F604" s="28"/>
      <c r="G604" s="28"/>
      <c r="H604" s="28"/>
      <c r="I604" s="28"/>
      <c r="J604" s="28"/>
      <c r="K604" s="28"/>
      <c r="L604" s="28"/>
      <c r="M604" s="28"/>
      <c r="N604" s="28"/>
      <c r="O604" s="28"/>
      <c r="P604" s="28"/>
      <c r="Q604" s="28"/>
      <c r="R604" s="28"/>
      <c r="S604" s="28"/>
      <c r="T604" s="28"/>
      <c r="U604" s="28"/>
      <c r="V604" s="28"/>
    </row>
    <row r="605" ht="13.5" customHeight="1">
      <c r="A605" s="28"/>
      <c r="B605" s="28"/>
      <c r="C605" s="28"/>
      <c r="D605" s="28"/>
      <c r="E605" s="28"/>
      <c r="F605" s="28"/>
      <c r="G605" s="28"/>
      <c r="H605" s="28"/>
      <c r="I605" s="28"/>
      <c r="J605" s="28"/>
      <c r="K605" s="28"/>
      <c r="L605" s="28"/>
      <c r="M605" s="28"/>
      <c r="N605" s="28"/>
      <c r="O605" s="28"/>
      <c r="P605" s="28"/>
      <c r="Q605" s="28"/>
      <c r="R605" s="28"/>
      <c r="S605" s="28"/>
      <c r="T605" s="28"/>
      <c r="U605" s="28"/>
      <c r="V605" s="28"/>
    </row>
    <row r="606" ht="13.5" customHeight="1">
      <c r="A606" s="28"/>
      <c r="B606" s="28"/>
      <c r="C606" s="28"/>
      <c r="D606" s="28"/>
      <c r="E606" s="28"/>
      <c r="F606" s="28"/>
      <c r="G606" s="28"/>
      <c r="H606" s="28"/>
      <c r="I606" s="28"/>
      <c r="J606" s="28"/>
      <c r="K606" s="28"/>
      <c r="L606" s="28"/>
      <c r="M606" s="28"/>
      <c r="N606" s="28"/>
      <c r="O606" s="28"/>
      <c r="P606" s="28"/>
      <c r="Q606" s="28"/>
      <c r="R606" s="28"/>
      <c r="S606" s="28"/>
      <c r="T606" s="28"/>
      <c r="U606" s="28"/>
      <c r="V606" s="28"/>
    </row>
    <row r="607" ht="13.5" customHeight="1">
      <c r="A607" s="28"/>
      <c r="B607" s="28"/>
      <c r="C607" s="28"/>
      <c r="D607" s="28"/>
      <c r="E607" s="28"/>
      <c r="F607" s="28"/>
      <c r="G607" s="28"/>
      <c r="H607" s="28"/>
      <c r="I607" s="28"/>
      <c r="J607" s="28"/>
      <c r="K607" s="28"/>
      <c r="L607" s="28"/>
      <c r="M607" s="28"/>
      <c r="N607" s="28"/>
      <c r="O607" s="28"/>
      <c r="P607" s="28"/>
      <c r="Q607" s="28"/>
      <c r="R607" s="28"/>
      <c r="S607" s="28"/>
      <c r="T607" s="28"/>
      <c r="U607" s="28"/>
      <c r="V607" s="28"/>
    </row>
    <row r="608" ht="13.5" customHeight="1">
      <c r="A608" s="28"/>
      <c r="B608" s="28"/>
      <c r="C608" s="28"/>
      <c r="D608" s="28"/>
      <c r="E608" s="28"/>
      <c r="F608" s="28"/>
      <c r="G608" s="28"/>
      <c r="H608" s="28"/>
      <c r="I608" s="28"/>
      <c r="J608" s="28"/>
      <c r="K608" s="28"/>
      <c r="L608" s="28"/>
      <c r="M608" s="28"/>
      <c r="N608" s="28"/>
      <c r="O608" s="28"/>
      <c r="P608" s="28"/>
      <c r="Q608" s="28"/>
      <c r="R608" s="28"/>
      <c r="S608" s="28"/>
      <c r="T608" s="28"/>
      <c r="U608" s="28"/>
      <c r="V608" s="28"/>
    </row>
    <row r="609" ht="13.5" customHeight="1">
      <c r="A609" s="28"/>
      <c r="B609" s="28"/>
      <c r="C609" s="28"/>
      <c r="D609" s="28"/>
      <c r="E609" s="28"/>
      <c r="F609" s="28"/>
      <c r="G609" s="28"/>
      <c r="H609" s="28"/>
      <c r="I609" s="28"/>
      <c r="J609" s="28"/>
      <c r="K609" s="28"/>
      <c r="L609" s="28"/>
      <c r="M609" s="28"/>
      <c r="N609" s="28"/>
      <c r="O609" s="28"/>
      <c r="P609" s="28"/>
      <c r="Q609" s="28"/>
      <c r="R609" s="28"/>
      <c r="S609" s="28"/>
      <c r="T609" s="28"/>
      <c r="U609" s="28"/>
      <c r="V609" s="28"/>
    </row>
    <row r="610" ht="13.5" customHeight="1">
      <c r="A610" s="28"/>
      <c r="B610" s="28"/>
      <c r="C610" s="28"/>
      <c r="D610" s="28"/>
      <c r="E610" s="28"/>
      <c r="F610" s="28"/>
      <c r="G610" s="28"/>
      <c r="H610" s="28"/>
      <c r="I610" s="28"/>
      <c r="J610" s="28"/>
      <c r="K610" s="28"/>
      <c r="L610" s="28"/>
      <c r="M610" s="28"/>
      <c r="N610" s="28"/>
      <c r="O610" s="28"/>
      <c r="P610" s="28"/>
      <c r="Q610" s="28"/>
      <c r="R610" s="28"/>
      <c r="S610" s="28"/>
      <c r="T610" s="28"/>
      <c r="U610" s="28"/>
      <c r="V610" s="28"/>
    </row>
    <row r="611" ht="13.5" customHeight="1">
      <c r="A611" s="28"/>
      <c r="B611" s="28"/>
      <c r="C611" s="28"/>
      <c r="D611" s="28"/>
      <c r="E611" s="28"/>
      <c r="F611" s="28"/>
      <c r="G611" s="28"/>
      <c r="H611" s="28"/>
      <c r="I611" s="28"/>
      <c r="J611" s="28"/>
      <c r="K611" s="28"/>
      <c r="L611" s="28"/>
      <c r="M611" s="28"/>
      <c r="N611" s="28"/>
      <c r="O611" s="28"/>
      <c r="P611" s="28"/>
      <c r="Q611" s="28"/>
      <c r="R611" s="28"/>
      <c r="S611" s="28"/>
      <c r="T611" s="28"/>
      <c r="U611" s="28"/>
      <c r="V611" s="28"/>
    </row>
    <row r="612" ht="13.5" customHeight="1">
      <c r="A612" s="28"/>
      <c r="B612" s="28"/>
      <c r="C612" s="28"/>
      <c r="D612" s="28"/>
      <c r="E612" s="28"/>
      <c r="F612" s="28"/>
      <c r="G612" s="28"/>
      <c r="H612" s="28"/>
      <c r="I612" s="28"/>
      <c r="J612" s="28"/>
      <c r="K612" s="28"/>
      <c r="L612" s="28"/>
      <c r="M612" s="28"/>
      <c r="N612" s="28"/>
      <c r="O612" s="28"/>
      <c r="P612" s="28"/>
      <c r="Q612" s="28"/>
      <c r="R612" s="28"/>
      <c r="S612" s="28"/>
      <c r="T612" s="28"/>
      <c r="U612" s="28"/>
      <c r="V612" s="28"/>
    </row>
    <row r="613" ht="13.5" customHeight="1">
      <c r="A613" s="28"/>
      <c r="B613" s="28"/>
      <c r="C613" s="28"/>
      <c r="D613" s="28"/>
      <c r="E613" s="28"/>
      <c r="F613" s="28"/>
      <c r="G613" s="28"/>
      <c r="H613" s="28"/>
      <c r="I613" s="28"/>
      <c r="J613" s="28"/>
      <c r="K613" s="28"/>
      <c r="L613" s="28"/>
      <c r="M613" s="28"/>
      <c r="N613" s="28"/>
      <c r="O613" s="28"/>
      <c r="P613" s="28"/>
      <c r="Q613" s="28"/>
      <c r="R613" s="28"/>
      <c r="S613" s="28"/>
      <c r="T613" s="28"/>
      <c r="U613" s="28"/>
      <c r="V613" s="28"/>
    </row>
    <row r="614" ht="13.5" customHeight="1">
      <c r="A614" s="28"/>
      <c r="B614" s="28"/>
      <c r="C614" s="28"/>
      <c r="D614" s="28"/>
      <c r="E614" s="28"/>
      <c r="F614" s="28"/>
      <c r="G614" s="28"/>
      <c r="H614" s="28"/>
      <c r="I614" s="28"/>
      <c r="J614" s="28"/>
      <c r="K614" s="28"/>
      <c r="L614" s="28"/>
      <c r="M614" s="28"/>
      <c r="N614" s="28"/>
      <c r="O614" s="28"/>
      <c r="P614" s="28"/>
      <c r="Q614" s="28"/>
      <c r="R614" s="28"/>
      <c r="S614" s="28"/>
      <c r="T614" s="28"/>
      <c r="U614" s="28"/>
      <c r="V614" s="28"/>
    </row>
    <row r="615" ht="13.5" customHeight="1">
      <c r="A615" s="28"/>
      <c r="B615" s="28"/>
      <c r="C615" s="28"/>
      <c r="D615" s="28"/>
      <c r="E615" s="28"/>
      <c r="F615" s="28"/>
      <c r="G615" s="28"/>
      <c r="H615" s="28"/>
      <c r="I615" s="28"/>
      <c r="J615" s="28"/>
      <c r="K615" s="28"/>
      <c r="L615" s="28"/>
      <c r="M615" s="28"/>
      <c r="N615" s="28"/>
      <c r="O615" s="28"/>
      <c r="P615" s="28"/>
      <c r="Q615" s="28"/>
      <c r="R615" s="28"/>
      <c r="S615" s="28"/>
      <c r="T615" s="28"/>
      <c r="U615" s="28"/>
      <c r="V615" s="28"/>
    </row>
    <row r="616" ht="13.5" customHeight="1">
      <c r="A616" s="28"/>
      <c r="B616" s="28"/>
      <c r="C616" s="28"/>
      <c r="D616" s="28"/>
      <c r="E616" s="28"/>
      <c r="F616" s="28"/>
      <c r="G616" s="28"/>
      <c r="H616" s="28"/>
      <c r="I616" s="28"/>
      <c r="J616" s="28"/>
      <c r="K616" s="28"/>
      <c r="L616" s="28"/>
      <c r="M616" s="28"/>
      <c r="N616" s="28"/>
      <c r="O616" s="28"/>
      <c r="P616" s="28"/>
      <c r="Q616" s="28"/>
      <c r="R616" s="28"/>
      <c r="S616" s="28"/>
      <c r="T616" s="28"/>
      <c r="U616" s="28"/>
      <c r="V616" s="28"/>
    </row>
    <row r="617" ht="13.5" customHeight="1">
      <c r="A617" s="28"/>
      <c r="B617" s="28"/>
      <c r="C617" s="28"/>
      <c r="D617" s="28"/>
      <c r="E617" s="28"/>
      <c r="F617" s="28"/>
      <c r="G617" s="28"/>
      <c r="H617" s="28"/>
      <c r="I617" s="28"/>
      <c r="J617" s="28"/>
      <c r="K617" s="28"/>
      <c r="L617" s="28"/>
      <c r="M617" s="28"/>
      <c r="N617" s="28"/>
      <c r="O617" s="28"/>
      <c r="P617" s="28"/>
      <c r="Q617" s="28"/>
      <c r="R617" s="28"/>
      <c r="S617" s="28"/>
      <c r="T617" s="28"/>
      <c r="U617" s="28"/>
      <c r="V617" s="28"/>
    </row>
    <row r="618" ht="13.5" customHeight="1">
      <c r="A618" s="28"/>
      <c r="B618" s="28"/>
      <c r="C618" s="28"/>
      <c r="D618" s="28"/>
      <c r="E618" s="28"/>
      <c r="F618" s="28"/>
      <c r="G618" s="28"/>
      <c r="H618" s="28"/>
      <c r="I618" s="28"/>
      <c r="J618" s="28"/>
      <c r="K618" s="28"/>
      <c r="L618" s="28"/>
      <c r="M618" s="28"/>
      <c r="N618" s="28"/>
      <c r="O618" s="28"/>
      <c r="P618" s="28"/>
      <c r="Q618" s="28"/>
      <c r="R618" s="28"/>
      <c r="S618" s="28"/>
      <c r="T618" s="28"/>
      <c r="U618" s="28"/>
      <c r="V618" s="28"/>
    </row>
    <row r="619" ht="13.5" customHeight="1">
      <c r="A619" s="28"/>
      <c r="B619" s="28"/>
      <c r="C619" s="28"/>
      <c r="D619" s="28"/>
      <c r="E619" s="28"/>
      <c r="F619" s="28"/>
      <c r="G619" s="28"/>
      <c r="H619" s="28"/>
      <c r="I619" s="28"/>
      <c r="J619" s="28"/>
      <c r="K619" s="28"/>
      <c r="L619" s="28"/>
      <c r="M619" s="28"/>
      <c r="N619" s="28"/>
      <c r="O619" s="28"/>
      <c r="P619" s="28"/>
      <c r="Q619" s="28"/>
      <c r="R619" s="28"/>
      <c r="S619" s="28"/>
      <c r="T619" s="28"/>
      <c r="U619" s="28"/>
      <c r="V619" s="28"/>
    </row>
    <row r="620" ht="13.5" customHeight="1">
      <c r="A620" s="28"/>
      <c r="B620" s="28"/>
      <c r="C620" s="28"/>
      <c r="D620" s="28"/>
      <c r="E620" s="28"/>
      <c r="F620" s="28"/>
      <c r="G620" s="28"/>
      <c r="H620" s="28"/>
      <c r="I620" s="28"/>
      <c r="J620" s="28"/>
      <c r="K620" s="28"/>
      <c r="L620" s="28"/>
      <c r="M620" s="28"/>
      <c r="N620" s="28"/>
      <c r="O620" s="28"/>
      <c r="P620" s="28"/>
      <c r="Q620" s="28"/>
      <c r="R620" s="28"/>
      <c r="S620" s="28"/>
      <c r="T620" s="28"/>
      <c r="U620" s="28"/>
      <c r="V620" s="28"/>
    </row>
    <row r="621" ht="13.5" customHeight="1">
      <c r="A621" s="28"/>
      <c r="B621" s="28"/>
      <c r="C621" s="28"/>
      <c r="D621" s="28"/>
      <c r="E621" s="28"/>
      <c r="F621" s="28"/>
      <c r="G621" s="28"/>
      <c r="H621" s="28"/>
      <c r="I621" s="28"/>
      <c r="J621" s="28"/>
      <c r="K621" s="28"/>
      <c r="L621" s="28"/>
      <c r="M621" s="28"/>
      <c r="N621" s="28"/>
      <c r="O621" s="28"/>
      <c r="P621" s="28"/>
      <c r="Q621" s="28"/>
      <c r="R621" s="28"/>
      <c r="S621" s="28"/>
      <c r="T621" s="28"/>
      <c r="U621" s="28"/>
      <c r="V621" s="28"/>
    </row>
    <row r="622" ht="13.5" customHeight="1">
      <c r="A622" s="28"/>
      <c r="B622" s="28"/>
      <c r="C622" s="28"/>
      <c r="D622" s="28"/>
      <c r="E622" s="28"/>
      <c r="F622" s="28"/>
      <c r="G622" s="28"/>
      <c r="H622" s="28"/>
      <c r="I622" s="28"/>
      <c r="J622" s="28"/>
      <c r="K622" s="28"/>
      <c r="L622" s="28"/>
      <c r="M622" s="28"/>
      <c r="N622" s="28"/>
      <c r="O622" s="28"/>
      <c r="P622" s="28"/>
      <c r="Q622" s="28"/>
      <c r="R622" s="28"/>
      <c r="S622" s="28"/>
      <c r="T622" s="28"/>
      <c r="U622" s="28"/>
      <c r="V622" s="28"/>
    </row>
    <row r="623" ht="13.5" customHeight="1">
      <c r="A623" s="28"/>
      <c r="B623" s="28"/>
      <c r="C623" s="28"/>
      <c r="D623" s="28"/>
      <c r="E623" s="28"/>
      <c r="F623" s="28"/>
      <c r="G623" s="28"/>
      <c r="H623" s="28"/>
      <c r="I623" s="28"/>
      <c r="J623" s="28"/>
      <c r="K623" s="28"/>
      <c r="L623" s="28"/>
      <c r="M623" s="28"/>
      <c r="N623" s="28"/>
      <c r="O623" s="28"/>
      <c r="P623" s="28"/>
      <c r="Q623" s="28"/>
      <c r="R623" s="28"/>
      <c r="S623" s="28"/>
      <c r="T623" s="28"/>
      <c r="U623" s="28"/>
      <c r="V623" s="28"/>
    </row>
    <row r="624" ht="13.5" customHeight="1">
      <c r="A624" s="28"/>
      <c r="B624" s="28"/>
      <c r="C624" s="28"/>
      <c r="D624" s="28"/>
      <c r="E624" s="28"/>
      <c r="F624" s="28"/>
      <c r="G624" s="28"/>
      <c r="H624" s="28"/>
      <c r="I624" s="28"/>
      <c r="J624" s="28"/>
      <c r="K624" s="28"/>
      <c r="L624" s="28"/>
      <c r="M624" s="28"/>
      <c r="N624" s="28"/>
      <c r="O624" s="28"/>
      <c r="P624" s="28"/>
      <c r="Q624" s="28"/>
      <c r="R624" s="28"/>
      <c r="S624" s="28"/>
      <c r="T624" s="28"/>
      <c r="U624" s="28"/>
      <c r="V624" s="28"/>
    </row>
    <row r="625" ht="13.5" customHeight="1">
      <c r="A625" s="28"/>
      <c r="B625" s="28"/>
      <c r="C625" s="28"/>
      <c r="D625" s="28"/>
      <c r="E625" s="28"/>
      <c r="F625" s="28"/>
      <c r="G625" s="28"/>
      <c r="H625" s="28"/>
      <c r="I625" s="28"/>
      <c r="J625" s="28"/>
      <c r="K625" s="28"/>
      <c r="L625" s="28"/>
      <c r="M625" s="28"/>
      <c r="N625" s="28"/>
      <c r="O625" s="28"/>
      <c r="P625" s="28"/>
      <c r="Q625" s="28"/>
      <c r="R625" s="28"/>
      <c r="S625" s="28"/>
      <c r="T625" s="28"/>
      <c r="U625" s="28"/>
      <c r="V625" s="28"/>
    </row>
    <row r="626" ht="13.5" customHeight="1">
      <c r="A626" s="28"/>
      <c r="B626" s="28"/>
      <c r="C626" s="28"/>
      <c r="D626" s="28"/>
      <c r="E626" s="28"/>
      <c r="F626" s="28"/>
      <c r="G626" s="28"/>
      <c r="H626" s="28"/>
      <c r="I626" s="28"/>
      <c r="J626" s="28"/>
      <c r="K626" s="28"/>
      <c r="L626" s="28"/>
      <c r="M626" s="28"/>
      <c r="N626" s="28"/>
      <c r="O626" s="28"/>
      <c r="P626" s="28"/>
      <c r="Q626" s="28"/>
      <c r="R626" s="28"/>
      <c r="S626" s="28"/>
      <c r="T626" s="28"/>
      <c r="U626" s="28"/>
      <c r="V626" s="28"/>
    </row>
    <row r="627" ht="13.5" customHeight="1">
      <c r="A627" s="28"/>
      <c r="B627" s="28"/>
      <c r="C627" s="28"/>
      <c r="D627" s="28"/>
      <c r="E627" s="28"/>
      <c r="F627" s="28"/>
      <c r="G627" s="28"/>
      <c r="H627" s="28"/>
      <c r="I627" s="28"/>
      <c r="J627" s="28"/>
      <c r="K627" s="28"/>
      <c r="L627" s="28"/>
      <c r="M627" s="28"/>
      <c r="N627" s="28"/>
      <c r="O627" s="28"/>
      <c r="P627" s="28"/>
      <c r="Q627" s="28"/>
      <c r="R627" s="28"/>
      <c r="S627" s="28"/>
      <c r="T627" s="28"/>
      <c r="U627" s="28"/>
      <c r="V627" s="28"/>
    </row>
    <row r="628" ht="13.5" customHeight="1">
      <c r="A628" s="28"/>
      <c r="B628" s="28"/>
      <c r="C628" s="28"/>
      <c r="D628" s="28"/>
      <c r="E628" s="28"/>
      <c r="F628" s="28"/>
      <c r="G628" s="28"/>
      <c r="H628" s="28"/>
      <c r="I628" s="28"/>
      <c r="J628" s="28"/>
      <c r="K628" s="28"/>
      <c r="L628" s="28"/>
      <c r="M628" s="28"/>
      <c r="N628" s="28"/>
      <c r="O628" s="28"/>
      <c r="P628" s="28"/>
      <c r="Q628" s="28"/>
      <c r="R628" s="28"/>
      <c r="S628" s="28"/>
      <c r="T628" s="28"/>
      <c r="U628" s="28"/>
      <c r="V628" s="28"/>
    </row>
    <row r="629" ht="13.5" customHeight="1">
      <c r="A629" s="28"/>
      <c r="B629" s="28"/>
      <c r="C629" s="28"/>
      <c r="D629" s="28"/>
      <c r="E629" s="28"/>
      <c r="F629" s="28"/>
      <c r="G629" s="28"/>
      <c r="H629" s="28"/>
      <c r="I629" s="28"/>
      <c r="J629" s="28"/>
      <c r="K629" s="28"/>
      <c r="L629" s="28"/>
      <c r="M629" s="28"/>
      <c r="N629" s="28"/>
      <c r="O629" s="28"/>
      <c r="P629" s="28"/>
      <c r="Q629" s="28"/>
      <c r="R629" s="28"/>
      <c r="S629" s="28"/>
      <c r="T629" s="28"/>
      <c r="U629" s="28"/>
      <c r="V629" s="28"/>
    </row>
    <row r="630" ht="13.5" customHeight="1">
      <c r="A630" s="28"/>
      <c r="B630" s="28"/>
      <c r="C630" s="28"/>
      <c r="D630" s="28"/>
      <c r="E630" s="28"/>
      <c r="F630" s="28"/>
      <c r="G630" s="28"/>
      <c r="H630" s="28"/>
      <c r="I630" s="28"/>
      <c r="J630" s="28"/>
      <c r="K630" s="28"/>
      <c r="L630" s="28"/>
      <c r="M630" s="28"/>
      <c r="N630" s="28"/>
      <c r="O630" s="28"/>
      <c r="P630" s="28"/>
      <c r="Q630" s="28"/>
      <c r="R630" s="28"/>
      <c r="S630" s="28"/>
      <c r="T630" s="28"/>
      <c r="U630" s="28"/>
      <c r="V630" s="28"/>
    </row>
    <row r="631" ht="13.5" customHeight="1">
      <c r="A631" s="28"/>
      <c r="B631" s="28"/>
      <c r="C631" s="28"/>
      <c r="D631" s="28"/>
      <c r="E631" s="28"/>
      <c r="F631" s="28"/>
      <c r="G631" s="28"/>
      <c r="H631" s="28"/>
      <c r="I631" s="28"/>
      <c r="J631" s="28"/>
      <c r="K631" s="28"/>
      <c r="L631" s="28"/>
      <c r="M631" s="28"/>
      <c r="N631" s="28"/>
      <c r="O631" s="28"/>
      <c r="P631" s="28"/>
      <c r="Q631" s="28"/>
      <c r="R631" s="28"/>
      <c r="S631" s="28"/>
      <c r="T631" s="28"/>
      <c r="U631" s="28"/>
      <c r="V631" s="28"/>
    </row>
    <row r="632" ht="13.5" customHeight="1">
      <c r="A632" s="28"/>
      <c r="B632" s="28"/>
      <c r="C632" s="28"/>
      <c r="D632" s="28"/>
      <c r="E632" s="28"/>
      <c r="F632" s="28"/>
      <c r="G632" s="28"/>
      <c r="H632" s="28"/>
      <c r="I632" s="28"/>
      <c r="J632" s="28"/>
      <c r="K632" s="28"/>
      <c r="L632" s="28"/>
      <c r="M632" s="28"/>
      <c r="N632" s="28"/>
      <c r="O632" s="28"/>
      <c r="P632" s="28"/>
      <c r="Q632" s="28"/>
      <c r="R632" s="28"/>
      <c r="S632" s="28"/>
      <c r="T632" s="28"/>
      <c r="U632" s="28"/>
      <c r="V632" s="28"/>
    </row>
    <row r="633" ht="13.5" customHeight="1">
      <c r="A633" s="28"/>
      <c r="B633" s="28"/>
      <c r="C633" s="28"/>
      <c r="D633" s="28"/>
      <c r="E633" s="28"/>
      <c r="F633" s="28"/>
      <c r="G633" s="28"/>
      <c r="H633" s="28"/>
      <c r="I633" s="28"/>
      <c r="J633" s="28"/>
      <c r="K633" s="28"/>
      <c r="L633" s="28"/>
      <c r="M633" s="28"/>
      <c r="N633" s="28"/>
      <c r="O633" s="28"/>
      <c r="P633" s="28"/>
      <c r="Q633" s="28"/>
      <c r="R633" s="28"/>
      <c r="S633" s="28"/>
      <c r="T633" s="28"/>
      <c r="U633" s="28"/>
      <c r="V633" s="28"/>
    </row>
    <row r="634" ht="13.5" customHeight="1">
      <c r="A634" s="28"/>
      <c r="B634" s="28"/>
      <c r="C634" s="28"/>
      <c r="D634" s="28"/>
      <c r="E634" s="28"/>
      <c r="F634" s="28"/>
      <c r="G634" s="28"/>
      <c r="H634" s="28"/>
      <c r="I634" s="28"/>
      <c r="J634" s="28"/>
      <c r="K634" s="28"/>
      <c r="L634" s="28"/>
      <c r="M634" s="28"/>
      <c r="N634" s="28"/>
      <c r="O634" s="28"/>
      <c r="P634" s="28"/>
      <c r="Q634" s="28"/>
      <c r="R634" s="28"/>
      <c r="S634" s="28"/>
      <c r="T634" s="28"/>
      <c r="U634" s="28"/>
      <c r="V634" s="28"/>
    </row>
    <row r="635" ht="13.5" customHeight="1">
      <c r="A635" s="28"/>
      <c r="B635" s="28"/>
      <c r="C635" s="28"/>
      <c r="D635" s="28"/>
      <c r="E635" s="28"/>
      <c r="F635" s="28"/>
      <c r="G635" s="28"/>
      <c r="H635" s="28"/>
      <c r="I635" s="28"/>
      <c r="J635" s="28"/>
      <c r="K635" s="28"/>
      <c r="L635" s="28"/>
      <c r="M635" s="28"/>
      <c r="N635" s="28"/>
      <c r="O635" s="28"/>
      <c r="P635" s="28"/>
      <c r="Q635" s="28"/>
      <c r="R635" s="28"/>
      <c r="S635" s="28"/>
      <c r="T635" s="28"/>
      <c r="U635" s="28"/>
      <c r="V635" s="28"/>
    </row>
    <row r="636" ht="13.5" customHeight="1">
      <c r="A636" s="28"/>
      <c r="B636" s="28"/>
      <c r="C636" s="28"/>
      <c r="D636" s="28"/>
      <c r="E636" s="28"/>
      <c r="F636" s="28"/>
      <c r="G636" s="28"/>
      <c r="H636" s="28"/>
      <c r="I636" s="28"/>
      <c r="J636" s="28"/>
      <c r="K636" s="28"/>
      <c r="L636" s="28"/>
      <c r="M636" s="28"/>
      <c r="N636" s="28"/>
      <c r="O636" s="28"/>
      <c r="P636" s="28"/>
      <c r="Q636" s="28"/>
      <c r="R636" s="28"/>
      <c r="S636" s="28"/>
      <c r="T636" s="28"/>
      <c r="U636" s="28"/>
      <c r="V636" s="28"/>
    </row>
    <row r="637" ht="13.5" customHeight="1">
      <c r="A637" s="28"/>
      <c r="B637" s="28"/>
      <c r="C637" s="28"/>
      <c r="D637" s="28"/>
      <c r="E637" s="28"/>
      <c r="F637" s="28"/>
      <c r="G637" s="28"/>
      <c r="H637" s="28"/>
      <c r="I637" s="28"/>
      <c r="J637" s="28"/>
      <c r="K637" s="28"/>
      <c r="L637" s="28"/>
      <c r="M637" s="28"/>
      <c r="N637" s="28"/>
      <c r="O637" s="28"/>
      <c r="P637" s="28"/>
      <c r="Q637" s="28"/>
      <c r="R637" s="28"/>
      <c r="S637" s="28"/>
      <c r="T637" s="28"/>
      <c r="U637" s="28"/>
      <c r="V637" s="28"/>
    </row>
    <row r="638" ht="13.5" customHeight="1">
      <c r="A638" s="28"/>
      <c r="B638" s="28"/>
      <c r="C638" s="28"/>
      <c r="D638" s="28"/>
      <c r="E638" s="28"/>
      <c r="F638" s="28"/>
      <c r="G638" s="28"/>
      <c r="H638" s="28"/>
      <c r="I638" s="28"/>
      <c r="J638" s="28"/>
      <c r="K638" s="28"/>
      <c r="L638" s="28"/>
      <c r="M638" s="28"/>
      <c r="N638" s="28"/>
      <c r="O638" s="28"/>
      <c r="P638" s="28"/>
      <c r="Q638" s="28"/>
      <c r="R638" s="28"/>
      <c r="S638" s="28"/>
      <c r="T638" s="28"/>
      <c r="U638" s="28"/>
      <c r="V638" s="28"/>
    </row>
    <row r="639" ht="13.5" customHeight="1">
      <c r="A639" s="28"/>
      <c r="B639" s="28"/>
      <c r="C639" s="28"/>
      <c r="D639" s="28"/>
      <c r="E639" s="28"/>
      <c r="F639" s="28"/>
      <c r="G639" s="28"/>
      <c r="H639" s="28"/>
      <c r="I639" s="28"/>
      <c r="J639" s="28"/>
      <c r="K639" s="28"/>
      <c r="L639" s="28"/>
      <c r="M639" s="28"/>
      <c r="N639" s="28"/>
      <c r="O639" s="28"/>
      <c r="P639" s="28"/>
      <c r="Q639" s="28"/>
      <c r="R639" s="28"/>
      <c r="S639" s="28"/>
      <c r="T639" s="28"/>
      <c r="U639" s="28"/>
      <c r="V639" s="28"/>
    </row>
    <row r="640" ht="13.5" customHeight="1">
      <c r="A640" s="28"/>
      <c r="B640" s="28"/>
      <c r="C640" s="28"/>
      <c r="D640" s="28"/>
      <c r="E640" s="28"/>
      <c r="F640" s="28"/>
      <c r="G640" s="28"/>
      <c r="H640" s="28"/>
      <c r="I640" s="28"/>
      <c r="J640" s="28"/>
      <c r="K640" s="28"/>
      <c r="L640" s="28"/>
      <c r="M640" s="28"/>
      <c r="N640" s="28"/>
      <c r="O640" s="28"/>
      <c r="P640" s="28"/>
      <c r="Q640" s="28"/>
      <c r="R640" s="28"/>
      <c r="S640" s="28"/>
      <c r="T640" s="28"/>
      <c r="U640" s="28"/>
      <c r="V640" s="28"/>
    </row>
    <row r="641" ht="13.5" customHeight="1">
      <c r="A641" s="28"/>
      <c r="B641" s="28"/>
      <c r="C641" s="28"/>
      <c r="D641" s="28"/>
      <c r="E641" s="28"/>
      <c r="F641" s="28"/>
      <c r="G641" s="28"/>
      <c r="H641" s="28"/>
      <c r="I641" s="28"/>
      <c r="J641" s="28"/>
      <c r="K641" s="28"/>
      <c r="L641" s="28"/>
      <c r="M641" s="28"/>
      <c r="N641" s="28"/>
      <c r="O641" s="28"/>
      <c r="P641" s="28"/>
      <c r="Q641" s="28"/>
      <c r="R641" s="28"/>
      <c r="S641" s="28"/>
      <c r="T641" s="28"/>
      <c r="U641" s="28"/>
      <c r="V641" s="28"/>
    </row>
    <row r="642" ht="13.5" customHeight="1">
      <c r="A642" s="28"/>
      <c r="B642" s="28"/>
      <c r="C642" s="28"/>
      <c r="D642" s="28"/>
      <c r="E642" s="28"/>
      <c r="F642" s="28"/>
      <c r="G642" s="28"/>
      <c r="H642" s="28"/>
      <c r="I642" s="28"/>
      <c r="J642" s="28"/>
      <c r="K642" s="28"/>
      <c r="L642" s="28"/>
      <c r="M642" s="28"/>
      <c r="N642" s="28"/>
      <c r="O642" s="28"/>
      <c r="P642" s="28"/>
      <c r="Q642" s="28"/>
      <c r="R642" s="28"/>
      <c r="S642" s="28"/>
      <c r="T642" s="28"/>
      <c r="U642" s="28"/>
      <c r="V642" s="28"/>
    </row>
    <row r="643" ht="13.5" customHeight="1">
      <c r="A643" s="28"/>
      <c r="B643" s="28"/>
      <c r="C643" s="28"/>
      <c r="D643" s="28"/>
      <c r="E643" s="28"/>
      <c r="F643" s="28"/>
      <c r="G643" s="28"/>
      <c r="H643" s="28"/>
      <c r="I643" s="28"/>
      <c r="J643" s="28"/>
      <c r="K643" s="28"/>
      <c r="L643" s="28"/>
      <c r="M643" s="28"/>
      <c r="N643" s="28"/>
      <c r="O643" s="28"/>
      <c r="P643" s="28"/>
      <c r="Q643" s="28"/>
      <c r="R643" s="28"/>
      <c r="S643" s="28"/>
      <c r="T643" s="28"/>
      <c r="U643" s="28"/>
      <c r="V643" s="28"/>
    </row>
    <row r="644" ht="13.5" customHeight="1">
      <c r="A644" s="28"/>
      <c r="B644" s="28"/>
      <c r="C644" s="28"/>
      <c r="D644" s="28"/>
      <c r="E644" s="28"/>
      <c r="F644" s="28"/>
      <c r="G644" s="28"/>
      <c r="H644" s="28"/>
      <c r="I644" s="28"/>
      <c r="J644" s="28"/>
      <c r="K644" s="28"/>
      <c r="L644" s="28"/>
      <c r="M644" s="28"/>
      <c r="N644" s="28"/>
      <c r="O644" s="28"/>
      <c r="P644" s="28"/>
      <c r="Q644" s="28"/>
      <c r="R644" s="28"/>
      <c r="S644" s="28"/>
      <c r="T644" s="28"/>
      <c r="U644" s="28"/>
      <c r="V644" s="28"/>
    </row>
    <row r="645" ht="13.5" customHeight="1">
      <c r="A645" s="28"/>
      <c r="B645" s="28"/>
      <c r="C645" s="28"/>
      <c r="D645" s="28"/>
      <c r="E645" s="28"/>
      <c r="F645" s="28"/>
      <c r="G645" s="28"/>
      <c r="H645" s="28"/>
      <c r="I645" s="28"/>
      <c r="J645" s="28"/>
      <c r="K645" s="28"/>
      <c r="L645" s="28"/>
      <c r="M645" s="28"/>
      <c r="N645" s="28"/>
      <c r="O645" s="28"/>
      <c r="P645" s="28"/>
      <c r="Q645" s="28"/>
      <c r="R645" s="28"/>
      <c r="S645" s="28"/>
      <c r="T645" s="28"/>
      <c r="U645" s="28"/>
      <c r="V645" s="28"/>
    </row>
    <row r="646" ht="13.5" customHeight="1">
      <c r="A646" s="28"/>
      <c r="B646" s="28"/>
      <c r="C646" s="28"/>
      <c r="D646" s="28"/>
      <c r="E646" s="28"/>
      <c r="F646" s="28"/>
      <c r="G646" s="28"/>
      <c r="H646" s="28"/>
      <c r="I646" s="28"/>
      <c r="J646" s="28"/>
      <c r="K646" s="28"/>
      <c r="L646" s="28"/>
      <c r="M646" s="28"/>
      <c r="N646" s="28"/>
      <c r="O646" s="28"/>
      <c r="P646" s="28"/>
      <c r="Q646" s="28"/>
      <c r="R646" s="28"/>
      <c r="S646" s="28"/>
      <c r="T646" s="28"/>
      <c r="U646" s="28"/>
      <c r="V646" s="28"/>
    </row>
    <row r="647" ht="13.5" customHeight="1">
      <c r="A647" s="28"/>
      <c r="B647" s="28"/>
      <c r="C647" s="28"/>
      <c r="D647" s="28"/>
      <c r="E647" s="28"/>
      <c r="F647" s="28"/>
      <c r="G647" s="28"/>
      <c r="H647" s="28"/>
      <c r="I647" s="28"/>
      <c r="J647" s="28"/>
      <c r="K647" s="28"/>
      <c r="L647" s="28"/>
      <c r="M647" s="28"/>
      <c r="N647" s="28"/>
      <c r="O647" s="28"/>
      <c r="P647" s="28"/>
      <c r="Q647" s="28"/>
      <c r="R647" s="28"/>
      <c r="S647" s="28"/>
      <c r="T647" s="28"/>
      <c r="U647" s="28"/>
      <c r="V647" s="28"/>
    </row>
    <row r="648" ht="13.5" customHeight="1">
      <c r="A648" s="28"/>
      <c r="B648" s="28"/>
      <c r="C648" s="28"/>
      <c r="D648" s="28"/>
      <c r="E648" s="28"/>
      <c r="F648" s="28"/>
      <c r="G648" s="28"/>
      <c r="H648" s="28"/>
      <c r="I648" s="28"/>
      <c r="J648" s="28"/>
      <c r="K648" s="28"/>
      <c r="L648" s="28"/>
      <c r="M648" s="28"/>
      <c r="N648" s="28"/>
      <c r="O648" s="28"/>
      <c r="P648" s="28"/>
      <c r="Q648" s="28"/>
      <c r="R648" s="28"/>
      <c r="S648" s="28"/>
      <c r="T648" s="28"/>
      <c r="U648" s="28"/>
      <c r="V648" s="28"/>
    </row>
    <row r="649" ht="13.5" customHeight="1">
      <c r="A649" s="28"/>
      <c r="B649" s="28"/>
      <c r="C649" s="28"/>
      <c r="D649" s="28"/>
      <c r="E649" s="28"/>
      <c r="F649" s="28"/>
      <c r="G649" s="28"/>
      <c r="H649" s="28"/>
      <c r="I649" s="28"/>
      <c r="J649" s="28"/>
      <c r="K649" s="28"/>
      <c r="L649" s="28"/>
      <c r="M649" s="28"/>
      <c r="N649" s="28"/>
      <c r="O649" s="28"/>
      <c r="P649" s="28"/>
      <c r="Q649" s="28"/>
      <c r="R649" s="28"/>
      <c r="S649" s="28"/>
      <c r="T649" s="28"/>
      <c r="U649" s="28"/>
      <c r="V649" s="28"/>
    </row>
    <row r="650" ht="13.5" customHeight="1">
      <c r="A650" s="28"/>
      <c r="B650" s="28"/>
      <c r="C650" s="28"/>
      <c r="D650" s="28"/>
      <c r="E650" s="28"/>
      <c r="F650" s="28"/>
      <c r="G650" s="28"/>
      <c r="H650" s="28"/>
      <c r="I650" s="28"/>
      <c r="J650" s="28"/>
      <c r="K650" s="28"/>
      <c r="L650" s="28"/>
      <c r="M650" s="28"/>
      <c r="N650" s="28"/>
      <c r="O650" s="28"/>
      <c r="P650" s="28"/>
      <c r="Q650" s="28"/>
      <c r="R650" s="28"/>
      <c r="S650" s="28"/>
      <c r="T650" s="28"/>
      <c r="U650" s="28"/>
      <c r="V650" s="28"/>
    </row>
    <row r="651" ht="13.5" customHeight="1">
      <c r="A651" s="28"/>
      <c r="B651" s="28"/>
      <c r="C651" s="28"/>
      <c r="D651" s="28"/>
      <c r="E651" s="28"/>
      <c r="F651" s="28"/>
      <c r="G651" s="28"/>
      <c r="H651" s="28"/>
      <c r="I651" s="28"/>
      <c r="J651" s="28"/>
      <c r="K651" s="28"/>
      <c r="L651" s="28"/>
      <c r="M651" s="28"/>
      <c r="N651" s="28"/>
      <c r="O651" s="28"/>
      <c r="P651" s="28"/>
      <c r="Q651" s="28"/>
      <c r="R651" s="28"/>
      <c r="S651" s="28"/>
      <c r="T651" s="28"/>
      <c r="U651" s="28"/>
      <c r="V651" s="28"/>
    </row>
    <row r="652" ht="13.5" customHeight="1">
      <c r="A652" s="28"/>
      <c r="B652" s="28"/>
      <c r="C652" s="28"/>
      <c r="D652" s="28"/>
      <c r="E652" s="28"/>
      <c r="F652" s="28"/>
      <c r="G652" s="28"/>
      <c r="H652" s="28"/>
      <c r="I652" s="28"/>
      <c r="J652" s="28"/>
      <c r="K652" s="28"/>
      <c r="L652" s="28"/>
      <c r="M652" s="28"/>
      <c r="N652" s="28"/>
      <c r="O652" s="28"/>
      <c r="P652" s="28"/>
      <c r="Q652" s="28"/>
      <c r="R652" s="28"/>
      <c r="S652" s="28"/>
      <c r="T652" s="28"/>
      <c r="U652" s="28"/>
      <c r="V652" s="28"/>
    </row>
    <row r="653" ht="13.5" customHeight="1">
      <c r="A653" s="28"/>
      <c r="B653" s="28"/>
      <c r="C653" s="28"/>
      <c r="D653" s="28"/>
      <c r="E653" s="28"/>
      <c r="F653" s="28"/>
      <c r="G653" s="28"/>
      <c r="H653" s="28"/>
      <c r="I653" s="28"/>
      <c r="J653" s="28"/>
      <c r="K653" s="28"/>
      <c r="L653" s="28"/>
      <c r="M653" s="28"/>
      <c r="N653" s="28"/>
      <c r="O653" s="28"/>
      <c r="P653" s="28"/>
      <c r="Q653" s="28"/>
      <c r="R653" s="28"/>
      <c r="S653" s="28"/>
      <c r="T653" s="28"/>
      <c r="U653" s="28"/>
      <c r="V653" s="28"/>
    </row>
    <row r="654" ht="13.5" customHeight="1">
      <c r="A654" s="28"/>
      <c r="B654" s="28"/>
      <c r="C654" s="28"/>
      <c r="D654" s="28"/>
      <c r="E654" s="28"/>
      <c r="F654" s="28"/>
      <c r="G654" s="28"/>
      <c r="H654" s="28"/>
      <c r="I654" s="28"/>
      <c r="J654" s="28"/>
      <c r="K654" s="28"/>
      <c r="L654" s="28"/>
      <c r="M654" s="28"/>
      <c r="N654" s="28"/>
      <c r="O654" s="28"/>
      <c r="P654" s="28"/>
      <c r="Q654" s="28"/>
      <c r="R654" s="28"/>
      <c r="S654" s="28"/>
      <c r="T654" s="28"/>
      <c r="U654" s="28"/>
      <c r="V654" s="28"/>
    </row>
    <row r="655" ht="13.5" customHeight="1">
      <c r="A655" s="28"/>
      <c r="B655" s="28"/>
      <c r="C655" s="28"/>
      <c r="D655" s="28"/>
      <c r="E655" s="28"/>
      <c r="F655" s="28"/>
      <c r="G655" s="28"/>
      <c r="H655" s="28"/>
      <c r="I655" s="28"/>
      <c r="J655" s="28"/>
      <c r="K655" s="28"/>
      <c r="L655" s="28"/>
      <c r="M655" s="28"/>
      <c r="N655" s="28"/>
      <c r="O655" s="28"/>
      <c r="P655" s="28"/>
      <c r="Q655" s="28"/>
      <c r="R655" s="28"/>
      <c r="S655" s="28"/>
      <c r="T655" s="28"/>
      <c r="U655" s="28"/>
      <c r="V655" s="28"/>
    </row>
    <row r="656" ht="13.5" customHeight="1">
      <c r="A656" s="28"/>
      <c r="B656" s="28"/>
      <c r="C656" s="28"/>
      <c r="D656" s="28"/>
      <c r="E656" s="28"/>
      <c r="F656" s="28"/>
      <c r="G656" s="28"/>
      <c r="H656" s="28"/>
      <c r="I656" s="28"/>
      <c r="J656" s="28"/>
      <c r="K656" s="28"/>
      <c r="L656" s="28"/>
      <c r="M656" s="28"/>
      <c r="N656" s="28"/>
      <c r="O656" s="28"/>
      <c r="P656" s="28"/>
      <c r="Q656" s="28"/>
      <c r="R656" s="28"/>
      <c r="S656" s="28"/>
      <c r="T656" s="28"/>
      <c r="U656" s="28"/>
      <c r="V656" s="28"/>
    </row>
    <row r="657" ht="13.5" customHeight="1">
      <c r="A657" s="28"/>
      <c r="B657" s="28"/>
      <c r="C657" s="28"/>
      <c r="D657" s="28"/>
      <c r="E657" s="28"/>
      <c r="F657" s="28"/>
      <c r="G657" s="28"/>
      <c r="H657" s="28"/>
      <c r="I657" s="28"/>
      <c r="J657" s="28"/>
      <c r="K657" s="28"/>
      <c r="L657" s="28"/>
      <c r="M657" s="28"/>
      <c r="N657" s="28"/>
      <c r="O657" s="28"/>
      <c r="P657" s="28"/>
      <c r="Q657" s="28"/>
      <c r="R657" s="28"/>
      <c r="S657" s="28"/>
      <c r="T657" s="28"/>
      <c r="U657" s="28"/>
      <c r="V657" s="28"/>
    </row>
    <row r="658" ht="13.5" customHeight="1">
      <c r="A658" s="28"/>
      <c r="B658" s="28"/>
      <c r="C658" s="28"/>
      <c r="D658" s="28"/>
      <c r="E658" s="28"/>
      <c r="F658" s="28"/>
      <c r="G658" s="28"/>
      <c r="H658" s="28"/>
      <c r="I658" s="28"/>
      <c r="J658" s="28"/>
      <c r="K658" s="28"/>
      <c r="L658" s="28"/>
      <c r="M658" s="28"/>
      <c r="N658" s="28"/>
      <c r="O658" s="28"/>
      <c r="P658" s="28"/>
      <c r="Q658" s="28"/>
      <c r="R658" s="28"/>
      <c r="S658" s="28"/>
      <c r="T658" s="28"/>
      <c r="U658" s="28"/>
      <c r="V658" s="28"/>
    </row>
    <row r="659" ht="13.5" customHeight="1">
      <c r="A659" s="28"/>
      <c r="B659" s="28"/>
      <c r="C659" s="28"/>
      <c r="D659" s="28"/>
      <c r="E659" s="28"/>
      <c r="F659" s="28"/>
      <c r="G659" s="28"/>
      <c r="H659" s="28"/>
      <c r="I659" s="28"/>
      <c r="J659" s="28"/>
      <c r="K659" s="28"/>
      <c r="L659" s="28"/>
      <c r="M659" s="28"/>
      <c r="N659" s="28"/>
      <c r="O659" s="28"/>
      <c r="P659" s="28"/>
      <c r="Q659" s="28"/>
      <c r="R659" s="28"/>
      <c r="S659" s="28"/>
      <c r="T659" s="28"/>
      <c r="U659" s="28"/>
      <c r="V659" s="28"/>
    </row>
    <row r="660" ht="13.5" customHeight="1">
      <c r="A660" s="28"/>
      <c r="B660" s="28"/>
      <c r="C660" s="28"/>
      <c r="D660" s="28"/>
      <c r="E660" s="28"/>
      <c r="F660" s="28"/>
      <c r="G660" s="28"/>
      <c r="H660" s="28"/>
      <c r="I660" s="28"/>
      <c r="J660" s="28"/>
      <c r="K660" s="28"/>
      <c r="L660" s="28"/>
      <c r="M660" s="28"/>
      <c r="N660" s="28"/>
      <c r="O660" s="28"/>
      <c r="P660" s="28"/>
      <c r="Q660" s="28"/>
      <c r="R660" s="28"/>
      <c r="S660" s="28"/>
      <c r="T660" s="28"/>
      <c r="U660" s="28"/>
      <c r="V660" s="28"/>
    </row>
    <row r="661" ht="13.5" customHeight="1">
      <c r="A661" s="28"/>
      <c r="B661" s="28"/>
      <c r="C661" s="28"/>
      <c r="D661" s="28"/>
      <c r="E661" s="28"/>
      <c r="F661" s="28"/>
      <c r="G661" s="28"/>
      <c r="H661" s="28"/>
      <c r="I661" s="28"/>
      <c r="J661" s="28"/>
      <c r="K661" s="28"/>
      <c r="L661" s="28"/>
      <c r="M661" s="28"/>
      <c r="N661" s="28"/>
      <c r="O661" s="28"/>
      <c r="P661" s="28"/>
      <c r="Q661" s="28"/>
      <c r="R661" s="28"/>
      <c r="S661" s="28"/>
      <c r="T661" s="28"/>
      <c r="U661" s="28"/>
      <c r="V661" s="28"/>
    </row>
    <row r="662" ht="13.5" customHeight="1">
      <c r="A662" s="28"/>
      <c r="B662" s="28"/>
      <c r="C662" s="28"/>
      <c r="D662" s="28"/>
      <c r="E662" s="28"/>
      <c r="F662" s="28"/>
      <c r="G662" s="28"/>
      <c r="H662" s="28"/>
      <c r="I662" s="28"/>
      <c r="J662" s="28"/>
      <c r="K662" s="28"/>
      <c r="L662" s="28"/>
      <c r="M662" s="28"/>
      <c r="N662" s="28"/>
      <c r="O662" s="28"/>
      <c r="P662" s="28"/>
      <c r="Q662" s="28"/>
      <c r="R662" s="28"/>
      <c r="S662" s="28"/>
      <c r="T662" s="28"/>
      <c r="U662" s="28"/>
      <c r="V662" s="28"/>
    </row>
    <row r="663" ht="13.5" customHeight="1">
      <c r="A663" s="28"/>
      <c r="B663" s="28"/>
      <c r="C663" s="28"/>
      <c r="D663" s="28"/>
      <c r="E663" s="28"/>
      <c r="F663" s="28"/>
      <c r="G663" s="28"/>
      <c r="H663" s="28"/>
      <c r="I663" s="28"/>
      <c r="J663" s="28"/>
      <c r="K663" s="28"/>
      <c r="L663" s="28"/>
      <c r="M663" s="28"/>
      <c r="N663" s="28"/>
      <c r="O663" s="28"/>
      <c r="P663" s="28"/>
      <c r="Q663" s="28"/>
      <c r="R663" s="28"/>
      <c r="S663" s="28"/>
      <c r="T663" s="28"/>
      <c r="U663" s="28"/>
      <c r="V663" s="28"/>
    </row>
    <row r="664" ht="13.5" customHeight="1">
      <c r="A664" s="28"/>
      <c r="B664" s="28"/>
      <c r="C664" s="28"/>
      <c r="D664" s="28"/>
      <c r="E664" s="28"/>
      <c r="F664" s="28"/>
      <c r="G664" s="28"/>
      <c r="H664" s="28"/>
      <c r="I664" s="28"/>
      <c r="J664" s="28"/>
      <c r="K664" s="28"/>
      <c r="L664" s="28"/>
      <c r="M664" s="28"/>
      <c r="N664" s="28"/>
      <c r="O664" s="28"/>
      <c r="P664" s="28"/>
      <c r="Q664" s="28"/>
      <c r="R664" s="28"/>
      <c r="S664" s="28"/>
      <c r="T664" s="28"/>
      <c r="U664" s="28"/>
      <c r="V664" s="28"/>
    </row>
    <row r="665" ht="13.5" customHeight="1">
      <c r="A665" s="28"/>
      <c r="B665" s="28"/>
      <c r="C665" s="28"/>
      <c r="D665" s="28"/>
      <c r="E665" s="28"/>
      <c r="F665" s="28"/>
      <c r="G665" s="28"/>
      <c r="H665" s="28"/>
      <c r="I665" s="28"/>
      <c r="J665" s="28"/>
      <c r="K665" s="28"/>
      <c r="L665" s="28"/>
      <c r="M665" s="28"/>
      <c r="N665" s="28"/>
      <c r="O665" s="28"/>
      <c r="P665" s="28"/>
      <c r="Q665" s="28"/>
      <c r="R665" s="28"/>
      <c r="S665" s="28"/>
      <c r="T665" s="28"/>
      <c r="U665" s="28"/>
      <c r="V665" s="28"/>
    </row>
    <row r="666" ht="13.5" customHeight="1">
      <c r="A666" s="28"/>
      <c r="B666" s="28"/>
      <c r="C666" s="28"/>
      <c r="D666" s="28"/>
      <c r="E666" s="28"/>
      <c r="F666" s="28"/>
      <c r="G666" s="28"/>
      <c r="H666" s="28"/>
      <c r="I666" s="28"/>
      <c r="J666" s="28"/>
      <c r="K666" s="28"/>
      <c r="L666" s="28"/>
      <c r="M666" s="28"/>
      <c r="N666" s="28"/>
      <c r="O666" s="28"/>
      <c r="P666" s="28"/>
      <c r="Q666" s="28"/>
      <c r="R666" s="28"/>
      <c r="S666" s="28"/>
      <c r="T666" s="28"/>
      <c r="U666" s="28"/>
      <c r="V666" s="28"/>
    </row>
    <row r="667" ht="13.5" customHeight="1">
      <c r="A667" s="28"/>
      <c r="B667" s="28"/>
      <c r="C667" s="28"/>
      <c r="D667" s="28"/>
      <c r="E667" s="28"/>
      <c r="F667" s="28"/>
      <c r="G667" s="28"/>
      <c r="H667" s="28"/>
      <c r="I667" s="28"/>
      <c r="J667" s="28"/>
      <c r="K667" s="28"/>
      <c r="L667" s="28"/>
      <c r="M667" s="28"/>
      <c r="N667" s="28"/>
      <c r="O667" s="28"/>
      <c r="P667" s="28"/>
      <c r="Q667" s="28"/>
      <c r="R667" s="28"/>
      <c r="S667" s="28"/>
      <c r="T667" s="28"/>
      <c r="U667" s="28"/>
      <c r="V667" s="28"/>
    </row>
    <row r="668" ht="13.5" customHeight="1">
      <c r="A668" s="28"/>
      <c r="B668" s="28"/>
      <c r="C668" s="28"/>
      <c r="D668" s="28"/>
      <c r="E668" s="28"/>
      <c r="F668" s="28"/>
      <c r="G668" s="28"/>
      <c r="H668" s="28"/>
      <c r="I668" s="28"/>
      <c r="J668" s="28"/>
      <c r="K668" s="28"/>
      <c r="L668" s="28"/>
      <c r="M668" s="28"/>
      <c r="N668" s="28"/>
      <c r="O668" s="28"/>
      <c r="P668" s="28"/>
      <c r="Q668" s="28"/>
      <c r="R668" s="28"/>
      <c r="S668" s="28"/>
      <c r="T668" s="28"/>
      <c r="U668" s="28"/>
      <c r="V668" s="28"/>
    </row>
    <row r="669" ht="13.5" customHeight="1">
      <c r="A669" s="28"/>
      <c r="B669" s="28"/>
      <c r="C669" s="28"/>
      <c r="D669" s="28"/>
      <c r="E669" s="28"/>
      <c r="F669" s="28"/>
      <c r="G669" s="28"/>
      <c r="H669" s="28"/>
      <c r="I669" s="28"/>
      <c r="J669" s="28"/>
      <c r="K669" s="28"/>
      <c r="L669" s="28"/>
      <c r="M669" s="28"/>
      <c r="N669" s="28"/>
      <c r="O669" s="28"/>
      <c r="P669" s="28"/>
      <c r="Q669" s="28"/>
      <c r="R669" s="28"/>
      <c r="S669" s="28"/>
      <c r="T669" s="28"/>
      <c r="U669" s="28"/>
      <c r="V669" s="28"/>
    </row>
    <row r="670" ht="13.5" customHeight="1">
      <c r="A670" s="28"/>
      <c r="B670" s="28"/>
      <c r="C670" s="28"/>
      <c r="D670" s="28"/>
      <c r="E670" s="28"/>
      <c r="F670" s="28"/>
      <c r="G670" s="28"/>
      <c r="H670" s="28"/>
      <c r="I670" s="28"/>
      <c r="J670" s="28"/>
      <c r="K670" s="28"/>
      <c r="L670" s="28"/>
      <c r="M670" s="28"/>
      <c r="N670" s="28"/>
      <c r="O670" s="28"/>
      <c r="P670" s="28"/>
      <c r="Q670" s="28"/>
      <c r="R670" s="28"/>
      <c r="S670" s="28"/>
      <c r="T670" s="28"/>
      <c r="U670" s="28"/>
      <c r="V670" s="28"/>
    </row>
    <row r="671" ht="13.5" customHeight="1">
      <c r="A671" s="28"/>
      <c r="B671" s="28"/>
      <c r="C671" s="28"/>
      <c r="D671" s="28"/>
      <c r="E671" s="28"/>
      <c r="F671" s="28"/>
      <c r="G671" s="28"/>
      <c r="H671" s="28"/>
      <c r="I671" s="28"/>
      <c r="J671" s="28"/>
      <c r="K671" s="28"/>
      <c r="L671" s="28"/>
      <c r="M671" s="28"/>
      <c r="N671" s="28"/>
      <c r="O671" s="28"/>
      <c r="P671" s="28"/>
      <c r="Q671" s="28"/>
      <c r="R671" s="28"/>
      <c r="S671" s="28"/>
      <c r="T671" s="28"/>
      <c r="U671" s="28"/>
      <c r="V671" s="28"/>
    </row>
    <row r="672" ht="13.5" customHeight="1">
      <c r="A672" s="28"/>
      <c r="B672" s="28"/>
      <c r="C672" s="28"/>
      <c r="D672" s="28"/>
      <c r="E672" s="28"/>
      <c r="F672" s="28"/>
      <c r="G672" s="28"/>
      <c r="H672" s="28"/>
      <c r="I672" s="28"/>
      <c r="J672" s="28"/>
      <c r="K672" s="28"/>
      <c r="L672" s="28"/>
      <c r="M672" s="28"/>
      <c r="N672" s="28"/>
      <c r="O672" s="28"/>
      <c r="P672" s="28"/>
      <c r="Q672" s="28"/>
      <c r="R672" s="28"/>
      <c r="S672" s="28"/>
      <c r="T672" s="28"/>
      <c r="U672" s="28"/>
      <c r="V672" s="28"/>
    </row>
    <row r="673" ht="13.5" customHeight="1">
      <c r="A673" s="28"/>
      <c r="B673" s="28"/>
      <c r="C673" s="28"/>
      <c r="D673" s="28"/>
      <c r="E673" s="28"/>
      <c r="F673" s="28"/>
      <c r="G673" s="28"/>
      <c r="H673" s="28"/>
      <c r="I673" s="28"/>
      <c r="J673" s="28"/>
      <c r="K673" s="28"/>
      <c r="L673" s="28"/>
      <c r="M673" s="28"/>
      <c r="N673" s="28"/>
      <c r="O673" s="28"/>
      <c r="P673" s="28"/>
      <c r="Q673" s="28"/>
      <c r="R673" s="28"/>
      <c r="S673" s="28"/>
      <c r="T673" s="28"/>
      <c r="U673" s="28"/>
      <c r="V673" s="28"/>
    </row>
    <row r="674" ht="13.5" customHeight="1">
      <c r="A674" s="28"/>
      <c r="B674" s="28"/>
      <c r="C674" s="28"/>
      <c r="D674" s="28"/>
      <c r="E674" s="28"/>
      <c r="F674" s="28"/>
      <c r="G674" s="28"/>
      <c r="H674" s="28"/>
      <c r="I674" s="28"/>
      <c r="J674" s="28"/>
      <c r="K674" s="28"/>
      <c r="L674" s="28"/>
      <c r="M674" s="28"/>
      <c r="N674" s="28"/>
      <c r="O674" s="28"/>
      <c r="P674" s="28"/>
      <c r="Q674" s="28"/>
      <c r="R674" s="28"/>
      <c r="S674" s="28"/>
      <c r="T674" s="28"/>
      <c r="U674" s="28"/>
      <c r="V674" s="28"/>
    </row>
    <row r="675" ht="13.5" customHeight="1">
      <c r="A675" s="28"/>
      <c r="B675" s="28"/>
      <c r="C675" s="28"/>
      <c r="D675" s="28"/>
      <c r="E675" s="28"/>
      <c r="F675" s="28"/>
      <c r="G675" s="28"/>
      <c r="H675" s="28"/>
      <c r="I675" s="28"/>
      <c r="J675" s="28"/>
      <c r="K675" s="28"/>
      <c r="L675" s="28"/>
      <c r="M675" s="28"/>
      <c r="N675" s="28"/>
      <c r="O675" s="28"/>
      <c r="P675" s="28"/>
      <c r="Q675" s="28"/>
      <c r="R675" s="28"/>
      <c r="S675" s="28"/>
      <c r="T675" s="28"/>
      <c r="U675" s="28"/>
      <c r="V675" s="28"/>
    </row>
    <row r="676" ht="13.5" customHeight="1">
      <c r="A676" s="28"/>
      <c r="B676" s="28"/>
      <c r="C676" s="28"/>
      <c r="D676" s="28"/>
      <c r="E676" s="28"/>
      <c r="F676" s="28"/>
      <c r="G676" s="28"/>
      <c r="H676" s="28"/>
      <c r="I676" s="28"/>
      <c r="J676" s="28"/>
      <c r="K676" s="28"/>
      <c r="L676" s="28"/>
      <c r="M676" s="28"/>
      <c r="N676" s="28"/>
      <c r="O676" s="28"/>
      <c r="P676" s="28"/>
      <c r="Q676" s="28"/>
      <c r="R676" s="28"/>
      <c r="S676" s="28"/>
      <c r="T676" s="28"/>
      <c r="U676" s="28"/>
      <c r="V676" s="28"/>
    </row>
    <row r="677" ht="13.5" customHeight="1">
      <c r="A677" s="28"/>
      <c r="B677" s="28"/>
      <c r="C677" s="28"/>
      <c r="D677" s="28"/>
      <c r="E677" s="28"/>
      <c r="F677" s="28"/>
      <c r="G677" s="28"/>
      <c r="H677" s="28"/>
      <c r="I677" s="28"/>
      <c r="J677" s="28"/>
      <c r="K677" s="28"/>
      <c r="L677" s="28"/>
      <c r="M677" s="28"/>
      <c r="N677" s="28"/>
      <c r="O677" s="28"/>
      <c r="P677" s="28"/>
      <c r="Q677" s="28"/>
      <c r="R677" s="28"/>
      <c r="S677" s="28"/>
      <c r="T677" s="28"/>
      <c r="U677" s="28"/>
      <c r="V677" s="28"/>
    </row>
    <row r="678" ht="13.5" customHeight="1">
      <c r="A678" s="28"/>
      <c r="B678" s="28"/>
      <c r="C678" s="28"/>
      <c r="D678" s="28"/>
      <c r="E678" s="28"/>
      <c r="F678" s="28"/>
      <c r="G678" s="28"/>
      <c r="H678" s="28"/>
      <c r="I678" s="28"/>
      <c r="J678" s="28"/>
      <c r="K678" s="28"/>
      <c r="L678" s="28"/>
      <c r="M678" s="28"/>
      <c r="N678" s="28"/>
      <c r="O678" s="28"/>
      <c r="P678" s="28"/>
      <c r="Q678" s="28"/>
      <c r="R678" s="28"/>
      <c r="S678" s="28"/>
      <c r="T678" s="28"/>
      <c r="U678" s="28"/>
      <c r="V678" s="28"/>
    </row>
    <row r="679" ht="13.5" customHeight="1">
      <c r="A679" s="28"/>
      <c r="B679" s="28"/>
      <c r="C679" s="28"/>
      <c r="D679" s="28"/>
      <c r="E679" s="28"/>
      <c r="F679" s="28"/>
      <c r="G679" s="28"/>
      <c r="H679" s="28"/>
      <c r="I679" s="28"/>
      <c r="J679" s="28"/>
      <c r="K679" s="28"/>
      <c r="L679" s="28"/>
      <c r="M679" s="28"/>
      <c r="N679" s="28"/>
      <c r="O679" s="28"/>
      <c r="P679" s="28"/>
      <c r="Q679" s="28"/>
      <c r="R679" s="28"/>
      <c r="S679" s="28"/>
      <c r="T679" s="28"/>
      <c r="U679" s="28"/>
      <c r="V679" s="28"/>
    </row>
    <row r="680" ht="13.5" customHeight="1">
      <c r="A680" s="28"/>
      <c r="B680" s="28"/>
      <c r="C680" s="28"/>
      <c r="D680" s="28"/>
      <c r="E680" s="28"/>
      <c r="F680" s="28"/>
      <c r="G680" s="28"/>
      <c r="H680" s="28"/>
      <c r="I680" s="28"/>
      <c r="J680" s="28"/>
      <c r="K680" s="28"/>
      <c r="L680" s="28"/>
      <c r="M680" s="28"/>
      <c r="N680" s="28"/>
      <c r="O680" s="28"/>
      <c r="P680" s="28"/>
      <c r="Q680" s="28"/>
      <c r="R680" s="28"/>
      <c r="S680" s="28"/>
      <c r="T680" s="28"/>
      <c r="U680" s="28"/>
      <c r="V680" s="28"/>
    </row>
    <row r="681" ht="13.5" customHeight="1">
      <c r="A681" s="28"/>
      <c r="B681" s="28"/>
      <c r="C681" s="28"/>
      <c r="D681" s="28"/>
      <c r="E681" s="28"/>
      <c r="F681" s="28"/>
      <c r="G681" s="28"/>
      <c r="H681" s="28"/>
      <c r="I681" s="28"/>
      <c r="J681" s="28"/>
      <c r="K681" s="28"/>
      <c r="L681" s="28"/>
      <c r="M681" s="28"/>
      <c r="N681" s="28"/>
      <c r="O681" s="28"/>
      <c r="P681" s="28"/>
      <c r="Q681" s="28"/>
      <c r="R681" s="28"/>
      <c r="S681" s="28"/>
      <c r="T681" s="28"/>
      <c r="U681" s="28"/>
      <c r="V681" s="28"/>
    </row>
    <row r="682" ht="13.5" customHeight="1">
      <c r="A682" s="28"/>
      <c r="B682" s="28"/>
      <c r="C682" s="28"/>
      <c r="D682" s="28"/>
      <c r="E682" s="28"/>
      <c r="F682" s="28"/>
      <c r="G682" s="28"/>
      <c r="H682" s="28"/>
      <c r="I682" s="28"/>
      <c r="J682" s="28"/>
      <c r="K682" s="28"/>
      <c r="L682" s="28"/>
      <c r="M682" s="28"/>
      <c r="N682" s="28"/>
      <c r="O682" s="28"/>
      <c r="P682" s="28"/>
      <c r="Q682" s="28"/>
      <c r="R682" s="28"/>
      <c r="S682" s="28"/>
      <c r="T682" s="28"/>
      <c r="U682" s="28"/>
      <c r="V682" s="28"/>
    </row>
    <row r="683" ht="13.5" customHeight="1">
      <c r="A683" s="28"/>
      <c r="B683" s="28"/>
      <c r="C683" s="28"/>
      <c r="D683" s="28"/>
      <c r="E683" s="28"/>
      <c r="F683" s="28"/>
      <c r="G683" s="28"/>
      <c r="H683" s="28"/>
      <c r="I683" s="28"/>
      <c r="J683" s="28"/>
      <c r="K683" s="28"/>
      <c r="L683" s="28"/>
      <c r="M683" s="28"/>
      <c r="N683" s="28"/>
      <c r="O683" s="28"/>
      <c r="P683" s="28"/>
      <c r="Q683" s="28"/>
      <c r="R683" s="28"/>
      <c r="S683" s="28"/>
      <c r="T683" s="28"/>
      <c r="U683" s="28"/>
      <c r="V683" s="28"/>
    </row>
    <row r="684" ht="13.5" customHeight="1">
      <c r="A684" s="28"/>
      <c r="B684" s="28"/>
      <c r="C684" s="28"/>
      <c r="D684" s="28"/>
      <c r="E684" s="28"/>
      <c r="F684" s="28"/>
      <c r="G684" s="28"/>
      <c r="H684" s="28"/>
      <c r="I684" s="28"/>
      <c r="J684" s="28"/>
      <c r="K684" s="28"/>
      <c r="L684" s="28"/>
      <c r="M684" s="28"/>
      <c r="N684" s="28"/>
      <c r="O684" s="28"/>
      <c r="P684" s="28"/>
      <c r="Q684" s="28"/>
      <c r="R684" s="28"/>
      <c r="S684" s="28"/>
      <c r="T684" s="28"/>
      <c r="U684" s="28"/>
      <c r="V684" s="28"/>
    </row>
    <row r="685" ht="13.5" customHeight="1">
      <c r="A685" s="28"/>
      <c r="B685" s="28"/>
      <c r="C685" s="28"/>
      <c r="D685" s="28"/>
      <c r="E685" s="28"/>
      <c r="F685" s="28"/>
      <c r="G685" s="28"/>
      <c r="H685" s="28"/>
      <c r="I685" s="28"/>
      <c r="J685" s="28"/>
      <c r="K685" s="28"/>
      <c r="L685" s="28"/>
      <c r="M685" s="28"/>
      <c r="N685" s="28"/>
      <c r="O685" s="28"/>
      <c r="P685" s="28"/>
      <c r="Q685" s="28"/>
      <c r="R685" s="28"/>
      <c r="S685" s="28"/>
      <c r="T685" s="28"/>
      <c r="U685" s="28"/>
      <c r="V685" s="28"/>
    </row>
    <row r="686" ht="13.5" customHeight="1">
      <c r="A686" s="28"/>
      <c r="B686" s="28"/>
      <c r="C686" s="28"/>
      <c r="D686" s="28"/>
      <c r="E686" s="28"/>
      <c r="F686" s="28"/>
      <c r="G686" s="28"/>
      <c r="H686" s="28"/>
      <c r="I686" s="28"/>
      <c r="J686" s="28"/>
      <c r="K686" s="28"/>
      <c r="L686" s="28"/>
      <c r="M686" s="28"/>
      <c r="N686" s="28"/>
      <c r="O686" s="28"/>
      <c r="P686" s="28"/>
      <c r="Q686" s="28"/>
      <c r="R686" s="28"/>
      <c r="S686" s="28"/>
      <c r="T686" s="28"/>
      <c r="U686" s="28"/>
      <c r="V686" s="28"/>
    </row>
    <row r="687" ht="13.5" customHeight="1">
      <c r="A687" s="28"/>
      <c r="B687" s="28"/>
      <c r="C687" s="28"/>
      <c r="D687" s="28"/>
      <c r="E687" s="28"/>
      <c r="F687" s="28"/>
      <c r="G687" s="28"/>
      <c r="H687" s="28"/>
      <c r="I687" s="28"/>
      <c r="J687" s="28"/>
      <c r="K687" s="28"/>
      <c r="L687" s="28"/>
      <c r="M687" s="28"/>
      <c r="N687" s="28"/>
      <c r="O687" s="28"/>
      <c r="P687" s="28"/>
      <c r="Q687" s="28"/>
      <c r="R687" s="28"/>
      <c r="S687" s="28"/>
      <c r="T687" s="28"/>
      <c r="U687" s="28"/>
      <c r="V687" s="28"/>
    </row>
    <row r="688" ht="13.5" customHeight="1">
      <c r="A688" s="28"/>
      <c r="B688" s="28"/>
      <c r="C688" s="28"/>
      <c r="D688" s="28"/>
      <c r="E688" s="28"/>
      <c r="F688" s="28"/>
      <c r="G688" s="28"/>
      <c r="H688" s="28"/>
      <c r="I688" s="28"/>
      <c r="J688" s="28"/>
      <c r="K688" s="28"/>
      <c r="L688" s="28"/>
      <c r="M688" s="28"/>
      <c r="N688" s="28"/>
      <c r="O688" s="28"/>
      <c r="P688" s="28"/>
      <c r="Q688" s="28"/>
      <c r="R688" s="28"/>
      <c r="S688" s="28"/>
      <c r="T688" s="28"/>
      <c r="U688" s="28"/>
      <c r="V688" s="28"/>
    </row>
    <row r="689" ht="13.5" customHeight="1">
      <c r="A689" s="28"/>
      <c r="B689" s="28"/>
      <c r="C689" s="28"/>
      <c r="D689" s="28"/>
      <c r="E689" s="28"/>
      <c r="F689" s="28"/>
      <c r="G689" s="28"/>
      <c r="H689" s="28"/>
      <c r="I689" s="28"/>
      <c r="J689" s="28"/>
      <c r="K689" s="28"/>
      <c r="L689" s="28"/>
      <c r="M689" s="28"/>
      <c r="N689" s="28"/>
      <c r="O689" s="28"/>
      <c r="P689" s="28"/>
      <c r="Q689" s="28"/>
      <c r="R689" s="28"/>
      <c r="S689" s="28"/>
      <c r="T689" s="28"/>
      <c r="U689" s="28"/>
      <c r="V689" s="28"/>
    </row>
    <row r="690" ht="13.5" customHeight="1">
      <c r="A690" s="28"/>
      <c r="B690" s="28"/>
      <c r="C690" s="28"/>
      <c r="D690" s="28"/>
      <c r="E690" s="28"/>
      <c r="F690" s="28"/>
      <c r="G690" s="28"/>
      <c r="H690" s="28"/>
      <c r="I690" s="28"/>
      <c r="J690" s="28"/>
      <c r="K690" s="28"/>
      <c r="L690" s="28"/>
      <c r="M690" s="28"/>
      <c r="N690" s="28"/>
      <c r="O690" s="28"/>
      <c r="P690" s="28"/>
      <c r="Q690" s="28"/>
      <c r="R690" s="28"/>
      <c r="S690" s="28"/>
      <c r="T690" s="28"/>
      <c r="U690" s="28"/>
      <c r="V690" s="28"/>
    </row>
    <row r="691" ht="13.5" customHeight="1">
      <c r="A691" s="28"/>
      <c r="B691" s="28"/>
      <c r="C691" s="28"/>
      <c r="D691" s="28"/>
      <c r="E691" s="28"/>
      <c r="F691" s="28"/>
      <c r="G691" s="28"/>
      <c r="H691" s="28"/>
      <c r="I691" s="28"/>
      <c r="J691" s="28"/>
      <c r="K691" s="28"/>
      <c r="L691" s="28"/>
      <c r="M691" s="28"/>
      <c r="N691" s="28"/>
      <c r="O691" s="28"/>
      <c r="P691" s="28"/>
      <c r="Q691" s="28"/>
      <c r="R691" s="28"/>
      <c r="S691" s="28"/>
      <c r="T691" s="28"/>
      <c r="U691" s="28"/>
      <c r="V691" s="28"/>
    </row>
    <row r="692" ht="13.5" customHeight="1">
      <c r="A692" s="28"/>
      <c r="B692" s="28"/>
      <c r="C692" s="28"/>
      <c r="D692" s="28"/>
      <c r="E692" s="28"/>
      <c r="F692" s="28"/>
      <c r="G692" s="28"/>
      <c r="H692" s="28"/>
      <c r="I692" s="28"/>
      <c r="J692" s="28"/>
      <c r="K692" s="28"/>
      <c r="L692" s="28"/>
      <c r="M692" s="28"/>
      <c r="N692" s="28"/>
      <c r="O692" s="28"/>
      <c r="P692" s="28"/>
      <c r="Q692" s="28"/>
      <c r="R692" s="28"/>
      <c r="S692" s="28"/>
      <c r="T692" s="28"/>
      <c r="U692" s="28"/>
      <c r="V692" s="28"/>
    </row>
    <row r="693" ht="13.5" customHeight="1">
      <c r="A693" s="28"/>
      <c r="B693" s="28"/>
      <c r="C693" s="28"/>
      <c r="D693" s="28"/>
      <c r="E693" s="28"/>
      <c r="F693" s="28"/>
      <c r="G693" s="28"/>
      <c r="H693" s="28"/>
      <c r="I693" s="28"/>
      <c r="J693" s="28"/>
      <c r="K693" s="28"/>
      <c r="L693" s="28"/>
      <c r="M693" s="28"/>
      <c r="N693" s="28"/>
      <c r="O693" s="28"/>
      <c r="P693" s="28"/>
      <c r="Q693" s="28"/>
      <c r="R693" s="28"/>
      <c r="S693" s="28"/>
      <c r="T693" s="28"/>
      <c r="U693" s="28"/>
      <c r="V693" s="28"/>
    </row>
    <row r="694" ht="13.5" customHeight="1">
      <c r="A694" s="28"/>
      <c r="B694" s="28"/>
      <c r="C694" s="28"/>
      <c r="D694" s="28"/>
      <c r="E694" s="28"/>
      <c r="F694" s="28"/>
      <c r="G694" s="28"/>
      <c r="H694" s="28"/>
      <c r="I694" s="28"/>
      <c r="J694" s="28"/>
      <c r="K694" s="28"/>
      <c r="L694" s="28"/>
      <c r="M694" s="28"/>
      <c r="N694" s="28"/>
      <c r="O694" s="28"/>
      <c r="P694" s="28"/>
      <c r="Q694" s="28"/>
      <c r="R694" s="28"/>
      <c r="S694" s="28"/>
      <c r="T694" s="28"/>
      <c r="U694" s="28"/>
      <c r="V694" s="28"/>
    </row>
    <row r="695" ht="13.5" customHeight="1">
      <c r="A695" s="28"/>
      <c r="B695" s="28"/>
      <c r="C695" s="28"/>
      <c r="D695" s="28"/>
      <c r="E695" s="28"/>
      <c r="F695" s="28"/>
      <c r="G695" s="28"/>
      <c r="H695" s="28"/>
      <c r="I695" s="28"/>
      <c r="J695" s="28"/>
      <c r="K695" s="28"/>
      <c r="L695" s="28"/>
      <c r="M695" s="28"/>
      <c r="N695" s="28"/>
      <c r="O695" s="28"/>
      <c r="P695" s="28"/>
      <c r="Q695" s="28"/>
      <c r="R695" s="28"/>
      <c r="S695" s="28"/>
      <c r="T695" s="28"/>
      <c r="U695" s="28"/>
      <c r="V695" s="28"/>
    </row>
    <row r="696" ht="13.5" customHeight="1">
      <c r="A696" s="28"/>
      <c r="B696" s="28"/>
      <c r="C696" s="28"/>
      <c r="D696" s="28"/>
      <c r="E696" s="28"/>
      <c r="F696" s="28"/>
      <c r="G696" s="28"/>
      <c r="H696" s="28"/>
      <c r="I696" s="28"/>
      <c r="J696" s="28"/>
      <c r="K696" s="28"/>
      <c r="L696" s="28"/>
      <c r="M696" s="28"/>
      <c r="N696" s="28"/>
      <c r="O696" s="28"/>
      <c r="P696" s="28"/>
      <c r="Q696" s="28"/>
      <c r="R696" s="28"/>
      <c r="S696" s="28"/>
      <c r="T696" s="28"/>
      <c r="U696" s="28"/>
      <c r="V696" s="28"/>
    </row>
    <row r="697" ht="13.5" customHeight="1">
      <c r="A697" s="28"/>
      <c r="B697" s="28"/>
      <c r="C697" s="28"/>
      <c r="D697" s="28"/>
      <c r="E697" s="28"/>
      <c r="F697" s="28"/>
      <c r="G697" s="28"/>
      <c r="H697" s="28"/>
      <c r="I697" s="28"/>
      <c r="J697" s="28"/>
      <c r="K697" s="28"/>
      <c r="L697" s="28"/>
      <c r="M697" s="28"/>
      <c r="N697" s="28"/>
      <c r="O697" s="28"/>
      <c r="P697" s="28"/>
      <c r="Q697" s="28"/>
      <c r="R697" s="28"/>
      <c r="S697" s="28"/>
      <c r="T697" s="28"/>
      <c r="U697" s="28"/>
      <c r="V697" s="28"/>
    </row>
    <row r="698" ht="13.5" customHeight="1">
      <c r="A698" s="28"/>
      <c r="B698" s="28"/>
      <c r="C698" s="28"/>
      <c r="D698" s="28"/>
      <c r="E698" s="28"/>
      <c r="F698" s="28"/>
      <c r="G698" s="28"/>
      <c r="H698" s="28"/>
      <c r="I698" s="28"/>
      <c r="J698" s="28"/>
      <c r="K698" s="28"/>
      <c r="L698" s="28"/>
      <c r="M698" s="28"/>
      <c r="N698" s="28"/>
      <c r="O698" s="28"/>
      <c r="P698" s="28"/>
      <c r="Q698" s="28"/>
      <c r="R698" s="28"/>
      <c r="S698" s="28"/>
      <c r="T698" s="28"/>
      <c r="U698" s="28"/>
      <c r="V698" s="28"/>
    </row>
    <row r="699" ht="13.5" customHeight="1">
      <c r="A699" s="28"/>
      <c r="B699" s="28"/>
      <c r="C699" s="28"/>
      <c r="D699" s="28"/>
      <c r="E699" s="28"/>
      <c r="F699" s="28"/>
      <c r="G699" s="28"/>
      <c r="H699" s="28"/>
      <c r="I699" s="28"/>
      <c r="J699" s="28"/>
      <c r="K699" s="28"/>
      <c r="L699" s="28"/>
      <c r="M699" s="28"/>
      <c r="N699" s="28"/>
      <c r="O699" s="28"/>
      <c r="P699" s="28"/>
      <c r="Q699" s="28"/>
      <c r="R699" s="28"/>
      <c r="S699" s="28"/>
      <c r="T699" s="28"/>
      <c r="U699" s="28"/>
      <c r="V699" s="28"/>
    </row>
    <row r="700" ht="13.5" customHeight="1">
      <c r="A700" s="28"/>
      <c r="B700" s="28"/>
      <c r="C700" s="28"/>
      <c r="D700" s="28"/>
      <c r="E700" s="28"/>
      <c r="F700" s="28"/>
      <c r="G700" s="28"/>
      <c r="H700" s="28"/>
      <c r="I700" s="28"/>
      <c r="J700" s="28"/>
      <c r="K700" s="28"/>
      <c r="L700" s="28"/>
      <c r="M700" s="28"/>
      <c r="N700" s="28"/>
      <c r="O700" s="28"/>
      <c r="P700" s="28"/>
      <c r="Q700" s="28"/>
      <c r="R700" s="28"/>
      <c r="S700" s="28"/>
      <c r="T700" s="28"/>
      <c r="U700" s="28"/>
      <c r="V700" s="28"/>
    </row>
    <row r="701" ht="13.5" customHeight="1">
      <c r="A701" s="28"/>
      <c r="B701" s="28"/>
      <c r="C701" s="28"/>
      <c r="D701" s="28"/>
      <c r="E701" s="28"/>
      <c r="F701" s="28"/>
      <c r="G701" s="28"/>
      <c r="H701" s="28"/>
      <c r="I701" s="28"/>
      <c r="J701" s="28"/>
      <c r="K701" s="28"/>
      <c r="L701" s="28"/>
      <c r="M701" s="28"/>
      <c r="N701" s="28"/>
      <c r="O701" s="28"/>
      <c r="P701" s="28"/>
      <c r="Q701" s="28"/>
      <c r="R701" s="28"/>
      <c r="S701" s="28"/>
      <c r="T701" s="28"/>
      <c r="U701" s="28"/>
      <c r="V701" s="28"/>
    </row>
    <row r="702" ht="13.5" customHeight="1">
      <c r="A702" s="28"/>
      <c r="B702" s="28"/>
      <c r="C702" s="28"/>
      <c r="D702" s="28"/>
      <c r="E702" s="28"/>
      <c r="F702" s="28"/>
      <c r="G702" s="28"/>
      <c r="H702" s="28"/>
      <c r="I702" s="28"/>
      <c r="J702" s="28"/>
      <c r="K702" s="28"/>
      <c r="L702" s="28"/>
      <c r="M702" s="28"/>
      <c r="N702" s="28"/>
      <c r="O702" s="28"/>
      <c r="P702" s="28"/>
      <c r="Q702" s="28"/>
      <c r="R702" s="28"/>
      <c r="S702" s="28"/>
      <c r="T702" s="28"/>
      <c r="U702" s="28"/>
      <c r="V702" s="28"/>
    </row>
    <row r="703" ht="13.5" customHeight="1">
      <c r="A703" s="28"/>
      <c r="B703" s="28"/>
      <c r="C703" s="28"/>
      <c r="D703" s="28"/>
      <c r="E703" s="28"/>
      <c r="F703" s="28"/>
      <c r="G703" s="28"/>
      <c r="H703" s="28"/>
      <c r="I703" s="28"/>
      <c r="J703" s="28"/>
      <c r="K703" s="28"/>
      <c r="L703" s="28"/>
      <c r="M703" s="28"/>
      <c r="N703" s="28"/>
      <c r="O703" s="28"/>
      <c r="P703" s="28"/>
      <c r="Q703" s="28"/>
      <c r="R703" s="28"/>
      <c r="S703" s="28"/>
      <c r="T703" s="28"/>
      <c r="U703" s="28"/>
      <c r="V703" s="28"/>
    </row>
    <row r="704" ht="13.5" customHeight="1">
      <c r="A704" s="28"/>
      <c r="B704" s="28"/>
      <c r="C704" s="28"/>
      <c r="D704" s="28"/>
      <c r="E704" s="28"/>
      <c r="F704" s="28"/>
      <c r="G704" s="28"/>
      <c r="H704" s="28"/>
      <c r="I704" s="28"/>
      <c r="J704" s="28"/>
      <c r="K704" s="28"/>
      <c r="L704" s="28"/>
      <c r="M704" s="28"/>
      <c r="N704" s="28"/>
      <c r="O704" s="28"/>
      <c r="P704" s="28"/>
      <c r="Q704" s="28"/>
      <c r="R704" s="28"/>
      <c r="S704" s="28"/>
      <c r="T704" s="28"/>
      <c r="U704" s="28"/>
      <c r="V704" s="28"/>
    </row>
    <row r="705" ht="13.5" customHeight="1">
      <c r="A705" s="28"/>
      <c r="B705" s="28"/>
      <c r="C705" s="28"/>
      <c r="D705" s="28"/>
      <c r="E705" s="28"/>
      <c r="F705" s="28"/>
      <c r="G705" s="28"/>
      <c r="H705" s="28"/>
      <c r="I705" s="28"/>
      <c r="J705" s="28"/>
      <c r="K705" s="28"/>
      <c r="L705" s="28"/>
      <c r="M705" s="28"/>
      <c r="N705" s="28"/>
      <c r="O705" s="28"/>
      <c r="P705" s="28"/>
      <c r="Q705" s="28"/>
      <c r="R705" s="28"/>
      <c r="S705" s="28"/>
      <c r="T705" s="28"/>
      <c r="U705" s="28"/>
      <c r="V705" s="28"/>
    </row>
    <row r="706" ht="13.5" customHeight="1">
      <c r="A706" s="28"/>
      <c r="B706" s="28"/>
      <c r="C706" s="28"/>
      <c r="D706" s="28"/>
      <c r="E706" s="28"/>
      <c r="F706" s="28"/>
      <c r="G706" s="28"/>
      <c r="H706" s="28"/>
      <c r="I706" s="28"/>
      <c r="J706" s="28"/>
      <c r="K706" s="28"/>
      <c r="L706" s="28"/>
      <c r="M706" s="28"/>
      <c r="N706" s="28"/>
      <c r="O706" s="28"/>
      <c r="P706" s="28"/>
      <c r="Q706" s="28"/>
      <c r="R706" s="28"/>
      <c r="S706" s="28"/>
      <c r="T706" s="28"/>
      <c r="U706" s="28"/>
      <c r="V706" s="28"/>
    </row>
    <row r="707" ht="13.5" customHeight="1">
      <c r="A707" s="28"/>
      <c r="B707" s="28"/>
      <c r="C707" s="28"/>
      <c r="D707" s="28"/>
      <c r="E707" s="28"/>
      <c r="F707" s="28"/>
      <c r="G707" s="28"/>
      <c r="H707" s="28"/>
      <c r="I707" s="28"/>
      <c r="J707" s="28"/>
      <c r="K707" s="28"/>
      <c r="L707" s="28"/>
      <c r="M707" s="28"/>
      <c r="N707" s="28"/>
      <c r="O707" s="28"/>
      <c r="P707" s="28"/>
      <c r="Q707" s="28"/>
      <c r="R707" s="28"/>
      <c r="S707" s="28"/>
      <c r="T707" s="28"/>
      <c r="U707" s="28"/>
      <c r="V707" s="28"/>
    </row>
    <row r="708" ht="13.5" customHeight="1">
      <c r="A708" s="28"/>
      <c r="B708" s="28"/>
      <c r="C708" s="28"/>
      <c r="D708" s="28"/>
      <c r="E708" s="28"/>
      <c r="F708" s="28"/>
      <c r="G708" s="28"/>
      <c r="H708" s="28"/>
      <c r="I708" s="28"/>
      <c r="J708" s="28"/>
      <c r="K708" s="28"/>
      <c r="L708" s="28"/>
      <c r="M708" s="28"/>
      <c r="N708" s="28"/>
      <c r="O708" s="28"/>
      <c r="P708" s="28"/>
      <c r="Q708" s="28"/>
      <c r="R708" s="28"/>
      <c r="S708" s="28"/>
      <c r="T708" s="28"/>
      <c r="U708" s="28"/>
      <c r="V708" s="28"/>
    </row>
    <row r="709" ht="13.5" customHeight="1">
      <c r="A709" s="28"/>
      <c r="B709" s="28"/>
      <c r="C709" s="28"/>
      <c r="D709" s="28"/>
      <c r="E709" s="28"/>
      <c r="F709" s="28"/>
      <c r="G709" s="28"/>
      <c r="H709" s="28"/>
      <c r="I709" s="28"/>
      <c r="J709" s="28"/>
      <c r="K709" s="28"/>
      <c r="L709" s="28"/>
      <c r="M709" s="28"/>
      <c r="N709" s="28"/>
      <c r="O709" s="28"/>
      <c r="P709" s="28"/>
      <c r="Q709" s="28"/>
      <c r="R709" s="28"/>
      <c r="S709" s="28"/>
      <c r="T709" s="28"/>
      <c r="U709" s="28"/>
      <c r="V709" s="28"/>
    </row>
    <row r="710" ht="13.5" customHeight="1">
      <c r="A710" s="28"/>
      <c r="B710" s="28"/>
      <c r="C710" s="28"/>
      <c r="D710" s="28"/>
      <c r="E710" s="28"/>
      <c r="F710" s="28"/>
      <c r="G710" s="28"/>
      <c r="H710" s="28"/>
      <c r="I710" s="28"/>
      <c r="J710" s="28"/>
      <c r="K710" s="28"/>
      <c r="L710" s="28"/>
      <c r="M710" s="28"/>
      <c r="N710" s="28"/>
      <c r="O710" s="28"/>
      <c r="P710" s="28"/>
      <c r="Q710" s="28"/>
      <c r="R710" s="28"/>
      <c r="S710" s="28"/>
      <c r="T710" s="28"/>
      <c r="U710" s="28"/>
      <c r="V710" s="28"/>
    </row>
    <row r="711" ht="13.5" customHeight="1">
      <c r="A711" s="28"/>
      <c r="B711" s="28"/>
      <c r="C711" s="28"/>
      <c r="D711" s="28"/>
      <c r="E711" s="28"/>
      <c r="F711" s="28"/>
      <c r="G711" s="28"/>
      <c r="H711" s="28"/>
      <c r="I711" s="28"/>
      <c r="J711" s="28"/>
      <c r="K711" s="28"/>
      <c r="L711" s="28"/>
      <c r="M711" s="28"/>
      <c r="N711" s="28"/>
      <c r="O711" s="28"/>
      <c r="P711" s="28"/>
      <c r="Q711" s="28"/>
      <c r="R711" s="28"/>
      <c r="S711" s="28"/>
      <c r="T711" s="28"/>
      <c r="U711" s="28"/>
      <c r="V711" s="28"/>
    </row>
    <row r="712" ht="13.5" customHeight="1">
      <c r="A712" s="28"/>
      <c r="B712" s="28"/>
      <c r="C712" s="28"/>
      <c r="D712" s="28"/>
      <c r="E712" s="28"/>
      <c r="F712" s="28"/>
      <c r="G712" s="28"/>
      <c r="H712" s="28"/>
      <c r="I712" s="28"/>
      <c r="J712" s="28"/>
      <c r="K712" s="28"/>
      <c r="L712" s="28"/>
      <c r="M712" s="28"/>
      <c r="N712" s="28"/>
      <c r="O712" s="28"/>
      <c r="P712" s="28"/>
      <c r="Q712" s="28"/>
      <c r="R712" s="28"/>
      <c r="S712" s="28"/>
      <c r="T712" s="28"/>
      <c r="U712" s="28"/>
      <c r="V712" s="28"/>
    </row>
    <row r="713" ht="13.5" customHeight="1">
      <c r="A713" s="28"/>
      <c r="B713" s="28"/>
      <c r="C713" s="28"/>
      <c r="D713" s="28"/>
      <c r="E713" s="28"/>
      <c r="F713" s="28"/>
      <c r="G713" s="28"/>
      <c r="H713" s="28"/>
      <c r="I713" s="28"/>
      <c r="J713" s="28"/>
      <c r="K713" s="28"/>
      <c r="L713" s="28"/>
      <c r="M713" s="28"/>
      <c r="N713" s="28"/>
      <c r="O713" s="28"/>
      <c r="P713" s="28"/>
      <c r="Q713" s="28"/>
      <c r="R713" s="28"/>
      <c r="S713" s="28"/>
      <c r="T713" s="28"/>
      <c r="U713" s="28"/>
      <c r="V713" s="28"/>
    </row>
    <row r="714" ht="13.5" customHeight="1">
      <c r="A714" s="28"/>
      <c r="B714" s="28"/>
      <c r="C714" s="28"/>
      <c r="D714" s="28"/>
      <c r="E714" s="28"/>
      <c r="F714" s="28"/>
      <c r="G714" s="28"/>
      <c r="H714" s="28"/>
      <c r="I714" s="28"/>
      <c r="J714" s="28"/>
      <c r="K714" s="28"/>
      <c r="L714" s="28"/>
      <c r="M714" s="28"/>
      <c r="N714" s="28"/>
      <c r="O714" s="28"/>
      <c r="P714" s="28"/>
      <c r="Q714" s="28"/>
      <c r="R714" s="28"/>
      <c r="S714" s="28"/>
      <c r="T714" s="28"/>
      <c r="U714" s="28"/>
      <c r="V714" s="28"/>
    </row>
    <row r="715" ht="13.5" customHeight="1">
      <c r="A715" s="28"/>
      <c r="B715" s="28"/>
      <c r="C715" s="28"/>
      <c r="D715" s="28"/>
      <c r="E715" s="28"/>
      <c r="F715" s="28"/>
      <c r="G715" s="28"/>
      <c r="H715" s="28"/>
      <c r="I715" s="28"/>
      <c r="J715" s="28"/>
      <c r="K715" s="28"/>
      <c r="L715" s="28"/>
      <c r="M715" s="28"/>
      <c r="N715" s="28"/>
      <c r="O715" s="28"/>
      <c r="P715" s="28"/>
      <c r="Q715" s="28"/>
      <c r="R715" s="28"/>
      <c r="S715" s="28"/>
      <c r="T715" s="28"/>
      <c r="U715" s="28"/>
      <c r="V715" s="28"/>
    </row>
    <row r="716" ht="13.5" customHeight="1">
      <c r="A716" s="28"/>
      <c r="B716" s="28"/>
      <c r="C716" s="28"/>
      <c r="D716" s="28"/>
      <c r="E716" s="28"/>
      <c r="F716" s="28"/>
      <c r="G716" s="28"/>
      <c r="H716" s="28"/>
      <c r="I716" s="28"/>
      <c r="J716" s="28"/>
      <c r="K716" s="28"/>
      <c r="L716" s="28"/>
      <c r="M716" s="28"/>
      <c r="N716" s="28"/>
      <c r="O716" s="28"/>
      <c r="P716" s="28"/>
      <c r="Q716" s="28"/>
      <c r="R716" s="28"/>
      <c r="S716" s="28"/>
      <c r="T716" s="28"/>
      <c r="U716" s="28"/>
      <c r="V716" s="28"/>
    </row>
    <row r="717" ht="13.5" customHeight="1">
      <c r="A717" s="28"/>
      <c r="B717" s="28"/>
      <c r="C717" s="28"/>
      <c r="D717" s="28"/>
      <c r="E717" s="28"/>
      <c r="F717" s="28"/>
      <c r="G717" s="28"/>
      <c r="H717" s="28"/>
      <c r="I717" s="28"/>
      <c r="J717" s="28"/>
      <c r="K717" s="28"/>
      <c r="L717" s="28"/>
      <c r="M717" s="28"/>
      <c r="N717" s="28"/>
      <c r="O717" s="28"/>
      <c r="P717" s="28"/>
      <c r="Q717" s="28"/>
      <c r="R717" s="28"/>
      <c r="S717" s="28"/>
      <c r="T717" s="28"/>
      <c r="U717" s="28"/>
      <c r="V717" s="28"/>
    </row>
    <row r="718" ht="13.5" customHeight="1">
      <c r="A718" s="28"/>
      <c r="B718" s="28"/>
      <c r="C718" s="28"/>
      <c r="D718" s="28"/>
      <c r="E718" s="28"/>
      <c r="F718" s="28"/>
      <c r="G718" s="28"/>
      <c r="H718" s="28"/>
      <c r="I718" s="28"/>
      <c r="J718" s="28"/>
      <c r="K718" s="28"/>
      <c r="L718" s="28"/>
      <c r="M718" s="28"/>
      <c r="N718" s="28"/>
      <c r="O718" s="28"/>
      <c r="P718" s="28"/>
      <c r="Q718" s="28"/>
      <c r="R718" s="28"/>
      <c r="S718" s="28"/>
      <c r="T718" s="28"/>
      <c r="U718" s="28"/>
      <c r="V718" s="28"/>
    </row>
    <row r="719" ht="13.5" customHeight="1">
      <c r="A719" s="28"/>
      <c r="B719" s="28"/>
      <c r="C719" s="28"/>
      <c r="D719" s="28"/>
      <c r="E719" s="28"/>
      <c r="F719" s="28"/>
      <c r="G719" s="28"/>
      <c r="H719" s="28"/>
      <c r="I719" s="28"/>
      <c r="J719" s="28"/>
      <c r="K719" s="28"/>
      <c r="L719" s="28"/>
      <c r="M719" s="28"/>
      <c r="N719" s="28"/>
      <c r="O719" s="28"/>
      <c r="P719" s="28"/>
      <c r="Q719" s="28"/>
      <c r="R719" s="28"/>
      <c r="S719" s="28"/>
      <c r="T719" s="28"/>
      <c r="U719" s="28"/>
      <c r="V719" s="28"/>
    </row>
    <row r="720" ht="13.5" customHeight="1">
      <c r="A720" s="28"/>
      <c r="B720" s="28"/>
      <c r="C720" s="28"/>
      <c r="D720" s="28"/>
      <c r="E720" s="28"/>
      <c r="F720" s="28"/>
      <c r="G720" s="28"/>
      <c r="H720" s="28"/>
      <c r="I720" s="28"/>
      <c r="J720" s="28"/>
      <c r="K720" s="28"/>
      <c r="L720" s="28"/>
      <c r="M720" s="28"/>
      <c r="N720" s="28"/>
      <c r="O720" s="28"/>
      <c r="P720" s="28"/>
      <c r="Q720" s="28"/>
      <c r="R720" s="28"/>
      <c r="S720" s="28"/>
      <c r="T720" s="28"/>
      <c r="U720" s="28"/>
      <c r="V720" s="28"/>
    </row>
    <row r="721" ht="13.5" customHeight="1">
      <c r="A721" s="28"/>
      <c r="B721" s="28"/>
      <c r="C721" s="28"/>
      <c r="D721" s="28"/>
      <c r="E721" s="28"/>
      <c r="F721" s="28"/>
      <c r="G721" s="28"/>
      <c r="H721" s="28"/>
      <c r="I721" s="28"/>
      <c r="J721" s="28"/>
      <c r="K721" s="28"/>
      <c r="L721" s="28"/>
      <c r="M721" s="28"/>
      <c r="N721" s="28"/>
      <c r="O721" s="28"/>
      <c r="P721" s="28"/>
      <c r="Q721" s="28"/>
      <c r="R721" s="28"/>
      <c r="S721" s="28"/>
      <c r="T721" s="28"/>
      <c r="U721" s="28"/>
      <c r="V721" s="28"/>
    </row>
    <row r="722" ht="13.5" customHeight="1">
      <c r="A722" s="28"/>
      <c r="B722" s="28"/>
      <c r="C722" s="28"/>
      <c r="D722" s="28"/>
      <c r="E722" s="28"/>
      <c r="F722" s="28"/>
      <c r="G722" s="28"/>
      <c r="H722" s="28"/>
      <c r="I722" s="28"/>
      <c r="J722" s="28"/>
      <c r="K722" s="28"/>
      <c r="L722" s="28"/>
      <c r="M722" s="28"/>
      <c r="N722" s="28"/>
      <c r="O722" s="28"/>
      <c r="P722" s="28"/>
      <c r="Q722" s="28"/>
      <c r="R722" s="28"/>
      <c r="S722" s="28"/>
      <c r="T722" s="28"/>
      <c r="U722" s="28"/>
      <c r="V722" s="28"/>
    </row>
    <row r="723" ht="13.5" customHeight="1">
      <c r="A723" s="28"/>
      <c r="B723" s="28"/>
      <c r="C723" s="28"/>
      <c r="D723" s="28"/>
      <c r="E723" s="28"/>
      <c r="F723" s="28"/>
      <c r="G723" s="28"/>
      <c r="H723" s="28"/>
      <c r="I723" s="28"/>
      <c r="J723" s="28"/>
      <c r="K723" s="28"/>
      <c r="L723" s="28"/>
      <c r="M723" s="28"/>
      <c r="N723" s="28"/>
      <c r="O723" s="28"/>
      <c r="P723" s="28"/>
      <c r="Q723" s="28"/>
      <c r="R723" s="28"/>
      <c r="S723" s="28"/>
      <c r="T723" s="28"/>
      <c r="U723" s="28"/>
      <c r="V723" s="28"/>
    </row>
    <row r="724" ht="13.5" customHeight="1">
      <c r="A724" s="28"/>
      <c r="B724" s="28"/>
      <c r="C724" s="28"/>
      <c r="D724" s="28"/>
      <c r="E724" s="28"/>
      <c r="F724" s="28"/>
      <c r="G724" s="28"/>
      <c r="H724" s="28"/>
      <c r="I724" s="28"/>
      <c r="J724" s="28"/>
      <c r="K724" s="28"/>
      <c r="L724" s="28"/>
      <c r="M724" s="28"/>
      <c r="N724" s="28"/>
      <c r="O724" s="28"/>
      <c r="P724" s="28"/>
      <c r="Q724" s="28"/>
      <c r="R724" s="28"/>
      <c r="S724" s="28"/>
      <c r="T724" s="28"/>
      <c r="U724" s="28"/>
      <c r="V724" s="28"/>
    </row>
    <row r="725" ht="13.5" customHeight="1">
      <c r="A725" s="28"/>
      <c r="B725" s="28"/>
      <c r="C725" s="28"/>
      <c r="D725" s="28"/>
      <c r="E725" s="28"/>
      <c r="F725" s="28"/>
      <c r="G725" s="28"/>
      <c r="H725" s="28"/>
      <c r="I725" s="28"/>
      <c r="J725" s="28"/>
      <c r="K725" s="28"/>
      <c r="L725" s="28"/>
      <c r="M725" s="28"/>
      <c r="N725" s="28"/>
      <c r="O725" s="28"/>
      <c r="P725" s="28"/>
      <c r="Q725" s="28"/>
      <c r="R725" s="28"/>
      <c r="S725" s="28"/>
      <c r="T725" s="28"/>
      <c r="U725" s="28"/>
      <c r="V725" s="28"/>
    </row>
    <row r="726" ht="13.5" customHeight="1">
      <c r="A726" s="28"/>
      <c r="B726" s="28"/>
      <c r="C726" s="28"/>
      <c r="D726" s="28"/>
      <c r="E726" s="28"/>
      <c r="F726" s="28"/>
      <c r="G726" s="28"/>
      <c r="H726" s="28"/>
      <c r="I726" s="28"/>
      <c r="J726" s="28"/>
      <c r="K726" s="28"/>
      <c r="L726" s="28"/>
      <c r="M726" s="28"/>
      <c r="N726" s="28"/>
      <c r="O726" s="28"/>
      <c r="P726" s="28"/>
      <c r="Q726" s="28"/>
      <c r="R726" s="28"/>
      <c r="S726" s="28"/>
      <c r="T726" s="28"/>
      <c r="U726" s="28"/>
      <c r="V726" s="28"/>
    </row>
    <row r="727" ht="13.5" customHeight="1">
      <c r="A727" s="28"/>
      <c r="B727" s="28"/>
      <c r="C727" s="28"/>
      <c r="D727" s="28"/>
      <c r="E727" s="28"/>
      <c r="F727" s="28"/>
      <c r="G727" s="28"/>
      <c r="H727" s="28"/>
      <c r="I727" s="28"/>
      <c r="J727" s="28"/>
      <c r="K727" s="28"/>
      <c r="L727" s="28"/>
      <c r="M727" s="28"/>
      <c r="N727" s="28"/>
      <c r="O727" s="28"/>
      <c r="P727" s="28"/>
      <c r="Q727" s="28"/>
      <c r="R727" s="28"/>
      <c r="S727" s="28"/>
      <c r="T727" s="28"/>
      <c r="U727" s="28"/>
      <c r="V727" s="28"/>
    </row>
    <row r="728" ht="13.5" customHeight="1">
      <c r="A728" s="28"/>
      <c r="B728" s="28"/>
      <c r="C728" s="28"/>
      <c r="D728" s="28"/>
      <c r="E728" s="28"/>
      <c r="F728" s="28"/>
      <c r="G728" s="28"/>
      <c r="H728" s="28"/>
      <c r="I728" s="28"/>
      <c r="J728" s="28"/>
      <c r="K728" s="28"/>
      <c r="L728" s="28"/>
      <c r="M728" s="28"/>
      <c r="N728" s="28"/>
      <c r="O728" s="28"/>
      <c r="P728" s="28"/>
      <c r="Q728" s="28"/>
      <c r="R728" s="28"/>
      <c r="S728" s="28"/>
      <c r="T728" s="28"/>
      <c r="U728" s="28"/>
      <c r="V728" s="28"/>
    </row>
    <row r="729" ht="13.5" customHeight="1">
      <c r="A729" s="28"/>
      <c r="B729" s="28"/>
      <c r="C729" s="28"/>
      <c r="D729" s="28"/>
      <c r="E729" s="28"/>
      <c r="F729" s="28"/>
      <c r="G729" s="28"/>
      <c r="H729" s="28"/>
      <c r="I729" s="28"/>
      <c r="J729" s="28"/>
      <c r="K729" s="28"/>
      <c r="L729" s="28"/>
      <c r="M729" s="28"/>
      <c r="N729" s="28"/>
      <c r="O729" s="28"/>
      <c r="P729" s="28"/>
      <c r="Q729" s="28"/>
      <c r="R729" s="28"/>
      <c r="S729" s="28"/>
      <c r="T729" s="28"/>
      <c r="U729" s="28"/>
      <c r="V729" s="28"/>
    </row>
    <row r="730" ht="13.5" customHeight="1">
      <c r="A730" s="28"/>
      <c r="B730" s="28"/>
      <c r="C730" s="28"/>
      <c r="D730" s="28"/>
      <c r="E730" s="28"/>
      <c r="F730" s="28"/>
      <c r="G730" s="28"/>
      <c r="H730" s="28"/>
      <c r="I730" s="28"/>
      <c r="J730" s="28"/>
      <c r="K730" s="28"/>
      <c r="L730" s="28"/>
      <c r="M730" s="28"/>
      <c r="N730" s="28"/>
      <c r="O730" s="28"/>
      <c r="P730" s="28"/>
      <c r="Q730" s="28"/>
      <c r="R730" s="28"/>
      <c r="S730" s="28"/>
      <c r="T730" s="28"/>
      <c r="U730" s="28"/>
      <c r="V730" s="28"/>
    </row>
    <row r="731" ht="13.5" customHeight="1">
      <c r="A731" s="28"/>
      <c r="B731" s="28"/>
      <c r="C731" s="28"/>
      <c r="D731" s="28"/>
      <c r="E731" s="28"/>
      <c r="F731" s="28"/>
      <c r="G731" s="28"/>
      <c r="H731" s="28"/>
      <c r="I731" s="28"/>
      <c r="J731" s="28"/>
      <c r="K731" s="28"/>
      <c r="L731" s="28"/>
      <c r="M731" s="28"/>
      <c r="N731" s="28"/>
      <c r="O731" s="28"/>
      <c r="P731" s="28"/>
      <c r="Q731" s="28"/>
      <c r="R731" s="28"/>
      <c r="S731" s="28"/>
      <c r="T731" s="28"/>
      <c r="U731" s="28"/>
      <c r="V731" s="28"/>
    </row>
    <row r="732" ht="13.5" customHeight="1">
      <c r="A732" s="28"/>
      <c r="B732" s="28"/>
      <c r="C732" s="28"/>
      <c r="D732" s="28"/>
      <c r="E732" s="28"/>
      <c r="F732" s="28"/>
      <c r="G732" s="28"/>
      <c r="H732" s="28"/>
      <c r="I732" s="28"/>
      <c r="J732" s="28"/>
      <c r="K732" s="28"/>
      <c r="L732" s="28"/>
      <c r="M732" s="28"/>
      <c r="N732" s="28"/>
      <c r="O732" s="28"/>
      <c r="P732" s="28"/>
      <c r="Q732" s="28"/>
      <c r="R732" s="28"/>
      <c r="S732" s="28"/>
      <c r="T732" s="28"/>
      <c r="U732" s="28"/>
      <c r="V732" s="28"/>
    </row>
    <row r="733" ht="13.5" customHeight="1">
      <c r="A733" s="28"/>
      <c r="B733" s="28"/>
      <c r="C733" s="28"/>
      <c r="D733" s="28"/>
      <c r="E733" s="28"/>
      <c r="F733" s="28"/>
      <c r="G733" s="28"/>
      <c r="H733" s="28"/>
      <c r="I733" s="28"/>
      <c r="J733" s="28"/>
      <c r="K733" s="28"/>
      <c r="L733" s="28"/>
      <c r="M733" s="28"/>
      <c r="N733" s="28"/>
      <c r="O733" s="28"/>
      <c r="P733" s="28"/>
      <c r="Q733" s="28"/>
      <c r="R733" s="28"/>
      <c r="S733" s="28"/>
      <c r="T733" s="28"/>
      <c r="U733" s="28"/>
      <c r="V733" s="28"/>
    </row>
    <row r="734" ht="13.5" customHeight="1">
      <c r="A734" s="28"/>
      <c r="B734" s="28"/>
      <c r="C734" s="28"/>
      <c r="D734" s="28"/>
      <c r="E734" s="28"/>
      <c r="F734" s="28"/>
      <c r="G734" s="28"/>
      <c r="H734" s="28"/>
      <c r="I734" s="28"/>
      <c r="J734" s="28"/>
      <c r="K734" s="28"/>
      <c r="L734" s="28"/>
      <c r="M734" s="28"/>
      <c r="N734" s="28"/>
      <c r="O734" s="28"/>
      <c r="P734" s="28"/>
      <c r="Q734" s="28"/>
      <c r="R734" s="28"/>
      <c r="S734" s="28"/>
      <c r="T734" s="28"/>
      <c r="U734" s="28"/>
      <c r="V734" s="28"/>
    </row>
    <row r="735" ht="13.5" customHeight="1">
      <c r="A735" s="28"/>
      <c r="B735" s="28"/>
      <c r="C735" s="28"/>
      <c r="D735" s="28"/>
      <c r="E735" s="28"/>
      <c r="F735" s="28"/>
      <c r="G735" s="28"/>
      <c r="H735" s="28"/>
      <c r="I735" s="28"/>
      <c r="J735" s="28"/>
      <c r="K735" s="28"/>
      <c r="L735" s="28"/>
      <c r="M735" s="28"/>
      <c r="N735" s="28"/>
      <c r="O735" s="28"/>
      <c r="P735" s="28"/>
      <c r="Q735" s="28"/>
      <c r="R735" s="28"/>
      <c r="S735" s="28"/>
      <c r="T735" s="28"/>
      <c r="U735" s="28"/>
      <c r="V735" s="28"/>
    </row>
    <row r="736" ht="13.5" customHeight="1">
      <c r="A736" s="28"/>
      <c r="B736" s="28"/>
      <c r="C736" s="28"/>
      <c r="D736" s="28"/>
      <c r="E736" s="28"/>
      <c r="F736" s="28"/>
      <c r="G736" s="28"/>
      <c r="H736" s="28"/>
      <c r="I736" s="28"/>
      <c r="J736" s="28"/>
      <c r="K736" s="28"/>
      <c r="L736" s="28"/>
      <c r="M736" s="28"/>
      <c r="N736" s="28"/>
      <c r="O736" s="28"/>
      <c r="P736" s="28"/>
      <c r="Q736" s="28"/>
      <c r="R736" s="28"/>
      <c r="S736" s="28"/>
      <c r="T736" s="28"/>
      <c r="U736" s="28"/>
      <c r="V736" s="28"/>
    </row>
    <row r="737" ht="13.5" customHeight="1">
      <c r="A737" s="28"/>
      <c r="B737" s="28"/>
      <c r="C737" s="28"/>
      <c r="D737" s="28"/>
      <c r="E737" s="28"/>
      <c r="F737" s="28"/>
      <c r="G737" s="28"/>
      <c r="H737" s="28"/>
      <c r="I737" s="28"/>
      <c r="J737" s="28"/>
      <c r="K737" s="28"/>
      <c r="L737" s="28"/>
      <c r="M737" s="28"/>
      <c r="N737" s="28"/>
      <c r="O737" s="28"/>
      <c r="P737" s="28"/>
      <c r="Q737" s="28"/>
      <c r="R737" s="28"/>
      <c r="S737" s="28"/>
      <c r="T737" s="28"/>
      <c r="U737" s="28"/>
      <c r="V737" s="28"/>
    </row>
    <row r="738" ht="13.5" customHeight="1">
      <c r="A738" s="28"/>
      <c r="B738" s="28"/>
      <c r="C738" s="28"/>
      <c r="D738" s="28"/>
      <c r="E738" s="28"/>
      <c r="F738" s="28"/>
      <c r="G738" s="28"/>
      <c r="H738" s="28"/>
      <c r="I738" s="28"/>
      <c r="J738" s="28"/>
      <c r="K738" s="28"/>
      <c r="L738" s="28"/>
      <c r="M738" s="28"/>
      <c r="N738" s="28"/>
      <c r="O738" s="28"/>
      <c r="P738" s="28"/>
      <c r="Q738" s="28"/>
      <c r="R738" s="28"/>
      <c r="S738" s="28"/>
      <c r="T738" s="28"/>
      <c r="U738" s="28"/>
      <c r="V738" s="28"/>
    </row>
    <row r="739" ht="13.5" customHeight="1">
      <c r="A739" s="28"/>
      <c r="B739" s="28"/>
      <c r="C739" s="28"/>
      <c r="D739" s="28"/>
      <c r="E739" s="28"/>
      <c r="F739" s="28"/>
      <c r="G739" s="28"/>
      <c r="H739" s="28"/>
      <c r="I739" s="28"/>
      <c r="J739" s="28"/>
      <c r="K739" s="28"/>
      <c r="L739" s="28"/>
      <c r="M739" s="28"/>
      <c r="N739" s="28"/>
      <c r="O739" s="28"/>
      <c r="P739" s="28"/>
      <c r="Q739" s="28"/>
      <c r="R739" s="28"/>
      <c r="S739" s="28"/>
      <c r="T739" s="28"/>
      <c r="U739" s="28"/>
      <c r="V739" s="28"/>
    </row>
    <row r="740" ht="13.5" customHeight="1">
      <c r="A740" s="28"/>
      <c r="B740" s="28"/>
      <c r="C740" s="28"/>
      <c r="D740" s="28"/>
      <c r="E740" s="28"/>
      <c r="F740" s="28"/>
      <c r="G740" s="28"/>
      <c r="H740" s="28"/>
      <c r="I740" s="28"/>
      <c r="J740" s="28"/>
      <c r="K740" s="28"/>
      <c r="L740" s="28"/>
      <c r="M740" s="28"/>
      <c r="N740" s="28"/>
      <c r="O740" s="28"/>
      <c r="P740" s="28"/>
      <c r="Q740" s="28"/>
      <c r="R740" s="28"/>
      <c r="S740" s="28"/>
      <c r="T740" s="28"/>
      <c r="U740" s="28"/>
      <c r="V740" s="28"/>
    </row>
    <row r="741" ht="13.5" customHeight="1">
      <c r="A741" s="28"/>
      <c r="B741" s="28"/>
      <c r="C741" s="28"/>
      <c r="D741" s="28"/>
      <c r="E741" s="28"/>
      <c r="F741" s="28"/>
      <c r="G741" s="28"/>
      <c r="H741" s="28"/>
      <c r="I741" s="28"/>
      <c r="J741" s="28"/>
      <c r="K741" s="28"/>
      <c r="L741" s="28"/>
      <c r="M741" s="28"/>
      <c r="N741" s="28"/>
      <c r="O741" s="28"/>
      <c r="P741" s="28"/>
      <c r="Q741" s="28"/>
      <c r="R741" s="28"/>
      <c r="S741" s="28"/>
      <c r="T741" s="28"/>
      <c r="U741" s="28"/>
      <c r="V741" s="28"/>
    </row>
    <row r="742" ht="13.5" customHeight="1">
      <c r="A742" s="28"/>
      <c r="B742" s="28"/>
      <c r="C742" s="28"/>
      <c r="D742" s="28"/>
      <c r="E742" s="28"/>
      <c r="F742" s="28"/>
      <c r="G742" s="28"/>
      <c r="H742" s="28"/>
      <c r="I742" s="28"/>
      <c r="J742" s="28"/>
      <c r="K742" s="28"/>
      <c r="L742" s="28"/>
      <c r="M742" s="28"/>
      <c r="N742" s="28"/>
      <c r="O742" s="28"/>
      <c r="P742" s="28"/>
      <c r="Q742" s="28"/>
      <c r="R742" s="28"/>
      <c r="S742" s="28"/>
      <c r="T742" s="28"/>
      <c r="U742" s="28"/>
      <c r="V742" s="28"/>
    </row>
    <row r="743" ht="13.5" customHeight="1">
      <c r="A743" s="28"/>
      <c r="B743" s="28"/>
      <c r="C743" s="28"/>
      <c r="D743" s="28"/>
      <c r="E743" s="28"/>
      <c r="F743" s="28"/>
      <c r="G743" s="28"/>
      <c r="H743" s="28"/>
      <c r="I743" s="28"/>
      <c r="J743" s="28"/>
      <c r="K743" s="28"/>
      <c r="L743" s="28"/>
      <c r="M743" s="28"/>
      <c r="N743" s="28"/>
      <c r="O743" s="28"/>
      <c r="P743" s="28"/>
      <c r="Q743" s="28"/>
      <c r="R743" s="28"/>
      <c r="S743" s="28"/>
      <c r="T743" s="28"/>
      <c r="U743" s="28"/>
      <c r="V743" s="28"/>
    </row>
    <row r="744" ht="13.5" customHeight="1">
      <c r="A744" s="28"/>
      <c r="B744" s="28"/>
      <c r="C744" s="28"/>
      <c r="D744" s="28"/>
      <c r="E744" s="28"/>
      <c r="F744" s="28"/>
      <c r="G744" s="28"/>
      <c r="H744" s="28"/>
      <c r="I744" s="28"/>
      <c r="J744" s="28"/>
      <c r="K744" s="28"/>
      <c r="L744" s="28"/>
      <c r="M744" s="28"/>
      <c r="N744" s="28"/>
      <c r="O744" s="28"/>
      <c r="P744" s="28"/>
      <c r="Q744" s="28"/>
      <c r="R744" s="28"/>
      <c r="S744" s="28"/>
      <c r="T744" s="28"/>
      <c r="U744" s="28"/>
      <c r="V744" s="28"/>
    </row>
    <row r="745" ht="13.5" customHeight="1">
      <c r="A745" s="28"/>
      <c r="B745" s="28"/>
      <c r="C745" s="28"/>
      <c r="D745" s="28"/>
      <c r="E745" s="28"/>
      <c r="F745" s="28"/>
      <c r="G745" s="28"/>
      <c r="H745" s="28"/>
      <c r="I745" s="28"/>
      <c r="J745" s="28"/>
      <c r="K745" s="28"/>
      <c r="L745" s="28"/>
      <c r="M745" s="28"/>
      <c r="N745" s="28"/>
      <c r="O745" s="28"/>
      <c r="P745" s="28"/>
      <c r="Q745" s="28"/>
      <c r="R745" s="28"/>
      <c r="S745" s="28"/>
      <c r="T745" s="28"/>
      <c r="U745" s="28"/>
      <c r="V745" s="28"/>
    </row>
    <row r="746" ht="13.5" customHeight="1">
      <c r="A746" s="28"/>
      <c r="B746" s="28"/>
      <c r="C746" s="28"/>
      <c r="D746" s="28"/>
      <c r="E746" s="28"/>
      <c r="F746" s="28"/>
      <c r="G746" s="28"/>
      <c r="H746" s="28"/>
      <c r="I746" s="28"/>
      <c r="J746" s="28"/>
      <c r="K746" s="28"/>
      <c r="L746" s="28"/>
      <c r="M746" s="28"/>
      <c r="N746" s="28"/>
      <c r="O746" s="28"/>
      <c r="P746" s="28"/>
      <c r="Q746" s="28"/>
      <c r="R746" s="28"/>
      <c r="S746" s="28"/>
      <c r="T746" s="28"/>
      <c r="U746" s="28"/>
      <c r="V746" s="28"/>
    </row>
    <row r="747" ht="13.5" customHeight="1">
      <c r="A747" s="28"/>
      <c r="B747" s="28"/>
      <c r="C747" s="28"/>
      <c r="D747" s="28"/>
      <c r="E747" s="28"/>
      <c r="F747" s="28"/>
      <c r="G747" s="28"/>
      <c r="H747" s="28"/>
      <c r="I747" s="28"/>
      <c r="J747" s="28"/>
      <c r="K747" s="28"/>
      <c r="L747" s="28"/>
      <c r="M747" s="28"/>
      <c r="N747" s="28"/>
      <c r="O747" s="28"/>
      <c r="P747" s="28"/>
      <c r="Q747" s="28"/>
      <c r="R747" s="28"/>
      <c r="S747" s="28"/>
      <c r="T747" s="28"/>
      <c r="U747" s="28"/>
      <c r="V747" s="28"/>
    </row>
    <row r="748" ht="13.5" customHeight="1">
      <c r="A748" s="28"/>
      <c r="B748" s="28"/>
      <c r="C748" s="28"/>
      <c r="D748" s="28"/>
      <c r="E748" s="28"/>
      <c r="F748" s="28"/>
      <c r="G748" s="28"/>
      <c r="H748" s="28"/>
      <c r="I748" s="28"/>
      <c r="J748" s="28"/>
      <c r="K748" s="28"/>
      <c r="L748" s="28"/>
      <c r="M748" s="28"/>
      <c r="N748" s="28"/>
      <c r="O748" s="28"/>
      <c r="P748" s="28"/>
      <c r="Q748" s="28"/>
      <c r="R748" s="28"/>
      <c r="S748" s="28"/>
      <c r="T748" s="28"/>
      <c r="U748" s="28"/>
      <c r="V748" s="28"/>
    </row>
    <row r="749" ht="13.5" customHeight="1">
      <c r="A749" s="28"/>
      <c r="B749" s="28"/>
      <c r="C749" s="28"/>
      <c r="D749" s="28"/>
      <c r="E749" s="28"/>
      <c r="F749" s="28"/>
      <c r="G749" s="28"/>
      <c r="H749" s="28"/>
      <c r="I749" s="28"/>
      <c r="J749" s="28"/>
      <c r="K749" s="28"/>
      <c r="L749" s="28"/>
      <c r="M749" s="28"/>
      <c r="N749" s="28"/>
      <c r="O749" s="28"/>
      <c r="P749" s="28"/>
      <c r="Q749" s="28"/>
      <c r="R749" s="28"/>
      <c r="S749" s="28"/>
      <c r="T749" s="28"/>
      <c r="U749" s="28"/>
      <c r="V749" s="28"/>
    </row>
    <row r="750" ht="13.5" customHeight="1">
      <c r="A750" s="28"/>
      <c r="B750" s="28"/>
      <c r="C750" s="28"/>
      <c r="D750" s="28"/>
      <c r="E750" s="28"/>
      <c r="F750" s="28"/>
      <c r="G750" s="28"/>
      <c r="H750" s="28"/>
      <c r="I750" s="28"/>
      <c r="J750" s="28"/>
      <c r="K750" s="28"/>
      <c r="L750" s="28"/>
      <c r="M750" s="28"/>
      <c r="N750" s="28"/>
      <c r="O750" s="28"/>
      <c r="P750" s="28"/>
      <c r="Q750" s="28"/>
      <c r="R750" s="28"/>
      <c r="S750" s="28"/>
      <c r="T750" s="28"/>
      <c r="U750" s="28"/>
      <c r="V750" s="28"/>
    </row>
    <row r="751" ht="13.5" customHeight="1">
      <c r="A751" s="28"/>
      <c r="B751" s="28"/>
      <c r="C751" s="28"/>
      <c r="D751" s="28"/>
      <c r="E751" s="28"/>
      <c r="F751" s="28"/>
      <c r="G751" s="28"/>
      <c r="H751" s="28"/>
      <c r="I751" s="28"/>
      <c r="J751" s="28"/>
      <c r="K751" s="28"/>
      <c r="L751" s="28"/>
      <c r="M751" s="28"/>
      <c r="N751" s="28"/>
      <c r="O751" s="28"/>
      <c r="P751" s="28"/>
      <c r="Q751" s="28"/>
      <c r="R751" s="28"/>
      <c r="S751" s="28"/>
      <c r="T751" s="28"/>
      <c r="U751" s="28"/>
      <c r="V751" s="28"/>
    </row>
    <row r="752" ht="13.5" customHeight="1">
      <c r="A752" s="28"/>
      <c r="B752" s="28"/>
      <c r="C752" s="28"/>
      <c r="D752" s="28"/>
      <c r="E752" s="28"/>
      <c r="F752" s="28"/>
      <c r="G752" s="28"/>
      <c r="H752" s="28"/>
      <c r="I752" s="28"/>
      <c r="J752" s="28"/>
      <c r="K752" s="28"/>
      <c r="L752" s="28"/>
      <c r="M752" s="28"/>
      <c r="N752" s="28"/>
      <c r="O752" s="28"/>
      <c r="P752" s="28"/>
      <c r="Q752" s="28"/>
      <c r="R752" s="28"/>
      <c r="S752" s="28"/>
      <c r="T752" s="28"/>
      <c r="U752" s="28"/>
      <c r="V752" s="28"/>
    </row>
    <row r="753" ht="13.5" customHeight="1">
      <c r="A753" s="28"/>
      <c r="B753" s="28"/>
      <c r="C753" s="28"/>
      <c r="D753" s="28"/>
      <c r="E753" s="28"/>
      <c r="F753" s="28"/>
      <c r="G753" s="28"/>
      <c r="H753" s="28"/>
      <c r="I753" s="28"/>
      <c r="J753" s="28"/>
      <c r="K753" s="28"/>
      <c r="L753" s="28"/>
      <c r="M753" s="28"/>
      <c r="N753" s="28"/>
      <c r="O753" s="28"/>
      <c r="P753" s="28"/>
      <c r="Q753" s="28"/>
      <c r="R753" s="28"/>
      <c r="S753" s="28"/>
      <c r="T753" s="28"/>
      <c r="U753" s="28"/>
      <c r="V753" s="28"/>
    </row>
    <row r="754" ht="13.5" customHeight="1">
      <c r="A754" s="28"/>
      <c r="B754" s="28"/>
      <c r="C754" s="28"/>
      <c r="D754" s="28"/>
      <c r="E754" s="28"/>
      <c r="F754" s="28"/>
      <c r="G754" s="28"/>
      <c r="H754" s="28"/>
      <c r="I754" s="28"/>
      <c r="J754" s="28"/>
      <c r="K754" s="28"/>
      <c r="L754" s="28"/>
      <c r="M754" s="28"/>
      <c r="N754" s="28"/>
      <c r="O754" s="28"/>
      <c r="P754" s="28"/>
      <c r="Q754" s="28"/>
      <c r="R754" s="28"/>
      <c r="S754" s="28"/>
      <c r="T754" s="28"/>
      <c r="U754" s="28"/>
      <c r="V754" s="28"/>
    </row>
    <row r="755" ht="13.5" customHeight="1">
      <c r="A755" s="28"/>
      <c r="B755" s="28"/>
      <c r="C755" s="28"/>
      <c r="D755" s="28"/>
      <c r="E755" s="28"/>
      <c r="F755" s="28"/>
      <c r="G755" s="28"/>
      <c r="H755" s="28"/>
      <c r="I755" s="28"/>
      <c r="J755" s="28"/>
      <c r="K755" s="28"/>
      <c r="L755" s="28"/>
      <c r="M755" s="28"/>
      <c r="N755" s="28"/>
      <c r="O755" s="28"/>
      <c r="P755" s="28"/>
      <c r="Q755" s="28"/>
      <c r="R755" s="28"/>
      <c r="S755" s="28"/>
      <c r="T755" s="28"/>
      <c r="U755" s="28"/>
      <c r="V755" s="28"/>
    </row>
    <row r="756" ht="13.5" customHeight="1">
      <c r="A756" s="28"/>
      <c r="B756" s="28"/>
      <c r="C756" s="28"/>
      <c r="D756" s="28"/>
      <c r="E756" s="28"/>
      <c r="F756" s="28"/>
      <c r="G756" s="28"/>
      <c r="H756" s="28"/>
      <c r="I756" s="28"/>
      <c r="J756" s="28"/>
      <c r="K756" s="28"/>
      <c r="L756" s="28"/>
      <c r="M756" s="28"/>
      <c r="N756" s="28"/>
      <c r="O756" s="28"/>
      <c r="P756" s="28"/>
      <c r="Q756" s="28"/>
      <c r="R756" s="28"/>
      <c r="S756" s="28"/>
      <c r="T756" s="28"/>
      <c r="U756" s="28"/>
      <c r="V756" s="28"/>
    </row>
    <row r="757" ht="13.5" customHeight="1">
      <c r="A757" s="28"/>
      <c r="B757" s="28"/>
      <c r="C757" s="28"/>
      <c r="D757" s="28"/>
      <c r="E757" s="28"/>
      <c r="F757" s="28"/>
      <c r="G757" s="28"/>
      <c r="H757" s="28"/>
      <c r="I757" s="28"/>
      <c r="J757" s="28"/>
      <c r="K757" s="28"/>
      <c r="L757" s="28"/>
      <c r="M757" s="28"/>
      <c r="N757" s="28"/>
      <c r="O757" s="28"/>
      <c r="P757" s="28"/>
      <c r="Q757" s="28"/>
      <c r="R757" s="28"/>
      <c r="S757" s="28"/>
      <c r="T757" s="28"/>
      <c r="U757" s="28"/>
      <c r="V757" s="28"/>
    </row>
    <row r="758" ht="13.5" customHeight="1">
      <c r="A758" s="28"/>
      <c r="B758" s="28"/>
      <c r="C758" s="28"/>
      <c r="D758" s="28"/>
      <c r="E758" s="28"/>
      <c r="F758" s="28"/>
      <c r="G758" s="28"/>
      <c r="H758" s="28"/>
      <c r="I758" s="28"/>
      <c r="J758" s="28"/>
      <c r="K758" s="28"/>
      <c r="L758" s="28"/>
      <c r="M758" s="28"/>
      <c r="N758" s="28"/>
      <c r="O758" s="28"/>
      <c r="P758" s="28"/>
      <c r="Q758" s="28"/>
      <c r="R758" s="28"/>
      <c r="S758" s="28"/>
      <c r="T758" s="28"/>
      <c r="U758" s="28"/>
      <c r="V758" s="28"/>
    </row>
    <row r="759" ht="13.5" customHeight="1">
      <c r="A759" s="28"/>
      <c r="B759" s="28"/>
      <c r="C759" s="28"/>
      <c r="D759" s="28"/>
      <c r="E759" s="28"/>
      <c r="F759" s="28"/>
      <c r="G759" s="28"/>
      <c r="H759" s="28"/>
      <c r="I759" s="28"/>
      <c r="J759" s="28"/>
      <c r="K759" s="28"/>
      <c r="L759" s="28"/>
      <c r="M759" s="28"/>
      <c r="N759" s="28"/>
      <c r="O759" s="28"/>
      <c r="P759" s="28"/>
      <c r="Q759" s="28"/>
      <c r="R759" s="28"/>
      <c r="S759" s="28"/>
      <c r="T759" s="28"/>
      <c r="U759" s="28"/>
      <c r="V759" s="28"/>
    </row>
    <row r="760" ht="13.5" customHeight="1">
      <c r="A760" s="28"/>
      <c r="B760" s="28"/>
      <c r="C760" s="28"/>
      <c r="D760" s="28"/>
      <c r="E760" s="28"/>
      <c r="F760" s="28"/>
      <c r="G760" s="28"/>
      <c r="H760" s="28"/>
      <c r="I760" s="28"/>
      <c r="J760" s="28"/>
      <c r="K760" s="28"/>
      <c r="L760" s="28"/>
      <c r="M760" s="28"/>
      <c r="N760" s="28"/>
      <c r="O760" s="28"/>
      <c r="P760" s="28"/>
      <c r="Q760" s="28"/>
      <c r="R760" s="28"/>
      <c r="S760" s="28"/>
      <c r="T760" s="28"/>
      <c r="U760" s="28"/>
      <c r="V760" s="28"/>
    </row>
    <row r="761" ht="13.5" customHeight="1">
      <c r="A761" s="28"/>
      <c r="B761" s="28"/>
      <c r="C761" s="28"/>
      <c r="D761" s="28"/>
      <c r="E761" s="28"/>
      <c r="F761" s="28"/>
      <c r="G761" s="28"/>
      <c r="H761" s="28"/>
      <c r="I761" s="28"/>
      <c r="J761" s="28"/>
      <c r="K761" s="28"/>
      <c r="L761" s="28"/>
      <c r="M761" s="28"/>
      <c r="N761" s="28"/>
      <c r="O761" s="28"/>
      <c r="P761" s="28"/>
      <c r="Q761" s="28"/>
      <c r="R761" s="28"/>
      <c r="S761" s="28"/>
      <c r="T761" s="28"/>
      <c r="U761" s="28"/>
      <c r="V761" s="28"/>
    </row>
    <row r="762" ht="13.5" customHeight="1">
      <c r="A762" s="28"/>
      <c r="B762" s="28"/>
      <c r="C762" s="28"/>
      <c r="D762" s="28"/>
      <c r="E762" s="28"/>
      <c r="F762" s="28"/>
      <c r="G762" s="28"/>
      <c r="H762" s="28"/>
      <c r="I762" s="28"/>
      <c r="J762" s="28"/>
      <c r="K762" s="28"/>
      <c r="L762" s="28"/>
      <c r="M762" s="28"/>
      <c r="N762" s="28"/>
      <c r="O762" s="28"/>
      <c r="P762" s="28"/>
      <c r="Q762" s="28"/>
      <c r="R762" s="28"/>
      <c r="S762" s="28"/>
      <c r="T762" s="28"/>
      <c r="U762" s="28"/>
      <c r="V762" s="28"/>
    </row>
    <row r="763" ht="13.5" customHeight="1">
      <c r="A763" s="28"/>
      <c r="B763" s="28"/>
      <c r="C763" s="28"/>
      <c r="D763" s="28"/>
      <c r="E763" s="28"/>
      <c r="F763" s="28"/>
      <c r="G763" s="28"/>
      <c r="H763" s="28"/>
      <c r="I763" s="28"/>
      <c r="J763" s="28"/>
      <c r="K763" s="28"/>
      <c r="L763" s="28"/>
      <c r="M763" s="28"/>
      <c r="N763" s="28"/>
      <c r="O763" s="28"/>
      <c r="P763" s="28"/>
      <c r="Q763" s="28"/>
      <c r="R763" s="28"/>
      <c r="S763" s="28"/>
      <c r="T763" s="28"/>
      <c r="U763" s="28"/>
      <c r="V763" s="28"/>
    </row>
    <row r="764" ht="13.5" customHeight="1">
      <c r="A764" s="28"/>
      <c r="B764" s="28"/>
      <c r="C764" s="28"/>
      <c r="D764" s="28"/>
      <c r="E764" s="28"/>
      <c r="F764" s="28"/>
      <c r="G764" s="28"/>
      <c r="H764" s="28"/>
      <c r="I764" s="28"/>
      <c r="J764" s="28"/>
      <c r="K764" s="28"/>
      <c r="L764" s="28"/>
      <c r="M764" s="28"/>
      <c r="N764" s="28"/>
      <c r="O764" s="28"/>
      <c r="P764" s="28"/>
      <c r="Q764" s="28"/>
      <c r="R764" s="28"/>
      <c r="S764" s="28"/>
      <c r="T764" s="28"/>
      <c r="U764" s="28"/>
      <c r="V764" s="28"/>
    </row>
    <row r="765" ht="13.5" customHeight="1">
      <c r="A765" s="28"/>
      <c r="B765" s="28"/>
      <c r="C765" s="28"/>
      <c r="D765" s="28"/>
      <c r="E765" s="28"/>
      <c r="F765" s="28"/>
      <c r="G765" s="28"/>
      <c r="H765" s="28"/>
      <c r="I765" s="28"/>
      <c r="J765" s="28"/>
      <c r="K765" s="28"/>
      <c r="L765" s="28"/>
      <c r="M765" s="28"/>
      <c r="N765" s="28"/>
      <c r="O765" s="28"/>
      <c r="P765" s="28"/>
      <c r="Q765" s="28"/>
      <c r="R765" s="28"/>
      <c r="S765" s="28"/>
      <c r="T765" s="28"/>
      <c r="U765" s="28"/>
      <c r="V765" s="28"/>
    </row>
    <row r="766" ht="13.5" customHeight="1">
      <c r="A766" s="28"/>
      <c r="B766" s="28"/>
      <c r="C766" s="28"/>
      <c r="D766" s="28"/>
      <c r="E766" s="28"/>
      <c r="F766" s="28"/>
      <c r="G766" s="28"/>
      <c r="H766" s="28"/>
      <c r="I766" s="28"/>
      <c r="J766" s="28"/>
      <c r="K766" s="28"/>
      <c r="L766" s="28"/>
      <c r="M766" s="28"/>
      <c r="N766" s="28"/>
      <c r="O766" s="28"/>
      <c r="P766" s="28"/>
      <c r="Q766" s="28"/>
      <c r="R766" s="28"/>
      <c r="S766" s="28"/>
      <c r="T766" s="28"/>
      <c r="U766" s="28"/>
      <c r="V766" s="28"/>
    </row>
    <row r="767" ht="13.5" customHeight="1">
      <c r="A767" s="28"/>
      <c r="B767" s="28"/>
      <c r="C767" s="28"/>
      <c r="D767" s="28"/>
      <c r="E767" s="28"/>
      <c r="F767" s="28"/>
      <c r="G767" s="28"/>
      <c r="H767" s="28"/>
      <c r="I767" s="28"/>
      <c r="J767" s="28"/>
      <c r="K767" s="28"/>
      <c r="L767" s="28"/>
      <c r="M767" s="28"/>
      <c r="N767" s="28"/>
      <c r="O767" s="28"/>
      <c r="P767" s="28"/>
      <c r="Q767" s="28"/>
      <c r="R767" s="28"/>
      <c r="S767" s="28"/>
      <c r="T767" s="28"/>
      <c r="U767" s="28"/>
      <c r="V767" s="28"/>
    </row>
    <row r="768" ht="13.5" customHeight="1">
      <c r="A768" s="28"/>
      <c r="B768" s="28"/>
      <c r="C768" s="28"/>
      <c r="D768" s="28"/>
      <c r="E768" s="28"/>
      <c r="F768" s="28"/>
      <c r="G768" s="28"/>
      <c r="H768" s="28"/>
      <c r="I768" s="28"/>
      <c r="J768" s="28"/>
      <c r="K768" s="28"/>
      <c r="L768" s="28"/>
      <c r="M768" s="28"/>
      <c r="N768" s="28"/>
      <c r="O768" s="28"/>
      <c r="P768" s="28"/>
      <c r="Q768" s="28"/>
      <c r="R768" s="28"/>
      <c r="S768" s="28"/>
      <c r="T768" s="28"/>
      <c r="U768" s="28"/>
      <c r="V768" s="28"/>
    </row>
    <row r="769" ht="13.5" customHeight="1">
      <c r="A769" s="28"/>
      <c r="B769" s="28"/>
      <c r="C769" s="28"/>
      <c r="D769" s="28"/>
      <c r="E769" s="28"/>
      <c r="F769" s="28"/>
      <c r="G769" s="28"/>
      <c r="H769" s="28"/>
      <c r="I769" s="28"/>
      <c r="J769" s="28"/>
      <c r="K769" s="28"/>
      <c r="L769" s="28"/>
      <c r="M769" s="28"/>
      <c r="N769" s="28"/>
      <c r="O769" s="28"/>
      <c r="P769" s="28"/>
      <c r="Q769" s="28"/>
      <c r="R769" s="28"/>
      <c r="S769" s="28"/>
      <c r="T769" s="28"/>
      <c r="U769" s="28"/>
      <c r="V769" s="28"/>
    </row>
    <row r="770" ht="13.5" customHeight="1">
      <c r="A770" s="28"/>
      <c r="B770" s="28"/>
      <c r="C770" s="28"/>
      <c r="D770" s="28"/>
      <c r="E770" s="28"/>
      <c r="F770" s="28"/>
      <c r="G770" s="28"/>
      <c r="H770" s="28"/>
      <c r="I770" s="28"/>
      <c r="J770" s="28"/>
      <c r="K770" s="28"/>
      <c r="L770" s="28"/>
      <c r="M770" s="28"/>
      <c r="N770" s="28"/>
      <c r="O770" s="28"/>
      <c r="P770" s="28"/>
      <c r="Q770" s="28"/>
      <c r="R770" s="28"/>
      <c r="S770" s="28"/>
      <c r="T770" s="28"/>
      <c r="U770" s="28"/>
      <c r="V770" s="28"/>
    </row>
    <row r="771" ht="13.5" customHeight="1">
      <c r="A771" s="28"/>
      <c r="B771" s="28"/>
      <c r="C771" s="28"/>
      <c r="D771" s="28"/>
      <c r="E771" s="28"/>
      <c r="F771" s="28"/>
      <c r="G771" s="28"/>
      <c r="H771" s="28"/>
      <c r="I771" s="28"/>
      <c r="J771" s="28"/>
      <c r="K771" s="28"/>
      <c r="L771" s="28"/>
      <c r="M771" s="28"/>
      <c r="N771" s="28"/>
      <c r="O771" s="28"/>
      <c r="P771" s="28"/>
      <c r="Q771" s="28"/>
      <c r="R771" s="28"/>
      <c r="S771" s="28"/>
      <c r="T771" s="28"/>
      <c r="U771" s="28"/>
      <c r="V771" s="28"/>
    </row>
    <row r="772" ht="13.5" customHeight="1">
      <c r="A772" s="28"/>
      <c r="B772" s="28"/>
      <c r="C772" s="28"/>
      <c r="D772" s="28"/>
      <c r="E772" s="28"/>
      <c r="F772" s="28"/>
      <c r="G772" s="28"/>
      <c r="H772" s="28"/>
      <c r="I772" s="28"/>
      <c r="J772" s="28"/>
      <c r="K772" s="28"/>
      <c r="L772" s="28"/>
      <c r="M772" s="28"/>
      <c r="N772" s="28"/>
      <c r="O772" s="28"/>
      <c r="P772" s="28"/>
      <c r="Q772" s="28"/>
      <c r="R772" s="28"/>
      <c r="S772" s="28"/>
      <c r="T772" s="28"/>
      <c r="U772" s="28"/>
      <c r="V772" s="28"/>
    </row>
    <row r="773" ht="13.5" customHeight="1">
      <c r="A773" s="28"/>
      <c r="B773" s="28"/>
      <c r="C773" s="28"/>
      <c r="D773" s="28"/>
      <c r="E773" s="28"/>
      <c r="F773" s="28"/>
      <c r="G773" s="28"/>
      <c r="H773" s="28"/>
      <c r="I773" s="28"/>
      <c r="J773" s="28"/>
      <c r="K773" s="28"/>
      <c r="L773" s="28"/>
      <c r="M773" s="28"/>
      <c r="N773" s="28"/>
      <c r="O773" s="28"/>
      <c r="P773" s="28"/>
      <c r="Q773" s="28"/>
      <c r="R773" s="28"/>
      <c r="S773" s="28"/>
      <c r="T773" s="28"/>
      <c r="U773" s="28"/>
      <c r="V773" s="28"/>
    </row>
    <row r="774" ht="13.5" customHeight="1">
      <c r="A774" s="28"/>
      <c r="B774" s="28"/>
      <c r="C774" s="28"/>
      <c r="D774" s="28"/>
      <c r="E774" s="28"/>
      <c r="F774" s="28"/>
      <c r="G774" s="28"/>
      <c r="H774" s="28"/>
      <c r="I774" s="28"/>
      <c r="J774" s="28"/>
      <c r="K774" s="28"/>
      <c r="L774" s="28"/>
      <c r="M774" s="28"/>
      <c r="N774" s="28"/>
      <c r="O774" s="28"/>
      <c r="P774" s="28"/>
      <c r="Q774" s="28"/>
      <c r="R774" s="28"/>
      <c r="S774" s="28"/>
      <c r="T774" s="28"/>
      <c r="U774" s="28"/>
      <c r="V774" s="28"/>
    </row>
    <row r="775" ht="13.5" customHeight="1">
      <c r="A775" s="28"/>
      <c r="B775" s="28"/>
      <c r="C775" s="28"/>
      <c r="D775" s="28"/>
      <c r="E775" s="28"/>
      <c r="F775" s="28"/>
      <c r="G775" s="28"/>
      <c r="H775" s="28"/>
      <c r="I775" s="28"/>
      <c r="J775" s="28"/>
      <c r="K775" s="28"/>
      <c r="L775" s="28"/>
      <c r="M775" s="28"/>
      <c r="N775" s="28"/>
      <c r="O775" s="28"/>
      <c r="P775" s="28"/>
      <c r="Q775" s="28"/>
      <c r="R775" s="28"/>
      <c r="S775" s="28"/>
      <c r="T775" s="28"/>
      <c r="U775" s="28"/>
      <c r="V775" s="28"/>
    </row>
    <row r="776" ht="13.5" customHeight="1">
      <c r="A776" s="28"/>
      <c r="B776" s="28"/>
      <c r="C776" s="28"/>
      <c r="D776" s="28"/>
      <c r="E776" s="28"/>
      <c r="F776" s="28"/>
      <c r="G776" s="28"/>
      <c r="H776" s="28"/>
      <c r="I776" s="28"/>
      <c r="J776" s="28"/>
      <c r="K776" s="28"/>
      <c r="L776" s="28"/>
      <c r="M776" s="28"/>
      <c r="N776" s="28"/>
      <c r="O776" s="28"/>
      <c r="P776" s="28"/>
      <c r="Q776" s="28"/>
      <c r="R776" s="28"/>
      <c r="S776" s="28"/>
      <c r="T776" s="28"/>
      <c r="U776" s="28"/>
      <c r="V776" s="28"/>
    </row>
    <row r="777" ht="13.5" customHeight="1">
      <c r="A777" s="28"/>
      <c r="B777" s="28"/>
      <c r="C777" s="28"/>
      <c r="D777" s="28"/>
      <c r="E777" s="28"/>
      <c r="F777" s="28"/>
      <c r="G777" s="28"/>
      <c r="H777" s="28"/>
      <c r="I777" s="28"/>
      <c r="J777" s="28"/>
      <c r="K777" s="28"/>
      <c r="L777" s="28"/>
      <c r="M777" s="28"/>
      <c r="N777" s="28"/>
      <c r="O777" s="28"/>
      <c r="P777" s="28"/>
      <c r="Q777" s="28"/>
      <c r="R777" s="28"/>
      <c r="S777" s="28"/>
      <c r="T777" s="28"/>
      <c r="U777" s="28"/>
      <c r="V777" s="28"/>
    </row>
    <row r="778" ht="13.5" customHeight="1">
      <c r="A778" s="28"/>
      <c r="B778" s="28"/>
      <c r="C778" s="28"/>
      <c r="D778" s="28"/>
      <c r="E778" s="28"/>
      <c r="F778" s="28"/>
      <c r="G778" s="28"/>
      <c r="H778" s="28"/>
      <c r="I778" s="28"/>
      <c r="J778" s="28"/>
      <c r="K778" s="28"/>
      <c r="L778" s="28"/>
      <c r="M778" s="28"/>
      <c r="N778" s="28"/>
      <c r="O778" s="28"/>
      <c r="P778" s="28"/>
      <c r="Q778" s="28"/>
      <c r="R778" s="28"/>
      <c r="S778" s="28"/>
      <c r="T778" s="28"/>
      <c r="U778" s="28"/>
      <c r="V778" s="28"/>
    </row>
    <row r="779" ht="13.5" customHeight="1">
      <c r="A779" s="28"/>
      <c r="B779" s="28"/>
      <c r="C779" s="28"/>
      <c r="D779" s="28"/>
      <c r="E779" s="28"/>
      <c r="F779" s="28"/>
      <c r="G779" s="28"/>
      <c r="H779" s="28"/>
      <c r="I779" s="28"/>
      <c r="J779" s="28"/>
      <c r="K779" s="28"/>
      <c r="L779" s="28"/>
      <c r="M779" s="28"/>
      <c r="N779" s="28"/>
      <c r="O779" s="28"/>
      <c r="P779" s="28"/>
      <c r="Q779" s="28"/>
      <c r="R779" s="28"/>
      <c r="S779" s="28"/>
      <c r="T779" s="28"/>
      <c r="U779" s="28"/>
      <c r="V779" s="28"/>
    </row>
    <row r="780" ht="13.5" customHeight="1">
      <c r="A780" s="28"/>
      <c r="B780" s="28"/>
      <c r="C780" s="28"/>
      <c r="D780" s="28"/>
      <c r="E780" s="28"/>
      <c r="F780" s="28"/>
      <c r="G780" s="28"/>
      <c r="H780" s="28"/>
      <c r="I780" s="28"/>
      <c r="J780" s="28"/>
      <c r="K780" s="28"/>
      <c r="L780" s="28"/>
      <c r="M780" s="28"/>
      <c r="N780" s="28"/>
      <c r="O780" s="28"/>
      <c r="P780" s="28"/>
      <c r="Q780" s="28"/>
      <c r="R780" s="28"/>
      <c r="S780" s="28"/>
      <c r="T780" s="28"/>
      <c r="U780" s="28"/>
      <c r="V780" s="28"/>
    </row>
    <row r="781" ht="13.5" customHeight="1">
      <c r="A781" s="28"/>
      <c r="B781" s="28"/>
      <c r="C781" s="28"/>
      <c r="D781" s="28"/>
      <c r="E781" s="28"/>
      <c r="F781" s="28"/>
      <c r="G781" s="28"/>
      <c r="H781" s="28"/>
      <c r="I781" s="28"/>
      <c r="J781" s="28"/>
      <c r="K781" s="28"/>
      <c r="L781" s="28"/>
      <c r="M781" s="28"/>
      <c r="N781" s="28"/>
      <c r="O781" s="28"/>
      <c r="P781" s="28"/>
      <c r="Q781" s="28"/>
      <c r="R781" s="28"/>
      <c r="S781" s="28"/>
      <c r="T781" s="28"/>
      <c r="U781" s="28"/>
      <c r="V781" s="28"/>
    </row>
    <row r="782" ht="13.5" customHeight="1">
      <c r="A782" s="28"/>
      <c r="B782" s="28"/>
      <c r="C782" s="28"/>
      <c r="D782" s="28"/>
      <c r="E782" s="28"/>
      <c r="F782" s="28"/>
      <c r="G782" s="28"/>
      <c r="H782" s="28"/>
      <c r="I782" s="28"/>
      <c r="J782" s="28"/>
      <c r="K782" s="28"/>
      <c r="L782" s="28"/>
      <c r="M782" s="28"/>
      <c r="N782" s="28"/>
      <c r="O782" s="28"/>
      <c r="P782" s="28"/>
      <c r="Q782" s="28"/>
      <c r="R782" s="28"/>
      <c r="S782" s="28"/>
      <c r="T782" s="28"/>
      <c r="U782" s="28"/>
      <c r="V782" s="28"/>
    </row>
    <row r="783" ht="13.5" customHeight="1">
      <c r="A783" s="28"/>
      <c r="B783" s="28"/>
      <c r="C783" s="28"/>
      <c r="D783" s="28"/>
      <c r="E783" s="28"/>
      <c r="F783" s="28"/>
      <c r="G783" s="28"/>
      <c r="H783" s="28"/>
      <c r="I783" s="28"/>
      <c r="J783" s="28"/>
      <c r="K783" s="28"/>
      <c r="L783" s="28"/>
      <c r="M783" s="28"/>
      <c r="N783" s="28"/>
      <c r="O783" s="28"/>
      <c r="P783" s="28"/>
      <c r="Q783" s="28"/>
      <c r="R783" s="28"/>
      <c r="S783" s="28"/>
      <c r="T783" s="28"/>
      <c r="U783" s="28"/>
      <c r="V783" s="28"/>
    </row>
    <row r="784" ht="13.5" customHeight="1">
      <c r="A784" s="28"/>
      <c r="B784" s="28"/>
      <c r="C784" s="28"/>
      <c r="D784" s="28"/>
      <c r="E784" s="28"/>
      <c r="F784" s="28"/>
      <c r="G784" s="28"/>
      <c r="H784" s="28"/>
      <c r="I784" s="28"/>
      <c r="J784" s="28"/>
      <c r="K784" s="28"/>
      <c r="L784" s="28"/>
      <c r="M784" s="28"/>
      <c r="N784" s="28"/>
      <c r="O784" s="28"/>
      <c r="P784" s="28"/>
      <c r="Q784" s="28"/>
      <c r="R784" s="28"/>
      <c r="S784" s="28"/>
      <c r="T784" s="28"/>
      <c r="U784" s="28"/>
      <c r="V784" s="28"/>
    </row>
    <row r="785" ht="13.5" customHeight="1">
      <c r="A785" s="28"/>
      <c r="B785" s="28"/>
      <c r="C785" s="28"/>
      <c r="D785" s="28"/>
      <c r="E785" s="28"/>
      <c r="F785" s="28"/>
      <c r="G785" s="28"/>
      <c r="H785" s="28"/>
      <c r="I785" s="28"/>
      <c r="J785" s="28"/>
      <c r="K785" s="28"/>
      <c r="L785" s="28"/>
      <c r="M785" s="28"/>
      <c r="N785" s="28"/>
      <c r="O785" s="28"/>
      <c r="P785" s="28"/>
      <c r="Q785" s="28"/>
      <c r="R785" s="28"/>
      <c r="S785" s="28"/>
      <c r="T785" s="28"/>
      <c r="U785" s="28"/>
      <c r="V785" s="28"/>
    </row>
    <row r="786" ht="13.5" customHeight="1">
      <c r="A786" s="28"/>
      <c r="B786" s="28"/>
      <c r="C786" s="28"/>
      <c r="D786" s="28"/>
      <c r="E786" s="28"/>
      <c r="F786" s="28"/>
      <c r="G786" s="28"/>
      <c r="H786" s="28"/>
      <c r="I786" s="28"/>
      <c r="J786" s="28"/>
      <c r="K786" s="28"/>
      <c r="L786" s="28"/>
      <c r="M786" s="28"/>
      <c r="N786" s="28"/>
      <c r="O786" s="28"/>
      <c r="P786" s="28"/>
      <c r="Q786" s="28"/>
      <c r="R786" s="28"/>
      <c r="S786" s="28"/>
      <c r="T786" s="28"/>
      <c r="U786" s="28"/>
      <c r="V786" s="28"/>
    </row>
    <row r="787" ht="13.5" customHeight="1">
      <c r="A787" s="28"/>
      <c r="B787" s="28"/>
      <c r="C787" s="28"/>
      <c r="D787" s="28"/>
      <c r="E787" s="28"/>
      <c r="F787" s="28"/>
      <c r="G787" s="28"/>
      <c r="H787" s="28"/>
      <c r="I787" s="28"/>
      <c r="J787" s="28"/>
      <c r="K787" s="28"/>
      <c r="L787" s="28"/>
      <c r="M787" s="28"/>
      <c r="N787" s="28"/>
      <c r="O787" s="28"/>
      <c r="P787" s="28"/>
      <c r="Q787" s="28"/>
      <c r="R787" s="28"/>
      <c r="S787" s="28"/>
      <c r="T787" s="28"/>
      <c r="U787" s="28"/>
      <c r="V787" s="28"/>
    </row>
    <row r="788" ht="13.5" customHeight="1">
      <c r="A788" s="28"/>
      <c r="B788" s="28"/>
      <c r="C788" s="28"/>
      <c r="D788" s="28"/>
      <c r="E788" s="28"/>
      <c r="F788" s="28"/>
      <c r="G788" s="28"/>
      <c r="H788" s="28"/>
      <c r="I788" s="28"/>
      <c r="J788" s="28"/>
      <c r="K788" s="28"/>
      <c r="L788" s="28"/>
      <c r="M788" s="28"/>
      <c r="N788" s="28"/>
      <c r="O788" s="28"/>
      <c r="P788" s="28"/>
      <c r="Q788" s="28"/>
      <c r="R788" s="28"/>
      <c r="S788" s="28"/>
      <c r="T788" s="28"/>
      <c r="U788" s="28"/>
      <c r="V788" s="28"/>
    </row>
    <row r="789" ht="13.5" customHeight="1">
      <c r="A789" s="28"/>
      <c r="B789" s="28"/>
      <c r="C789" s="28"/>
      <c r="D789" s="28"/>
      <c r="E789" s="28"/>
      <c r="F789" s="28"/>
      <c r="G789" s="28"/>
      <c r="H789" s="28"/>
      <c r="I789" s="28"/>
      <c r="J789" s="28"/>
      <c r="K789" s="28"/>
      <c r="L789" s="28"/>
      <c r="M789" s="28"/>
      <c r="N789" s="28"/>
      <c r="O789" s="28"/>
      <c r="P789" s="28"/>
      <c r="Q789" s="28"/>
      <c r="R789" s="28"/>
      <c r="S789" s="28"/>
      <c r="T789" s="28"/>
      <c r="U789" s="28"/>
      <c r="V789" s="28"/>
    </row>
    <row r="790" ht="13.5" customHeight="1">
      <c r="A790" s="28"/>
      <c r="B790" s="28"/>
      <c r="C790" s="28"/>
      <c r="D790" s="28"/>
      <c r="E790" s="28"/>
      <c r="F790" s="28"/>
      <c r="G790" s="28"/>
      <c r="H790" s="28"/>
      <c r="I790" s="28"/>
      <c r="J790" s="28"/>
      <c r="K790" s="28"/>
      <c r="L790" s="28"/>
      <c r="M790" s="28"/>
      <c r="N790" s="28"/>
      <c r="O790" s="28"/>
      <c r="P790" s="28"/>
      <c r="Q790" s="28"/>
      <c r="R790" s="28"/>
      <c r="S790" s="28"/>
      <c r="T790" s="28"/>
      <c r="U790" s="28"/>
      <c r="V790" s="28"/>
    </row>
    <row r="791" ht="13.5" customHeight="1">
      <c r="A791" s="28"/>
      <c r="B791" s="28"/>
      <c r="C791" s="28"/>
      <c r="D791" s="28"/>
      <c r="E791" s="28"/>
      <c r="F791" s="28"/>
      <c r="G791" s="28"/>
      <c r="H791" s="28"/>
      <c r="I791" s="28"/>
      <c r="J791" s="28"/>
      <c r="K791" s="28"/>
      <c r="L791" s="28"/>
      <c r="M791" s="28"/>
      <c r="N791" s="28"/>
      <c r="O791" s="28"/>
      <c r="P791" s="28"/>
      <c r="Q791" s="28"/>
      <c r="R791" s="28"/>
      <c r="S791" s="28"/>
      <c r="T791" s="28"/>
      <c r="U791" s="28"/>
      <c r="V791" s="28"/>
    </row>
    <row r="792" ht="13.5" customHeight="1">
      <c r="A792" s="28"/>
      <c r="B792" s="28"/>
      <c r="C792" s="28"/>
      <c r="D792" s="28"/>
      <c r="E792" s="28"/>
      <c r="F792" s="28"/>
      <c r="G792" s="28"/>
      <c r="H792" s="28"/>
      <c r="I792" s="28"/>
      <c r="J792" s="28"/>
      <c r="K792" s="28"/>
      <c r="L792" s="28"/>
      <c r="M792" s="28"/>
      <c r="N792" s="28"/>
      <c r="O792" s="28"/>
      <c r="P792" s="28"/>
      <c r="Q792" s="28"/>
      <c r="R792" s="28"/>
      <c r="S792" s="28"/>
      <c r="T792" s="28"/>
      <c r="U792" s="28"/>
      <c r="V792" s="28"/>
    </row>
    <row r="793" ht="13.5" customHeight="1">
      <c r="A793" s="28"/>
      <c r="B793" s="28"/>
      <c r="C793" s="28"/>
      <c r="D793" s="28"/>
      <c r="E793" s="28"/>
      <c r="F793" s="28"/>
      <c r="G793" s="28"/>
      <c r="H793" s="28"/>
      <c r="I793" s="28"/>
      <c r="J793" s="28"/>
      <c r="K793" s="28"/>
      <c r="L793" s="28"/>
      <c r="M793" s="28"/>
      <c r="N793" s="28"/>
      <c r="O793" s="28"/>
      <c r="P793" s="28"/>
      <c r="Q793" s="28"/>
      <c r="R793" s="28"/>
      <c r="S793" s="28"/>
      <c r="T793" s="28"/>
      <c r="U793" s="28"/>
      <c r="V793" s="28"/>
    </row>
    <row r="794" ht="13.5" customHeight="1">
      <c r="A794" s="28"/>
      <c r="B794" s="28"/>
      <c r="C794" s="28"/>
      <c r="D794" s="28"/>
      <c r="E794" s="28"/>
      <c r="F794" s="28"/>
      <c r="G794" s="28"/>
      <c r="H794" s="28"/>
      <c r="I794" s="28"/>
      <c r="J794" s="28"/>
      <c r="K794" s="28"/>
      <c r="L794" s="28"/>
      <c r="M794" s="28"/>
      <c r="N794" s="28"/>
      <c r="O794" s="28"/>
      <c r="P794" s="28"/>
      <c r="Q794" s="28"/>
      <c r="R794" s="28"/>
      <c r="S794" s="28"/>
      <c r="T794" s="28"/>
      <c r="U794" s="28"/>
      <c r="V794" s="28"/>
    </row>
    <row r="795" ht="13.5" customHeight="1">
      <c r="A795" s="28"/>
      <c r="B795" s="28"/>
      <c r="C795" s="28"/>
      <c r="D795" s="28"/>
      <c r="E795" s="28"/>
      <c r="F795" s="28"/>
      <c r="G795" s="28"/>
      <c r="H795" s="28"/>
      <c r="I795" s="28"/>
      <c r="J795" s="28"/>
      <c r="K795" s="28"/>
      <c r="L795" s="28"/>
      <c r="M795" s="28"/>
      <c r="N795" s="28"/>
      <c r="O795" s="28"/>
      <c r="P795" s="28"/>
      <c r="Q795" s="28"/>
      <c r="R795" s="28"/>
      <c r="S795" s="28"/>
      <c r="T795" s="28"/>
      <c r="U795" s="28"/>
      <c r="V795" s="28"/>
    </row>
    <row r="796" ht="13.5" customHeight="1">
      <c r="A796" s="28"/>
      <c r="B796" s="28"/>
      <c r="C796" s="28"/>
      <c r="D796" s="28"/>
      <c r="E796" s="28"/>
      <c r="F796" s="28"/>
      <c r="G796" s="28"/>
      <c r="H796" s="28"/>
      <c r="I796" s="28"/>
      <c r="J796" s="28"/>
      <c r="K796" s="28"/>
      <c r="L796" s="28"/>
      <c r="M796" s="28"/>
      <c r="N796" s="28"/>
      <c r="O796" s="28"/>
      <c r="P796" s="28"/>
      <c r="Q796" s="28"/>
      <c r="R796" s="28"/>
      <c r="S796" s="28"/>
      <c r="T796" s="28"/>
      <c r="U796" s="28"/>
      <c r="V796" s="28"/>
    </row>
    <row r="797" ht="13.5" customHeight="1">
      <c r="A797" s="28"/>
      <c r="B797" s="28"/>
      <c r="C797" s="28"/>
      <c r="D797" s="28"/>
      <c r="E797" s="28"/>
      <c r="F797" s="28"/>
      <c r="G797" s="28"/>
      <c r="H797" s="28"/>
      <c r="I797" s="28"/>
      <c r="J797" s="28"/>
      <c r="K797" s="28"/>
      <c r="L797" s="28"/>
      <c r="M797" s="28"/>
      <c r="N797" s="28"/>
      <c r="O797" s="28"/>
      <c r="P797" s="28"/>
      <c r="Q797" s="28"/>
      <c r="R797" s="28"/>
      <c r="S797" s="28"/>
      <c r="T797" s="28"/>
      <c r="U797" s="28"/>
      <c r="V797" s="28"/>
    </row>
    <row r="798" ht="13.5" customHeight="1">
      <c r="A798" s="28"/>
      <c r="B798" s="28"/>
      <c r="C798" s="28"/>
      <c r="D798" s="28"/>
      <c r="E798" s="28"/>
      <c r="F798" s="28"/>
      <c r="G798" s="28"/>
      <c r="H798" s="28"/>
      <c r="I798" s="28"/>
      <c r="J798" s="28"/>
      <c r="K798" s="28"/>
      <c r="L798" s="28"/>
      <c r="M798" s="28"/>
      <c r="N798" s="28"/>
      <c r="O798" s="28"/>
      <c r="P798" s="28"/>
      <c r="Q798" s="28"/>
      <c r="R798" s="28"/>
      <c r="S798" s="28"/>
      <c r="T798" s="28"/>
      <c r="U798" s="28"/>
      <c r="V798" s="28"/>
    </row>
    <row r="799" ht="13.5" customHeight="1">
      <c r="A799" s="28"/>
      <c r="B799" s="28"/>
      <c r="C799" s="28"/>
      <c r="D799" s="28"/>
      <c r="E799" s="28"/>
      <c r="F799" s="28"/>
      <c r="G799" s="28"/>
      <c r="H799" s="28"/>
      <c r="I799" s="28"/>
      <c r="J799" s="28"/>
      <c r="K799" s="28"/>
      <c r="L799" s="28"/>
      <c r="M799" s="28"/>
      <c r="N799" s="28"/>
      <c r="O799" s="28"/>
      <c r="P799" s="28"/>
      <c r="Q799" s="28"/>
      <c r="R799" s="28"/>
      <c r="S799" s="28"/>
      <c r="T799" s="28"/>
      <c r="U799" s="28"/>
      <c r="V799" s="28"/>
    </row>
    <row r="800" ht="13.5" customHeight="1">
      <c r="A800" s="28"/>
      <c r="B800" s="28"/>
      <c r="C800" s="28"/>
      <c r="D800" s="28"/>
      <c r="E800" s="28"/>
      <c r="F800" s="28"/>
      <c r="G800" s="28"/>
      <c r="H800" s="28"/>
      <c r="I800" s="28"/>
      <c r="J800" s="28"/>
      <c r="K800" s="28"/>
      <c r="L800" s="28"/>
      <c r="M800" s="28"/>
      <c r="N800" s="28"/>
      <c r="O800" s="28"/>
      <c r="P800" s="28"/>
      <c r="Q800" s="28"/>
      <c r="R800" s="28"/>
      <c r="S800" s="28"/>
      <c r="T800" s="28"/>
      <c r="U800" s="28"/>
      <c r="V800" s="28"/>
    </row>
    <row r="801" ht="13.5" customHeight="1">
      <c r="A801" s="28"/>
      <c r="B801" s="28"/>
      <c r="C801" s="28"/>
      <c r="D801" s="28"/>
      <c r="E801" s="28"/>
      <c r="F801" s="28"/>
      <c r="G801" s="28"/>
      <c r="H801" s="28"/>
      <c r="I801" s="28"/>
      <c r="J801" s="28"/>
      <c r="K801" s="28"/>
      <c r="L801" s="28"/>
      <c r="M801" s="28"/>
      <c r="N801" s="28"/>
      <c r="O801" s="28"/>
      <c r="P801" s="28"/>
      <c r="Q801" s="28"/>
      <c r="R801" s="28"/>
      <c r="S801" s="28"/>
      <c r="T801" s="28"/>
      <c r="U801" s="28"/>
      <c r="V801" s="28"/>
    </row>
    <row r="802" ht="13.5" customHeight="1">
      <c r="A802" s="28"/>
      <c r="B802" s="28"/>
      <c r="C802" s="28"/>
      <c r="D802" s="28"/>
      <c r="E802" s="28"/>
      <c r="F802" s="28"/>
      <c r="G802" s="28"/>
      <c r="H802" s="28"/>
      <c r="I802" s="28"/>
      <c r="J802" s="28"/>
      <c r="K802" s="28"/>
      <c r="L802" s="28"/>
      <c r="M802" s="28"/>
      <c r="N802" s="28"/>
      <c r="O802" s="28"/>
      <c r="P802" s="28"/>
      <c r="Q802" s="28"/>
      <c r="R802" s="28"/>
      <c r="S802" s="28"/>
      <c r="T802" s="28"/>
      <c r="U802" s="28"/>
      <c r="V802" s="28"/>
    </row>
    <row r="803" ht="13.5" customHeight="1">
      <c r="A803" s="28"/>
      <c r="B803" s="28"/>
      <c r="C803" s="28"/>
      <c r="D803" s="28"/>
      <c r="E803" s="28"/>
      <c r="F803" s="28"/>
      <c r="G803" s="28"/>
      <c r="H803" s="28"/>
      <c r="I803" s="28"/>
      <c r="J803" s="28"/>
      <c r="K803" s="28"/>
      <c r="L803" s="28"/>
      <c r="M803" s="28"/>
      <c r="N803" s="28"/>
      <c r="O803" s="28"/>
      <c r="P803" s="28"/>
      <c r="Q803" s="28"/>
      <c r="R803" s="28"/>
      <c r="S803" s="28"/>
      <c r="T803" s="28"/>
      <c r="U803" s="28"/>
      <c r="V803" s="28"/>
    </row>
    <row r="804" ht="13.5" customHeight="1">
      <c r="A804" s="28"/>
      <c r="B804" s="28"/>
      <c r="C804" s="28"/>
      <c r="D804" s="28"/>
      <c r="E804" s="28"/>
      <c r="F804" s="28"/>
      <c r="G804" s="28"/>
      <c r="H804" s="28"/>
      <c r="I804" s="28"/>
      <c r="J804" s="28"/>
      <c r="K804" s="28"/>
      <c r="L804" s="28"/>
      <c r="M804" s="28"/>
      <c r="N804" s="28"/>
      <c r="O804" s="28"/>
      <c r="P804" s="28"/>
      <c r="Q804" s="28"/>
      <c r="R804" s="28"/>
      <c r="S804" s="28"/>
      <c r="T804" s="28"/>
      <c r="U804" s="28"/>
      <c r="V804" s="28"/>
    </row>
    <row r="805" ht="13.5" customHeight="1">
      <c r="A805" s="28"/>
      <c r="B805" s="28"/>
      <c r="C805" s="28"/>
      <c r="D805" s="28"/>
      <c r="E805" s="28"/>
      <c r="F805" s="28"/>
      <c r="G805" s="28"/>
      <c r="H805" s="28"/>
      <c r="I805" s="28"/>
      <c r="J805" s="28"/>
      <c r="K805" s="28"/>
      <c r="L805" s="28"/>
      <c r="M805" s="28"/>
      <c r="N805" s="28"/>
      <c r="O805" s="28"/>
      <c r="P805" s="28"/>
      <c r="Q805" s="28"/>
      <c r="R805" s="28"/>
      <c r="S805" s="28"/>
      <c r="T805" s="28"/>
      <c r="U805" s="28"/>
      <c r="V805" s="28"/>
    </row>
    <row r="806" ht="13.5" customHeight="1">
      <c r="A806" s="28"/>
      <c r="B806" s="28"/>
      <c r="C806" s="28"/>
      <c r="D806" s="28"/>
      <c r="E806" s="28"/>
      <c r="F806" s="28"/>
      <c r="G806" s="28"/>
      <c r="H806" s="28"/>
      <c r="I806" s="28"/>
      <c r="J806" s="28"/>
      <c r="K806" s="28"/>
      <c r="L806" s="28"/>
      <c r="M806" s="28"/>
      <c r="N806" s="28"/>
      <c r="O806" s="28"/>
      <c r="P806" s="28"/>
      <c r="Q806" s="28"/>
      <c r="R806" s="28"/>
      <c r="S806" s="28"/>
      <c r="T806" s="28"/>
      <c r="U806" s="28"/>
      <c r="V806" s="28"/>
    </row>
    <row r="807" ht="13.5" customHeight="1">
      <c r="A807" s="28"/>
      <c r="B807" s="28"/>
      <c r="C807" s="28"/>
      <c r="D807" s="28"/>
      <c r="E807" s="28"/>
      <c r="F807" s="28"/>
      <c r="G807" s="28"/>
      <c r="H807" s="28"/>
      <c r="I807" s="28"/>
      <c r="J807" s="28"/>
      <c r="K807" s="28"/>
      <c r="L807" s="28"/>
      <c r="M807" s="28"/>
      <c r="N807" s="28"/>
      <c r="O807" s="28"/>
      <c r="P807" s="28"/>
      <c r="Q807" s="28"/>
      <c r="R807" s="28"/>
      <c r="S807" s="28"/>
      <c r="T807" s="28"/>
      <c r="U807" s="28"/>
      <c r="V807" s="28"/>
    </row>
    <row r="808" ht="13.5" customHeight="1">
      <c r="A808" s="28"/>
      <c r="B808" s="28"/>
      <c r="C808" s="28"/>
      <c r="D808" s="28"/>
      <c r="E808" s="28"/>
      <c r="F808" s="28"/>
      <c r="G808" s="28"/>
      <c r="H808" s="28"/>
      <c r="I808" s="28"/>
      <c r="J808" s="28"/>
      <c r="K808" s="28"/>
      <c r="L808" s="28"/>
      <c r="M808" s="28"/>
      <c r="N808" s="28"/>
      <c r="O808" s="28"/>
      <c r="P808" s="28"/>
      <c r="Q808" s="28"/>
      <c r="R808" s="28"/>
      <c r="S808" s="28"/>
      <c r="T808" s="28"/>
      <c r="U808" s="28"/>
      <c r="V808" s="28"/>
    </row>
    <row r="809" ht="13.5" customHeight="1">
      <c r="A809" s="28"/>
      <c r="B809" s="28"/>
      <c r="C809" s="28"/>
      <c r="D809" s="28"/>
      <c r="E809" s="28"/>
      <c r="F809" s="28"/>
      <c r="G809" s="28"/>
      <c r="H809" s="28"/>
      <c r="I809" s="28"/>
      <c r="J809" s="28"/>
      <c r="K809" s="28"/>
      <c r="L809" s="28"/>
      <c r="M809" s="28"/>
      <c r="N809" s="28"/>
      <c r="O809" s="28"/>
      <c r="P809" s="28"/>
      <c r="Q809" s="28"/>
      <c r="R809" s="28"/>
      <c r="S809" s="28"/>
      <c r="T809" s="28"/>
      <c r="U809" s="28"/>
      <c r="V809" s="28"/>
    </row>
    <row r="810" ht="13.5" customHeight="1">
      <c r="A810" s="28"/>
      <c r="B810" s="28"/>
      <c r="C810" s="28"/>
      <c r="D810" s="28"/>
      <c r="E810" s="28"/>
      <c r="F810" s="28"/>
      <c r="G810" s="28"/>
      <c r="H810" s="28"/>
      <c r="I810" s="28"/>
      <c r="J810" s="28"/>
      <c r="K810" s="28"/>
      <c r="L810" s="28"/>
      <c r="M810" s="28"/>
      <c r="N810" s="28"/>
      <c r="O810" s="28"/>
      <c r="P810" s="28"/>
      <c r="Q810" s="28"/>
      <c r="R810" s="28"/>
      <c r="S810" s="28"/>
      <c r="T810" s="28"/>
      <c r="U810" s="28"/>
      <c r="V810" s="28"/>
    </row>
    <row r="811" ht="13.5" customHeight="1">
      <c r="A811" s="28"/>
      <c r="B811" s="28"/>
      <c r="C811" s="28"/>
      <c r="D811" s="28"/>
      <c r="E811" s="28"/>
      <c r="F811" s="28"/>
      <c r="G811" s="28"/>
      <c r="H811" s="28"/>
      <c r="I811" s="28"/>
      <c r="J811" s="28"/>
      <c r="K811" s="28"/>
      <c r="L811" s="28"/>
      <c r="M811" s="28"/>
      <c r="N811" s="28"/>
      <c r="O811" s="28"/>
      <c r="P811" s="28"/>
      <c r="Q811" s="28"/>
      <c r="R811" s="28"/>
      <c r="S811" s="28"/>
      <c r="T811" s="28"/>
      <c r="U811" s="28"/>
      <c r="V811" s="28"/>
    </row>
    <row r="812" ht="13.5" customHeight="1">
      <c r="A812" s="28"/>
      <c r="B812" s="28"/>
      <c r="C812" s="28"/>
      <c r="D812" s="28"/>
      <c r="E812" s="28"/>
      <c r="F812" s="28"/>
      <c r="G812" s="28"/>
      <c r="H812" s="28"/>
      <c r="I812" s="28"/>
      <c r="J812" s="28"/>
      <c r="K812" s="28"/>
      <c r="L812" s="28"/>
      <c r="M812" s="28"/>
      <c r="N812" s="28"/>
      <c r="O812" s="28"/>
      <c r="P812" s="28"/>
      <c r="Q812" s="28"/>
      <c r="R812" s="28"/>
      <c r="S812" s="28"/>
      <c r="T812" s="28"/>
      <c r="U812" s="28"/>
      <c r="V812" s="28"/>
    </row>
    <row r="813" ht="13.5" customHeight="1">
      <c r="A813" s="28"/>
      <c r="B813" s="28"/>
      <c r="C813" s="28"/>
      <c r="D813" s="28"/>
      <c r="E813" s="28"/>
      <c r="F813" s="28"/>
      <c r="G813" s="28"/>
      <c r="H813" s="28"/>
      <c r="I813" s="28"/>
      <c r="J813" s="28"/>
      <c r="K813" s="28"/>
      <c r="L813" s="28"/>
      <c r="M813" s="28"/>
      <c r="N813" s="28"/>
      <c r="O813" s="28"/>
      <c r="P813" s="28"/>
      <c r="Q813" s="28"/>
      <c r="R813" s="28"/>
      <c r="S813" s="28"/>
      <c r="T813" s="28"/>
      <c r="U813" s="28"/>
      <c r="V813" s="28"/>
    </row>
    <row r="814" ht="13.5" customHeight="1">
      <c r="A814" s="28"/>
      <c r="B814" s="28"/>
      <c r="C814" s="28"/>
      <c r="D814" s="28"/>
      <c r="E814" s="28"/>
      <c r="F814" s="28"/>
      <c r="G814" s="28"/>
      <c r="H814" s="28"/>
      <c r="I814" s="28"/>
      <c r="J814" s="28"/>
      <c r="K814" s="28"/>
      <c r="L814" s="28"/>
      <c r="M814" s="28"/>
      <c r="N814" s="28"/>
      <c r="O814" s="28"/>
      <c r="P814" s="28"/>
      <c r="Q814" s="28"/>
      <c r="R814" s="28"/>
      <c r="S814" s="28"/>
      <c r="T814" s="28"/>
      <c r="U814" s="28"/>
      <c r="V814" s="28"/>
    </row>
    <row r="815" ht="13.5" customHeight="1">
      <c r="A815" s="28"/>
      <c r="B815" s="28"/>
      <c r="C815" s="28"/>
      <c r="D815" s="28"/>
      <c r="E815" s="28"/>
      <c r="F815" s="28"/>
      <c r="G815" s="28"/>
      <c r="H815" s="28"/>
      <c r="I815" s="28"/>
      <c r="J815" s="28"/>
      <c r="K815" s="28"/>
      <c r="L815" s="28"/>
      <c r="M815" s="28"/>
      <c r="N815" s="28"/>
      <c r="O815" s="28"/>
      <c r="P815" s="28"/>
      <c r="Q815" s="28"/>
      <c r="R815" s="28"/>
      <c r="S815" s="28"/>
      <c r="T815" s="28"/>
      <c r="U815" s="28"/>
      <c r="V815" s="28"/>
    </row>
    <row r="816" ht="13.5" customHeight="1">
      <c r="A816" s="28"/>
      <c r="B816" s="28"/>
      <c r="C816" s="28"/>
      <c r="D816" s="28"/>
      <c r="E816" s="28"/>
      <c r="F816" s="28"/>
      <c r="G816" s="28"/>
      <c r="H816" s="28"/>
      <c r="I816" s="28"/>
      <c r="J816" s="28"/>
      <c r="K816" s="28"/>
      <c r="L816" s="28"/>
      <c r="M816" s="28"/>
      <c r="N816" s="28"/>
      <c r="O816" s="28"/>
      <c r="P816" s="28"/>
      <c r="Q816" s="28"/>
      <c r="R816" s="28"/>
      <c r="S816" s="28"/>
      <c r="T816" s="28"/>
      <c r="U816" s="28"/>
      <c r="V816" s="28"/>
    </row>
    <row r="817" ht="13.5" customHeight="1">
      <c r="A817" s="28"/>
      <c r="B817" s="28"/>
      <c r="C817" s="28"/>
      <c r="D817" s="28"/>
      <c r="E817" s="28"/>
      <c r="F817" s="28"/>
      <c r="G817" s="28"/>
      <c r="H817" s="28"/>
      <c r="I817" s="28"/>
      <c r="J817" s="28"/>
      <c r="K817" s="28"/>
      <c r="L817" s="28"/>
      <c r="M817" s="28"/>
      <c r="N817" s="28"/>
      <c r="O817" s="28"/>
      <c r="P817" s="28"/>
      <c r="Q817" s="28"/>
      <c r="R817" s="28"/>
      <c r="S817" s="28"/>
      <c r="T817" s="28"/>
      <c r="U817" s="28"/>
      <c r="V817" s="28"/>
    </row>
    <row r="818" ht="13.5" customHeight="1">
      <c r="A818" s="28"/>
      <c r="B818" s="28"/>
      <c r="C818" s="28"/>
      <c r="D818" s="28"/>
      <c r="E818" s="28"/>
      <c r="F818" s="28"/>
      <c r="G818" s="28"/>
      <c r="H818" s="28"/>
      <c r="I818" s="28"/>
      <c r="J818" s="28"/>
      <c r="K818" s="28"/>
      <c r="L818" s="28"/>
      <c r="M818" s="28"/>
      <c r="N818" s="28"/>
      <c r="O818" s="28"/>
      <c r="P818" s="28"/>
      <c r="Q818" s="28"/>
      <c r="R818" s="28"/>
      <c r="S818" s="28"/>
      <c r="T818" s="28"/>
      <c r="U818" s="28"/>
      <c r="V818" s="28"/>
    </row>
    <row r="819" ht="13.5" customHeight="1">
      <c r="A819" s="28"/>
      <c r="B819" s="28"/>
      <c r="C819" s="28"/>
      <c r="D819" s="28"/>
      <c r="E819" s="28"/>
      <c r="F819" s="28"/>
      <c r="G819" s="28"/>
      <c r="H819" s="28"/>
      <c r="I819" s="28"/>
      <c r="J819" s="28"/>
      <c r="K819" s="28"/>
      <c r="L819" s="28"/>
      <c r="M819" s="28"/>
      <c r="N819" s="28"/>
      <c r="O819" s="28"/>
      <c r="P819" s="28"/>
      <c r="Q819" s="28"/>
      <c r="R819" s="28"/>
      <c r="S819" s="28"/>
      <c r="T819" s="28"/>
      <c r="U819" s="28"/>
      <c r="V819" s="28"/>
    </row>
    <row r="820" ht="13.5" customHeight="1">
      <c r="A820" s="28"/>
      <c r="B820" s="28"/>
      <c r="C820" s="28"/>
      <c r="D820" s="28"/>
      <c r="E820" s="28"/>
      <c r="F820" s="28"/>
      <c r="G820" s="28"/>
      <c r="H820" s="28"/>
      <c r="I820" s="28"/>
      <c r="J820" s="28"/>
      <c r="K820" s="28"/>
      <c r="L820" s="28"/>
      <c r="M820" s="28"/>
      <c r="N820" s="28"/>
      <c r="O820" s="28"/>
      <c r="P820" s="28"/>
      <c r="Q820" s="28"/>
      <c r="R820" s="28"/>
      <c r="S820" s="28"/>
      <c r="T820" s="28"/>
      <c r="U820" s="28"/>
      <c r="V820" s="28"/>
    </row>
    <row r="821" ht="13.5" customHeight="1">
      <c r="A821" s="28"/>
      <c r="B821" s="28"/>
      <c r="C821" s="28"/>
      <c r="D821" s="28"/>
      <c r="E821" s="28"/>
      <c r="F821" s="28"/>
      <c r="G821" s="28"/>
      <c r="H821" s="28"/>
      <c r="I821" s="28"/>
      <c r="J821" s="28"/>
      <c r="K821" s="28"/>
      <c r="L821" s="28"/>
      <c r="M821" s="28"/>
      <c r="N821" s="28"/>
      <c r="O821" s="28"/>
      <c r="P821" s="28"/>
      <c r="Q821" s="28"/>
      <c r="R821" s="28"/>
      <c r="S821" s="28"/>
      <c r="T821" s="28"/>
      <c r="U821" s="28"/>
      <c r="V821" s="28"/>
    </row>
    <row r="822" ht="13.5" customHeight="1">
      <c r="A822" s="28"/>
      <c r="B822" s="28"/>
      <c r="C822" s="28"/>
      <c r="D822" s="28"/>
      <c r="E822" s="28"/>
      <c r="F822" s="28"/>
      <c r="G822" s="28"/>
      <c r="H822" s="28"/>
      <c r="I822" s="28"/>
      <c r="J822" s="28"/>
      <c r="K822" s="28"/>
      <c r="L822" s="28"/>
      <c r="M822" s="28"/>
      <c r="N822" s="28"/>
      <c r="O822" s="28"/>
      <c r="P822" s="28"/>
      <c r="Q822" s="28"/>
      <c r="R822" s="28"/>
      <c r="S822" s="28"/>
      <c r="T822" s="28"/>
      <c r="U822" s="28"/>
      <c r="V822" s="28"/>
    </row>
    <row r="823" ht="13.5" customHeight="1">
      <c r="A823" s="28"/>
      <c r="B823" s="28"/>
      <c r="C823" s="28"/>
      <c r="D823" s="28"/>
      <c r="E823" s="28"/>
      <c r="F823" s="28"/>
      <c r="G823" s="28"/>
      <c r="H823" s="28"/>
      <c r="I823" s="28"/>
      <c r="J823" s="28"/>
      <c r="K823" s="28"/>
      <c r="L823" s="28"/>
      <c r="M823" s="28"/>
      <c r="N823" s="28"/>
      <c r="O823" s="28"/>
      <c r="P823" s="28"/>
      <c r="Q823" s="28"/>
      <c r="R823" s="28"/>
      <c r="S823" s="28"/>
      <c r="T823" s="28"/>
      <c r="U823" s="28"/>
      <c r="V823" s="28"/>
    </row>
    <row r="824" ht="13.5" customHeight="1">
      <c r="A824" s="28"/>
      <c r="B824" s="28"/>
      <c r="C824" s="28"/>
      <c r="D824" s="28"/>
      <c r="E824" s="28"/>
      <c r="F824" s="28"/>
      <c r="G824" s="28"/>
      <c r="H824" s="28"/>
      <c r="I824" s="28"/>
      <c r="J824" s="28"/>
      <c r="K824" s="28"/>
      <c r="L824" s="28"/>
      <c r="M824" s="28"/>
      <c r="N824" s="28"/>
      <c r="O824" s="28"/>
      <c r="P824" s="28"/>
      <c r="Q824" s="28"/>
      <c r="R824" s="28"/>
      <c r="S824" s="28"/>
      <c r="T824" s="28"/>
      <c r="U824" s="28"/>
      <c r="V824" s="28"/>
    </row>
    <row r="825" ht="13.5" customHeight="1">
      <c r="A825" s="28"/>
      <c r="B825" s="28"/>
      <c r="C825" s="28"/>
      <c r="D825" s="28"/>
      <c r="E825" s="28"/>
      <c r="F825" s="28"/>
      <c r="G825" s="28"/>
      <c r="H825" s="28"/>
      <c r="I825" s="28"/>
      <c r="J825" s="28"/>
      <c r="K825" s="28"/>
      <c r="L825" s="28"/>
      <c r="M825" s="28"/>
      <c r="N825" s="28"/>
      <c r="O825" s="28"/>
      <c r="P825" s="28"/>
      <c r="Q825" s="28"/>
      <c r="R825" s="28"/>
      <c r="S825" s="28"/>
      <c r="T825" s="28"/>
      <c r="U825" s="28"/>
      <c r="V825" s="28"/>
    </row>
    <row r="826" ht="13.5" customHeight="1">
      <c r="A826" s="28"/>
      <c r="B826" s="28"/>
      <c r="C826" s="28"/>
      <c r="D826" s="28"/>
      <c r="E826" s="28"/>
      <c r="F826" s="28"/>
      <c r="G826" s="28"/>
      <c r="H826" s="28"/>
      <c r="I826" s="28"/>
      <c r="J826" s="28"/>
      <c r="K826" s="28"/>
      <c r="L826" s="28"/>
      <c r="M826" s="28"/>
      <c r="N826" s="28"/>
      <c r="O826" s="28"/>
      <c r="P826" s="28"/>
      <c r="Q826" s="28"/>
      <c r="R826" s="28"/>
      <c r="S826" s="28"/>
      <c r="T826" s="28"/>
      <c r="U826" s="28"/>
      <c r="V826" s="28"/>
    </row>
    <row r="827" ht="13.5" customHeight="1">
      <c r="A827" s="28"/>
      <c r="B827" s="28"/>
      <c r="C827" s="28"/>
      <c r="D827" s="28"/>
      <c r="E827" s="28"/>
      <c r="F827" s="28"/>
      <c r="G827" s="28"/>
      <c r="H827" s="28"/>
      <c r="I827" s="28"/>
      <c r="J827" s="28"/>
      <c r="K827" s="28"/>
      <c r="L827" s="28"/>
      <c r="M827" s="28"/>
      <c r="N827" s="28"/>
      <c r="O827" s="28"/>
      <c r="P827" s="28"/>
      <c r="Q827" s="28"/>
      <c r="R827" s="28"/>
      <c r="S827" s="28"/>
      <c r="T827" s="28"/>
      <c r="U827" s="28"/>
      <c r="V827" s="28"/>
    </row>
    <row r="828" ht="13.5" customHeight="1">
      <c r="A828" s="28"/>
      <c r="B828" s="28"/>
      <c r="C828" s="28"/>
      <c r="D828" s="28"/>
      <c r="E828" s="28"/>
      <c r="F828" s="28"/>
      <c r="G828" s="28"/>
      <c r="H828" s="28"/>
      <c r="I828" s="28"/>
      <c r="J828" s="28"/>
      <c r="K828" s="28"/>
      <c r="L828" s="28"/>
      <c r="M828" s="28"/>
      <c r="N828" s="28"/>
      <c r="O828" s="28"/>
      <c r="P828" s="28"/>
      <c r="Q828" s="28"/>
      <c r="R828" s="28"/>
      <c r="S828" s="28"/>
      <c r="T828" s="28"/>
      <c r="U828" s="28"/>
      <c r="V828" s="28"/>
    </row>
    <row r="829" ht="13.5" customHeight="1">
      <c r="A829" s="28"/>
      <c r="B829" s="28"/>
      <c r="C829" s="28"/>
      <c r="D829" s="28"/>
      <c r="E829" s="28"/>
      <c r="F829" s="28"/>
      <c r="G829" s="28"/>
      <c r="H829" s="28"/>
      <c r="I829" s="28"/>
      <c r="J829" s="28"/>
      <c r="K829" s="28"/>
      <c r="L829" s="28"/>
      <c r="M829" s="28"/>
      <c r="N829" s="28"/>
      <c r="O829" s="28"/>
      <c r="P829" s="28"/>
      <c r="Q829" s="28"/>
      <c r="R829" s="28"/>
      <c r="S829" s="28"/>
      <c r="T829" s="28"/>
      <c r="U829" s="28"/>
      <c r="V829" s="28"/>
    </row>
    <row r="830" ht="13.5" customHeight="1">
      <c r="A830" s="28"/>
      <c r="B830" s="28"/>
      <c r="C830" s="28"/>
      <c r="D830" s="28"/>
      <c r="E830" s="28"/>
      <c r="F830" s="28"/>
      <c r="G830" s="28"/>
      <c r="H830" s="28"/>
      <c r="I830" s="28"/>
      <c r="J830" s="28"/>
      <c r="K830" s="28"/>
      <c r="L830" s="28"/>
      <c r="M830" s="28"/>
      <c r="N830" s="28"/>
      <c r="O830" s="28"/>
      <c r="P830" s="28"/>
      <c r="Q830" s="28"/>
      <c r="R830" s="28"/>
      <c r="S830" s="28"/>
      <c r="T830" s="28"/>
      <c r="U830" s="28"/>
      <c r="V830" s="28"/>
    </row>
    <row r="831" ht="13.5" customHeight="1">
      <c r="A831" s="28"/>
      <c r="B831" s="28"/>
      <c r="C831" s="28"/>
      <c r="D831" s="28"/>
      <c r="E831" s="28"/>
      <c r="F831" s="28"/>
      <c r="G831" s="28"/>
      <c r="H831" s="28"/>
      <c r="I831" s="28"/>
      <c r="J831" s="28"/>
      <c r="K831" s="28"/>
      <c r="L831" s="28"/>
      <c r="M831" s="28"/>
      <c r="N831" s="28"/>
      <c r="O831" s="28"/>
      <c r="P831" s="28"/>
      <c r="Q831" s="28"/>
      <c r="R831" s="28"/>
      <c r="S831" s="28"/>
      <c r="T831" s="28"/>
      <c r="U831" s="28"/>
      <c r="V831" s="28"/>
    </row>
    <row r="832" ht="13.5" customHeight="1">
      <c r="A832" s="28"/>
      <c r="B832" s="28"/>
      <c r="C832" s="28"/>
      <c r="D832" s="28"/>
      <c r="E832" s="28"/>
      <c r="F832" s="28"/>
      <c r="G832" s="28"/>
      <c r="H832" s="28"/>
      <c r="I832" s="28"/>
      <c r="J832" s="28"/>
      <c r="K832" s="28"/>
      <c r="L832" s="28"/>
      <c r="M832" s="28"/>
      <c r="N832" s="28"/>
      <c r="O832" s="28"/>
      <c r="P832" s="28"/>
      <c r="Q832" s="28"/>
      <c r="R832" s="28"/>
      <c r="S832" s="28"/>
      <c r="T832" s="28"/>
      <c r="U832" s="28"/>
      <c r="V832" s="28"/>
    </row>
    <row r="833" ht="13.5" customHeight="1">
      <c r="A833" s="28"/>
      <c r="B833" s="28"/>
      <c r="C833" s="28"/>
      <c r="D833" s="28"/>
      <c r="E833" s="28"/>
      <c r="F833" s="28"/>
      <c r="G833" s="28"/>
      <c r="H833" s="28"/>
      <c r="I833" s="28"/>
      <c r="J833" s="28"/>
      <c r="K833" s="28"/>
      <c r="L833" s="28"/>
      <c r="M833" s="28"/>
      <c r="N833" s="28"/>
      <c r="O833" s="28"/>
      <c r="P833" s="28"/>
      <c r="Q833" s="28"/>
      <c r="R833" s="28"/>
      <c r="S833" s="28"/>
      <c r="T833" s="28"/>
      <c r="U833" s="28"/>
      <c r="V833" s="28"/>
    </row>
    <row r="834" ht="13.5" customHeight="1">
      <c r="A834" s="28"/>
      <c r="B834" s="28"/>
      <c r="C834" s="28"/>
      <c r="D834" s="28"/>
      <c r="E834" s="28"/>
      <c r="F834" s="28"/>
      <c r="G834" s="28"/>
      <c r="H834" s="28"/>
      <c r="I834" s="28"/>
      <c r="J834" s="28"/>
      <c r="K834" s="28"/>
      <c r="L834" s="28"/>
      <c r="M834" s="28"/>
      <c r="N834" s="28"/>
      <c r="O834" s="28"/>
      <c r="P834" s="28"/>
      <c r="Q834" s="28"/>
      <c r="R834" s="28"/>
      <c r="S834" s="28"/>
      <c r="T834" s="28"/>
      <c r="U834" s="28"/>
      <c r="V834" s="28"/>
    </row>
    <row r="835" ht="13.5" customHeight="1">
      <c r="A835" s="28"/>
      <c r="B835" s="28"/>
      <c r="C835" s="28"/>
      <c r="D835" s="28"/>
      <c r="E835" s="28"/>
      <c r="F835" s="28"/>
      <c r="G835" s="28"/>
      <c r="H835" s="28"/>
      <c r="I835" s="28"/>
      <c r="J835" s="28"/>
      <c r="K835" s="28"/>
      <c r="L835" s="28"/>
      <c r="M835" s="28"/>
      <c r="N835" s="28"/>
      <c r="O835" s="28"/>
      <c r="P835" s="28"/>
      <c r="Q835" s="28"/>
      <c r="R835" s="28"/>
      <c r="S835" s="28"/>
      <c r="T835" s="28"/>
      <c r="U835" s="28"/>
      <c r="V835" s="28"/>
    </row>
    <row r="836" ht="13.5" customHeight="1">
      <c r="A836" s="28"/>
      <c r="B836" s="28"/>
      <c r="C836" s="28"/>
      <c r="D836" s="28"/>
      <c r="E836" s="28"/>
      <c r="F836" s="28"/>
      <c r="G836" s="28"/>
      <c r="H836" s="28"/>
      <c r="I836" s="28"/>
      <c r="J836" s="28"/>
      <c r="K836" s="28"/>
      <c r="L836" s="28"/>
      <c r="M836" s="28"/>
      <c r="N836" s="28"/>
      <c r="O836" s="28"/>
      <c r="P836" s="28"/>
      <c r="Q836" s="28"/>
      <c r="R836" s="28"/>
      <c r="S836" s="28"/>
      <c r="T836" s="28"/>
      <c r="U836" s="28"/>
      <c r="V836" s="28"/>
    </row>
    <row r="837" ht="13.5" customHeight="1">
      <c r="A837" s="28"/>
      <c r="B837" s="28"/>
      <c r="C837" s="28"/>
      <c r="D837" s="28"/>
      <c r="E837" s="28"/>
      <c r="F837" s="28"/>
      <c r="G837" s="28"/>
      <c r="H837" s="28"/>
      <c r="I837" s="28"/>
      <c r="J837" s="28"/>
      <c r="K837" s="28"/>
      <c r="L837" s="28"/>
      <c r="M837" s="28"/>
      <c r="N837" s="28"/>
      <c r="O837" s="28"/>
      <c r="P837" s="28"/>
      <c r="Q837" s="28"/>
      <c r="R837" s="28"/>
      <c r="S837" s="28"/>
      <c r="T837" s="28"/>
      <c r="U837" s="28"/>
      <c r="V837" s="28"/>
    </row>
    <row r="838" ht="13.5" customHeight="1">
      <c r="A838" s="28"/>
      <c r="B838" s="28"/>
      <c r="C838" s="28"/>
      <c r="D838" s="28"/>
      <c r="E838" s="28"/>
      <c r="F838" s="28"/>
      <c r="G838" s="28"/>
      <c r="H838" s="28"/>
      <c r="I838" s="28"/>
      <c r="J838" s="28"/>
      <c r="K838" s="28"/>
      <c r="L838" s="28"/>
      <c r="M838" s="28"/>
      <c r="N838" s="28"/>
      <c r="O838" s="28"/>
      <c r="P838" s="28"/>
      <c r="Q838" s="28"/>
      <c r="R838" s="28"/>
      <c r="S838" s="28"/>
      <c r="T838" s="28"/>
      <c r="U838" s="28"/>
      <c r="V838" s="28"/>
    </row>
    <row r="839" ht="13.5" customHeight="1">
      <c r="A839" s="28"/>
      <c r="B839" s="28"/>
      <c r="C839" s="28"/>
      <c r="D839" s="28"/>
      <c r="E839" s="28"/>
      <c r="F839" s="28"/>
      <c r="G839" s="28"/>
      <c r="H839" s="28"/>
      <c r="I839" s="28"/>
      <c r="J839" s="28"/>
      <c r="K839" s="28"/>
      <c r="L839" s="28"/>
      <c r="M839" s="28"/>
      <c r="N839" s="28"/>
      <c r="O839" s="28"/>
      <c r="P839" s="28"/>
      <c r="Q839" s="28"/>
      <c r="R839" s="28"/>
      <c r="S839" s="28"/>
      <c r="T839" s="28"/>
      <c r="U839" s="28"/>
      <c r="V839" s="28"/>
    </row>
    <row r="840" ht="13.5" customHeight="1">
      <c r="A840" s="28"/>
      <c r="B840" s="28"/>
      <c r="C840" s="28"/>
      <c r="D840" s="28"/>
      <c r="E840" s="28"/>
      <c r="F840" s="28"/>
      <c r="G840" s="28"/>
      <c r="H840" s="28"/>
      <c r="I840" s="28"/>
      <c r="J840" s="28"/>
      <c r="K840" s="28"/>
      <c r="L840" s="28"/>
      <c r="M840" s="28"/>
      <c r="N840" s="28"/>
      <c r="O840" s="28"/>
      <c r="P840" s="28"/>
      <c r="Q840" s="28"/>
      <c r="R840" s="28"/>
      <c r="S840" s="28"/>
      <c r="T840" s="28"/>
      <c r="U840" s="28"/>
      <c r="V840" s="28"/>
    </row>
    <row r="841" ht="13.5" customHeight="1">
      <c r="A841" s="28"/>
      <c r="B841" s="28"/>
      <c r="C841" s="28"/>
      <c r="D841" s="28"/>
      <c r="E841" s="28"/>
      <c r="F841" s="28"/>
      <c r="G841" s="28"/>
      <c r="H841" s="28"/>
      <c r="I841" s="28"/>
      <c r="J841" s="28"/>
      <c r="K841" s="28"/>
      <c r="L841" s="28"/>
      <c r="M841" s="28"/>
      <c r="N841" s="28"/>
      <c r="O841" s="28"/>
      <c r="P841" s="28"/>
      <c r="Q841" s="28"/>
      <c r="R841" s="28"/>
      <c r="S841" s="28"/>
      <c r="T841" s="28"/>
      <c r="U841" s="28"/>
      <c r="V841" s="28"/>
    </row>
    <row r="842" ht="13.5" customHeight="1">
      <c r="A842" s="28"/>
      <c r="B842" s="28"/>
      <c r="C842" s="28"/>
      <c r="D842" s="28"/>
      <c r="E842" s="28"/>
      <c r="F842" s="28"/>
      <c r="G842" s="28"/>
      <c r="H842" s="28"/>
      <c r="I842" s="28"/>
      <c r="J842" s="28"/>
      <c r="K842" s="28"/>
      <c r="L842" s="28"/>
      <c r="M842" s="28"/>
      <c r="N842" s="28"/>
      <c r="O842" s="28"/>
      <c r="P842" s="28"/>
      <c r="Q842" s="28"/>
      <c r="R842" s="28"/>
      <c r="S842" s="28"/>
      <c r="T842" s="28"/>
      <c r="U842" s="28"/>
      <c r="V842" s="28"/>
    </row>
    <row r="843" ht="13.5" customHeight="1">
      <c r="A843" s="28"/>
      <c r="B843" s="28"/>
      <c r="C843" s="28"/>
      <c r="D843" s="28"/>
      <c r="E843" s="28"/>
      <c r="F843" s="28"/>
      <c r="G843" s="28"/>
      <c r="H843" s="28"/>
      <c r="I843" s="28"/>
      <c r="J843" s="28"/>
      <c r="K843" s="28"/>
      <c r="L843" s="28"/>
      <c r="M843" s="28"/>
      <c r="N843" s="28"/>
      <c r="O843" s="28"/>
      <c r="P843" s="28"/>
      <c r="Q843" s="28"/>
      <c r="R843" s="28"/>
      <c r="S843" s="28"/>
      <c r="T843" s="28"/>
      <c r="U843" s="28"/>
      <c r="V843" s="28"/>
    </row>
    <row r="844" ht="13.5" customHeight="1">
      <c r="A844" s="28"/>
      <c r="B844" s="28"/>
      <c r="C844" s="28"/>
      <c r="D844" s="28"/>
      <c r="E844" s="28"/>
      <c r="F844" s="28"/>
      <c r="G844" s="28"/>
      <c r="H844" s="28"/>
      <c r="I844" s="28"/>
      <c r="J844" s="28"/>
      <c r="K844" s="28"/>
      <c r="L844" s="28"/>
      <c r="M844" s="28"/>
      <c r="N844" s="28"/>
      <c r="O844" s="28"/>
      <c r="P844" s="28"/>
      <c r="Q844" s="28"/>
      <c r="R844" s="28"/>
      <c r="S844" s="28"/>
      <c r="T844" s="28"/>
      <c r="U844" s="28"/>
      <c r="V844" s="28"/>
    </row>
    <row r="845" ht="13.5" customHeight="1">
      <c r="A845" s="28"/>
      <c r="B845" s="28"/>
      <c r="C845" s="28"/>
      <c r="D845" s="28"/>
      <c r="E845" s="28"/>
      <c r="F845" s="28"/>
      <c r="G845" s="28"/>
      <c r="H845" s="28"/>
      <c r="I845" s="28"/>
      <c r="J845" s="28"/>
      <c r="K845" s="28"/>
      <c r="L845" s="28"/>
      <c r="M845" s="28"/>
      <c r="N845" s="28"/>
      <c r="O845" s="28"/>
      <c r="P845" s="28"/>
      <c r="Q845" s="28"/>
      <c r="R845" s="28"/>
      <c r="S845" s="28"/>
      <c r="T845" s="28"/>
      <c r="U845" s="28"/>
      <c r="V845" s="28"/>
    </row>
    <row r="846" ht="13.5" customHeight="1">
      <c r="A846" s="28"/>
      <c r="B846" s="28"/>
      <c r="C846" s="28"/>
      <c r="D846" s="28"/>
      <c r="E846" s="28"/>
      <c r="F846" s="28"/>
      <c r="G846" s="28"/>
      <c r="H846" s="28"/>
      <c r="I846" s="28"/>
      <c r="J846" s="28"/>
      <c r="K846" s="28"/>
      <c r="L846" s="28"/>
      <c r="M846" s="28"/>
      <c r="N846" s="28"/>
      <c r="O846" s="28"/>
      <c r="P846" s="28"/>
      <c r="Q846" s="28"/>
      <c r="R846" s="28"/>
      <c r="S846" s="28"/>
      <c r="T846" s="28"/>
      <c r="U846" s="28"/>
      <c r="V846" s="28"/>
    </row>
    <row r="847" ht="13.5" customHeight="1">
      <c r="A847" s="28"/>
      <c r="B847" s="28"/>
      <c r="C847" s="28"/>
      <c r="D847" s="28"/>
      <c r="E847" s="28"/>
      <c r="F847" s="28"/>
      <c r="G847" s="28"/>
      <c r="H847" s="28"/>
      <c r="I847" s="28"/>
      <c r="J847" s="28"/>
      <c r="K847" s="28"/>
      <c r="L847" s="28"/>
      <c r="M847" s="28"/>
      <c r="N847" s="28"/>
      <c r="O847" s="28"/>
      <c r="P847" s="28"/>
      <c r="Q847" s="28"/>
      <c r="R847" s="28"/>
      <c r="S847" s="28"/>
      <c r="T847" s="28"/>
      <c r="U847" s="28"/>
      <c r="V847" s="28"/>
    </row>
    <row r="848" ht="13.5" customHeight="1">
      <c r="A848" s="28"/>
      <c r="B848" s="28"/>
      <c r="C848" s="28"/>
      <c r="D848" s="28"/>
      <c r="E848" s="28"/>
      <c r="F848" s="28"/>
      <c r="G848" s="28"/>
      <c r="H848" s="28"/>
      <c r="I848" s="28"/>
      <c r="J848" s="28"/>
      <c r="K848" s="28"/>
      <c r="L848" s="28"/>
      <c r="M848" s="28"/>
      <c r="N848" s="28"/>
      <c r="O848" s="28"/>
      <c r="P848" s="28"/>
      <c r="Q848" s="28"/>
      <c r="R848" s="28"/>
      <c r="S848" s="28"/>
      <c r="T848" s="28"/>
      <c r="U848" s="28"/>
      <c r="V848" s="28"/>
    </row>
    <row r="849" ht="13.5" customHeight="1">
      <c r="A849" s="28"/>
      <c r="B849" s="28"/>
      <c r="C849" s="28"/>
      <c r="D849" s="28"/>
      <c r="E849" s="28"/>
      <c r="F849" s="28"/>
      <c r="G849" s="28"/>
      <c r="H849" s="28"/>
      <c r="I849" s="28"/>
      <c r="J849" s="28"/>
      <c r="K849" s="28"/>
      <c r="L849" s="28"/>
      <c r="M849" s="28"/>
      <c r="N849" s="28"/>
      <c r="O849" s="28"/>
      <c r="P849" s="28"/>
      <c r="Q849" s="28"/>
      <c r="R849" s="28"/>
      <c r="S849" s="28"/>
      <c r="T849" s="28"/>
      <c r="U849" s="28"/>
      <c r="V849" s="28"/>
    </row>
    <row r="850" ht="13.5" customHeight="1">
      <c r="A850" s="28"/>
      <c r="B850" s="28"/>
      <c r="C850" s="28"/>
      <c r="D850" s="28"/>
      <c r="E850" s="28"/>
      <c r="F850" s="28"/>
      <c r="G850" s="28"/>
      <c r="H850" s="28"/>
      <c r="I850" s="28"/>
      <c r="J850" s="28"/>
      <c r="K850" s="28"/>
      <c r="L850" s="28"/>
      <c r="M850" s="28"/>
      <c r="N850" s="28"/>
      <c r="O850" s="28"/>
      <c r="P850" s="28"/>
      <c r="Q850" s="28"/>
      <c r="R850" s="28"/>
      <c r="S850" s="28"/>
      <c r="T850" s="28"/>
      <c r="U850" s="28"/>
      <c r="V850" s="28"/>
    </row>
    <row r="851" ht="13.5" customHeight="1">
      <c r="A851" s="28"/>
      <c r="B851" s="28"/>
      <c r="C851" s="28"/>
      <c r="D851" s="28"/>
      <c r="E851" s="28"/>
      <c r="F851" s="28"/>
      <c r="G851" s="28"/>
      <c r="H851" s="28"/>
      <c r="I851" s="28"/>
      <c r="J851" s="28"/>
      <c r="K851" s="28"/>
      <c r="L851" s="28"/>
      <c r="M851" s="28"/>
      <c r="N851" s="28"/>
      <c r="O851" s="28"/>
      <c r="P851" s="28"/>
      <c r="Q851" s="28"/>
      <c r="R851" s="28"/>
      <c r="S851" s="28"/>
      <c r="T851" s="28"/>
      <c r="U851" s="28"/>
      <c r="V851" s="28"/>
    </row>
    <row r="852" ht="13.5" customHeight="1">
      <c r="A852" s="28"/>
      <c r="B852" s="28"/>
      <c r="C852" s="28"/>
      <c r="D852" s="28"/>
      <c r="E852" s="28"/>
      <c r="F852" s="28"/>
      <c r="G852" s="28"/>
      <c r="H852" s="28"/>
      <c r="I852" s="28"/>
      <c r="J852" s="28"/>
      <c r="K852" s="28"/>
      <c r="L852" s="28"/>
      <c r="M852" s="28"/>
      <c r="N852" s="28"/>
      <c r="O852" s="28"/>
      <c r="P852" s="28"/>
      <c r="Q852" s="28"/>
      <c r="R852" s="28"/>
      <c r="S852" s="28"/>
      <c r="T852" s="28"/>
      <c r="U852" s="28"/>
      <c r="V852" s="28"/>
    </row>
    <row r="853" ht="13.5" customHeight="1">
      <c r="A853" s="28"/>
      <c r="B853" s="28"/>
      <c r="C853" s="28"/>
      <c r="D853" s="28"/>
      <c r="E853" s="28"/>
      <c r="F853" s="28"/>
      <c r="G853" s="28"/>
      <c r="H853" s="28"/>
      <c r="I853" s="28"/>
      <c r="J853" s="28"/>
      <c r="K853" s="28"/>
      <c r="L853" s="28"/>
      <c r="M853" s="28"/>
      <c r="N853" s="28"/>
      <c r="O853" s="28"/>
      <c r="P853" s="28"/>
      <c r="Q853" s="28"/>
      <c r="R853" s="28"/>
      <c r="S853" s="28"/>
      <c r="T853" s="28"/>
      <c r="U853" s="28"/>
      <c r="V853" s="28"/>
    </row>
    <row r="854" ht="13.5" customHeight="1">
      <c r="A854" s="28"/>
      <c r="B854" s="28"/>
      <c r="C854" s="28"/>
      <c r="D854" s="28"/>
      <c r="E854" s="28"/>
      <c r="F854" s="28"/>
      <c r="G854" s="28"/>
      <c r="H854" s="28"/>
      <c r="I854" s="28"/>
      <c r="J854" s="28"/>
      <c r="K854" s="28"/>
      <c r="L854" s="28"/>
      <c r="M854" s="28"/>
      <c r="N854" s="28"/>
      <c r="O854" s="28"/>
      <c r="P854" s="28"/>
      <c r="Q854" s="28"/>
      <c r="R854" s="28"/>
      <c r="S854" s="28"/>
      <c r="T854" s="28"/>
      <c r="U854" s="28"/>
      <c r="V854" s="28"/>
    </row>
    <row r="855" ht="13.5" customHeight="1">
      <c r="A855" s="28"/>
      <c r="B855" s="28"/>
      <c r="C855" s="28"/>
      <c r="D855" s="28"/>
      <c r="E855" s="28"/>
      <c r="F855" s="28"/>
      <c r="G855" s="28"/>
      <c r="H855" s="28"/>
      <c r="I855" s="28"/>
      <c r="J855" s="28"/>
      <c r="K855" s="28"/>
      <c r="L855" s="28"/>
      <c r="M855" s="28"/>
      <c r="N855" s="28"/>
      <c r="O855" s="28"/>
      <c r="P855" s="28"/>
      <c r="Q855" s="28"/>
      <c r="R855" s="28"/>
      <c r="S855" s="28"/>
      <c r="T855" s="28"/>
      <c r="U855" s="28"/>
      <c r="V855" s="28"/>
    </row>
    <row r="856" ht="13.5" customHeight="1">
      <c r="A856" s="28"/>
      <c r="B856" s="28"/>
      <c r="C856" s="28"/>
      <c r="D856" s="28"/>
      <c r="E856" s="28"/>
      <c r="F856" s="28"/>
      <c r="G856" s="28"/>
      <c r="H856" s="28"/>
      <c r="I856" s="28"/>
      <c r="J856" s="28"/>
      <c r="K856" s="28"/>
      <c r="L856" s="28"/>
      <c r="M856" s="28"/>
      <c r="N856" s="28"/>
      <c r="O856" s="28"/>
      <c r="P856" s="28"/>
      <c r="Q856" s="28"/>
      <c r="R856" s="28"/>
      <c r="S856" s="28"/>
      <c r="T856" s="28"/>
      <c r="U856" s="28"/>
      <c r="V856" s="28"/>
    </row>
    <row r="857" ht="13.5" customHeight="1">
      <c r="A857" s="28"/>
      <c r="B857" s="28"/>
      <c r="C857" s="28"/>
      <c r="D857" s="28"/>
      <c r="E857" s="28"/>
      <c r="F857" s="28"/>
      <c r="G857" s="28"/>
      <c r="H857" s="28"/>
      <c r="I857" s="28"/>
      <c r="J857" s="28"/>
      <c r="K857" s="28"/>
      <c r="L857" s="28"/>
      <c r="M857" s="28"/>
      <c r="N857" s="28"/>
      <c r="O857" s="28"/>
      <c r="P857" s="28"/>
      <c r="Q857" s="28"/>
      <c r="R857" s="28"/>
      <c r="S857" s="28"/>
      <c r="T857" s="28"/>
      <c r="U857" s="28"/>
      <c r="V857" s="28"/>
    </row>
    <row r="858" ht="13.5" customHeight="1">
      <c r="A858" s="28"/>
      <c r="B858" s="28"/>
      <c r="C858" s="28"/>
      <c r="D858" s="28"/>
      <c r="E858" s="28"/>
      <c r="F858" s="28"/>
      <c r="G858" s="28"/>
      <c r="H858" s="28"/>
      <c r="I858" s="28"/>
      <c r="J858" s="28"/>
      <c r="K858" s="28"/>
      <c r="L858" s="28"/>
      <c r="M858" s="28"/>
      <c r="N858" s="28"/>
      <c r="O858" s="28"/>
      <c r="P858" s="28"/>
      <c r="Q858" s="28"/>
      <c r="R858" s="28"/>
      <c r="S858" s="28"/>
      <c r="T858" s="28"/>
      <c r="U858" s="28"/>
      <c r="V858" s="28"/>
    </row>
    <row r="859" ht="13.5" customHeight="1">
      <c r="A859" s="28"/>
      <c r="B859" s="28"/>
      <c r="C859" s="28"/>
      <c r="D859" s="28"/>
      <c r="E859" s="28"/>
      <c r="F859" s="28"/>
      <c r="G859" s="28"/>
      <c r="H859" s="28"/>
      <c r="I859" s="28"/>
      <c r="J859" s="28"/>
      <c r="K859" s="28"/>
      <c r="L859" s="28"/>
      <c r="M859" s="28"/>
      <c r="N859" s="28"/>
      <c r="O859" s="28"/>
      <c r="P859" s="28"/>
      <c r="Q859" s="28"/>
      <c r="R859" s="28"/>
      <c r="S859" s="28"/>
      <c r="T859" s="28"/>
      <c r="U859" s="28"/>
      <c r="V859" s="28"/>
    </row>
    <row r="860" ht="13.5" customHeight="1">
      <c r="A860" s="28"/>
      <c r="B860" s="28"/>
      <c r="C860" s="28"/>
      <c r="D860" s="28"/>
      <c r="E860" s="28"/>
      <c r="F860" s="28"/>
      <c r="G860" s="28"/>
      <c r="H860" s="28"/>
      <c r="I860" s="28"/>
      <c r="J860" s="28"/>
      <c r="K860" s="28"/>
      <c r="L860" s="28"/>
      <c r="M860" s="28"/>
      <c r="N860" s="28"/>
      <c r="O860" s="28"/>
      <c r="P860" s="28"/>
      <c r="Q860" s="28"/>
      <c r="R860" s="28"/>
      <c r="S860" s="28"/>
      <c r="T860" s="28"/>
      <c r="U860" s="28"/>
      <c r="V860" s="28"/>
    </row>
    <row r="861" ht="13.5" customHeight="1">
      <c r="A861" s="28"/>
      <c r="B861" s="28"/>
      <c r="C861" s="28"/>
      <c r="D861" s="28"/>
      <c r="E861" s="28"/>
      <c r="F861" s="28"/>
      <c r="G861" s="28"/>
      <c r="H861" s="28"/>
      <c r="I861" s="28"/>
      <c r="J861" s="28"/>
      <c r="K861" s="28"/>
      <c r="L861" s="28"/>
      <c r="M861" s="28"/>
      <c r="N861" s="28"/>
      <c r="O861" s="28"/>
      <c r="P861" s="28"/>
      <c r="Q861" s="28"/>
      <c r="R861" s="28"/>
      <c r="S861" s="28"/>
      <c r="T861" s="28"/>
      <c r="U861" s="28"/>
      <c r="V861" s="28"/>
    </row>
    <row r="862" ht="13.5" customHeight="1">
      <c r="A862" s="28"/>
      <c r="B862" s="28"/>
      <c r="C862" s="28"/>
      <c r="D862" s="28"/>
      <c r="E862" s="28"/>
      <c r="F862" s="28"/>
      <c r="G862" s="28"/>
      <c r="H862" s="28"/>
      <c r="I862" s="28"/>
      <c r="J862" s="28"/>
      <c r="K862" s="28"/>
      <c r="L862" s="28"/>
      <c r="M862" s="28"/>
      <c r="N862" s="28"/>
      <c r="O862" s="28"/>
      <c r="P862" s="28"/>
      <c r="Q862" s="28"/>
      <c r="R862" s="28"/>
      <c r="S862" s="28"/>
      <c r="T862" s="28"/>
      <c r="U862" s="28"/>
      <c r="V862" s="28"/>
    </row>
    <row r="863" ht="13.5" customHeight="1">
      <c r="A863" s="28"/>
      <c r="B863" s="28"/>
      <c r="C863" s="28"/>
      <c r="D863" s="28"/>
      <c r="E863" s="28"/>
      <c r="F863" s="28"/>
      <c r="G863" s="28"/>
      <c r="H863" s="28"/>
      <c r="I863" s="28"/>
      <c r="J863" s="28"/>
      <c r="K863" s="28"/>
      <c r="L863" s="28"/>
      <c r="M863" s="28"/>
      <c r="N863" s="28"/>
      <c r="O863" s="28"/>
      <c r="P863" s="28"/>
      <c r="Q863" s="28"/>
      <c r="R863" s="28"/>
      <c r="S863" s="28"/>
      <c r="T863" s="28"/>
      <c r="U863" s="28"/>
      <c r="V863" s="28"/>
    </row>
    <row r="864" ht="13.5" customHeight="1">
      <c r="A864" s="28"/>
      <c r="B864" s="28"/>
      <c r="C864" s="28"/>
      <c r="D864" s="28"/>
      <c r="E864" s="28"/>
      <c r="F864" s="28"/>
      <c r="G864" s="28"/>
      <c r="H864" s="28"/>
      <c r="I864" s="28"/>
      <c r="J864" s="28"/>
      <c r="K864" s="28"/>
      <c r="L864" s="28"/>
      <c r="M864" s="28"/>
      <c r="N864" s="28"/>
      <c r="O864" s="28"/>
      <c r="P864" s="28"/>
      <c r="Q864" s="28"/>
      <c r="R864" s="28"/>
      <c r="S864" s="28"/>
      <c r="T864" s="28"/>
      <c r="U864" s="28"/>
      <c r="V864" s="28"/>
    </row>
    <row r="865" ht="13.5" customHeight="1">
      <c r="A865" s="28"/>
      <c r="B865" s="28"/>
      <c r="C865" s="28"/>
      <c r="D865" s="28"/>
      <c r="E865" s="28"/>
      <c r="F865" s="28"/>
      <c r="G865" s="28"/>
      <c r="H865" s="28"/>
      <c r="I865" s="28"/>
      <c r="J865" s="28"/>
      <c r="K865" s="28"/>
      <c r="L865" s="28"/>
      <c r="M865" s="28"/>
      <c r="N865" s="28"/>
      <c r="O865" s="28"/>
      <c r="P865" s="28"/>
      <c r="Q865" s="28"/>
      <c r="R865" s="28"/>
      <c r="S865" s="28"/>
      <c r="T865" s="28"/>
      <c r="U865" s="28"/>
      <c r="V865" s="28"/>
    </row>
    <row r="866" ht="13.5" customHeight="1">
      <c r="A866" s="28"/>
      <c r="B866" s="28"/>
      <c r="C866" s="28"/>
      <c r="D866" s="28"/>
      <c r="E866" s="28"/>
      <c r="F866" s="28"/>
      <c r="G866" s="28"/>
      <c r="H866" s="28"/>
      <c r="I866" s="28"/>
      <c r="J866" s="28"/>
      <c r="K866" s="28"/>
      <c r="L866" s="28"/>
      <c r="M866" s="28"/>
      <c r="N866" s="28"/>
      <c r="O866" s="28"/>
      <c r="P866" s="28"/>
      <c r="Q866" s="28"/>
      <c r="R866" s="28"/>
      <c r="S866" s="28"/>
      <c r="T866" s="28"/>
      <c r="U866" s="28"/>
      <c r="V866" s="28"/>
    </row>
    <row r="867" ht="13.5" customHeight="1">
      <c r="A867" s="28"/>
      <c r="B867" s="28"/>
      <c r="C867" s="28"/>
      <c r="D867" s="28"/>
      <c r="E867" s="28"/>
      <c r="F867" s="28"/>
      <c r="G867" s="28"/>
      <c r="H867" s="28"/>
      <c r="I867" s="28"/>
      <c r="J867" s="28"/>
      <c r="K867" s="28"/>
      <c r="L867" s="28"/>
      <c r="M867" s="28"/>
      <c r="N867" s="28"/>
      <c r="O867" s="28"/>
      <c r="P867" s="28"/>
      <c r="Q867" s="28"/>
      <c r="R867" s="28"/>
      <c r="S867" s="28"/>
      <c r="T867" s="28"/>
      <c r="U867" s="28"/>
      <c r="V867" s="28"/>
    </row>
    <row r="868" ht="13.5" customHeight="1">
      <c r="A868" s="28"/>
      <c r="B868" s="28"/>
      <c r="C868" s="28"/>
      <c r="D868" s="28"/>
      <c r="E868" s="28"/>
      <c r="F868" s="28"/>
      <c r="G868" s="28"/>
      <c r="H868" s="28"/>
      <c r="I868" s="28"/>
      <c r="J868" s="28"/>
      <c r="K868" s="28"/>
      <c r="L868" s="28"/>
      <c r="M868" s="28"/>
      <c r="N868" s="28"/>
      <c r="O868" s="28"/>
      <c r="P868" s="28"/>
      <c r="Q868" s="28"/>
      <c r="R868" s="28"/>
      <c r="S868" s="28"/>
      <c r="T868" s="28"/>
      <c r="U868" s="28"/>
      <c r="V868" s="28"/>
    </row>
    <row r="869" ht="13.5" customHeight="1">
      <c r="A869" s="28"/>
      <c r="B869" s="28"/>
      <c r="C869" s="28"/>
      <c r="D869" s="28"/>
      <c r="E869" s="28"/>
      <c r="F869" s="28"/>
      <c r="G869" s="28"/>
      <c r="H869" s="28"/>
      <c r="I869" s="28"/>
      <c r="J869" s="28"/>
      <c r="K869" s="28"/>
      <c r="L869" s="28"/>
      <c r="M869" s="28"/>
      <c r="N869" s="28"/>
      <c r="O869" s="28"/>
      <c r="P869" s="28"/>
      <c r="Q869" s="28"/>
      <c r="R869" s="28"/>
      <c r="S869" s="28"/>
      <c r="T869" s="28"/>
      <c r="U869" s="28"/>
      <c r="V869" s="28"/>
    </row>
    <row r="870" ht="13.5" customHeight="1">
      <c r="A870" s="28"/>
      <c r="B870" s="28"/>
      <c r="C870" s="28"/>
      <c r="D870" s="28"/>
      <c r="E870" s="28"/>
      <c r="F870" s="28"/>
      <c r="G870" s="28"/>
      <c r="H870" s="28"/>
      <c r="I870" s="28"/>
      <c r="J870" s="28"/>
      <c r="K870" s="28"/>
      <c r="L870" s="28"/>
      <c r="M870" s="28"/>
      <c r="N870" s="28"/>
      <c r="O870" s="28"/>
      <c r="P870" s="28"/>
      <c r="Q870" s="28"/>
      <c r="R870" s="28"/>
      <c r="S870" s="28"/>
      <c r="T870" s="28"/>
      <c r="U870" s="28"/>
      <c r="V870" s="28"/>
    </row>
    <row r="871" ht="13.5" customHeight="1">
      <c r="A871" s="28"/>
      <c r="B871" s="28"/>
      <c r="C871" s="28"/>
      <c r="D871" s="28"/>
      <c r="E871" s="28"/>
      <c r="F871" s="28"/>
      <c r="G871" s="28"/>
      <c r="H871" s="28"/>
      <c r="I871" s="28"/>
      <c r="J871" s="28"/>
      <c r="K871" s="28"/>
      <c r="L871" s="28"/>
      <c r="M871" s="28"/>
      <c r="N871" s="28"/>
      <c r="O871" s="28"/>
      <c r="P871" s="28"/>
      <c r="Q871" s="28"/>
      <c r="R871" s="28"/>
      <c r="S871" s="28"/>
      <c r="T871" s="28"/>
      <c r="U871" s="28"/>
      <c r="V871" s="28"/>
    </row>
    <row r="872" ht="13.5" customHeight="1">
      <c r="A872" s="28"/>
      <c r="B872" s="28"/>
      <c r="C872" s="28"/>
      <c r="D872" s="28"/>
      <c r="E872" s="28"/>
      <c r="F872" s="28"/>
      <c r="G872" s="28"/>
      <c r="H872" s="28"/>
      <c r="I872" s="28"/>
      <c r="J872" s="28"/>
      <c r="K872" s="28"/>
      <c r="L872" s="28"/>
      <c r="M872" s="28"/>
      <c r="N872" s="28"/>
      <c r="O872" s="28"/>
      <c r="P872" s="28"/>
      <c r="Q872" s="28"/>
      <c r="R872" s="28"/>
      <c r="S872" s="28"/>
      <c r="T872" s="28"/>
      <c r="U872" s="28"/>
      <c r="V872" s="28"/>
    </row>
    <row r="873" ht="13.5" customHeight="1">
      <c r="A873" s="28"/>
      <c r="B873" s="28"/>
      <c r="C873" s="28"/>
      <c r="D873" s="28"/>
      <c r="E873" s="28"/>
      <c r="F873" s="28"/>
      <c r="G873" s="28"/>
      <c r="H873" s="28"/>
      <c r="I873" s="28"/>
      <c r="J873" s="28"/>
      <c r="K873" s="28"/>
      <c r="L873" s="28"/>
      <c r="M873" s="28"/>
      <c r="N873" s="28"/>
      <c r="O873" s="28"/>
      <c r="P873" s="28"/>
      <c r="Q873" s="28"/>
      <c r="R873" s="28"/>
      <c r="S873" s="28"/>
      <c r="T873" s="28"/>
      <c r="U873" s="28"/>
      <c r="V873" s="28"/>
    </row>
    <row r="874" ht="13.5" customHeight="1">
      <c r="A874" s="28"/>
      <c r="B874" s="28"/>
      <c r="C874" s="28"/>
      <c r="D874" s="28"/>
      <c r="E874" s="28"/>
      <c r="F874" s="28"/>
      <c r="G874" s="28"/>
      <c r="H874" s="28"/>
      <c r="I874" s="28"/>
      <c r="J874" s="28"/>
      <c r="K874" s="28"/>
      <c r="L874" s="28"/>
      <c r="M874" s="28"/>
      <c r="N874" s="28"/>
      <c r="O874" s="28"/>
      <c r="P874" s="28"/>
      <c r="Q874" s="28"/>
      <c r="R874" s="28"/>
      <c r="S874" s="28"/>
      <c r="T874" s="28"/>
      <c r="U874" s="28"/>
      <c r="V874" s="28"/>
    </row>
    <row r="875" ht="13.5" customHeight="1">
      <c r="A875" s="28"/>
      <c r="B875" s="28"/>
      <c r="C875" s="28"/>
      <c r="D875" s="28"/>
      <c r="E875" s="28"/>
      <c r="F875" s="28"/>
      <c r="G875" s="28"/>
      <c r="H875" s="28"/>
      <c r="I875" s="28"/>
      <c r="J875" s="28"/>
      <c r="K875" s="28"/>
      <c r="L875" s="28"/>
      <c r="M875" s="28"/>
      <c r="N875" s="28"/>
      <c r="O875" s="28"/>
      <c r="P875" s="28"/>
      <c r="Q875" s="28"/>
      <c r="R875" s="28"/>
      <c r="S875" s="28"/>
      <c r="T875" s="28"/>
      <c r="U875" s="28"/>
      <c r="V875" s="28"/>
    </row>
    <row r="876" ht="13.5" customHeight="1">
      <c r="A876" s="28"/>
      <c r="B876" s="28"/>
      <c r="C876" s="28"/>
      <c r="D876" s="28"/>
      <c r="E876" s="28"/>
      <c r="F876" s="28"/>
      <c r="G876" s="28"/>
      <c r="H876" s="28"/>
      <c r="I876" s="28"/>
      <c r="J876" s="28"/>
      <c r="K876" s="28"/>
      <c r="L876" s="28"/>
      <c r="M876" s="28"/>
      <c r="N876" s="28"/>
      <c r="O876" s="28"/>
      <c r="P876" s="28"/>
      <c r="Q876" s="28"/>
      <c r="R876" s="28"/>
      <c r="S876" s="28"/>
      <c r="T876" s="28"/>
      <c r="U876" s="28"/>
      <c r="V876" s="28"/>
    </row>
    <row r="877" ht="13.5" customHeight="1">
      <c r="A877" s="28"/>
      <c r="B877" s="28"/>
      <c r="C877" s="28"/>
      <c r="D877" s="28"/>
      <c r="E877" s="28"/>
      <c r="F877" s="28"/>
      <c r="G877" s="28"/>
      <c r="H877" s="28"/>
      <c r="I877" s="28"/>
      <c r="J877" s="28"/>
      <c r="K877" s="28"/>
      <c r="L877" s="28"/>
      <c r="M877" s="28"/>
      <c r="N877" s="28"/>
      <c r="O877" s="28"/>
      <c r="P877" s="28"/>
      <c r="Q877" s="28"/>
      <c r="R877" s="28"/>
      <c r="S877" s="28"/>
      <c r="T877" s="28"/>
      <c r="U877" s="28"/>
      <c r="V877" s="28"/>
    </row>
    <row r="878" ht="13.5" customHeight="1">
      <c r="A878" s="28"/>
      <c r="B878" s="28"/>
      <c r="C878" s="28"/>
      <c r="D878" s="28"/>
      <c r="E878" s="28"/>
      <c r="F878" s="28"/>
      <c r="G878" s="28"/>
      <c r="H878" s="28"/>
      <c r="I878" s="28"/>
      <c r="J878" s="28"/>
      <c r="K878" s="28"/>
      <c r="L878" s="28"/>
      <c r="M878" s="28"/>
      <c r="N878" s="28"/>
      <c r="O878" s="28"/>
      <c r="P878" s="28"/>
      <c r="Q878" s="28"/>
      <c r="R878" s="28"/>
      <c r="S878" s="28"/>
      <c r="T878" s="28"/>
      <c r="U878" s="28"/>
      <c r="V878" s="28"/>
    </row>
    <row r="879" ht="13.5" customHeight="1">
      <c r="A879" s="28"/>
      <c r="B879" s="28"/>
      <c r="C879" s="28"/>
      <c r="D879" s="28"/>
      <c r="E879" s="28"/>
      <c r="F879" s="28"/>
      <c r="G879" s="28"/>
      <c r="H879" s="28"/>
      <c r="I879" s="28"/>
      <c r="J879" s="28"/>
      <c r="K879" s="28"/>
      <c r="L879" s="28"/>
      <c r="M879" s="28"/>
      <c r="N879" s="28"/>
      <c r="O879" s="28"/>
      <c r="P879" s="28"/>
      <c r="Q879" s="28"/>
      <c r="R879" s="28"/>
      <c r="S879" s="28"/>
      <c r="T879" s="28"/>
      <c r="U879" s="28"/>
      <c r="V879" s="28"/>
    </row>
    <row r="880" ht="13.5" customHeight="1">
      <c r="A880" s="28"/>
      <c r="B880" s="28"/>
      <c r="C880" s="28"/>
      <c r="D880" s="28"/>
      <c r="E880" s="28"/>
      <c r="F880" s="28"/>
      <c r="G880" s="28"/>
      <c r="H880" s="28"/>
      <c r="I880" s="28"/>
      <c r="J880" s="28"/>
      <c r="K880" s="28"/>
      <c r="L880" s="28"/>
      <c r="M880" s="28"/>
      <c r="N880" s="28"/>
      <c r="O880" s="28"/>
      <c r="P880" s="28"/>
      <c r="Q880" s="28"/>
      <c r="R880" s="28"/>
      <c r="S880" s="28"/>
      <c r="T880" s="28"/>
      <c r="U880" s="28"/>
      <c r="V880" s="28"/>
    </row>
    <row r="881" ht="13.5" customHeight="1">
      <c r="A881" s="28"/>
      <c r="B881" s="28"/>
      <c r="C881" s="28"/>
      <c r="D881" s="28"/>
      <c r="E881" s="28"/>
      <c r="F881" s="28"/>
      <c r="G881" s="28"/>
      <c r="H881" s="28"/>
      <c r="I881" s="28"/>
      <c r="J881" s="28"/>
      <c r="K881" s="28"/>
      <c r="L881" s="28"/>
      <c r="M881" s="28"/>
      <c r="N881" s="28"/>
      <c r="O881" s="28"/>
      <c r="P881" s="28"/>
      <c r="Q881" s="28"/>
      <c r="R881" s="28"/>
      <c r="S881" s="28"/>
      <c r="T881" s="28"/>
      <c r="U881" s="28"/>
      <c r="V881" s="28"/>
    </row>
    <row r="882" ht="13.5" customHeight="1">
      <c r="A882" s="28"/>
      <c r="B882" s="28"/>
      <c r="C882" s="28"/>
      <c r="D882" s="28"/>
      <c r="E882" s="28"/>
      <c r="F882" s="28"/>
      <c r="G882" s="28"/>
      <c r="H882" s="28"/>
      <c r="I882" s="28"/>
      <c r="J882" s="28"/>
      <c r="K882" s="28"/>
      <c r="L882" s="28"/>
      <c r="M882" s="28"/>
      <c r="N882" s="28"/>
      <c r="O882" s="28"/>
      <c r="P882" s="28"/>
      <c r="Q882" s="28"/>
      <c r="R882" s="28"/>
      <c r="S882" s="28"/>
      <c r="T882" s="28"/>
      <c r="U882" s="28"/>
      <c r="V882" s="28"/>
    </row>
    <row r="883" ht="13.5" customHeight="1">
      <c r="A883" s="28"/>
      <c r="B883" s="28"/>
      <c r="C883" s="28"/>
      <c r="D883" s="28"/>
      <c r="E883" s="28"/>
      <c r="F883" s="28"/>
      <c r="G883" s="28"/>
      <c r="H883" s="28"/>
      <c r="I883" s="28"/>
      <c r="J883" s="28"/>
      <c r="K883" s="28"/>
      <c r="L883" s="28"/>
      <c r="M883" s="28"/>
      <c r="N883" s="28"/>
      <c r="O883" s="28"/>
      <c r="P883" s="28"/>
      <c r="Q883" s="28"/>
      <c r="R883" s="28"/>
      <c r="S883" s="28"/>
      <c r="T883" s="28"/>
      <c r="U883" s="28"/>
      <c r="V883" s="28"/>
    </row>
    <row r="884" ht="13.5" customHeight="1">
      <c r="A884" s="28"/>
      <c r="B884" s="28"/>
      <c r="C884" s="28"/>
      <c r="D884" s="28"/>
      <c r="E884" s="28"/>
      <c r="F884" s="28"/>
      <c r="G884" s="28"/>
      <c r="H884" s="28"/>
      <c r="I884" s="28"/>
      <c r="J884" s="28"/>
      <c r="K884" s="28"/>
      <c r="L884" s="28"/>
      <c r="M884" s="28"/>
      <c r="N884" s="28"/>
      <c r="O884" s="28"/>
      <c r="P884" s="28"/>
      <c r="Q884" s="28"/>
      <c r="R884" s="28"/>
      <c r="S884" s="28"/>
      <c r="T884" s="28"/>
      <c r="U884" s="28"/>
      <c r="V884" s="28"/>
    </row>
    <row r="885" ht="13.5" customHeight="1">
      <c r="A885" s="28"/>
      <c r="B885" s="28"/>
      <c r="C885" s="28"/>
      <c r="D885" s="28"/>
      <c r="E885" s="28"/>
      <c r="F885" s="28"/>
      <c r="G885" s="28"/>
      <c r="H885" s="28"/>
      <c r="I885" s="28"/>
      <c r="J885" s="28"/>
      <c r="K885" s="28"/>
      <c r="L885" s="28"/>
      <c r="M885" s="28"/>
      <c r="N885" s="28"/>
      <c r="O885" s="28"/>
      <c r="P885" s="28"/>
      <c r="Q885" s="28"/>
      <c r="R885" s="28"/>
      <c r="S885" s="28"/>
      <c r="T885" s="28"/>
      <c r="U885" s="28"/>
      <c r="V885" s="28"/>
    </row>
    <row r="886" ht="13.5" customHeight="1">
      <c r="A886" s="28"/>
      <c r="B886" s="28"/>
      <c r="C886" s="28"/>
      <c r="D886" s="28"/>
      <c r="E886" s="28"/>
      <c r="F886" s="28"/>
      <c r="G886" s="28"/>
      <c r="H886" s="28"/>
      <c r="I886" s="28"/>
      <c r="J886" s="28"/>
      <c r="K886" s="28"/>
      <c r="L886" s="28"/>
      <c r="M886" s="28"/>
      <c r="N886" s="28"/>
      <c r="O886" s="28"/>
      <c r="P886" s="28"/>
      <c r="Q886" s="28"/>
      <c r="R886" s="28"/>
      <c r="S886" s="28"/>
      <c r="T886" s="28"/>
      <c r="U886" s="28"/>
      <c r="V886" s="28"/>
    </row>
    <row r="887" ht="13.5" customHeight="1">
      <c r="A887" s="28"/>
      <c r="B887" s="28"/>
      <c r="C887" s="28"/>
      <c r="D887" s="28"/>
      <c r="E887" s="28"/>
      <c r="F887" s="28"/>
      <c r="G887" s="28"/>
      <c r="H887" s="28"/>
      <c r="I887" s="28"/>
      <c r="J887" s="28"/>
      <c r="K887" s="28"/>
      <c r="L887" s="28"/>
      <c r="M887" s="28"/>
      <c r="N887" s="28"/>
      <c r="O887" s="28"/>
      <c r="P887" s="28"/>
      <c r="Q887" s="28"/>
      <c r="R887" s="28"/>
      <c r="S887" s="28"/>
      <c r="T887" s="28"/>
      <c r="U887" s="28"/>
      <c r="V887" s="28"/>
    </row>
    <row r="888" ht="13.5" customHeight="1">
      <c r="A888" s="28"/>
      <c r="B888" s="28"/>
      <c r="C888" s="28"/>
      <c r="D888" s="28"/>
      <c r="E888" s="28"/>
      <c r="F888" s="28"/>
      <c r="G888" s="28"/>
      <c r="H888" s="28"/>
      <c r="I888" s="28"/>
      <c r="J888" s="28"/>
      <c r="K888" s="28"/>
      <c r="L888" s="28"/>
      <c r="M888" s="28"/>
      <c r="N888" s="28"/>
      <c r="O888" s="28"/>
      <c r="P888" s="28"/>
      <c r="Q888" s="28"/>
      <c r="R888" s="28"/>
      <c r="S888" s="28"/>
      <c r="T888" s="28"/>
      <c r="U888" s="28"/>
      <c r="V888" s="28"/>
    </row>
    <row r="889" ht="13.5" customHeight="1">
      <c r="A889" s="28"/>
      <c r="B889" s="28"/>
      <c r="C889" s="28"/>
      <c r="D889" s="28"/>
      <c r="E889" s="28"/>
      <c r="F889" s="28"/>
      <c r="G889" s="28"/>
      <c r="H889" s="28"/>
      <c r="I889" s="28"/>
      <c r="J889" s="28"/>
      <c r="K889" s="28"/>
      <c r="L889" s="28"/>
      <c r="M889" s="28"/>
      <c r="N889" s="28"/>
      <c r="O889" s="28"/>
      <c r="P889" s="28"/>
      <c r="Q889" s="28"/>
      <c r="R889" s="28"/>
      <c r="S889" s="28"/>
      <c r="T889" s="28"/>
      <c r="U889" s="28"/>
      <c r="V889" s="28"/>
    </row>
    <row r="890" ht="13.5" customHeight="1">
      <c r="A890" s="28"/>
      <c r="B890" s="28"/>
      <c r="C890" s="28"/>
      <c r="D890" s="28"/>
      <c r="E890" s="28"/>
      <c r="F890" s="28"/>
      <c r="G890" s="28"/>
      <c r="H890" s="28"/>
      <c r="I890" s="28"/>
      <c r="J890" s="28"/>
      <c r="K890" s="28"/>
      <c r="L890" s="28"/>
      <c r="M890" s="28"/>
      <c r="N890" s="28"/>
      <c r="O890" s="28"/>
      <c r="P890" s="28"/>
      <c r="Q890" s="28"/>
      <c r="R890" s="28"/>
      <c r="S890" s="28"/>
      <c r="T890" s="28"/>
      <c r="U890" s="28"/>
      <c r="V890" s="28"/>
    </row>
    <row r="891" ht="13.5" customHeight="1">
      <c r="A891" s="28"/>
      <c r="B891" s="28"/>
      <c r="C891" s="28"/>
      <c r="D891" s="28"/>
      <c r="E891" s="28"/>
      <c r="F891" s="28"/>
      <c r="G891" s="28"/>
      <c r="H891" s="28"/>
      <c r="I891" s="28"/>
      <c r="J891" s="28"/>
      <c r="K891" s="28"/>
      <c r="L891" s="28"/>
      <c r="M891" s="28"/>
      <c r="N891" s="28"/>
      <c r="O891" s="28"/>
      <c r="P891" s="28"/>
      <c r="Q891" s="28"/>
      <c r="R891" s="28"/>
      <c r="S891" s="28"/>
      <c r="T891" s="28"/>
      <c r="U891" s="28"/>
      <c r="V891" s="28"/>
    </row>
    <row r="892" ht="13.5" customHeight="1">
      <c r="A892" s="28"/>
      <c r="B892" s="28"/>
      <c r="C892" s="28"/>
      <c r="D892" s="28"/>
      <c r="E892" s="28"/>
      <c r="F892" s="28"/>
      <c r="G892" s="28"/>
      <c r="H892" s="28"/>
      <c r="I892" s="28"/>
      <c r="J892" s="28"/>
      <c r="K892" s="28"/>
      <c r="L892" s="28"/>
      <c r="M892" s="28"/>
      <c r="N892" s="28"/>
      <c r="O892" s="28"/>
      <c r="P892" s="28"/>
      <c r="Q892" s="28"/>
      <c r="R892" s="28"/>
      <c r="S892" s="28"/>
      <c r="T892" s="28"/>
      <c r="U892" s="28"/>
      <c r="V892" s="28"/>
    </row>
    <row r="893" ht="13.5" customHeight="1">
      <c r="A893" s="28"/>
      <c r="B893" s="28"/>
      <c r="C893" s="28"/>
      <c r="D893" s="28"/>
      <c r="E893" s="28"/>
      <c r="F893" s="28"/>
      <c r="G893" s="28"/>
      <c r="H893" s="28"/>
      <c r="I893" s="28"/>
      <c r="J893" s="28"/>
      <c r="K893" s="28"/>
      <c r="L893" s="28"/>
      <c r="M893" s="28"/>
      <c r="N893" s="28"/>
      <c r="O893" s="28"/>
      <c r="P893" s="28"/>
      <c r="Q893" s="28"/>
      <c r="R893" s="28"/>
      <c r="S893" s="28"/>
      <c r="T893" s="28"/>
      <c r="U893" s="28"/>
      <c r="V893" s="28"/>
    </row>
    <row r="894" ht="13.5" customHeight="1">
      <c r="A894" s="28"/>
      <c r="B894" s="28"/>
      <c r="C894" s="28"/>
      <c r="D894" s="28"/>
      <c r="E894" s="28"/>
      <c r="F894" s="28"/>
      <c r="G894" s="28"/>
      <c r="H894" s="28"/>
      <c r="I894" s="28"/>
      <c r="J894" s="28"/>
      <c r="K894" s="28"/>
      <c r="L894" s="28"/>
      <c r="M894" s="28"/>
      <c r="N894" s="28"/>
      <c r="O894" s="28"/>
      <c r="P894" s="28"/>
      <c r="Q894" s="28"/>
      <c r="R894" s="28"/>
      <c r="S894" s="28"/>
      <c r="T894" s="28"/>
      <c r="U894" s="28"/>
      <c r="V894" s="28"/>
    </row>
    <row r="895" ht="13.5" customHeight="1">
      <c r="A895" s="28"/>
      <c r="B895" s="28"/>
      <c r="C895" s="28"/>
      <c r="D895" s="28"/>
      <c r="E895" s="28"/>
      <c r="F895" s="28"/>
      <c r="G895" s="28"/>
      <c r="H895" s="28"/>
      <c r="I895" s="28"/>
      <c r="J895" s="28"/>
      <c r="K895" s="28"/>
      <c r="L895" s="28"/>
      <c r="M895" s="28"/>
      <c r="N895" s="28"/>
      <c r="O895" s="28"/>
      <c r="P895" s="28"/>
      <c r="Q895" s="28"/>
      <c r="R895" s="28"/>
      <c r="S895" s="28"/>
      <c r="T895" s="28"/>
      <c r="U895" s="28"/>
      <c r="V895" s="28"/>
    </row>
    <row r="896" ht="13.5" customHeight="1">
      <c r="A896" s="28"/>
      <c r="B896" s="28"/>
      <c r="C896" s="28"/>
      <c r="D896" s="28"/>
      <c r="E896" s="28"/>
      <c r="F896" s="28"/>
      <c r="G896" s="28"/>
      <c r="H896" s="28"/>
      <c r="I896" s="28"/>
      <c r="J896" s="28"/>
      <c r="K896" s="28"/>
      <c r="L896" s="28"/>
      <c r="M896" s="28"/>
      <c r="N896" s="28"/>
      <c r="O896" s="28"/>
      <c r="P896" s="28"/>
      <c r="Q896" s="28"/>
      <c r="R896" s="28"/>
      <c r="S896" s="28"/>
      <c r="T896" s="28"/>
      <c r="U896" s="28"/>
      <c r="V896" s="28"/>
    </row>
    <row r="897" ht="13.5" customHeight="1">
      <c r="A897" s="28"/>
      <c r="B897" s="28"/>
      <c r="C897" s="28"/>
      <c r="D897" s="28"/>
      <c r="E897" s="28"/>
      <c r="F897" s="28"/>
      <c r="G897" s="28"/>
      <c r="H897" s="28"/>
      <c r="I897" s="28"/>
      <c r="J897" s="28"/>
      <c r="K897" s="28"/>
      <c r="L897" s="28"/>
      <c r="M897" s="28"/>
      <c r="N897" s="28"/>
      <c r="O897" s="28"/>
      <c r="P897" s="28"/>
      <c r="Q897" s="28"/>
      <c r="R897" s="28"/>
      <c r="S897" s="28"/>
      <c r="T897" s="28"/>
      <c r="U897" s="28"/>
      <c r="V897" s="28"/>
    </row>
    <row r="898" ht="13.5" customHeight="1">
      <c r="A898" s="28"/>
      <c r="B898" s="28"/>
      <c r="C898" s="28"/>
      <c r="D898" s="28"/>
      <c r="E898" s="28"/>
      <c r="F898" s="28"/>
      <c r="G898" s="28"/>
      <c r="H898" s="28"/>
      <c r="I898" s="28"/>
      <c r="J898" s="28"/>
      <c r="K898" s="28"/>
      <c r="L898" s="28"/>
      <c r="M898" s="28"/>
      <c r="N898" s="28"/>
      <c r="O898" s="28"/>
      <c r="P898" s="28"/>
      <c r="Q898" s="28"/>
      <c r="R898" s="28"/>
      <c r="S898" s="28"/>
      <c r="T898" s="28"/>
      <c r="U898" s="28"/>
      <c r="V898" s="28"/>
    </row>
    <row r="899" ht="13.5" customHeight="1">
      <c r="A899" s="28"/>
      <c r="B899" s="28"/>
      <c r="C899" s="28"/>
      <c r="D899" s="28"/>
      <c r="E899" s="28"/>
      <c r="F899" s="28"/>
      <c r="G899" s="28"/>
      <c r="H899" s="28"/>
      <c r="I899" s="28"/>
      <c r="J899" s="28"/>
      <c r="K899" s="28"/>
      <c r="L899" s="28"/>
      <c r="M899" s="28"/>
      <c r="N899" s="28"/>
      <c r="O899" s="28"/>
      <c r="P899" s="28"/>
      <c r="Q899" s="28"/>
      <c r="R899" s="28"/>
      <c r="S899" s="28"/>
      <c r="T899" s="28"/>
      <c r="U899" s="28"/>
      <c r="V899" s="28"/>
    </row>
    <row r="900" ht="13.5" customHeight="1">
      <c r="A900" s="28"/>
      <c r="B900" s="28"/>
      <c r="C900" s="28"/>
      <c r="D900" s="28"/>
      <c r="E900" s="28"/>
      <c r="F900" s="28"/>
      <c r="G900" s="28"/>
      <c r="H900" s="28"/>
      <c r="I900" s="28"/>
      <c r="J900" s="28"/>
      <c r="K900" s="28"/>
      <c r="L900" s="28"/>
      <c r="M900" s="28"/>
      <c r="N900" s="28"/>
      <c r="O900" s="28"/>
      <c r="P900" s="28"/>
      <c r="Q900" s="28"/>
      <c r="R900" s="28"/>
      <c r="S900" s="28"/>
      <c r="T900" s="28"/>
      <c r="U900" s="28"/>
      <c r="V900" s="28"/>
    </row>
    <row r="901" ht="13.5" customHeight="1">
      <c r="A901" s="28"/>
      <c r="B901" s="28"/>
      <c r="C901" s="28"/>
      <c r="D901" s="28"/>
      <c r="E901" s="28"/>
      <c r="F901" s="28"/>
      <c r="G901" s="28"/>
      <c r="H901" s="28"/>
      <c r="I901" s="28"/>
      <c r="J901" s="28"/>
      <c r="K901" s="28"/>
      <c r="L901" s="28"/>
      <c r="M901" s="28"/>
      <c r="N901" s="28"/>
      <c r="O901" s="28"/>
      <c r="P901" s="28"/>
      <c r="Q901" s="28"/>
      <c r="R901" s="28"/>
      <c r="S901" s="28"/>
      <c r="T901" s="28"/>
      <c r="U901" s="28"/>
      <c r="V901" s="28"/>
    </row>
    <row r="902" ht="13.5" customHeight="1">
      <c r="A902" s="28"/>
      <c r="B902" s="28"/>
      <c r="C902" s="28"/>
      <c r="D902" s="28"/>
      <c r="E902" s="28"/>
      <c r="F902" s="28"/>
      <c r="G902" s="28"/>
      <c r="H902" s="28"/>
      <c r="I902" s="28"/>
      <c r="J902" s="28"/>
      <c r="K902" s="28"/>
      <c r="L902" s="28"/>
      <c r="M902" s="28"/>
      <c r="N902" s="28"/>
      <c r="O902" s="28"/>
      <c r="P902" s="28"/>
      <c r="Q902" s="28"/>
      <c r="R902" s="28"/>
      <c r="S902" s="28"/>
      <c r="T902" s="28"/>
      <c r="U902" s="28"/>
      <c r="V902" s="28"/>
    </row>
    <row r="903" ht="13.5" customHeight="1">
      <c r="A903" s="28"/>
      <c r="B903" s="28"/>
      <c r="C903" s="28"/>
      <c r="D903" s="28"/>
      <c r="E903" s="28"/>
      <c r="F903" s="28"/>
      <c r="G903" s="28"/>
      <c r="H903" s="28"/>
      <c r="I903" s="28"/>
      <c r="J903" s="28"/>
      <c r="K903" s="28"/>
      <c r="L903" s="28"/>
      <c r="M903" s="28"/>
      <c r="N903" s="28"/>
      <c r="O903" s="28"/>
      <c r="P903" s="28"/>
      <c r="Q903" s="28"/>
      <c r="R903" s="28"/>
      <c r="S903" s="28"/>
      <c r="T903" s="28"/>
      <c r="U903" s="28"/>
      <c r="V903" s="28"/>
    </row>
    <row r="904" ht="13.5" customHeight="1">
      <c r="A904" s="28"/>
      <c r="B904" s="28"/>
      <c r="C904" s="28"/>
      <c r="D904" s="28"/>
      <c r="E904" s="28"/>
      <c r="F904" s="28"/>
      <c r="G904" s="28"/>
      <c r="H904" s="28"/>
      <c r="I904" s="28"/>
      <c r="J904" s="28"/>
      <c r="K904" s="28"/>
      <c r="L904" s="28"/>
      <c r="M904" s="28"/>
      <c r="N904" s="28"/>
      <c r="O904" s="28"/>
      <c r="P904" s="28"/>
      <c r="Q904" s="28"/>
      <c r="R904" s="28"/>
      <c r="S904" s="28"/>
      <c r="T904" s="28"/>
      <c r="U904" s="28"/>
      <c r="V904" s="28"/>
    </row>
    <row r="905" ht="13.5" customHeight="1">
      <c r="A905" s="28"/>
      <c r="B905" s="28"/>
      <c r="C905" s="28"/>
      <c r="D905" s="28"/>
      <c r="E905" s="28"/>
      <c r="F905" s="28"/>
      <c r="G905" s="28"/>
      <c r="H905" s="28"/>
      <c r="I905" s="28"/>
      <c r="J905" s="28"/>
      <c r="K905" s="28"/>
      <c r="L905" s="28"/>
      <c r="M905" s="28"/>
      <c r="N905" s="28"/>
      <c r="O905" s="28"/>
      <c r="P905" s="28"/>
      <c r="Q905" s="28"/>
      <c r="R905" s="28"/>
      <c r="S905" s="28"/>
      <c r="T905" s="28"/>
      <c r="U905" s="28"/>
      <c r="V905" s="28"/>
    </row>
    <row r="906" ht="13.5" customHeight="1">
      <c r="A906" s="28"/>
      <c r="B906" s="28"/>
      <c r="C906" s="28"/>
      <c r="D906" s="28"/>
      <c r="E906" s="28"/>
      <c r="F906" s="28"/>
      <c r="G906" s="28"/>
      <c r="H906" s="28"/>
      <c r="I906" s="28"/>
      <c r="J906" s="28"/>
      <c r="K906" s="28"/>
      <c r="L906" s="28"/>
      <c r="M906" s="28"/>
      <c r="N906" s="28"/>
      <c r="O906" s="28"/>
      <c r="P906" s="28"/>
      <c r="Q906" s="28"/>
      <c r="R906" s="28"/>
      <c r="S906" s="28"/>
      <c r="T906" s="28"/>
      <c r="U906" s="28"/>
      <c r="V906" s="28"/>
    </row>
    <row r="907" ht="13.5" customHeight="1">
      <c r="A907" s="28"/>
      <c r="B907" s="28"/>
      <c r="C907" s="28"/>
      <c r="D907" s="28"/>
      <c r="E907" s="28"/>
      <c r="F907" s="28"/>
      <c r="G907" s="28"/>
      <c r="H907" s="28"/>
      <c r="I907" s="28"/>
      <c r="J907" s="28"/>
      <c r="K907" s="28"/>
      <c r="L907" s="28"/>
      <c r="M907" s="28"/>
      <c r="N907" s="28"/>
      <c r="O907" s="28"/>
      <c r="P907" s="28"/>
      <c r="Q907" s="28"/>
      <c r="R907" s="28"/>
      <c r="S907" s="28"/>
      <c r="T907" s="28"/>
      <c r="U907" s="28"/>
      <c r="V907" s="28"/>
    </row>
    <row r="908" ht="13.5" customHeight="1">
      <c r="A908" s="28"/>
      <c r="B908" s="28"/>
      <c r="C908" s="28"/>
      <c r="D908" s="28"/>
      <c r="E908" s="28"/>
      <c r="F908" s="28"/>
      <c r="G908" s="28"/>
      <c r="H908" s="28"/>
      <c r="I908" s="28"/>
      <c r="J908" s="28"/>
      <c r="K908" s="28"/>
      <c r="L908" s="28"/>
      <c r="M908" s="28"/>
      <c r="N908" s="28"/>
      <c r="O908" s="28"/>
      <c r="P908" s="28"/>
      <c r="Q908" s="28"/>
      <c r="R908" s="28"/>
      <c r="S908" s="28"/>
      <c r="T908" s="28"/>
      <c r="U908" s="28"/>
      <c r="V908" s="28"/>
    </row>
    <row r="909" ht="13.5" customHeight="1">
      <c r="A909" s="28"/>
      <c r="B909" s="28"/>
      <c r="C909" s="28"/>
      <c r="D909" s="28"/>
      <c r="E909" s="28"/>
      <c r="F909" s="28"/>
      <c r="G909" s="28"/>
      <c r="H909" s="28"/>
      <c r="I909" s="28"/>
      <c r="J909" s="28"/>
      <c r="K909" s="28"/>
      <c r="L909" s="28"/>
      <c r="M909" s="28"/>
      <c r="N909" s="28"/>
      <c r="O909" s="28"/>
      <c r="P909" s="28"/>
      <c r="Q909" s="28"/>
      <c r="R909" s="28"/>
      <c r="S909" s="28"/>
      <c r="T909" s="28"/>
      <c r="U909" s="28"/>
      <c r="V909" s="28"/>
    </row>
    <row r="910" ht="13.5" customHeight="1">
      <c r="A910" s="28"/>
      <c r="B910" s="28"/>
      <c r="C910" s="28"/>
      <c r="D910" s="28"/>
      <c r="E910" s="28"/>
      <c r="F910" s="28"/>
      <c r="G910" s="28"/>
      <c r="H910" s="28"/>
      <c r="I910" s="28"/>
      <c r="J910" s="28"/>
      <c r="K910" s="28"/>
      <c r="L910" s="28"/>
      <c r="M910" s="28"/>
      <c r="N910" s="28"/>
      <c r="O910" s="28"/>
      <c r="P910" s="28"/>
      <c r="Q910" s="28"/>
      <c r="R910" s="28"/>
      <c r="S910" s="28"/>
      <c r="T910" s="28"/>
      <c r="U910" s="28"/>
      <c r="V910" s="28"/>
    </row>
    <row r="911" ht="13.5" customHeight="1">
      <c r="A911" s="28"/>
      <c r="B911" s="28"/>
      <c r="C911" s="28"/>
      <c r="D911" s="28"/>
      <c r="E911" s="28"/>
      <c r="F911" s="28"/>
      <c r="G911" s="28"/>
      <c r="H911" s="28"/>
      <c r="I911" s="28"/>
      <c r="J911" s="28"/>
      <c r="K911" s="28"/>
      <c r="L911" s="28"/>
      <c r="M911" s="28"/>
      <c r="N911" s="28"/>
      <c r="O911" s="28"/>
      <c r="P911" s="28"/>
      <c r="Q911" s="28"/>
      <c r="R911" s="28"/>
      <c r="S911" s="28"/>
      <c r="T911" s="28"/>
      <c r="U911" s="28"/>
      <c r="V911" s="28"/>
    </row>
    <row r="912" ht="13.5" customHeight="1">
      <c r="A912" s="28"/>
      <c r="B912" s="28"/>
      <c r="C912" s="28"/>
      <c r="D912" s="28"/>
      <c r="E912" s="28"/>
      <c r="F912" s="28"/>
      <c r="G912" s="28"/>
      <c r="H912" s="28"/>
      <c r="I912" s="28"/>
      <c r="J912" s="28"/>
      <c r="K912" s="28"/>
      <c r="L912" s="28"/>
      <c r="M912" s="28"/>
      <c r="N912" s="28"/>
      <c r="O912" s="28"/>
      <c r="P912" s="28"/>
      <c r="Q912" s="28"/>
      <c r="R912" s="28"/>
      <c r="S912" s="28"/>
      <c r="T912" s="28"/>
      <c r="U912" s="28"/>
      <c r="V912" s="28"/>
    </row>
    <row r="913" ht="13.5" customHeight="1">
      <c r="A913" s="28"/>
      <c r="B913" s="28"/>
      <c r="C913" s="28"/>
      <c r="D913" s="28"/>
      <c r="E913" s="28"/>
      <c r="F913" s="28"/>
      <c r="G913" s="28"/>
      <c r="H913" s="28"/>
      <c r="I913" s="28"/>
      <c r="J913" s="28"/>
      <c r="K913" s="28"/>
      <c r="L913" s="28"/>
      <c r="M913" s="28"/>
      <c r="N913" s="28"/>
      <c r="O913" s="28"/>
      <c r="P913" s="28"/>
      <c r="Q913" s="28"/>
      <c r="R913" s="28"/>
      <c r="S913" s="28"/>
      <c r="T913" s="28"/>
      <c r="U913" s="28"/>
      <c r="V913" s="28"/>
    </row>
    <row r="914" ht="13.5" customHeight="1">
      <c r="A914" s="28"/>
      <c r="B914" s="28"/>
      <c r="C914" s="28"/>
      <c r="D914" s="28"/>
      <c r="E914" s="28"/>
      <c r="F914" s="28"/>
      <c r="G914" s="28"/>
      <c r="H914" s="28"/>
      <c r="I914" s="28"/>
      <c r="J914" s="28"/>
      <c r="K914" s="28"/>
      <c r="L914" s="28"/>
      <c r="M914" s="28"/>
      <c r="N914" s="28"/>
      <c r="O914" s="28"/>
      <c r="P914" s="28"/>
      <c r="Q914" s="28"/>
      <c r="R914" s="28"/>
      <c r="S914" s="28"/>
      <c r="T914" s="28"/>
      <c r="U914" s="28"/>
      <c r="V914" s="28"/>
    </row>
    <row r="915" ht="13.5" customHeight="1">
      <c r="A915" s="28"/>
      <c r="B915" s="28"/>
      <c r="C915" s="28"/>
      <c r="D915" s="28"/>
      <c r="E915" s="28"/>
      <c r="F915" s="28"/>
      <c r="G915" s="28"/>
      <c r="H915" s="28"/>
      <c r="I915" s="28"/>
      <c r="J915" s="28"/>
      <c r="K915" s="28"/>
      <c r="L915" s="28"/>
      <c r="M915" s="28"/>
      <c r="N915" s="28"/>
      <c r="O915" s="28"/>
      <c r="P915" s="28"/>
      <c r="Q915" s="28"/>
      <c r="R915" s="28"/>
      <c r="S915" s="28"/>
      <c r="T915" s="28"/>
      <c r="U915" s="28"/>
      <c r="V915" s="28"/>
    </row>
    <row r="916" ht="13.5" customHeight="1">
      <c r="A916" s="28"/>
      <c r="B916" s="28"/>
      <c r="C916" s="28"/>
      <c r="D916" s="28"/>
      <c r="E916" s="28"/>
      <c r="F916" s="28"/>
      <c r="G916" s="28"/>
      <c r="H916" s="28"/>
      <c r="I916" s="28"/>
      <c r="J916" s="28"/>
      <c r="K916" s="28"/>
      <c r="L916" s="28"/>
      <c r="M916" s="28"/>
      <c r="N916" s="28"/>
      <c r="O916" s="28"/>
      <c r="P916" s="28"/>
      <c r="Q916" s="28"/>
      <c r="R916" s="28"/>
      <c r="S916" s="28"/>
      <c r="T916" s="28"/>
      <c r="U916" s="28"/>
      <c r="V916" s="28"/>
    </row>
    <row r="917" ht="13.5" customHeight="1">
      <c r="A917" s="28"/>
      <c r="B917" s="28"/>
      <c r="C917" s="28"/>
      <c r="D917" s="28"/>
      <c r="E917" s="28"/>
      <c r="F917" s="28"/>
      <c r="G917" s="28"/>
      <c r="H917" s="28"/>
      <c r="I917" s="28"/>
      <c r="J917" s="28"/>
      <c r="K917" s="28"/>
      <c r="L917" s="28"/>
      <c r="M917" s="28"/>
      <c r="N917" s="28"/>
      <c r="O917" s="28"/>
      <c r="P917" s="28"/>
      <c r="Q917" s="28"/>
      <c r="R917" s="28"/>
      <c r="S917" s="28"/>
      <c r="T917" s="28"/>
      <c r="U917" s="28"/>
      <c r="V917" s="28"/>
    </row>
    <row r="918" ht="13.5" customHeight="1">
      <c r="A918" s="28"/>
      <c r="B918" s="28"/>
      <c r="C918" s="28"/>
      <c r="D918" s="28"/>
      <c r="E918" s="28"/>
      <c r="F918" s="28"/>
      <c r="G918" s="28"/>
      <c r="H918" s="28"/>
      <c r="I918" s="28"/>
      <c r="J918" s="28"/>
      <c r="K918" s="28"/>
      <c r="L918" s="28"/>
      <c r="M918" s="28"/>
      <c r="N918" s="28"/>
      <c r="O918" s="28"/>
      <c r="P918" s="28"/>
      <c r="Q918" s="28"/>
      <c r="R918" s="28"/>
      <c r="S918" s="28"/>
      <c r="T918" s="28"/>
      <c r="U918" s="28"/>
      <c r="V918" s="28"/>
    </row>
    <row r="919" ht="13.5" customHeight="1">
      <c r="A919" s="28"/>
      <c r="B919" s="28"/>
      <c r="C919" s="28"/>
      <c r="D919" s="28"/>
      <c r="E919" s="28"/>
      <c r="F919" s="28"/>
      <c r="G919" s="28"/>
      <c r="H919" s="28"/>
      <c r="I919" s="28"/>
      <c r="J919" s="28"/>
      <c r="K919" s="28"/>
      <c r="L919" s="28"/>
      <c r="M919" s="28"/>
      <c r="N919" s="28"/>
      <c r="O919" s="28"/>
      <c r="P919" s="28"/>
      <c r="Q919" s="28"/>
      <c r="R919" s="28"/>
      <c r="S919" s="28"/>
      <c r="T919" s="28"/>
      <c r="U919" s="28"/>
      <c r="V919" s="28"/>
    </row>
    <row r="920" ht="13.5" customHeight="1">
      <c r="A920" s="28"/>
      <c r="B920" s="28"/>
      <c r="C920" s="28"/>
      <c r="D920" s="28"/>
      <c r="E920" s="28"/>
      <c r="F920" s="28"/>
      <c r="G920" s="28"/>
      <c r="H920" s="28"/>
      <c r="I920" s="28"/>
      <c r="J920" s="28"/>
      <c r="K920" s="28"/>
      <c r="L920" s="28"/>
      <c r="M920" s="28"/>
      <c r="N920" s="28"/>
      <c r="O920" s="28"/>
      <c r="P920" s="28"/>
      <c r="Q920" s="28"/>
      <c r="R920" s="28"/>
      <c r="S920" s="28"/>
      <c r="T920" s="28"/>
      <c r="U920" s="28"/>
      <c r="V920" s="28"/>
    </row>
    <row r="921" ht="13.5" customHeight="1">
      <c r="A921" s="28"/>
      <c r="B921" s="28"/>
      <c r="C921" s="28"/>
      <c r="D921" s="28"/>
      <c r="E921" s="28"/>
      <c r="F921" s="28"/>
      <c r="G921" s="28"/>
      <c r="H921" s="28"/>
      <c r="I921" s="28"/>
      <c r="J921" s="28"/>
      <c r="K921" s="28"/>
      <c r="L921" s="28"/>
      <c r="M921" s="28"/>
      <c r="N921" s="28"/>
      <c r="O921" s="28"/>
      <c r="P921" s="28"/>
      <c r="Q921" s="28"/>
      <c r="R921" s="28"/>
      <c r="S921" s="28"/>
      <c r="T921" s="28"/>
      <c r="U921" s="28"/>
      <c r="V921" s="28"/>
    </row>
    <row r="922" ht="13.5" customHeight="1">
      <c r="A922" s="28"/>
      <c r="B922" s="28"/>
      <c r="C922" s="28"/>
      <c r="D922" s="28"/>
      <c r="E922" s="28"/>
      <c r="F922" s="28"/>
      <c r="G922" s="28"/>
      <c r="H922" s="28"/>
      <c r="I922" s="28"/>
      <c r="J922" s="28"/>
      <c r="K922" s="28"/>
      <c r="L922" s="28"/>
      <c r="M922" s="28"/>
      <c r="N922" s="28"/>
      <c r="O922" s="28"/>
      <c r="P922" s="28"/>
      <c r="Q922" s="28"/>
      <c r="R922" s="28"/>
      <c r="S922" s="28"/>
      <c r="T922" s="28"/>
      <c r="U922" s="28"/>
      <c r="V922" s="28"/>
    </row>
    <row r="923" ht="13.5" customHeight="1">
      <c r="A923" s="28"/>
      <c r="B923" s="28"/>
      <c r="C923" s="28"/>
      <c r="D923" s="28"/>
      <c r="E923" s="28"/>
      <c r="F923" s="28"/>
      <c r="G923" s="28"/>
      <c r="H923" s="28"/>
      <c r="I923" s="28"/>
      <c r="J923" s="28"/>
      <c r="K923" s="28"/>
      <c r="L923" s="28"/>
      <c r="M923" s="28"/>
      <c r="N923" s="28"/>
      <c r="O923" s="28"/>
      <c r="P923" s="28"/>
      <c r="Q923" s="28"/>
      <c r="R923" s="28"/>
      <c r="S923" s="28"/>
      <c r="T923" s="28"/>
      <c r="U923" s="28"/>
      <c r="V923" s="28"/>
    </row>
    <row r="924" ht="13.5" customHeight="1">
      <c r="A924" s="28"/>
      <c r="B924" s="28"/>
      <c r="C924" s="28"/>
      <c r="D924" s="28"/>
      <c r="E924" s="28"/>
      <c r="F924" s="28"/>
      <c r="G924" s="28"/>
      <c r="H924" s="28"/>
      <c r="I924" s="28"/>
      <c r="J924" s="28"/>
      <c r="K924" s="28"/>
      <c r="L924" s="28"/>
      <c r="M924" s="28"/>
      <c r="N924" s="28"/>
      <c r="O924" s="28"/>
      <c r="P924" s="28"/>
      <c r="Q924" s="28"/>
      <c r="R924" s="28"/>
      <c r="S924" s="28"/>
      <c r="T924" s="28"/>
      <c r="U924" s="28"/>
      <c r="V924" s="28"/>
    </row>
    <row r="925" ht="13.5" customHeight="1">
      <c r="A925" s="28"/>
      <c r="B925" s="28"/>
      <c r="C925" s="28"/>
      <c r="D925" s="28"/>
      <c r="E925" s="28"/>
      <c r="F925" s="28"/>
      <c r="G925" s="28"/>
      <c r="H925" s="28"/>
      <c r="I925" s="28"/>
      <c r="J925" s="28"/>
      <c r="K925" s="28"/>
      <c r="L925" s="28"/>
      <c r="M925" s="28"/>
      <c r="N925" s="28"/>
      <c r="O925" s="28"/>
      <c r="P925" s="28"/>
      <c r="Q925" s="28"/>
      <c r="R925" s="28"/>
      <c r="S925" s="28"/>
      <c r="T925" s="28"/>
      <c r="U925" s="28"/>
      <c r="V925" s="28"/>
    </row>
    <row r="926" ht="13.5" customHeight="1">
      <c r="A926" s="28"/>
      <c r="B926" s="28"/>
      <c r="C926" s="28"/>
      <c r="D926" s="28"/>
      <c r="E926" s="28"/>
      <c r="F926" s="28"/>
      <c r="G926" s="28"/>
      <c r="H926" s="28"/>
      <c r="I926" s="28"/>
      <c r="J926" s="28"/>
      <c r="K926" s="28"/>
      <c r="L926" s="28"/>
      <c r="M926" s="28"/>
      <c r="N926" s="28"/>
      <c r="O926" s="28"/>
      <c r="P926" s="28"/>
      <c r="Q926" s="28"/>
      <c r="R926" s="28"/>
      <c r="S926" s="28"/>
      <c r="T926" s="28"/>
      <c r="U926" s="28"/>
      <c r="V926" s="28"/>
    </row>
    <row r="927" ht="13.5" customHeight="1">
      <c r="A927" s="28"/>
      <c r="B927" s="28"/>
      <c r="C927" s="28"/>
      <c r="D927" s="28"/>
      <c r="E927" s="28"/>
      <c r="F927" s="28"/>
      <c r="G927" s="28"/>
      <c r="H927" s="28"/>
      <c r="I927" s="28"/>
      <c r="J927" s="28"/>
      <c r="K927" s="28"/>
      <c r="L927" s="28"/>
      <c r="M927" s="28"/>
      <c r="N927" s="28"/>
      <c r="O927" s="28"/>
      <c r="P927" s="28"/>
      <c r="Q927" s="28"/>
      <c r="R927" s="28"/>
      <c r="S927" s="28"/>
      <c r="T927" s="28"/>
      <c r="U927" s="28"/>
      <c r="V927" s="28"/>
    </row>
    <row r="928" ht="13.5" customHeight="1">
      <c r="A928" s="28"/>
      <c r="B928" s="28"/>
      <c r="C928" s="28"/>
      <c r="D928" s="28"/>
      <c r="E928" s="28"/>
      <c r="F928" s="28"/>
      <c r="G928" s="28"/>
      <c r="H928" s="28"/>
      <c r="I928" s="28"/>
      <c r="J928" s="28"/>
      <c r="K928" s="28"/>
      <c r="L928" s="28"/>
      <c r="M928" s="28"/>
      <c r="N928" s="28"/>
      <c r="O928" s="28"/>
      <c r="P928" s="28"/>
      <c r="Q928" s="28"/>
      <c r="R928" s="28"/>
      <c r="S928" s="28"/>
      <c r="T928" s="28"/>
      <c r="U928" s="28"/>
      <c r="V928" s="28"/>
    </row>
    <row r="929" ht="13.5" customHeight="1">
      <c r="A929" s="28"/>
      <c r="B929" s="28"/>
      <c r="C929" s="28"/>
      <c r="D929" s="28"/>
      <c r="E929" s="28"/>
      <c r="F929" s="28"/>
      <c r="G929" s="28"/>
      <c r="H929" s="28"/>
      <c r="I929" s="28"/>
      <c r="J929" s="28"/>
      <c r="K929" s="28"/>
      <c r="L929" s="28"/>
      <c r="M929" s="28"/>
      <c r="N929" s="28"/>
      <c r="O929" s="28"/>
      <c r="P929" s="28"/>
      <c r="Q929" s="28"/>
      <c r="R929" s="28"/>
      <c r="S929" s="28"/>
      <c r="T929" s="28"/>
      <c r="U929" s="28"/>
      <c r="V929" s="28"/>
    </row>
    <row r="930" ht="13.5" customHeight="1">
      <c r="A930" s="28"/>
      <c r="B930" s="28"/>
      <c r="C930" s="28"/>
      <c r="D930" s="28"/>
      <c r="E930" s="28"/>
      <c r="F930" s="28"/>
      <c r="G930" s="28"/>
      <c r="H930" s="28"/>
      <c r="I930" s="28"/>
      <c r="J930" s="28"/>
      <c r="K930" s="28"/>
      <c r="L930" s="28"/>
      <c r="M930" s="28"/>
      <c r="N930" s="28"/>
      <c r="O930" s="28"/>
      <c r="P930" s="28"/>
      <c r="Q930" s="28"/>
      <c r="R930" s="28"/>
      <c r="S930" s="28"/>
      <c r="T930" s="28"/>
      <c r="U930" s="28"/>
      <c r="V930" s="28"/>
    </row>
    <row r="931" ht="13.5" customHeight="1">
      <c r="A931" s="28"/>
      <c r="B931" s="28"/>
      <c r="C931" s="28"/>
      <c r="D931" s="28"/>
      <c r="E931" s="28"/>
      <c r="F931" s="28"/>
      <c r="G931" s="28"/>
      <c r="H931" s="28"/>
      <c r="I931" s="28"/>
      <c r="J931" s="28"/>
      <c r="K931" s="28"/>
      <c r="L931" s="28"/>
      <c r="M931" s="28"/>
      <c r="N931" s="28"/>
      <c r="O931" s="28"/>
      <c r="P931" s="28"/>
      <c r="Q931" s="28"/>
      <c r="R931" s="28"/>
      <c r="S931" s="28"/>
      <c r="T931" s="28"/>
      <c r="U931" s="28"/>
      <c r="V931" s="28"/>
    </row>
    <row r="932" ht="13.5" customHeight="1">
      <c r="A932" s="28"/>
      <c r="B932" s="28"/>
      <c r="C932" s="28"/>
      <c r="D932" s="28"/>
      <c r="E932" s="28"/>
      <c r="F932" s="28"/>
      <c r="G932" s="28"/>
      <c r="H932" s="28"/>
      <c r="I932" s="28"/>
      <c r="J932" s="28"/>
      <c r="K932" s="28"/>
      <c r="L932" s="28"/>
      <c r="M932" s="28"/>
      <c r="N932" s="28"/>
      <c r="O932" s="28"/>
      <c r="P932" s="28"/>
      <c r="Q932" s="28"/>
      <c r="R932" s="28"/>
      <c r="S932" s="28"/>
      <c r="T932" s="28"/>
      <c r="U932" s="28"/>
      <c r="V932" s="28"/>
    </row>
    <row r="933" ht="13.5" customHeight="1">
      <c r="A933" s="28"/>
      <c r="B933" s="28"/>
      <c r="C933" s="28"/>
      <c r="D933" s="28"/>
      <c r="E933" s="28"/>
      <c r="F933" s="28"/>
      <c r="G933" s="28"/>
      <c r="H933" s="28"/>
      <c r="I933" s="28"/>
      <c r="J933" s="28"/>
      <c r="K933" s="28"/>
      <c r="L933" s="28"/>
      <c r="M933" s="28"/>
      <c r="N933" s="28"/>
      <c r="O933" s="28"/>
      <c r="P933" s="28"/>
      <c r="Q933" s="28"/>
      <c r="R933" s="28"/>
      <c r="S933" s="28"/>
      <c r="T933" s="28"/>
      <c r="U933" s="28"/>
      <c r="V933" s="28"/>
    </row>
    <row r="934" ht="13.5" customHeight="1">
      <c r="A934" s="28"/>
      <c r="B934" s="28"/>
      <c r="C934" s="28"/>
      <c r="D934" s="28"/>
      <c r="E934" s="28"/>
      <c r="F934" s="28"/>
      <c r="G934" s="28"/>
      <c r="H934" s="28"/>
      <c r="I934" s="28"/>
      <c r="J934" s="28"/>
      <c r="K934" s="28"/>
      <c r="L934" s="28"/>
      <c r="M934" s="28"/>
      <c r="N934" s="28"/>
      <c r="O934" s="28"/>
      <c r="P934" s="28"/>
      <c r="Q934" s="28"/>
      <c r="R934" s="28"/>
      <c r="S934" s="28"/>
      <c r="T934" s="28"/>
      <c r="U934" s="28"/>
      <c r="V934" s="28"/>
    </row>
    <row r="935" ht="13.5" customHeight="1">
      <c r="A935" s="28"/>
      <c r="B935" s="28"/>
      <c r="C935" s="28"/>
      <c r="D935" s="28"/>
      <c r="E935" s="28"/>
      <c r="F935" s="28"/>
      <c r="G935" s="28"/>
      <c r="H935" s="28"/>
      <c r="I935" s="28"/>
      <c r="J935" s="28"/>
      <c r="K935" s="28"/>
      <c r="L935" s="28"/>
      <c r="M935" s="28"/>
      <c r="N935" s="28"/>
      <c r="O935" s="28"/>
      <c r="P935" s="28"/>
      <c r="Q935" s="28"/>
      <c r="R935" s="28"/>
      <c r="S935" s="28"/>
      <c r="T935" s="28"/>
      <c r="U935" s="28"/>
      <c r="V935" s="28"/>
    </row>
    <row r="936" ht="13.5" customHeight="1">
      <c r="A936" s="28"/>
      <c r="B936" s="28"/>
      <c r="C936" s="28"/>
      <c r="D936" s="28"/>
      <c r="E936" s="28"/>
      <c r="F936" s="28"/>
      <c r="G936" s="28"/>
      <c r="H936" s="28"/>
      <c r="I936" s="28"/>
      <c r="J936" s="28"/>
      <c r="K936" s="28"/>
      <c r="L936" s="28"/>
      <c r="M936" s="28"/>
      <c r="N936" s="28"/>
      <c r="O936" s="28"/>
      <c r="P936" s="28"/>
      <c r="Q936" s="28"/>
      <c r="R936" s="28"/>
      <c r="S936" s="28"/>
      <c r="T936" s="28"/>
      <c r="U936" s="28"/>
      <c r="V936" s="28"/>
    </row>
    <row r="937" ht="13.5" customHeight="1">
      <c r="A937" s="28"/>
      <c r="B937" s="28"/>
      <c r="C937" s="28"/>
      <c r="D937" s="28"/>
      <c r="E937" s="28"/>
      <c r="F937" s="28"/>
      <c r="G937" s="28"/>
      <c r="H937" s="28"/>
      <c r="I937" s="28"/>
      <c r="J937" s="28"/>
      <c r="K937" s="28"/>
      <c r="L937" s="28"/>
      <c r="M937" s="28"/>
      <c r="N937" s="28"/>
      <c r="O937" s="28"/>
      <c r="P937" s="28"/>
      <c r="Q937" s="28"/>
      <c r="R937" s="28"/>
      <c r="S937" s="28"/>
      <c r="T937" s="28"/>
      <c r="U937" s="28"/>
      <c r="V937" s="28"/>
    </row>
    <row r="938" ht="13.5" customHeight="1">
      <c r="A938" s="28"/>
      <c r="B938" s="28"/>
      <c r="C938" s="28"/>
      <c r="D938" s="28"/>
      <c r="E938" s="28"/>
      <c r="F938" s="28"/>
      <c r="G938" s="28"/>
      <c r="H938" s="28"/>
      <c r="I938" s="28"/>
      <c r="J938" s="28"/>
      <c r="K938" s="28"/>
      <c r="L938" s="28"/>
      <c r="M938" s="28"/>
      <c r="N938" s="28"/>
      <c r="O938" s="28"/>
      <c r="P938" s="28"/>
      <c r="Q938" s="28"/>
      <c r="R938" s="28"/>
      <c r="S938" s="28"/>
      <c r="T938" s="28"/>
      <c r="U938" s="28"/>
      <c r="V938" s="28"/>
    </row>
    <row r="939" ht="13.5" customHeight="1">
      <c r="A939" s="28"/>
      <c r="B939" s="28"/>
      <c r="C939" s="28"/>
      <c r="D939" s="28"/>
      <c r="E939" s="28"/>
      <c r="F939" s="28"/>
      <c r="G939" s="28"/>
      <c r="H939" s="28"/>
      <c r="I939" s="28"/>
      <c r="J939" s="28"/>
      <c r="K939" s="28"/>
      <c r="L939" s="28"/>
      <c r="M939" s="28"/>
      <c r="N939" s="28"/>
      <c r="O939" s="28"/>
      <c r="P939" s="28"/>
      <c r="Q939" s="28"/>
      <c r="R939" s="28"/>
      <c r="S939" s="28"/>
      <c r="T939" s="28"/>
      <c r="U939" s="28"/>
      <c r="V939" s="28"/>
    </row>
    <row r="940" ht="13.5" customHeight="1">
      <c r="A940" s="28"/>
      <c r="B940" s="28"/>
      <c r="C940" s="28"/>
      <c r="D940" s="28"/>
      <c r="E940" s="28"/>
      <c r="F940" s="28"/>
      <c r="G940" s="28"/>
      <c r="H940" s="28"/>
      <c r="I940" s="28"/>
      <c r="J940" s="28"/>
      <c r="K940" s="28"/>
      <c r="L940" s="28"/>
      <c r="M940" s="28"/>
      <c r="N940" s="28"/>
      <c r="O940" s="28"/>
      <c r="P940" s="28"/>
      <c r="Q940" s="28"/>
      <c r="R940" s="28"/>
      <c r="S940" s="28"/>
      <c r="T940" s="28"/>
      <c r="U940" s="28"/>
      <c r="V940" s="28"/>
    </row>
    <row r="941" ht="13.5" customHeight="1">
      <c r="A941" s="28"/>
      <c r="B941" s="28"/>
      <c r="C941" s="28"/>
      <c r="D941" s="28"/>
      <c r="E941" s="28"/>
      <c r="F941" s="28"/>
      <c r="G941" s="28"/>
      <c r="H941" s="28"/>
      <c r="I941" s="28"/>
      <c r="J941" s="28"/>
      <c r="K941" s="28"/>
      <c r="L941" s="28"/>
      <c r="M941" s="28"/>
      <c r="N941" s="28"/>
      <c r="O941" s="28"/>
      <c r="P941" s="28"/>
      <c r="Q941" s="28"/>
      <c r="R941" s="28"/>
      <c r="S941" s="28"/>
      <c r="T941" s="28"/>
      <c r="U941" s="28"/>
      <c r="V941" s="28"/>
    </row>
    <row r="942" ht="13.5" customHeight="1">
      <c r="A942" s="28"/>
      <c r="B942" s="28"/>
      <c r="C942" s="28"/>
      <c r="D942" s="28"/>
      <c r="E942" s="28"/>
      <c r="F942" s="28"/>
      <c r="G942" s="28"/>
      <c r="H942" s="28"/>
      <c r="I942" s="28"/>
      <c r="J942" s="28"/>
      <c r="K942" s="28"/>
      <c r="L942" s="28"/>
      <c r="M942" s="28"/>
      <c r="N942" s="28"/>
      <c r="O942" s="28"/>
      <c r="P942" s="28"/>
      <c r="Q942" s="28"/>
      <c r="R942" s="28"/>
      <c r="S942" s="28"/>
      <c r="T942" s="28"/>
      <c r="U942" s="28"/>
      <c r="V942" s="28"/>
    </row>
    <row r="943" ht="13.5" customHeight="1">
      <c r="A943" s="28"/>
      <c r="B943" s="28"/>
      <c r="C943" s="28"/>
      <c r="D943" s="28"/>
      <c r="E943" s="28"/>
      <c r="F943" s="28"/>
      <c r="G943" s="28"/>
      <c r="H943" s="28"/>
      <c r="I943" s="28"/>
      <c r="J943" s="28"/>
      <c r="K943" s="28"/>
      <c r="L943" s="28"/>
      <c r="M943" s="28"/>
      <c r="N943" s="28"/>
      <c r="O943" s="28"/>
      <c r="P943" s="28"/>
      <c r="Q943" s="28"/>
      <c r="R943" s="28"/>
      <c r="S943" s="28"/>
      <c r="T943" s="28"/>
      <c r="U943" s="28"/>
      <c r="V943" s="28"/>
    </row>
    <row r="944" ht="13.5" customHeight="1">
      <c r="A944" s="28"/>
      <c r="B944" s="28"/>
      <c r="C944" s="28"/>
      <c r="D944" s="28"/>
      <c r="E944" s="28"/>
      <c r="F944" s="28"/>
      <c r="G944" s="28"/>
      <c r="H944" s="28"/>
      <c r="I944" s="28"/>
      <c r="J944" s="28"/>
      <c r="K944" s="28"/>
      <c r="L944" s="28"/>
      <c r="M944" s="28"/>
      <c r="N944" s="28"/>
      <c r="O944" s="28"/>
      <c r="P944" s="28"/>
      <c r="Q944" s="28"/>
      <c r="R944" s="28"/>
      <c r="S944" s="28"/>
      <c r="T944" s="28"/>
      <c r="U944" s="28"/>
      <c r="V944" s="28"/>
    </row>
    <row r="945" ht="13.5" customHeight="1">
      <c r="A945" s="28"/>
      <c r="B945" s="28"/>
      <c r="C945" s="28"/>
      <c r="D945" s="28"/>
      <c r="E945" s="28"/>
      <c r="F945" s="28"/>
      <c r="G945" s="28"/>
      <c r="H945" s="28"/>
      <c r="I945" s="28"/>
      <c r="J945" s="28"/>
      <c r="K945" s="28"/>
      <c r="L945" s="28"/>
      <c r="M945" s="28"/>
      <c r="N945" s="28"/>
      <c r="O945" s="28"/>
      <c r="P945" s="28"/>
      <c r="Q945" s="28"/>
      <c r="R945" s="28"/>
      <c r="S945" s="28"/>
      <c r="T945" s="28"/>
      <c r="U945" s="28"/>
      <c r="V945" s="28"/>
    </row>
    <row r="946" ht="13.5" customHeight="1">
      <c r="A946" s="28"/>
      <c r="B946" s="28"/>
      <c r="C946" s="28"/>
      <c r="D946" s="28"/>
      <c r="E946" s="28"/>
      <c r="F946" s="28"/>
      <c r="G946" s="28"/>
      <c r="H946" s="28"/>
      <c r="I946" s="28"/>
      <c r="J946" s="28"/>
      <c r="K946" s="28"/>
      <c r="L946" s="28"/>
      <c r="M946" s="28"/>
      <c r="N946" s="28"/>
      <c r="O946" s="28"/>
      <c r="P946" s="28"/>
      <c r="Q946" s="28"/>
      <c r="R946" s="28"/>
      <c r="S946" s="28"/>
      <c r="T946" s="28"/>
      <c r="U946" s="28"/>
      <c r="V946" s="28"/>
    </row>
    <row r="947" ht="13.5" customHeight="1">
      <c r="A947" s="28"/>
      <c r="B947" s="28"/>
      <c r="C947" s="28"/>
      <c r="D947" s="28"/>
      <c r="E947" s="28"/>
      <c r="F947" s="28"/>
      <c r="G947" s="28"/>
      <c r="H947" s="28"/>
      <c r="I947" s="28"/>
      <c r="J947" s="28"/>
      <c r="K947" s="28"/>
      <c r="L947" s="28"/>
      <c r="M947" s="28"/>
      <c r="N947" s="28"/>
      <c r="O947" s="28"/>
      <c r="P947" s="28"/>
      <c r="Q947" s="28"/>
      <c r="R947" s="28"/>
      <c r="S947" s="28"/>
      <c r="T947" s="28"/>
      <c r="U947" s="28"/>
      <c r="V947" s="28"/>
    </row>
    <row r="948" ht="13.5" customHeight="1">
      <c r="A948" s="28"/>
      <c r="B948" s="28"/>
      <c r="C948" s="28"/>
      <c r="D948" s="28"/>
      <c r="E948" s="28"/>
      <c r="F948" s="28"/>
      <c r="G948" s="28"/>
      <c r="H948" s="28"/>
      <c r="I948" s="28"/>
      <c r="J948" s="28"/>
      <c r="K948" s="28"/>
      <c r="L948" s="28"/>
      <c r="M948" s="28"/>
      <c r="N948" s="28"/>
      <c r="O948" s="28"/>
      <c r="P948" s="28"/>
      <c r="Q948" s="28"/>
      <c r="R948" s="28"/>
      <c r="S948" s="28"/>
      <c r="T948" s="28"/>
      <c r="U948" s="28"/>
      <c r="V948" s="28"/>
    </row>
    <row r="949" ht="13.5" customHeight="1">
      <c r="A949" s="28"/>
      <c r="B949" s="28"/>
      <c r="C949" s="28"/>
      <c r="D949" s="28"/>
      <c r="E949" s="28"/>
      <c r="F949" s="28"/>
      <c r="G949" s="28"/>
      <c r="H949" s="28"/>
      <c r="I949" s="28"/>
      <c r="J949" s="28"/>
      <c r="K949" s="28"/>
      <c r="L949" s="28"/>
      <c r="M949" s="28"/>
      <c r="N949" s="28"/>
      <c r="O949" s="28"/>
      <c r="P949" s="28"/>
      <c r="Q949" s="28"/>
      <c r="R949" s="28"/>
      <c r="S949" s="28"/>
      <c r="T949" s="28"/>
      <c r="U949" s="28"/>
      <c r="V949" s="28"/>
    </row>
    <row r="950" ht="13.5" customHeight="1">
      <c r="A950" s="28"/>
      <c r="B950" s="28"/>
      <c r="C950" s="28"/>
      <c r="D950" s="28"/>
      <c r="E950" s="28"/>
      <c r="F950" s="28"/>
      <c r="G950" s="28"/>
      <c r="H950" s="28"/>
      <c r="I950" s="28"/>
      <c r="J950" s="28"/>
      <c r="K950" s="28"/>
      <c r="L950" s="28"/>
      <c r="M950" s="28"/>
      <c r="N950" s="28"/>
      <c r="O950" s="28"/>
      <c r="P950" s="28"/>
      <c r="Q950" s="28"/>
      <c r="R950" s="28"/>
      <c r="S950" s="28"/>
      <c r="T950" s="28"/>
      <c r="U950" s="28"/>
      <c r="V950" s="28"/>
    </row>
    <row r="951" ht="13.5" customHeight="1">
      <c r="A951" s="28"/>
      <c r="B951" s="28"/>
      <c r="C951" s="28"/>
      <c r="D951" s="28"/>
      <c r="E951" s="28"/>
      <c r="F951" s="28"/>
      <c r="G951" s="28"/>
      <c r="H951" s="28"/>
      <c r="I951" s="28"/>
      <c r="J951" s="28"/>
      <c r="K951" s="28"/>
      <c r="L951" s="28"/>
      <c r="M951" s="28"/>
      <c r="N951" s="28"/>
      <c r="O951" s="28"/>
      <c r="P951" s="28"/>
      <c r="Q951" s="28"/>
      <c r="R951" s="28"/>
      <c r="S951" s="28"/>
      <c r="T951" s="28"/>
      <c r="U951" s="28"/>
      <c r="V951" s="28"/>
    </row>
    <row r="952" ht="13.5" customHeight="1">
      <c r="A952" s="28"/>
      <c r="B952" s="28"/>
      <c r="C952" s="28"/>
      <c r="D952" s="28"/>
      <c r="E952" s="28"/>
      <c r="F952" s="28"/>
      <c r="G952" s="28"/>
      <c r="H952" s="28"/>
      <c r="I952" s="28"/>
      <c r="J952" s="28"/>
      <c r="K952" s="28"/>
      <c r="L952" s="28"/>
      <c r="M952" s="28"/>
      <c r="N952" s="28"/>
      <c r="O952" s="28"/>
      <c r="P952" s="28"/>
      <c r="Q952" s="28"/>
      <c r="R952" s="28"/>
      <c r="S952" s="28"/>
      <c r="T952" s="28"/>
      <c r="U952" s="28"/>
      <c r="V952" s="28"/>
    </row>
    <row r="953" ht="13.5" customHeight="1">
      <c r="A953" s="28"/>
      <c r="B953" s="28"/>
      <c r="C953" s="28"/>
      <c r="D953" s="28"/>
      <c r="E953" s="28"/>
      <c r="F953" s="28"/>
      <c r="G953" s="28"/>
      <c r="H953" s="28"/>
      <c r="I953" s="28"/>
      <c r="J953" s="28"/>
      <c r="K953" s="28"/>
      <c r="L953" s="28"/>
      <c r="M953" s="28"/>
      <c r="N953" s="28"/>
      <c r="O953" s="28"/>
      <c r="P953" s="28"/>
      <c r="Q953" s="28"/>
      <c r="R953" s="28"/>
      <c r="S953" s="28"/>
      <c r="T953" s="28"/>
      <c r="U953" s="28"/>
      <c r="V953" s="28"/>
    </row>
    <row r="954" ht="13.5" customHeight="1">
      <c r="A954" s="28"/>
      <c r="B954" s="28"/>
      <c r="C954" s="28"/>
      <c r="D954" s="28"/>
      <c r="E954" s="28"/>
      <c r="F954" s="28"/>
      <c r="G954" s="28"/>
      <c r="H954" s="28"/>
      <c r="I954" s="28"/>
      <c r="J954" s="28"/>
      <c r="K954" s="28"/>
      <c r="L954" s="28"/>
      <c r="M954" s="28"/>
      <c r="N954" s="28"/>
      <c r="O954" s="28"/>
      <c r="P954" s="28"/>
      <c r="Q954" s="28"/>
      <c r="R954" s="28"/>
      <c r="S954" s="28"/>
      <c r="T954" s="28"/>
      <c r="U954" s="28"/>
      <c r="V954" s="28"/>
    </row>
    <row r="955" ht="13.5" customHeight="1">
      <c r="A955" s="28"/>
      <c r="B955" s="28"/>
      <c r="C955" s="28"/>
      <c r="D955" s="28"/>
      <c r="E955" s="28"/>
      <c r="F955" s="28"/>
      <c r="G955" s="28"/>
      <c r="H955" s="28"/>
      <c r="I955" s="28"/>
      <c r="J955" s="28"/>
      <c r="K955" s="28"/>
      <c r="L955" s="28"/>
      <c r="M955" s="28"/>
      <c r="N955" s="28"/>
      <c r="O955" s="28"/>
      <c r="P955" s="28"/>
      <c r="Q955" s="28"/>
      <c r="R955" s="28"/>
      <c r="S955" s="28"/>
      <c r="T955" s="28"/>
      <c r="U955" s="28"/>
      <c r="V955" s="28"/>
    </row>
    <row r="956" ht="13.5" customHeight="1">
      <c r="A956" s="28"/>
      <c r="B956" s="28"/>
      <c r="C956" s="28"/>
      <c r="D956" s="28"/>
      <c r="E956" s="28"/>
      <c r="F956" s="28"/>
      <c r="G956" s="28"/>
      <c r="H956" s="28"/>
      <c r="I956" s="28"/>
      <c r="J956" s="28"/>
      <c r="K956" s="28"/>
      <c r="L956" s="28"/>
      <c r="M956" s="28"/>
      <c r="N956" s="28"/>
      <c r="O956" s="28"/>
      <c r="P956" s="28"/>
      <c r="Q956" s="28"/>
      <c r="R956" s="28"/>
      <c r="S956" s="28"/>
      <c r="T956" s="28"/>
      <c r="U956" s="28"/>
      <c r="V956" s="28"/>
    </row>
    <row r="957" ht="13.5" customHeight="1">
      <c r="A957" s="28"/>
      <c r="B957" s="28"/>
      <c r="C957" s="28"/>
      <c r="D957" s="28"/>
      <c r="E957" s="28"/>
      <c r="F957" s="28"/>
      <c r="G957" s="28"/>
      <c r="H957" s="28"/>
      <c r="I957" s="28"/>
      <c r="J957" s="28"/>
      <c r="K957" s="28"/>
      <c r="L957" s="28"/>
      <c r="M957" s="28"/>
      <c r="N957" s="28"/>
      <c r="O957" s="28"/>
      <c r="P957" s="28"/>
      <c r="Q957" s="28"/>
      <c r="R957" s="28"/>
      <c r="S957" s="28"/>
      <c r="T957" s="28"/>
      <c r="U957" s="28"/>
      <c r="V957" s="28"/>
    </row>
    <row r="958" ht="13.5" customHeight="1">
      <c r="A958" s="28"/>
      <c r="B958" s="28"/>
      <c r="C958" s="28"/>
      <c r="D958" s="28"/>
      <c r="E958" s="28"/>
      <c r="F958" s="28"/>
      <c r="G958" s="28"/>
      <c r="H958" s="28"/>
      <c r="I958" s="28"/>
      <c r="J958" s="28"/>
      <c r="K958" s="28"/>
      <c r="L958" s="28"/>
      <c r="M958" s="28"/>
      <c r="N958" s="28"/>
      <c r="O958" s="28"/>
      <c r="P958" s="28"/>
      <c r="Q958" s="28"/>
      <c r="R958" s="28"/>
      <c r="S958" s="28"/>
      <c r="T958" s="28"/>
      <c r="U958" s="28"/>
      <c r="V958" s="28"/>
    </row>
    <row r="959" ht="13.5" customHeight="1">
      <c r="A959" s="28"/>
      <c r="B959" s="28"/>
      <c r="C959" s="28"/>
      <c r="D959" s="28"/>
      <c r="E959" s="28"/>
      <c r="F959" s="28"/>
      <c r="G959" s="28"/>
      <c r="H959" s="28"/>
      <c r="I959" s="28"/>
      <c r="J959" s="28"/>
      <c r="K959" s="28"/>
      <c r="L959" s="28"/>
      <c r="M959" s="28"/>
      <c r="N959" s="28"/>
      <c r="O959" s="28"/>
      <c r="P959" s="28"/>
      <c r="Q959" s="28"/>
      <c r="R959" s="28"/>
      <c r="S959" s="28"/>
      <c r="T959" s="28"/>
      <c r="U959" s="28"/>
      <c r="V959" s="28"/>
    </row>
    <row r="960" ht="13.5" customHeight="1">
      <c r="A960" s="28"/>
      <c r="B960" s="28"/>
      <c r="C960" s="28"/>
      <c r="D960" s="28"/>
      <c r="E960" s="28"/>
      <c r="F960" s="28"/>
      <c r="G960" s="28"/>
      <c r="H960" s="28"/>
      <c r="I960" s="28"/>
      <c r="J960" s="28"/>
      <c r="K960" s="28"/>
      <c r="L960" s="28"/>
      <c r="M960" s="28"/>
      <c r="N960" s="28"/>
      <c r="O960" s="28"/>
      <c r="P960" s="28"/>
      <c r="Q960" s="28"/>
      <c r="R960" s="28"/>
      <c r="S960" s="28"/>
      <c r="T960" s="28"/>
      <c r="U960" s="28"/>
      <c r="V960" s="28"/>
    </row>
    <row r="961" ht="13.5" customHeight="1">
      <c r="A961" s="28"/>
      <c r="B961" s="28"/>
      <c r="C961" s="28"/>
      <c r="D961" s="28"/>
      <c r="E961" s="28"/>
      <c r="F961" s="28"/>
      <c r="G961" s="28"/>
      <c r="H961" s="28"/>
      <c r="I961" s="28"/>
      <c r="J961" s="28"/>
      <c r="K961" s="28"/>
      <c r="L961" s="28"/>
      <c r="M961" s="28"/>
      <c r="N961" s="28"/>
      <c r="O961" s="28"/>
      <c r="P961" s="28"/>
      <c r="Q961" s="28"/>
      <c r="R961" s="28"/>
      <c r="S961" s="28"/>
      <c r="T961" s="28"/>
      <c r="U961" s="28"/>
      <c r="V961" s="28"/>
    </row>
    <row r="962" ht="13.5" customHeight="1">
      <c r="A962" s="28"/>
      <c r="B962" s="28"/>
      <c r="C962" s="28"/>
      <c r="D962" s="28"/>
      <c r="E962" s="28"/>
      <c r="F962" s="28"/>
      <c r="G962" s="28"/>
      <c r="H962" s="28"/>
      <c r="I962" s="28"/>
      <c r="J962" s="28"/>
      <c r="K962" s="28"/>
      <c r="L962" s="28"/>
      <c r="M962" s="28"/>
      <c r="N962" s="28"/>
      <c r="O962" s="28"/>
      <c r="P962" s="28"/>
      <c r="Q962" s="28"/>
      <c r="R962" s="28"/>
      <c r="S962" s="28"/>
      <c r="T962" s="28"/>
      <c r="U962" s="28"/>
      <c r="V962" s="28"/>
    </row>
    <row r="963" ht="13.5" customHeight="1">
      <c r="A963" s="28"/>
      <c r="B963" s="28"/>
      <c r="C963" s="28"/>
      <c r="D963" s="28"/>
      <c r="E963" s="28"/>
      <c r="F963" s="28"/>
      <c r="G963" s="28"/>
      <c r="H963" s="28"/>
      <c r="I963" s="28"/>
      <c r="J963" s="28"/>
      <c r="K963" s="28"/>
      <c r="L963" s="28"/>
      <c r="M963" s="28"/>
      <c r="N963" s="28"/>
      <c r="O963" s="28"/>
      <c r="P963" s="28"/>
      <c r="Q963" s="28"/>
      <c r="R963" s="28"/>
      <c r="S963" s="28"/>
      <c r="T963" s="28"/>
      <c r="U963" s="28"/>
      <c r="V963" s="28"/>
    </row>
    <row r="964" ht="13.5" customHeight="1">
      <c r="A964" s="28"/>
      <c r="B964" s="28"/>
      <c r="C964" s="28"/>
      <c r="D964" s="28"/>
      <c r="E964" s="28"/>
      <c r="F964" s="28"/>
      <c r="G964" s="28"/>
      <c r="H964" s="28"/>
      <c r="I964" s="28"/>
      <c r="J964" s="28"/>
      <c r="K964" s="28"/>
      <c r="L964" s="28"/>
      <c r="M964" s="28"/>
      <c r="N964" s="28"/>
      <c r="O964" s="28"/>
      <c r="P964" s="28"/>
      <c r="Q964" s="28"/>
      <c r="R964" s="28"/>
      <c r="S964" s="28"/>
      <c r="T964" s="28"/>
      <c r="U964" s="28"/>
      <c r="V964" s="28"/>
    </row>
    <row r="965" ht="13.5" customHeight="1">
      <c r="A965" s="28"/>
      <c r="B965" s="28"/>
      <c r="C965" s="28"/>
      <c r="D965" s="28"/>
      <c r="E965" s="28"/>
      <c r="F965" s="28"/>
      <c r="G965" s="28"/>
      <c r="H965" s="28"/>
      <c r="I965" s="28"/>
      <c r="J965" s="28"/>
      <c r="K965" s="28"/>
      <c r="L965" s="28"/>
      <c r="M965" s="28"/>
      <c r="N965" s="28"/>
      <c r="O965" s="28"/>
      <c r="P965" s="28"/>
      <c r="Q965" s="28"/>
      <c r="R965" s="28"/>
      <c r="S965" s="28"/>
      <c r="T965" s="28"/>
      <c r="U965" s="28"/>
      <c r="V965" s="28"/>
    </row>
    <row r="966" ht="13.5" customHeight="1">
      <c r="A966" s="28"/>
      <c r="B966" s="28"/>
      <c r="C966" s="28"/>
      <c r="D966" s="28"/>
      <c r="E966" s="28"/>
      <c r="F966" s="28"/>
      <c r="G966" s="28"/>
      <c r="H966" s="28"/>
      <c r="I966" s="28"/>
      <c r="J966" s="28"/>
      <c r="K966" s="28"/>
      <c r="L966" s="28"/>
      <c r="M966" s="28"/>
      <c r="N966" s="28"/>
      <c r="O966" s="28"/>
      <c r="P966" s="28"/>
      <c r="Q966" s="28"/>
      <c r="R966" s="28"/>
      <c r="S966" s="28"/>
      <c r="T966" s="28"/>
      <c r="U966" s="28"/>
      <c r="V966" s="28"/>
    </row>
    <row r="967" ht="13.5" customHeight="1">
      <c r="A967" s="28"/>
      <c r="B967" s="28"/>
      <c r="C967" s="28"/>
      <c r="D967" s="28"/>
      <c r="E967" s="28"/>
      <c r="F967" s="28"/>
      <c r="G967" s="28"/>
      <c r="H967" s="28"/>
      <c r="I967" s="28"/>
      <c r="J967" s="28"/>
      <c r="K967" s="28"/>
      <c r="L967" s="28"/>
      <c r="M967" s="28"/>
      <c r="N967" s="28"/>
      <c r="O967" s="28"/>
      <c r="P967" s="28"/>
      <c r="Q967" s="28"/>
      <c r="R967" s="28"/>
      <c r="S967" s="28"/>
      <c r="T967" s="28"/>
      <c r="U967" s="28"/>
      <c r="V967" s="28"/>
    </row>
    <row r="968" ht="13.5" customHeight="1">
      <c r="A968" s="28"/>
      <c r="B968" s="28"/>
      <c r="C968" s="28"/>
      <c r="D968" s="28"/>
      <c r="E968" s="28"/>
      <c r="F968" s="28"/>
      <c r="G968" s="28"/>
      <c r="H968" s="28"/>
      <c r="I968" s="28"/>
      <c r="J968" s="28"/>
      <c r="K968" s="28"/>
      <c r="L968" s="28"/>
      <c r="M968" s="28"/>
      <c r="N968" s="28"/>
      <c r="O968" s="28"/>
      <c r="P968" s="28"/>
      <c r="Q968" s="28"/>
      <c r="R968" s="28"/>
      <c r="S968" s="28"/>
      <c r="T968" s="28"/>
      <c r="U968" s="28"/>
      <c r="V968" s="28"/>
    </row>
    <row r="969" ht="13.5" customHeight="1">
      <c r="A969" s="28"/>
      <c r="B969" s="28"/>
      <c r="C969" s="28"/>
      <c r="D969" s="28"/>
      <c r="E969" s="28"/>
      <c r="F969" s="28"/>
      <c r="G969" s="28"/>
      <c r="H969" s="28"/>
      <c r="I969" s="28"/>
      <c r="J969" s="28"/>
      <c r="K969" s="28"/>
      <c r="L969" s="28"/>
      <c r="M969" s="28"/>
      <c r="N969" s="28"/>
      <c r="O969" s="28"/>
      <c r="P969" s="28"/>
      <c r="Q969" s="28"/>
      <c r="R969" s="28"/>
      <c r="S969" s="28"/>
      <c r="T969" s="28"/>
      <c r="U969" s="28"/>
      <c r="V969" s="28"/>
    </row>
    <row r="970" ht="13.5" customHeight="1">
      <c r="A970" s="28"/>
      <c r="B970" s="28"/>
      <c r="C970" s="28"/>
      <c r="D970" s="28"/>
      <c r="E970" s="28"/>
      <c r="F970" s="28"/>
      <c r="G970" s="28"/>
      <c r="H970" s="28"/>
      <c r="I970" s="28"/>
      <c r="J970" s="28"/>
      <c r="K970" s="28"/>
      <c r="L970" s="28"/>
      <c r="M970" s="28"/>
      <c r="N970" s="28"/>
      <c r="O970" s="28"/>
      <c r="P970" s="28"/>
      <c r="Q970" s="28"/>
      <c r="R970" s="28"/>
      <c r="S970" s="28"/>
      <c r="T970" s="28"/>
      <c r="U970" s="28"/>
      <c r="V970" s="28"/>
    </row>
    <row r="971" ht="13.5" customHeight="1">
      <c r="A971" s="28"/>
      <c r="B971" s="28"/>
      <c r="C971" s="28"/>
      <c r="D971" s="28"/>
      <c r="E971" s="28"/>
      <c r="F971" s="28"/>
      <c r="G971" s="28"/>
      <c r="H971" s="28"/>
      <c r="I971" s="28"/>
      <c r="J971" s="28"/>
      <c r="K971" s="28"/>
      <c r="L971" s="28"/>
      <c r="M971" s="28"/>
      <c r="N971" s="28"/>
      <c r="O971" s="28"/>
      <c r="P971" s="28"/>
      <c r="Q971" s="28"/>
      <c r="R971" s="28"/>
      <c r="S971" s="28"/>
      <c r="T971" s="28"/>
      <c r="U971" s="28"/>
      <c r="V971" s="28"/>
    </row>
    <row r="972" ht="13.5" customHeight="1">
      <c r="A972" s="28"/>
      <c r="B972" s="28"/>
      <c r="C972" s="28"/>
      <c r="D972" s="28"/>
      <c r="E972" s="28"/>
      <c r="F972" s="28"/>
      <c r="G972" s="28"/>
      <c r="H972" s="28"/>
      <c r="I972" s="28"/>
      <c r="J972" s="28"/>
      <c r="K972" s="28"/>
      <c r="L972" s="28"/>
      <c r="M972" s="28"/>
      <c r="N972" s="28"/>
      <c r="O972" s="28"/>
      <c r="P972" s="28"/>
      <c r="Q972" s="28"/>
      <c r="R972" s="28"/>
      <c r="S972" s="28"/>
      <c r="T972" s="28"/>
      <c r="U972" s="28"/>
      <c r="V972" s="28"/>
    </row>
    <row r="973" ht="13.5" customHeight="1">
      <c r="A973" s="28"/>
      <c r="B973" s="28"/>
      <c r="C973" s="28"/>
      <c r="D973" s="28"/>
      <c r="E973" s="28"/>
      <c r="F973" s="28"/>
      <c r="G973" s="28"/>
      <c r="H973" s="28"/>
      <c r="I973" s="28"/>
      <c r="J973" s="28"/>
      <c r="K973" s="28"/>
      <c r="L973" s="28"/>
      <c r="M973" s="28"/>
      <c r="N973" s="28"/>
      <c r="O973" s="28"/>
      <c r="P973" s="28"/>
      <c r="Q973" s="28"/>
      <c r="R973" s="28"/>
      <c r="S973" s="28"/>
      <c r="T973" s="28"/>
      <c r="U973" s="28"/>
      <c r="V973" s="28"/>
    </row>
    <row r="974" ht="13.5" customHeight="1">
      <c r="A974" s="28"/>
      <c r="B974" s="28"/>
      <c r="C974" s="28"/>
      <c r="D974" s="28"/>
      <c r="E974" s="28"/>
      <c r="F974" s="28"/>
      <c r="G974" s="28"/>
      <c r="H974" s="28"/>
      <c r="I974" s="28"/>
      <c r="J974" s="28"/>
      <c r="K974" s="28"/>
      <c r="L974" s="28"/>
      <c r="M974" s="28"/>
      <c r="N974" s="28"/>
      <c r="O974" s="28"/>
      <c r="P974" s="28"/>
      <c r="Q974" s="28"/>
      <c r="R974" s="28"/>
      <c r="S974" s="28"/>
      <c r="T974" s="28"/>
      <c r="U974" s="28"/>
      <c r="V974" s="28"/>
    </row>
    <row r="975" ht="13.5" customHeight="1">
      <c r="A975" s="28"/>
      <c r="B975" s="28"/>
      <c r="C975" s="28"/>
      <c r="D975" s="28"/>
      <c r="E975" s="28"/>
      <c r="F975" s="28"/>
      <c r="G975" s="28"/>
      <c r="H975" s="28"/>
      <c r="I975" s="28"/>
      <c r="J975" s="28"/>
      <c r="K975" s="28"/>
      <c r="L975" s="28"/>
      <c r="M975" s="28"/>
      <c r="N975" s="28"/>
      <c r="O975" s="28"/>
      <c r="P975" s="28"/>
      <c r="Q975" s="28"/>
      <c r="R975" s="28"/>
      <c r="S975" s="28"/>
      <c r="T975" s="28"/>
      <c r="U975" s="28"/>
      <c r="V975" s="28"/>
    </row>
    <row r="976" ht="13.5" customHeight="1">
      <c r="A976" s="28"/>
      <c r="B976" s="28"/>
      <c r="C976" s="28"/>
      <c r="D976" s="28"/>
      <c r="E976" s="28"/>
      <c r="F976" s="28"/>
      <c r="G976" s="28"/>
      <c r="H976" s="28"/>
      <c r="I976" s="28"/>
      <c r="J976" s="28"/>
      <c r="K976" s="28"/>
      <c r="L976" s="28"/>
      <c r="M976" s="28"/>
      <c r="N976" s="28"/>
      <c r="O976" s="28"/>
      <c r="P976" s="28"/>
      <c r="Q976" s="28"/>
      <c r="R976" s="28"/>
      <c r="S976" s="28"/>
      <c r="T976" s="28"/>
      <c r="U976" s="28"/>
      <c r="V976" s="28"/>
    </row>
    <row r="977" ht="13.5" customHeight="1">
      <c r="A977" s="28"/>
      <c r="B977" s="28"/>
      <c r="C977" s="28"/>
      <c r="D977" s="28"/>
      <c r="E977" s="28"/>
      <c r="F977" s="28"/>
      <c r="G977" s="28"/>
      <c r="H977" s="28"/>
      <c r="I977" s="28"/>
      <c r="J977" s="28"/>
      <c r="K977" s="28"/>
      <c r="L977" s="28"/>
      <c r="M977" s="28"/>
      <c r="N977" s="28"/>
      <c r="O977" s="28"/>
      <c r="P977" s="28"/>
      <c r="Q977" s="28"/>
      <c r="R977" s="28"/>
      <c r="S977" s="28"/>
      <c r="T977" s="28"/>
      <c r="U977" s="28"/>
      <c r="V977" s="28"/>
    </row>
    <row r="978" ht="13.5" customHeight="1">
      <c r="A978" s="28"/>
      <c r="B978" s="28"/>
      <c r="C978" s="28"/>
      <c r="D978" s="28"/>
      <c r="E978" s="28"/>
      <c r="F978" s="28"/>
      <c r="G978" s="28"/>
      <c r="H978" s="28"/>
      <c r="I978" s="28"/>
      <c r="J978" s="28"/>
      <c r="K978" s="28"/>
      <c r="L978" s="28"/>
      <c r="M978" s="28"/>
      <c r="N978" s="28"/>
      <c r="O978" s="28"/>
      <c r="P978" s="28"/>
      <c r="Q978" s="28"/>
      <c r="R978" s="28"/>
      <c r="S978" s="28"/>
      <c r="T978" s="28"/>
      <c r="U978" s="28"/>
      <c r="V978" s="28"/>
    </row>
    <row r="979" ht="13.5" customHeight="1">
      <c r="A979" s="28"/>
      <c r="B979" s="28"/>
      <c r="C979" s="28"/>
      <c r="D979" s="28"/>
      <c r="E979" s="28"/>
      <c r="F979" s="28"/>
      <c r="G979" s="28"/>
      <c r="H979" s="28"/>
      <c r="I979" s="28"/>
      <c r="J979" s="28"/>
      <c r="K979" s="28"/>
      <c r="L979" s="28"/>
      <c r="M979" s="28"/>
      <c r="N979" s="28"/>
      <c r="O979" s="28"/>
      <c r="P979" s="28"/>
      <c r="Q979" s="28"/>
      <c r="R979" s="28"/>
      <c r="S979" s="28"/>
      <c r="T979" s="28"/>
      <c r="U979" s="28"/>
      <c r="V979" s="28"/>
    </row>
    <row r="980" ht="13.5" customHeight="1">
      <c r="A980" s="28"/>
      <c r="B980" s="28"/>
      <c r="C980" s="28"/>
      <c r="D980" s="28"/>
      <c r="E980" s="28"/>
      <c r="F980" s="28"/>
      <c r="G980" s="28"/>
      <c r="H980" s="28"/>
      <c r="I980" s="28"/>
      <c r="J980" s="28"/>
      <c r="K980" s="28"/>
      <c r="L980" s="28"/>
      <c r="M980" s="28"/>
      <c r="N980" s="28"/>
      <c r="O980" s="28"/>
      <c r="P980" s="28"/>
      <c r="Q980" s="28"/>
      <c r="R980" s="28"/>
      <c r="S980" s="28"/>
      <c r="T980" s="28"/>
      <c r="U980" s="28"/>
      <c r="V980" s="28"/>
    </row>
    <row r="981" ht="13.5" customHeight="1">
      <c r="A981" s="28"/>
      <c r="B981" s="28"/>
      <c r="C981" s="28"/>
      <c r="D981" s="28"/>
      <c r="E981" s="28"/>
      <c r="F981" s="28"/>
      <c r="G981" s="28"/>
      <c r="H981" s="28"/>
      <c r="I981" s="28"/>
      <c r="J981" s="28"/>
      <c r="K981" s="28"/>
      <c r="L981" s="28"/>
      <c r="M981" s="28"/>
      <c r="N981" s="28"/>
      <c r="O981" s="28"/>
      <c r="P981" s="28"/>
      <c r="Q981" s="28"/>
      <c r="R981" s="28"/>
      <c r="S981" s="28"/>
      <c r="T981" s="28"/>
      <c r="U981" s="28"/>
      <c r="V981" s="28"/>
    </row>
    <row r="982" ht="13.5" customHeight="1">
      <c r="A982" s="28"/>
      <c r="B982" s="28"/>
      <c r="C982" s="28"/>
      <c r="D982" s="28"/>
      <c r="E982" s="28"/>
      <c r="F982" s="28"/>
      <c r="G982" s="28"/>
      <c r="H982" s="28"/>
      <c r="I982" s="28"/>
      <c r="J982" s="28"/>
      <c r="K982" s="28"/>
      <c r="L982" s="28"/>
      <c r="M982" s="28"/>
      <c r="N982" s="28"/>
      <c r="O982" s="28"/>
      <c r="P982" s="28"/>
      <c r="Q982" s="28"/>
      <c r="R982" s="28"/>
      <c r="S982" s="28"/>
      <c r="T982" s="28"/>
      <c r="U982" s="28"/>
      <c r="V982" s="28"/>
    </row>
    <row r="983" ht="13.5" customHeight="1">
      <c r="A983" s="28"/>
      <c r="B983" s="28"/>
      <c r="C983" s="28"/>
      <c r="D983" s="28"/>
      <c r="E983" s="28"/>
      <c r="F983" s="28"/>
      <c r="G983" s="28"/>
      <c r="H983" s="28"/>
      <c r="I983" s="28"/>
      <c r="J983" s="28"/>
      <c r="K983" s="28"/>
      <c r="L983" s="28"/>
      <c r="M983" s="28"/>
      <c r="N983" s="28"/>
      <c r="O983" s="28"/>
      <c r="P983" s="28"/>
      <c r="Q983" s="28"/>
      <c r="R983" s="28"/>
      <c r="S983" s="28"/>
      <c r="T983" s="28"/>
      <c r="U983" s="28"/>
      <c r="V983" s="28"/>
    </row>
    <row r="984" ht="13.5" customHeight="1">
      <c r="A984" s="28"/>
      <c r="B984" s="28"/>
      <c r="C984" s="28"/>
      <c r="D984" s="28"/>
      <c r="E984" s="28"/>
      <c r="F984" s="28"/>
      <c r="G984" s="28"/>
      <c r="H984" s="28"/>
      <c r="I984" s="28"/>
      <c r="J984" s="28"/>
      <c r="K984" s="28"/>
      <c r="L984" s="28"/>
      <c r="M984" s="28"/>
      <c r="N984" s="28"/>
      <c r="O984" s="28"/>
      <c r="P984" s="28"/>
      <c r="Q984" s="28"/>
      <c r="R984" s="28"/>
      <c r="S984" s="28"/>
      <c r="T984" s="28"/>
      <c r="U984" s="28"/>
      <c r="V984" s="28"/>
    </row>
    <row r="985" ht="13.5" customHeight="1">
      <c r="A985" s="28"/>
      <c r="B985" s="28"/>
      <c r="C985" s="28"/>
      <c r="D985" s="28"/>
      <c r="E985" s="28"/>
      <c r="F985" s="28"/>
      <c r="G985" s="28"/>
      <c r="H985" s="28"/>
      <c r="I985" s="28"/>
      <c r="J985" s="28"/>
      <c r="K985" s="28"/>
      <c r="L985" s="28"/>
      <c r="M985" s="28"/>
      <c r="N985" s="28"/>
      <c r="O985" s="28"/>
      <c r="P985" s="28"/>
      <c r="Q985" s="28"/>
      <c r="R985" s="28"/>
      <c r="S985" s="28"/>
      <c r="T985" s="28"/>
      <c r="U985" s="28"/>
      <c r="V985" s="28"/>
    </row>
    <row r="986" ht="13.5" customHeight="1">
      <c r="A986" s="28"/>
      <c r="B986" s="28"/>
      <c r="C986" s="28"/>
      <c r="D986" s="28"/>
      <c r="E986" s="28"/>
      <c r="F986" s="28"/>
      <c r="G986" s="28"/>
      <c r="H986" s="28"/>
      <c r="I986" s="28"/>
      <c r="J986" s="28"/>
      <c r="K986" s="28"/>
      <c r="L986" s="28"/>
      <c r="M986" s="28"/>
      <c r="N986" s="28"/>
      <c r="O986" s="28"/>
      <c r="P986" s="28"/>
      <c r="Q986" s="28"/>
      <c r="R986" s="28"/>
      <c r="S986" s="28"/>
      <c r="T986" s="28"/>
      <c r="U986" s="28"/>
      <c r="V986" s="28"/>
    </row>
    <row r="987" ht="13.5" customHeight="1">
      <c r="A987" s="28"/>
      <c r="B987" s="28"/>
      <c r="C987" s="28"/>
      <c r="D987" s="28"/>
      <c r="E987" s="28"/>
      <c r="F987" s="28"/>
      <c r="G987" s="28"/>
      <c r="H987" s="28"/>
      <c r="I987" s="28"/>
      <c r="J987" s="28"/>
      <c r="K987" s="28"/>
      <c r="L987" s="28"/>
      <c r="M987" s="28"/>
      <c r="N987" s="28"/>
      <c r="O987" s="28"/>
      <c r="P987" s="28"/>
      <c r="Q987" s="28"/>
      <c r="R987" s="28"/>
      <c r="S987" s="28"/>
      <c r="T987" s="28"/>
      <c r="U987" s="28"/>
      <c r="V987" s="28"/>
    </row>
    <row r="988" ht="13.5" customHeight="1">
      <c r="A988" s="28"/>
      <c r="B988" s="28"/>
      <c r="C988" s="28"/>
      <c r="D988" s="28"/>
      <c r="E988" s="28"/>
      <c r="F988" s="28"/>
      <c r="G988" s="28"/>
      <c r="H988" s="28"/>
      <c r="I988" s="28"/>
      <c r="J988" s="28"/>
      <c r="K988" s="28"/>
      <c r="L988" s="28"/>
      <c r="M988" s="28"/>
      <c r="N988" s="28"/>
      <c r="O988" s="28"/>
      <c r="P988" s="28"/>
      <c r="Q988" s="28"/>
      <c r="R988" s="28"/>
      <c r="S988" s="28"/>
      <c r="T988" s="28"/>
      <c r="U988" s="28"/>
      <c r="V988" s="28"/>
    </row>
    <row r="989" ht="13.5" customHeight="1">
      <c r="A989" s="28"/>
      <c r="B989" s="28"/>
      <c r="C989" s="28"/>
      <c r="D989" s="28"/>
      <c r="E989" s="28"/>
      <c r="F989" s="28"/>
      <c r="G989" s="28"/>
      <c r="H989" s="28"/>
      <c r="I989" s="28"/>
      <c r="J989" s="28"/>
      <c r="K989" s="28"/>
      <c r="L989" s="28"/>
      <c r="M989" s="28"/>
      <c r="N989" s="28"/>
      <c r="O989" s="28"/>
      <c r="P989" s="28"/>
      <c r="Q989" s="28"/>
      <c r="R989" s="28"/>
      <c r="S989" s="28"/>
      <c r="T989" s="28"/>
      <c r="U989" s="28"/>
      <c r="V989" s="28"/>
    </row>
    <row r="990" ht="13.5" customHeight="1">
      <c r="A990" s="28"/>
      <c r="B990" s="28"/>
      <c r="C990" s="28"/>
      <c r="D990" s="28"/>
      <c r="E990" s="28"/>
      <c r="F990" s="28"/>
      <c r="G990" s="28"/>
      <c r="H990" s="28"/>
      <c r="I990" s="28"/>
      <c r="J990" s="28"/>
      <c r="K990" s="28"/>
      <c r="L990" s="28"/>
      <c r="M990" s="28"/>
      <c r="N990" s="28"/>
      <c r="O990" s="28"/>
      <c r="P990" s="28"/>
      <c r="Q990" s="28"/>
      <c r="R990" s="28"/>
      <c r="S990" s="28"/>
      <c r="T990" s="28"/>
      <c r="U990" s="28"/>
      <c r="V990" s="28"/>
    </row>
    <row r="991" ht="13.5" customHeight="1">
      <c r="A991" s="28"/>
      <c r="B991" s="28"/>
      <c r="C991" s="28"/>
      <c r="D991" s="28"/>
      <c r="E991" s="28"/>
      <c r="F991" s="28"/>
      <c r="G991" s="28"/>
      <c r="H991" s="28"/>
      <c r="I991" s="28"/>
      <c r="J991" s="28"/>
      <c r="K991" s="28"/>
      <c r="L991" s="28"/>
      <c r="M991" s="28"/>
      <c r="N991" s="28"/>
      <c r="O991" s="28"/>
      <c r="P991" s="28"/>
      <c r="Q991" s="28"/>
      <c r="R991" s="28"/>
      <c r="S991" s="28"/>
      <c r="T991" s="28"/>
      <c r="U991" s="28"/>
      <c r="V991" s="28"/>
    </row>
    <row r="992" ht="13.5" customHeight="1">
      <c r="A992" s="28"/>
      <c r="B992" s="28"/>
      <c r="C992" s="28"/>
      <c r="D992" s="28"/>
      <c r="E992" s="28"/>
      <c r="F992" s="28"/>
      <c r="G992" s="28"/>
      <c r="H992" s="28"/>
      <c r="I992" s="28"/>
      <c r="J992" s="28"/>
      <c r="K992" s="28"/>
      <c r="L992" s="28"/>
      <c r="M992" s="28"/>
      <c r="N992" s="28"/>
      <c r="O992" s="28"/>
      <c r="P992" s="28"/>
      <c r="Q992" s="28"/>
      <c r="R992" s="28"/>
      <c r="S992" s="28"/>
      <c r="T992" s="28"/>
      <c r="U992" s="28"/>
      <c r="V992" s="28"/>
    </row>
    <row r="993" ht="13.5" customHeight="1">
      <c r="A993" s="28"/>
      <c r="B993" s="28"/>
      <c r="C993" s="28"/>
      <c r="D993" s="28"/>
      <c r="E993" s="28"/>
      <c r="F993" s="28"/>
      <c r="G993" s="28"/>
      <c r="H993" s="28"/>
      <c r="I993" s="28"/>
      <c r="J993" s="28"/>
      <c r="K993" s="28"/>
      <c r="L993" s="28"/>
      <c r="M993" s="28"/>
      <c r="N993" s="28"/>
      <c r="O993" s="28"/>
      <c r="P993" s="28"/>
      <c r="Q993" s="28"/>
      <c r="R993" s="28"/>
      <c r="S993" s="28"/>
      <c r="T993" s="28"/>
      <c r="U993" s="28"/>
      <c r="V993" s="28"/>
    </row>
    <row r="994" ht="13.5" customHeight="1">
      <c r="A994" s="28"/>
      <c r="B994" s="28"/>
      <c r="C994" s="28"/>
      <c r="D994" s="28"/>
      <c r="E994" s="28"/>
      <c r="F994" s="28"/>
      <c r="G994" s="28"/>
      <c r="H994" s="28"/>
      <c r="I994" s="28"/>
      <c r="J994" s="28"/>
      <c r="K994" s="28"/>
      <c r="L994" s="28"/>
      <c r="M994" s="28"/>
      <c r="N994" s="28"/>
      <c r="O994" s="28"/>
      <c r="P994" s="28"/>
      <c r="Q994" s="28"/>
      <c r="R994" s="28"/>
      <c r="S994" s="28"/>
      <c r="T994" s="28"/>
      <c r="U994" s="28"/>
      <c r="V994" s="28"/>
    </row>
    <row r="995" ht="13.5" customHeight="1">
      <c r="A995" s="28"/>
      <c r="B995" s="28"/>
      <c r="C995" s="28"/>
      <c r="D995" s="28"/>
      <c r="E995" s="28"/>
      <c r="F995" s="28"/>
      <c r="G995" s="28"/>
      <c r="H995" s="28"/>
      <c r="I995" s="28"/>
      <c r="J995" s="28"/>
      <c r="K995" s="28"/>
      <c r="L995" s="28"/>
      <c r="M995" s="28"/>
      <c r="N995" s="28"/>
      <c r="O995" s="28"/>
      <c r="P995" s="28"/>
      <c r="Q995" s="28"/>
      <c r="R995" s="28"/>
      <c r="S995" s="28"/>
      <c r="T995" s="28"/>
      <c r="U995" s="28"/>
      <c r="V995" s="28"/>
    </row>
    <row r="996" ht="13.5" customHeight="1">
      <c r="A996" s="28"/>
      <c r="B996" s="28"/>
      <c r="C996" s="28"/>
      <c r="D996" s="28"/>
      <c r="E996" s="28"/>
      <c r="F996" s="28"/>
      <c r="G996" s="28"/>
      <c r="H996" s="28"/>
      <c r="I996" s="28"/>
      <c r="J996" s="28"/>
      <c r="K996" s="28"/>
      <c r="L996" s="28"/>
      <c r="M996" s="28"/>
      <c r="N996" s="28"/>
      <c r="O996" s="28"/>
      <c r="P996" s="28"/>
      <c r="Q996" s="28"/>
      <c r="R996" s="28"/>
      <c r="S996" s="28"/>
      <c r="T996" s="28"/>
      <c r="U996" s="28"/>
      <c r="V996" s="28"/>
    </row>
    <row r="997" ht="13.5" customHeight="1">
      <c r="A997" s="28"/>
      <c r="B997" s="28"/>
      <c r="C997" s="28"/>
      <c r="D997" s="28"/>
      <c r="E997" s="28"/>
      <c r="F997" s="28"/>
      <c r="G997" s="28"/>
      <c r="H997" s="28"/>
      <c r="I997" s="28"/>
      <c r="J997" s="28"/>
      <c r="K997" s="28"/>
      <c r="L997" s="28"/>
      <c r="M997" s="28"/>
      <c r="N997" s="28"/>
      <c r="O997" s="28"/>
      <c r="P997" s="28"/>
      <c r="Q997" s="28"/>
      <c r="R997" s="28"/>
      <c r="S997" s="28"/>
      <c r="T997" s="28"/>
      <c r="U997" s="28"/>
      <c r="V997" s="28"/>
    </row>
    <row r="998" ht="13.5" customHeight="1">
      <c r="A998" s="28"/>
      <c r="B998" s="28"/>
      <c r="C998" s="28"/>
      <c r="D998" s="28"/>
      <c r="E998" s="28"/>
      <c r="F998" s="28"/>
      <c r="G998" s="28"/>
      <c r="H998" s="28"/>
      <c r="I998" s="28"/>
      <c r="J998" s="28"/>
      <c r="K998" s="28"/>
      <c r="L998" s="28"/>
      <c r="M998" s="28"/>
      <c r="N998" s="28"/>
      <c r="O998" s="28"/>
      <c r="P998" s="28"/>
      <c r="Q998" s="28"/>
      <c r="R998" s="28"/>
      <c r="S998" s="28"/>
      <c r="T998" s="28"/>
      <c r="U998" s="28"/>
      <c r="V998" s="28"/>
    </row>
    <row r="999" ht="13.5" customHeight="1">
      <c r="A999" s="28"/>
      <c r="B999" s="28"/>
      <c r="C999" s="28"/>
      <c r="D999" s="28"/>
      <c r="E999" s="28"/>
      <c r="F999" s="28"/>
      <c r="G999" s="28"/>
      <c r="H999" s="28"/>
      <c r="I999" s="28"/>
      <c r="J999" s="28"/>
      <c r="K999" s="28"/>
      <c r="L999" s="28"/>
      <c r="M999" s="28"/>
      <c r="N999" s="28"/>
      <c r="O999" s="28"/>
      <c r="P999" s="28"/>
      <c r="Q999" s="28"/>
      <c r="R999" s="28"/>
      <c r="S999" s="28"/>
      <c r="T999" s="28"/>
      <c r="U999" s="28"/>
      <c r="V999" s="28"/>
    </row>
    <row r="1000" ht="13.5" customHeight="1">
      <c r="A1000" s="28"/>
      <c r="B1000" s="28"/>
      <c r="C1000" s="28"/>
      <c r="D1000" s="28"/>
      <c r="E1000" s="28"/>
      <c r="F1000" s="28"/>
      <c r="G1000" s="28"/>
      <c r="H1000" s="28"/>
      <c r="I1000" s="28"/>
      <c r="J1000" s="28"/>
      <c r="K1000" s="28"/>
      <c r="L1000" s="28"/>
      <c r="M1000" s="28"/>
      <c r="N1000" s="28"/>
      <c r="O1000" s="28"/>
      <c r="P1000" s="28"/>
      <c r="Q1000" s="28"/>
      <c r="R1000" s="28"/>
      <c r="S1000" s="28"/>
      <c r="T1000" s="28"/>
      <c r="U1000" s="28"/>
      <c r="V1000" s="28"/>
    </row>
  </sheetData>
  <mergeCells count="35">
    <mergeCell ref="O5:P5"/>
    <mergeCell ref="Q5:V5"/>
    <mergeCell ref="A1:V3"/>
    <mergeCell ref="A4:E4"/>
    <mergeCell ref="F4:N4"/>
    <mergeCell ref="O4:P4"/>
    <mergeCell ref="Q4:V4"/>
    <mergeCell ref="A5:E5"/>
    <mergeCell ref="F5:N5"/>
    <mergeCell ref="A6:E6"/>
    <mergeCell ref="F6:N6"/>
    <mergeCell ref="O6:P6"/>
    <mergeCell ref="Q6:V6"/>
    <mergeCell ref="F7:N7"/>
    <mergeCell ref="O7:Q7"/>
    <mergeCell ref="R7:V7"/>
    <mergeCell ref="O9:Q9"/>
    <mergeCell ref="R9:V9"/>
    <mergeCell ref="A7:E7"/>
    <mergeCell ref="A8:E8"/>
    <mergeCell ref="F8:N8"/>
    <mergeCell ref="O8:Q8"/>
    <mergeCell ref="R8:V8"/>
    <mergeCell ref="A9:E9"/>
    <mergeCell ref="F9:N9"/>
    <mergeCell ref="A17:V20"/>
    <mergeCell ref="A21:V21"/>
    <mergeCell ref="A22:V45"/>
    <mergeCell ref="A10:E10"/>
    <mergeCell ref="F10:N10"/>
    <mergeCell ref="O10:Q10"/>
    <mergeCell ref="R10:V10"/>
    <mergeCell ref="A11:V11"/>
    <mergeCell ref="A12:V15"/>
    <mergeCell ref="A16:V16"/>
  </mergeCells>
  <dataValidations>
    <dataValidation type="list" allowBlank="1" showErrorMessage="1" sqref="F7">
      <formula1>"Detalhada (IFPUG),Estimativa (NESMA),Indicativa (NESMA)"</formula1>
    </dataValidation>
    <dataValidation type="list" allowBlank="1" showErrorMessage="1" sqref="F6">
      <formula1>"Aplicação,Projeto de Desenvolvimento,Projeto de Melhoria"</formula1>
    </dataValidation>
  </dataValidations>
  <printOptions/>
  <pageMargins bottom="0.7875" footer="0.0" header="0.0" left="0.7875" right="0.7875" top="0.7875"/>
  <pageSetup paperSize="9" scale="59" orientation="portrait"/>
  <headerFooter>
    <oddFooter>&amp;R&amp;F - &amp;A</oddFooter>
  </headerFooter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showGridLines="0" workbookViewId="0">
      <pane ySplit="7.0" topLeftCell="A8" activePane="bottomLeft" state="frozen"/>
      <selection activeCell="B9" sqref="B9" pane="bottomLeft"/>
    </sheetView>
  </sheetViews>
  <sheetFormatPr customHeight="1" defaultColWidth="12.63" defaultRowHeight="15.0"/>
  <cols>
    <col customWidth="1" min="1" max="1" width="58.5"/>
    <col customWidth="1" min="2" max="2" width="5.0"/>
    <col customWidth="1" min="3" max="3" width="10.5"/>
    <col customWidth="1" min="4" max="4" width="3.75"/>
    <col customWidth="1" min="5" max="5" width="6.25"/>
    <col customWidth="1" min="6" max="6" width="7.25"/>
    <col customWidth="1" hidden="1" min="7" max="7" width="2.75"/>
    <col customWidth="1" min="8" max="8" width="7.5"/>
    <col customWidth="1" hidden="1" min="9" max="9" width="4.0"/>
    <col customWidth="1" hidden="1" min="10" max="10" width="4.5"/>
    <col customWidth="1" min="11" max="11" width="12.5"/>
    <col customWidth="1" min="12" max="12" width="12.0"/>
    <col customWidth="1" min="13" max="13" width="6.88"/>
    <col customWidth="1" min="14" max="14" width="7.5"/>
    <col customWidth="1" min="15" max="15" width="37.5"/>
    <col customWidth="1" min="16" max="26" width="8.63"/>
  </cols>
  <sheetData>
    <row r="1" ht="12.0" customHeight="1">
      <c r="A1" s="1" t="s">
        <v>28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3"/>
    </row>
    <row r="2" ht="12.0" customHeight="1">
      <c r="A2" s="4"/>
      <c r="O2" s="5"/>
    </row>
    <row r="3" ht="12.0" customHeight="1">
      <c r="A3" s="29"/>
      <c r="B3" s="30"/>
      <c r="C3" s="30"/>
      <c r="D3" s="30"/>
      <c r="E3" s="30"/>
      <c r="F3" s="30"/>
      <c r="G3" s="30"/>
      <c r="H3" s="30"/>
      <c r="I3" s="30"/>
      <c r="J3" s="30"/>
      <c r="K3" s="30"/>
      <c r="L3" s="30"/>
      <c r="M3" s="30"/>
      <c r="N3" s="30"/>
      <c r="O3" s="31"/>
    </row>
    <row r="4" ht="12.0" customHeight="1">
      <c r="A4" s="32" t="str">
        <f>Contagem!A5&amp;" : "&amp;Contagem!F5</f>
        <v>Aplicação : COSIGNAÇÃO</v>
      </c>
      <c r="B4" s="33" t="str">
        <f>Contagem!A8&amp;" : "&amp;Contagem!F8</f>
        <v>Projeto : Revisão de Contratos Consignações</v>
      </c>
      <c r="C4" s="10"/>
      <c r="D4" s="10"/>
      <c r="E4" s="10"/>
      <c r="F4" s="10"/>
      <c r="G4" s="10"/>
      <c r="H4" s="10"/>
      <c r="I4" s="10"/>
      <c r="J4" s="11"/>
      <c r="K4" s="34" t="s">
        <v>3</v>
      </c>
      <c r="L4" s="35">
        <f>SUM(H8:H809)</f>
        <v>328</v>
      </c>
      <c r="M4" s="33"/>
      <c r="N4" s="10"/>
      <c r="O4" s="15"/>
    </row>
    <row r="5" ht="12.0" customHeight="1">
      <c r="A5" s="32" t="str">
        <f>Contagem!A9&amp;" : "&amp;Contagem!F9</f>
        <v>Responsável : Jonathas Gomes</v>
      </c>
      <c r="B5" s="33" t="str">
        <f>Contagem!A10&amp;" : "&amp;Contagem!F10</f>
        <v>Revisor : Jonathas Gomes</v>
      </c>
      <c r="C5" s="10"/>
      <c r="D5" s="10"/>
      <c r="E5" s="10"/>
      <c r="F5" s="10"/>
      <c r="G5" s="10"/>
      <c r="H5" s="10"/>
      <c r="I5" s="10"/>
      <c r="J5" s="11"/>
      <c r="K5" s="36" t="s">
        <v>6</v>
      </c>
      <c r="L5" s="35">
        <f>SUM(K8:K809)</f>
        <v>328</v>
      </c>
      <c r="M5" s="37"/>
      <c r="N5" s="10"/>
      <c r="O5" s="15"/>
    </row>
    <row r="6" ht="12.0" customHeight="1">
      <c r="A6" s="38" t="str">
        <f>Contagem!A4&amp;" : "&amp;Contagem!F4</f>
        <v>Empresa : Secretaria de Estado de Planejamento e Gestão de Mato Grosso</v>
      </c>
      <c r="B6" s="39" t="str">
        <f>"Tipo da Contagem : "&amp;Contagem!F6</f>
        <v>Tipo da Contagem : Projeto de Desenvolvimento</v>
      </c>
      <c r="C6" s="40"/>
      <c r="D6" s="40"/>
      <c r="E6" s="40"/>
      <c r="F6" s="40"/>
      <c r="G6" s="40"/>
      <c r="H6" s="40"/>
      <c r="I6" s="40"/>
      <c r="J6" s="41"/>
      <c r="K6" s="42" t="s">
        <v>9</v>
      </c>
      <c r="L6" s="35">
        <f>SUM(L8:L809)</f>
        <v>290.7</v>
      </c>
      <c r="M6" s="33"/>
      <c r="N6" s="10"/>
      <c r="O6" s="15"/>
    </row>
    <row r="7" ht="13.5" customHeight="1">
      <c r="A7" s="43" t="s">
        <v>29</v>
      </c>
      <c r="B7" s="44" t="s">
        <v>30</v>
      </c>
      <c r="C7" s="45" t="s">
        <v>31</v>
      </c>
      <c r="D7" s="46" t="s">
        <v>32</v>
      </c>
      <c r="E7" s="46" t="s">
        <v>33</v>
      </c>
      <c r="F7" s="46" t="s">
        <v>34</v>
      </c>
      <c r="G7" s="47" t="s">
        <v>35</v>
      </c>
      <c r="H7" s="47" t="s">
        <v>3</v>
      </c>
      <c r="I7" s="48" t="s">
        <v>36</v>
      </c>
      <c r="J7" s="48" t="s">
        <v>37</v>
      </c>
      <c r="K7" s="47" t="s">
        <v>6</v>
      </c>
      <c r="L7" s="49" t="s">
        <v>9</v>
      </c>
      <c r="M7" s="50" t="s">
        <v>38</v>
      </c>
      <c r="N7" s="51" t="s">
        <v>39</v>
      </c>
      <c r="O7" s="52" t="s">
        <v>40</v>
      </c>
    </row>
    <row r="8" ht="12.0" customHeight="1">
      <c r="A8" s="53"/>
      <c r="B8" s="54"/>
      <c r="C8" s="54"/>
      <c r="D8" s="55"/>
      <c r="E8" s="55"/>
      <c r="F8" s="56" t="str">
        <f t="shared" ref="F8:F155" si="1">IF(ISBLANK(B8),"",IF(I8="L","Baixa",IF(I8="A","Média",IF(I8="","","Alta"))))</f>
        <v/>
      </c>
      <c r="G8" s="55" t="str">
        <f t="shared" ref="G8:G155" si="2">CONCATENATE(B8,I8)</f>
        <v/>
      </c>
      <c r="H8" s="57" t="str">
        <f t="shared" ref="H8:H155" si="3">IF(ISBLANK(B8),"",IF(B8="ALI",IF(I8="L",7,IF(I8="A",10,15)),IF(B8="AIE",IF(I8="L",5,IF(I8="A",7,10)),IF(B8="SE",IF(I8="L",4,IF(I8="A",5,7)),IF(OR(B8="EE",B8="CE"),IF(I8="L",3,IF(I8="A",4,6)),0)))))</f>
        <v/>
      </c>
      <c r="I8" s="58" t="str">
        <f t="shared" ref="I8:I155" si="4">IF(OR(ISBLANK(D8),ISBLANK(E8)),IF(OR(B8="ALI",B8="AIE"),"L",IF(OR(B8="EE",B8="SE",B8="CE"),"A","")),IF(B8="EE",IF(E8&gt;=3,IF(D8&gt;=5,"H","A"),IF(E8&gt;=2,IF(D8&gt;=16,"H",IF(D8&lt;=4,"L","A")),IF(D8&lt;=15,"L","A"))),IF(OR(B8="SE",B8="CE"),IF(E8&gt;=4,IF(D8&gt;=6,"H","A"),IF(E8&gt;=2,IF(D8&gt;=20,"H",IF(D8&lt;=5,"L","A")),IF(D8&lt;=19,"L","A"))),IF(OR(B8="ALI",B8="AIE"),IF(E8&gt;=6,IF(D8&gt;=20,"H","A"),IF(E8&gt;=2,IF(D8&gt;=51,"H",IF(D8&lt;=19,"L","A")),IF(D8&lt;=50,"L","A"))),""))))</f>
        <v/>
      </c>
      <c r="J8" s="55" t="str">
        <f t="shared" ref="J8:J155" si="5">CONCATENATE(B8,C8)</f>
        <v/>
      </c>
      <c r="K8" s="59" t="str">
        <f t="shared" ref="K8:K155" si="6">IF(OR(H8="",H8=0),L8,H8)</f>
        <v/>
      </c>
      <c r="L8" s="59" t="str">
        <f>IF(NOT(ISERROR(VLOOKUP(B8,Deflatores!G$42:H$64,2,FALSE))),VLOOKUP(B8,Deflatores!G$42:H$64,2,FALSE),IF(OR(ISBLANK(C8),ISBLANK(B8)),"",VLOOKUP(C8,Deflatores!G$4:H$38,2,FALSE)*H8+VLOOKUP(C8,Deflatores!G$4:I$38,3,FALSE)))</f>
        <v/>
      </c>
      <c r="M8" s="60"/>
      <c r="N8" s="60"/>
      <c r="O8" s="61"/>
    </row>
    <row r="9" ht="15.75" customHeight="1">
      <c r="A9" s="62" t="s">
        <v>41</v>
      </c>
      <c r="B9" s="54"/>
      <c r="C9" s="54"/>
      <c r="D9" s="55"/>
      <c r="E9" s="55"/>
      <c r="F9" s="56" t="str">
        <f t="shared" si="1"/>
        <v/>
      </c>
      <c r="G9" s="55" t="str">
        <f t="shared" si="2"/>
        <v/>
      </c>
      <c r="H9" s="57" t="str">
        <f t="shared" si="3"/>
        <v/>
      </c>
      <c r="I9" s="58" t="str">
        <f t="shared" si="4"/>
        <v/>
      </c>
      <c r="J9" s="55" t="str">
        <f t="shared" si="5"/>
        <v/>
      </c>
      <c r="K9" s="59" t="str">
        <f t="shared" si="6"/>
        <v/>
      </c>
      <c r="L9" s="59" t="str">
        <f>IF(NOT(ISERROR(VLOOKUP(B9,Deflatores!G$42:H$64,2,FALSE))),VLOOKUP(B9,Deflatores!G$42:H$64,2,FALSE),IF(OR(ISBLANK(C9),ISBLANK(B9)),"",VLOOKUP(C9,Deflatores!G$4:H$38,2,FALSE)*H9+VLOOKUP(C9,Deflatores!G$4:I$38,3,FALSE)))</f>
        <v/>
      </c>
      <c r="M9" s="60"/>
      <c r="N9" s="60"/>
      <c r="O9" s="61"/>
    </row>
    <row r="10" ht="12.0" customHeight="1">
      <c r="A10" s="53" t="s">
        <v>42</v>
      </c>
      <c r="B10" s="54" t="s">
        <v>43</v>
      </c>
      <c r="C10" s="54" t="s">
        <v>44</v>
      </c>
      <c r="D10" s="55"/>
      <c r="E10" s="55"/>
      <c r="F10" s="56" t="str">
        <f t="shared" si="1"/>
        <v>Média</v>
      </c>
      <c r="G10" s="55" t="str">
        <f t="shared" si="2"/>
        <v>EEA</v>
      </c>
      <c r="H10" s="57">
        <f t="shared" si="3"/>
        <v>4</v>
      </c>
      <c r="I10" s="58" t="str">
        <f t="shared" si="4"/>
        <v>A</v>
      </c>
      <c r="J10" s="55" t="str">
        <f t="shared" si="5"/>
        <v>EEA50</v>
      </c>
      <c r="K10" s="59">
        <f t="shared" si="6"/>
        <v>4</v>
      </c>
      <c r="L10" s="59">
        <f>IF(NOT(ISERROR(VLOOKUP(B10,Deflatores!G$42:H$64,2,FALSE))),VLOOKUP(B10,Deflatores!G$42:H$64,2,FALSE),IF(OR(ISBLANK(C10),ISBLANK(B10)),"",VLOOKUP(C10,Deflatores!G$4:H$38,2,FALSE)*H10+VLOOKUP(C10,Deflatores!G$4:I$38,3,FALSE)))</f>
        <v>2</v>
      </c>
      <c r="M10" s="60"/>
      <c r="N10" s="60"/>
      <c r="O10" s="61" t="s">
        <v>45</v>
      </c>
    </row>
    <row r="11" ht="12.0" customHeight="1">
      <c r="A11" s="53" t="s">
        <v>46</v>
      </c>
      <c r="B11" s="54" t="s">
        <v>47</v>
      </c>
      <c r="C11" s="54" t="s">
        <v>48</v>
      </c>
      <c r="D11" s="55"/>
      <c r="E11" s="55"/>
      <c r="F11" s="56" t="str">
        <f t="shared" si="1"/>
        <v>Média</v>
      </c>
      <c r="G11" s="55" t="str">
        <f t="shared" si="2"/>
        <v>CEA</v>
      </c>
      <c r="H11" s="57">
        <f t="shared" si="3"/>
        <v>4</v>
      </c>
      <c r="I11" s="58" t="str">
        <f t="shared" si="4"/>
        <v>A</v>
      </c>
      <c r="J11" s="55" t="str">
        <f t="shared" si="5"/>
        <v>CECOS</v>
      </c>
      <c r="K11" s="59">
        <f t="shared" si="6"/>
        <v>4</v>
      </c>
      <c r="L11" s="59">
        <f>IF(NOT(ISERROR(VLOOKUP(B11,Deflatores!G$42:H$64,2,FALSE))),VLOOKUP(B11,Deflatores!G$42:H$64,2,FALSE),IF(OR(ISBLANK(C11),ISBLANK(B11)),"",VLOOKUP(C11,Deflatores!G$4:H$38,2,FALSE)*H11+VLOOKUP(C11,Deflatores!G$4:I$38,3,FALSE)))</f>
        <v>0.6</v>
      </c>
      <c r="M11" s="60"/>
      <c r="N11" s="60"/>
      <c r="O11" s="61" t="s">
        <v>49</v>
      </c>
    </row>
    <row r="12" ht="12.0" customHeight="1">
      <c r="A12" s="53" t="s">
        <v>50</v>
      </c>
      <c r="B12" s="54" t="s">
        <v>47</v>
      </c>
      <c r="C12" s="54" t="s">
        <v>48</v>
      </c>
      <c r="D12" s="55"/>
      <c r="E12" s="55"/>
      <c r="F12" s="56" t="str">
        <f t="shared" si="1"/>
        <v>Média</v>
      </c>
      <c r="G12" s="55" t="str">
        <f t="shared" si="2"/>
        <v>CEA</v>
      </c>
      <c r="H12" s="57">
        <f t="shared" si="3"/>
        <v>4</v>
      </c>
      <c r="I12" s="58" t="str">
        <f t="shared" si="4"/>
        <v>A</v>
      </c>
      <c r="J12" s="55" t="str">
        <f t="shared" si="5"/>
        <v>CECOS</v>
      </c>
      <c r="K12" s="59">
        <f t="shared" si="6"/>
        <v>4</v>
      </c>
      <c r="L12" s="59">
        <f>IF(NOT(ISERROR(VLOOKUP(B12,Deflatores!G$42:H$64,2,FALSE))),VLOOKUP(B12,Deflatores!G$42:H$64,2,FALSE),IF(OR(ISBLANK(C12),ISBLANK(B12)),"",VLOOKUP(C12,Deflatores!G$4:H$38,2,FALSE)*H12+VLOOKUP(C12,Deflatores!G$4:I$38,3,FALSE)))</f>
        <v>0.6</v>
      </c>
      <c r="M12" s="60"/>
      <c r="N12" s="60"/>
      <c r="O12" s="61" t="s">
        <v>49</v>
      </c>
    </row>
    <row r="13" ht="12.0" customHeight="1">
      <c r="A13" s="53"/>
      <c r="B13" s="54"/>
      <c r="C13" s="54"/>
      <c r="D13" s="55"/>
      <c r="E13" s="55"/>
      <c r="F13" s="56" t="str">
        <f t="shared" si="1"/>
        <v/>
      </c>
      <c r="G13" s="55" t="str">
        <f t="shared" si="2"/>
        <v/>
      </c>
      <c r="H13" s="57" t="str">
        <f t="shared" si="3"/>
        <v/>
      </c>
      <c r="I13" s="58" t="str">
        <f t="shared" si="4"/>
        <v/>
      </c>
      <c r="J13" s="55" t="str">
        <f t="shared" si="5"/>
        <v/>
      </c>
      <c r="K13" s="59" t="str">
        <f t="shared" si="6"/>
        <v/>
      </c>
      <c r="L13" s="59" t="str">
        <f>IF(NOT(ISERROR(VLOOKUP(B13,Deflatores!G$42:H$64,2,FALSE))),VLOOKUP(B13,Deflatores!G$42:H$64,2,FALSE),IF(OR(ISBLANK(C13),ISBLANK(B13)),"",VLOOKUP(C13,Deflatores!G$4:H$38,2,FALSE)*H13+VLOOKUP(C13,Deflatores!G$4:I$38,3,FALSE)))</f>
        <v/>
      </c>
      <c r="M13" s="60"/>
      <c r="N13" s="60"/>
      <c r="O13" s="61"/>
    </row>
    <row r="14" ht="12.0" customHeight="1">
      <c r="A14" s="53"/>
      <c r="B14" s="54"/>
      <c r="C14" s="54"/>
      <c r="D14" s="55"/>
      <c r="E14" s="55"/>
      <c r="F14" s="56" t="str">
        <f t="shared" si="1"/>
        <v/>
      </c>
      <c r="G14" s="55" t="str">
        <f t="shared" si="2"/>
        <v/>
      </c>
      <c r="H14" s="57" t="str">
        <f t="shared" si="3"/>
        <v/>
      </c>
      <c r="I14" s="58" t="str">
        <f t="shared" si="4"/>
        <v/>
      </c>
      <c r="J14" s="55" t="str">
        <f t="shared" si="5"/>
        <v/>
      </c>
      <c r="K14" s="59" t="str">
        <f t="shared" si="6"/>
        <v/>
      </c>
      <c r="L14" s="59" t="str">
        <f>IF(NOT(ISERROR(VLOOKUP(B14,Deflatores!G$42:H$64,2,FALSE))),VLOOKUP(B14,Deflatores!G$42:H$64,2,FALSE),IF(OR(ISBLANK(C14),ISBLANK(B14)),"",VLOOKUP(C14,Deflatores!G$4:H$38,2,FALSE)*H14+VLOOKUP(C14,Deflatores!G$4:I$38,3,FALSE)))</f>
        <v/>
      </c>
      <c r="M14" s="60"/>
      <c r="N14" s="60"/>
      <c r="O14" s="61"/>
    </row>
    <row r="15" ht="12.0" customHeight="1">
      <c r="A15" s="53"/>
      <c r="B15" s="54"/>
      <c r="C15" s="54"/>
      <c r="D15" s="55"/>
      <c r="E15" s="55"/>
      <c r="F15" s="56" t="str">
        <f t="shared" si="1"/>
        <v/>
      </c>
      <c r="G15" s="55" t="str">
        <f t="shared" si="2"/>
        <v/>
      </c>
      <c r="H15" s="57" t="str">
        <f t="shared" si="3"/>
        <v/>
      </c>
      <c r="I15" s="58" t="str">
        <f t="shared" si="4"/>
        <v/>
      </c>
      <c r="J15" s="55" t="str">
        <f t="shared" si="5"/>
        <v/>
      </c>
      <c r="K15" s="59" t="str">
        <f t="shared" si="6"/>
        <v/>
      </c>
      <c r="L15" s="59" t="str">
        <f>IF(NOT(ISERROR(VLOOKUP(B15,Deflatores!G$42:H$64,2,FALSE))),VLOOKUP(B15,Deflatores!G$42:H$64,2,FALSE),IF(OR(ISBLANK(C15),ISBLANK(B15)),"",VLOOKUP(C15,Deflatores!G$4:H$38,2,FALSE)*H15+VLOOKUP(C15,Deflatores!G$4:I$38,3,FALSE)))</f>
        <v/>
      </c>
      <c r="M15" s="60"/>
      <c r="N15" s="60"/>
      <c r="O15" s="61"/>
    </row>
    <row r="16" ht="12.0" customHeight="1">
      <c r="A16" s="62" t="s">
        <v>51</v>
      </c>
      <c r="B16" s="54"/>
      <c r="C16" s="54"/>
      <c r="D16" s="55"/>
      <c r="E16" s="55"/>
      <c r="F16" s="56" t="str">
        <f t="shared" si="1"/>
        <v/>
      </c>
      <c r="G16" s="55" t="str">
        <f t="shared" si="2"/>
        <v/>
      </c>
      <c r="H16" s="57" t="str">
        <f t="shared" si="3"/>
        <v/>
      </c>
      <c r="I16" s="58" t="str">
        <f t="shared" si="4"/>
        <v/>
      </c>
      <c r="J16" s="55" t="str">
        <f t="shared" si="5"/>
        <v/>
      </c>
      <c r="K16" s="59" t="str">
        <f t="shared" si="6"/>
        <v/>
      </c>
      <c r="L16" s="59" t="str">
        <f>IF(NOT(ISERROR(VLOOKUP(B16,Deflatores!G$42:H$64,2,FALSE))),VLOOKUP(B16,Deflatores!G$42:H$64,2,FALSE),IF(OR(ISBLANK(C16),ISBLANK(B16)),"",VLOOKUP(C16,Deflatores!G$4:H$38,2,FALSE)*H16+VLOOKUP(C16,Deflatores!G$4:I$38,3,FALSE)))</f>
        <v/>
      </c>
      <c r="M16" s="60"/>
      <c r="N16" s="60"/>
      <c r="O16" s="61"/>
    </row>
    <row r="17" ht="12.0" customHeight="1">
      <c r="A17" s="53"/>
      <c r="B17" s="54"/>
      <c r="C17" s="54"/>
      <c r="D17" s="55"/>
      <c r="E17" s="55"/>
      <c r="F17" s="56" t="str">
        <f t="shared" si="1"/>
        <v/>
      </c>
      <c r="G17" s="55" t="str">
        <f t="shared" si="2"/>
        <v/>
      </c>
      <c r="H17" s="57" t="str">
        <f t="shared" si="3"/>
        <v/>
      </c>
      <c r="I17" s="58" t="str">
        <f t="shared" si="4"/>
        <v/>
      </c>
      <c r="J17" s="55" t="str">
        <f t="shared" si="5"/>
        <v/>
      </c>
      <c r="K17" s="59" t="str">
        <f t="shared" si="6"/>
        <v/>
      </c>
      <c r="L17" s="59" t="str">
        <f>IF(NOT(ISERROR(VLOOKUP(B17,Deflatores!G$42:H$64,2,FALSE))),VLOOKUP(B17,Deflatores!G$42:H$64,2,FALSE),IF(OR(ISBLANK(C17),ISBLANK(B17)),"",VLOOKUP(C17,Deflatores!G$4:H$38,2,FALSE)*H17+VLOOKUP(C17,Deflatores!G$4:I$38,3,FALSE)))</f>
        <v/>
      </c>
      <c r="M17" s="60"/>
      <c r="N17" s="60"/>
      <c r="O17" s="61"/>
    </row>
    <row r="18" ht="12.0" customHeight="1">
      <c r="A18" s="53" t="s">
        <v>52</v>
      </c>
      <c r="B18" s="54" t="s">
        <v>53</v>
      </c>
      <c r="C18" s="54" t="s">
        <v>44</v>
      </c>
      <c r="D18" s="55">
        <v>3.0</v>
      </c>
      <c r="E18" s="55">
        <v>1.0</v>
      </c>
      <c r="F18" s="56" t="str">
        <f t="shared" si="1"/>
        <v>Baixa</v>
      </c>
      <c r="G18" s="55" t="str">
        <f t="shared" si="2"/>
        <v>ALIL</v>
      </c>
      <c r="H18" s="57">
        <f t="shared" si="3"/>
        <v>7</v>
      </c>
      <c r="I18" s="58" t="str">
        <f t="shared" si="4"/>
        <v>L</v>
      </c>
      <c r="J18" s="55" t="str">
        <f t="shared" si="5"/>
        <v>ALIA50</v>
      </c>
      <c r="K18" s="59">
        <f t="shared" si="6"/>
        <v>7</v>
      </c>
      <c r="L18" s="59">
        <f>IF(NOT(ISERROR(VLOOKUP(B18,Deflatores!G$42:H$64,2,FALSE))),VLOOKUP(B18,Deflatores!G$42:H$64,2,FALSE),IF(OR(ISBLANK(C18),ISBLANK(B18)),"",VLOOKUP(C18,Deflatores!G$4:H$38,2,FALSE)*H18+VLOOKUP(C18,Deflatores!G$4:I$38,3,FALSE)))</f>
        <v>3.5</v>
      </c>
      <c r="M18" s="60"/>
      <c r="N18" s="60"/>
      <c r="O18" s="61" t="s">
        <v>54</v>
      </c>
    </row>
    <row r="19" ht="12.0" customHeight="1">
      <c r="A19" s="53" t="s">
        <v>55</v>
      </c>
      <c r="B19" s="54" t="s">
        <v>47</v>
      </c>
      <c r="C19" s="54" t="s">
        <v>44</v>
      </c>
      <c r="D19" s="55">
        <v>3.0</v>
      </c>
      <c r="E19" s="55">
        <v>2.0</v>
      </c>
      <c r="F19" s="56" t="str">
        <f t="shared" si="1"/>
        <v>Baixa</v>
      </c>
      <c r="G19" s="55" t="str">
        <f t="shared" si="2"/>
        <v>CEL</v>
      </c>
      <c r="H19" s="57">
        <f t="shared" si="3"/>
        <v>3</v>
      </c>
      <c r="I19" s="58" t="str">
        <f t="shared" si="4"/>
        <v>L</v>
      </c>
      <c r="J19" s="55" t="str">
        <f t="shared" si="5"/>
        <v>CEA50</v>
      </c>
      <c r="K19" s="59">
        <f t="shared" si="6"/>
        <v>3</v>
      </c>
      <c r="L19" s="59">
        <f>IF(NOT(ISERROR(VLOOKUP(B19,Deflatores!G$42:H$64,2,FALSE))),VLOOKUP(B19,Deflatores!G$42:H$64,2,FALSE),IF(OR(ISBLANK(C19),ISBLANK(B19)),"",VLOOKUP(C19,Deflatores!G$4:H$38,2,FALSE)*H19+VLOOKUP(C19,Deflatores!G$4:I$38,3,FALSE)))</f>
        <v>1.5</v>
      </c>
      <c r="M19" s="60"/>
      <c r="N19" s="60"/>
      <c r="O19" s="61" t="s">
        <v>54</v>
      </c>
    </row>
    <row r="20" ht="12.0" customHeight="1">
      <c r="A20" s="53" t="s">
        <v>56</v>
      </c>
      <c r="B20" s="54"/>
      <c r="C20" s="54"/>
      <c r="D20" s="55"/>
      <c r="E20" s="55"/>
      <c r="F20" s="56" t="str">
        <f t="shared" si="1"/>
        <v/>
      </c>
      <c r="G20" s="55" t="str">
        <f t="shared" si="2"/>
        <v/>
      </c>
      <c r="H20" s="57" t="str">
        <f t="shared" si="3"/>
        <v/>
      </c>
      <c r="I20" s="58" t="str">
        <f t="shared" si="4"/>
        <v/>
      </c>
      <c r="J20" s="55" t="str">
        <f t="shared" si="5"/>
        <v/>
      </c>
      <c r="K20" s="59" t="str">
        <f t="shared" si="6"/>
        <v/>
      </c>
      <c r="L20" s="59" t="str">
        <f>IF(NOT(ISERROR(VLOOKUP(B20,Deflatores!G$42:H$64,2,FALSE))),VLOOKUP(B20,Deflatores!G$42:H$64,2,FALSE),IF(OR(ISBLANK(C20),ISBLANK(B20)),"",VLOOKUP(C20,Deflatores!G$4:H$38,2,FALSE)*H20+VLOOKUP(C20,Deflatores!G$4:I$38,3,FALSE)))</f>
        <v/>
      </c>
      <c r="M20" s="60"/>
      <c r="N20" s="60"/>
      <c r="O20" s="61" t="s">
        <v>57</v>
      </c>
    </row>
    <row r="21" ht="12.0" customHeight="1">
      <c r="A21" s="53" t="s">
        <v>58</v>
      </c>
      <c r="B21" s="54"/>
      <c r="C21" s="54"/>
      <c r="D21" s="55"/>
      <c r="E21" s="55"/>
      <c r="F21" s="56" t="str">
        <f t="shared" si="1"/>
        <v/>
      </c>
      <c r="G21" s="55" t="str">
        <f t="shared" si="2"/>
        <v/>
      </c>
      <c r="H21" s="57" t="str">
        <f t="shared" si="3"/>
        <v/>
      </c>
      <c r="I21" s="58" t="str">
        <f t="shared" si="4"/>
        <v/>
      </c>
      <c r="J21" s="55" t="str">
        <f t="shared" si="5"/>
        <v/>
      </c>
      <c r="K21" s="59" t="str">
        <f t="shared" si="6"/>
        <v/>
      </c>
      <c r="L21" s="59" t="str">
        <f>IF(NOT(ISERROR(VLOOKUP(B21,Deflatores!G$42:H$64,2,FALSE))),VLOOKUP(B21,Deflatores!G$42:H$64,2,FALSE),IF(OR(ISBLANK(C21),ISBLANK(B21)),"",VLOOKUP(C21,Deflatores!G$4:H$38,2,FALSE)*H21+VLOOKUP(C21,Deflatores!G$4:I$38,3,FALSE)))</f>
        <v/>
      </c>
      <c r="M21" s="60"/>
      <c r="N21" s="60"/>
      <c r="O21" s="61" t="s">
        <v>57</v>
      </c>
    </row>
    <row r="22" ht="12.0" customHeight="1">
      <c r="A22" s="53"/>
      <c r="B22" s="54"/>
      <c r="C22" s="54"/>
      <c r="D22" s="55"/>
      <c r="E22" s="55"/>
      <c r="F22" s="56" t="str">
        <f t="shared" si="1"/>
        <v/>
      </c>
      <c r="G22" s="55" t="str">
        <f t="shared" si="2"/>
        <v/>
      </c>
      <c r="H22" s="57" t="str">
        <f t="shared" si="3"/>
        <v/>
      </c>
      <c r="I22" s="58" t="str">
        <f t="shared" si="4"/>
        <v/>
      </c>
      <c r="J22" s="55" t="str">
        <f t="shared" si="5"/>
        <v/>
      </c>
      <c r="K22" s="59" t="str">
        <f t="shared" si="6"/>
        <v/>
      </c>
      <c r="L22" s="59" t="str">
        <f>IF(NOT(ISERROR(VLOOKUP(B22,Deflatores!G$42:H$64,2,FALSE))),VLOOKUP(B22,Deflatores!G$42:H$64,2,FALSE),IF(OR(ISBLANK(C22),ISBLANK(B22)),"",VLOOKUP(C22,Deflatores!G$4:H$38,2,FALSE)*H22+VLOOKUP(C22,Deflatores!G$4:I$38,3,FALSE)))</f>
        <v/>
      </c>
      <c r="M22" s="60"/>
      <c r="N22" s="60"/>
      <c r="O22" s="61"/>
    </row>
    <row r="23" ht="10.5" customHeight="1">
      <c r="A23" s="63"/>
      <c r="B23" s="54"/>
      <c r="C23" s="54"/>
      <c r="D23" s="55"/>
      <c r="E23" s="55"/>
      <c r="F23" s="56" t="str">
        <f t="shared" si="1"/>
        <v/>
      </c>
      <c r="G23" s="55" t="str">
        <f t="shared" si="2"/>
        <v/>
      </c>
      <c r="H23" s="57" t="str">
        <f t="shared" si="3"/>
        <v/>
      </c>
      <c r="I23" s="58" t="str">
        <f t="shared" si="4"/>
        <v/>
      </c>
      <c r="J23" s="55" t="str">
        <f t="shared" si="5"/>
        <v/>
      </c>
      <c r="K23" s="59" t="str">
        <f t="shared" si="6"/>
        <v/>
      </c>
      <c r="L23" s="59" t="str">
        <f>IF(NOT(ISERROR(VLOOKUP(B23,Deflatores!G$42:H$64,2,FALSE))),VLOOKUP(B23,Deflatores!G$42:H$64,2,FALSE),IF(OR(ISBLANK(C23),ISBLANK(B23)),"",VLOOKUP(C23,Deflatores!G$4:H$38,2,FALSE)*H23+VLOOKUP(C23,Deflatores!G$4:I$38,3,FALSE)))</f>
        <v/>
      </c>
      <c r="M23" s="60"/>
      <c r="N23" s="60"/>
      <c r="O23" s="61"/>
    </row>
    <row r="24" ht="12.0" customHeight="1">
      <c r="A24" s="62" t="s">
        <v>59</v>
      </c>
      <c r="B24" s="54"/>
      <c r="C24" s="54"/>
      <c r="D24" s="55"/>
      <c r="E24" s="55"/>
      <c r="F24" s="56" t="str">
        <f t="shared" si="1"/>
        <v/>
      </c>
      <c r="G24" s="55" t="str">
        <f t="shared" si="2"/>
        <v/>
      </c>
      <c r="H24" s="57" t="str">
        <f t="shared" si="3"/>
        <v/>
      </c>
      <c r="I24" s="58" t="str">
        <f t="shared" si="4"/>
        <v/>
      </c>
      <c r="J24" s="55" t="str">
        <f t="shared" si="5"/>
        <v/>
      </c>
      <c r="K24" s="59" t="str">
        <f t="shared" si="6"/>
        <v/>
      </c>
      <c r="L24" s="59" t="str">
        <f>IF(NOT(ISERROR(VLOOKUP(B24,Deflatores!G$42:H$64,2,FALSE))),VLOOKUP(B24,Deflatores!G$42:H$64,2,FALSE),IF(OR(ISBLANK(C24),ISBLANK(B24)),"",VLOOKUP(C24,Deflatores!G$4:H$38,2,FALSE)*H24+VLOOKUP(C24,Deflatores!G$4:I$38,3,FALSE)))</f>
        <v/>
      </c>
      <c r="M24" s="60"/>
      <c r="N24" s="60"/>
      <c r="O24" s="61"/>
    </row>
    <row r="25" ht="12.0" customHeight="1">
      <c r="A25" s="53"/>
      <c r="B25" s="54"/>
      <c r="C25" s="54"/>
      <c r="D25" s="55"/>
      <c r="E25" s="55"/>
      <c r="F25" s="56" t="str">
        <f t="shared" si="1"/>
        <v/>
      </c>
      <c r="G25" s="55" t="str">
        <f t="shared" si="2"/>
        <v/>
      </c>
      <c r="H25" s="57" t="str">
        <f t="shared" si="3"/>
        <v/>
      </c>
      <c r="I25" s="58" t="str">
        <f t="shared" si="4"/>
        <v/>
      </c>
      <c r="J25" s="55" t="str">
        <f t="shared" si="5"/>
        <v/>
      </c>
      <c r="K25" s="59" t="str">
        <f t="shared" si="6"/>
        <v/>
      </c>
      <c r="L25" s="59" t="str">
        <f>IF(NOT(ISERROR(VLOOKUP(B25,Deflatores!G$42:H$64,2,FALSE))),VLOOKUP(B25,Deflatores!G$42:H$64,2,FALSE),IF(OR(ISBLANK(C25),ISBLANK(B25)),"",VLOOKUP(C25,Deflatores!G$4:H$38,2,FALSE)*H25+VLOOKUP(C25,Deflatores!G$4:I$38,3,FALSE)))</f>
        <v/>
      </c>
      <c r="M25" s="60"/>
      <c r="N25" s="60"/>
      <c r="O25" s="61"/>
    </row>
    <row r="26" ht="12.0" customHeight="1">
      <c r="A26" s="53" t="s">
        <v>60</v>
      </c>
      <c r="B26" s="54" t="s">
        <v>47</v>
      </c>
      <c r="C26" s="54" t="s">
        <v>44</v>
      </c>
      <c r="D26" s="55"/>
      <c r="E26" s="55"/>
      <c r="F26" s="56" t="str">
        <f t="shared" si="1"/>
        <v>Média</v>
      </c>
      <c r="G26" s="55" t="str">
        <f t="shared" si="2"/>
        <v>CEA</v>
      </c>
      <c r="H26" s="57">
        <f t="shared" si="3"/>
        <v>4</v>
      </c>
      <c r="I26" s="58" t="str">
        <f t="shared" si="4"/>
        <v>A</v>
      </c>
      <c r="J26" s="55" t="str">
        <f t="shared" si="5"/>
        <v>CEA50</v>
      </c>
      <c r="K26" s="59">
        <f t="shared" si="6"/>
        <v>4</v>
      </c>
      <c r="L26" s="59">
        <f>IF(NOT(ISERROR(VLOOKUP(B26,Deflatores!G$42:H$64,2,FALSE))),VLOOKUP(B26,Deflatores!G$42:H$64,2,FALSE),IF(OR(ISBLANK(C26),ISBLANK(B26)),"",VLOOKUP(C26,Deflatores!G$4:H$38,2,FALSE)*H26+VLOOKUP(C26,Deflatores!G$4:I$38,3,FALSE)))</f>
        <v>2</v>
      </c>
      <c r="M26" s="60"/>
      <c r="N26" s="60"/>
      <c r="O26" s="61" t="s">
        <v>61</v>
      </c>
    </row>
    <row r="27" ht="12.0" customHeight="1">
      <c r="A27" s="53" t="s">
        <v>62</v>
      </c>
      <c r="B27" s="54" t="s">
        <v>47</v>
      </c>
      <c r="C27" s="54" t="s">
        <v>44</v>
      </c>
      <c r="D27" s="55"/>
      <c r="E27" s="55"/>
      <c r="F27" s="56" t="str">
        <f t="shared" si="1"/>
        <v>Média</v>
      </c>
      <c r="G27" s="55" t="str">
        <f t="shared" si="2"/>
        <v>CEA</v>
      </c>
      <c r="H27" s="57">
        <f t="shared" si="3"/>
        <v>4</v>
      </c>
      <c r="I27" s="58" t="str">
        <f t="shared" si="4"/>
        <v>A</v>
      </c>
      <c r="J27" s="55" t="str">
        <f t="shared" si="5"/>
        <v>CEA50</v>
      </c>
      <c r="K27" s="59">
        <f t="shared" si="6"/>
        <v>4</v>
      </c>
      <c r="L27" s="59">
        <f>IF(NOT(ISERROR(VLOOKUP(B27,Deflatores!G$42:H$64,2,FALSE))),VLOOKUP(B27,Deflatores!G$42:H$64,2,FALSE),IF(OR(ISBLANK(C27),ISBLANK(B27)),"",VLOOKUP(C27,Deflatores!G$4:H$38,2,FALSE)*H27+VLOOKUP(C27,Deflatores!G$4:I$38,3,FALSE)))</f>
        <v>2</v>
      </c>
      <c r="M27" s="60"/>
      <c r="N27" s="60"/>
      <c r="O27" s="61" t="s">
        <v>61</v>
      </c>
    </row>
    <row r="28" ht="12.0" customHeight="1">
      <c r="A28" s="53" t="s">
        <v>63</v>
      </c>
      <c r="B28" s="54" t="s">
        <v>43</v>
      </c>
      <c r="C28" s="54" t="s">
        <v>44</v>
      </c>
      <c r="D28" s="55"/>
      <c r="E28" s="55"/>
      <c r="F28" s="56" t="str">
        <f t="shared" si="1"/>
        <v>Média</v>
      </c>
      <c r="G28" s="55" t="str">
        <f t="shared" si="2"/>
        <v>EEA</v>
      </c>
      <c r="H28" s="57">
        <f t="shared" si="3"/>
        <v>4</v>
      </c>
      <c r="I28" s="58" t="str">
        <f t="shared" si="4"/>
        <v>A</v>
      </c>
      <c r="J28" s="55" t="str">
        <f t="shared" si="5"/>
        <v>EEA50</v>
      </c>
      <c r="K28" s="59">
        <f t="shared" si="6"/>
        <v>4</v>
      </c>
      <c r="L28" s="59">
        <f>IF(NOT(ISERROR(VLOOKUP(B28,Deflatores!G$42:H$64,2,FALSE))),VLOOKUP(B28,Deflatores!G$42:H$64,2,FALSE),IF(OR(ISBLANK(C28),ISBLANK(B28)),"",VLOOKUP(C28,Deflatores!G$4:H$38,2,FALSE)*H28+VLOOKUP(C28,Deflatores!G$4:I$38,3,FALSE)))</f>
        <v>2</v>
      </c>
      <c r="M28" s="60"/>
      <c r="N28" s="60"/>
      <c r="O28" s="61" t="s">
        <v>61</v>
      </c>
    </row>
    <row r="29" ht="12.0" customHeight="1">
      <c r="A29" s="53" t="s">
        <v>64</v>
      </c>
      <c r="B29" s="54" t="s">
        <v>47</v>
      </c>
      <c r="C29" s="54" t="s">
        <v>44</v>
      </c>
      <c r="D29" s="55"/>
      <c r="E29" s="55"/>
      <c r="F29" s="56" t="str">
        <f t="shared" si="1"/>
        <v>Média</v>
      </c>
      <c r="G29" s="55" t="str">
        <f t="shared" si="2"/>
        <v>CEA</v>
      </c>
      <c r="H29" s="57">
        <f t="shared" si="3"/>
        <v>4</v>
      </c>
      <c r="I29" s="58" t="str">
        <f t="shared" si="4"/>
        <v>A</v>
      </c>
      <c r="J29" s="55" t="str">
        <f t="shared" si="5"/>
        <v>CEA50</v>
      </c>
      <c r="K29" s="59">
        <f t="shared" si="6"/>
        <v>4</v>
      </c>
      <c r="L29" s="59">
        <f>IF(NOT(ISERROR(VLOOKUP(B29,Deflatores!G$42:H$64,2,FALSE))),VLOOKUP(B29,Deflatores!G$42:H$64,2,FALSE),IF(OR(ISBLANK(C29),ISBLANK(B29)),"",VLOOKUP(C29,Deflatores!G$4:H$38,2,FALSE)*H29+VLOOKUP(C29,Deflatores!G$4:I$38,3,FALSE)))</f>
        <v>2</v>
      </c>
      <c r="M29" s="60"/>
      <c r="N29" s="60"/>
      <c r="O29" s="61" t="s">
        <v>61</v>
      </c>
    </row>
    <row r="30" ht="12.0" customHeight="1">
      <c r="A30" s="53"/>
      <c r="B30" s="54"/>
      <c r="C30" s="54"/>
      <c r="D30" s="55"/>
      <c r="E30" s="55"/>
      <c r="F30" s="56" t="str">
        <f t="shared" si="1"/>
        <v/>
      </c>
      <c r="G30" s="55" t="str">
        <f t="shared" si="2"/>
        <v/>
      </c>
      <c r="H30" s="57" t="str">
        <f t="shared" si="3"/>
        <v/>
      </c>
      <c r="I30" s="58" t="str">
        <f t="shared" si="4"/>
        <v/>
      </c>
      <c r="J30" s="55" t="str">
        <f t="shared" si="5"/>
        <v/>
      </c>
      <c r="K30" s="59" t="str">
        <f t="shared" si="6"/>
        <v/>
      </c>
      <c r="L30" s="59" t="str">
        <f>IF(NOT(ISERROR(VLOOKUP(B30,Deflatores!G$42:H$64,2,FALSE))),VLOOKUP(B30,Deflatores!G$42:H$64,2,FALSE),IF(OR(ISBLANK(C30),ISBLANK(B30)),"",VLOOKUP(C30,Deflatores!G$4:H$38,2,FALSE)*H30+VLOOKUP(C30,Deflatores!G$4:I$38,3,FALSE)))</f>
        <v/>
      </c>
      <c r="M30" s="60"/>
      <c r="N30" s="60"/>
      <c r="O30" s="61" t="s">
        <v>61</v>
      </c>
    </row>
    <row r="31" ht="12.0" customHeight="1">
      <c r="A31" s="53" t="s">
        <v>65</v>
      </c>
      <c r="B31" s="54" t="s">
        <v>43</v>
      </c>
      <c r="C31" s="54" t="s">
        <v>66</v>
      </c>
      <c r="D31" s="55">
        <v>2.0</v>
      </c>
      <c r="E31" s="55">
        <v>2.0</v>
      </c>
      <c r="F31" s="56" t="str">
        <f t="shared" si="1"/>
        <v>Baixa</v>
      </c>
      <c r="G31" s="55" t="str">
        <f t="shared" si="2"/>
        <v>EEL</v>
      </c>
      <c r="H31" s="57">
        <f t="shared" si="3"/>
        <v>3</v>
      </c>
      <c r="I31" s="58" t="str">
        <f t="shared" si="4"/>
        <v>L</v>
      </c>
      <c r="J31" s="55" t="str">
        <f t="shared" si="5"/>
        <v>EEI</v>
      </c>
      <c r="K31" s="59">
        <f t="shared" si="6"/>
        <v>3</v>
      </c>
      <c r="L31" s="59">
        <f>IF(NOT(ISERROR(VLOOKUP(B31,Deflatores!G$42:H$64,2,FALSE))),VLOOKUP(B31,Deflatores!G$42:H$64,2,FALSE),IF(OR(ISBLANK(C31),ISBLANK(B31)),"",VLOOKUP(C31,Deflatores!G$4:H$38,2,FALSE)*H31+VLOOKUP(C31,Deflatores!G$4:I$38,3,FALSE)))</f>
        <v>3</v>
      </c>
      <c r="M31" s="60"/>
      <c r="N31" s="60"/>
      <c r="O31" s="61" t="s">
        <v>67</v>
      </c>
    </row>
    <row r="32" ht="12.0" customHeight="1">
      <c r="A32" s="53"/>
      <c r="B32" s="54"/>
      <c r="C32" s="54"/>
      <c r="D32" s="55"/>
      <c r="E32" s="55"/>
      <c r="F32" s="56" t="str">
        <f t="shared" si="1"/>
        <v/>
      </c>
      <c r="G32" s="55" t="str">
        <f t="shared" si="2"/>
        <v/>
      </c>
      <c r="H32" s="57" t="str">
        <f t="shared" si="3"/>
        <v/>
      </c>
      <c r="I32" s="58" t="str">
        <f t="shared" si="4"/>
        <v/>
      </c>
      <c r="J32" s="55" t="str">
        <f t="shared" si="5"/>
        <v/>
      </c>
      <c r="K32" s="59" t="str">
        <f t="shared" si="6"/>
        <v/>
      </c>
      <c r="L32" s="59" t="str">
        <f>IF(NOT(ISERROR(VLOOKUP(B32,Deflatores!G$42:H$64,2,FALSE))),VLOOKUP(B32,Deflatores!G$42:H$64,2,FALSE),IF(OR(ISBLANK(C32),ISBLANK(B32)),"",VLOOKUP(C32,Deflatores!G$4:H$38,2,FALSE)*H32+VLOOKUP(C32,Deflatores!G$4:I$38,3,FALSE)))</f>
        <v/>
      </c>
      <c r="M32" s="60"/>
      <c r="N32" s="60"/>
      <c r="O32" s="61"/>
    </row>
    <row r="33" ht="12.0" customHeight="1">
      <c r="A33" s="62" t="s">
        <v>68</v>
      </c>
      <c r="B33" s="54"/>
      <c r="C33" s="54"/>
      <c r="D33" s="55"/>
      <c r="E33" s="55"/>
      <c r="F33" s="56" t="str">
        <f t="shared" si="1"/>
        <v/>
      </c>
      <c r="G33" s="55" t="str">
        <f t="shared" si="2"/>
        <v/>
      </c>
      <c r="H33" s="57" t="str">
        <f t="shared" si="3"/>
        <v/>
      </c>
      <c r="I33" s="58" t="str">
        <f t="shared" si="4"/>
        <v/>
      </c>
      <c r="J33" s="55" t="str">
        <f t="shared" si="5"/>
        <v/>
      </c>
      <c r="K33" s="59" t="str">
        <f t="shared" si="6"/>
        <v/>
      </c>
      <c r="L33" s="59" t="str">
        <f>IF(NOT(ISERROR(VLOOKUP(B33,Deflatores!G$42:H$64,2,FALSE))),VLOOKUP(B33,Deflatores!G$42:H$64,2,FALSE),IF(OR(ISBLANK(C33),ISBLANK(B33)),"",VLOOKUP(C33,Deflatores!G$4:H$38,2,FALSE)*H33+VLOOKUP(C33,Deflatores!G$4:I$38,3,FALSE)))</f>
        <v/>
      </c>
      <c r="M33" s="60"/>
      <c r="N33" s="60"/>
      <c r="O33" s="61"/>
    </row>
    <row r="34" ht="12.0" customHeight="1">
      <c r="A34" s="53" t="s">
        <v>69</v>
      </c>
      <c r="B34" s="54" t="s">
        <v>53</v>
      </c>
      <c r="C34" s="54" t="s">
        <v>44</v>
      </c>
      <c r="D34" s="55"/>
      <c r="E34" s="55"/>
      <c r="F34" s="56" t="str">
        <f t="shared" si="1"/>
        <v>Baixa</v>
      </c>
      <c r="G34" s="55" t="str">
        <f t="shared" si="2"/>
        <v>ALIL</v>
      </c>
      <c r="H34" s="57">
        <f t="shared" si="3"/>
        <v>7</v>
      </c>
      <c r="I34" s="58" t="str">
        <f t="shared" si="4"/>
        <v>L</v>
      </c>
      <c r="J34" s="55" t="str">
        <f t="shared" si="5"/>
        <v>ALIA50</v>
      </c>
      <c r="K34" s="59">
        <f t="shared" si="6"/>
        <v>7</v>
      </c>
      <c r="L34" s="59">
        <f>IF(NOT(ISERROR(VLOOKUP(B34,Deflatores!G$42:H$64,2,FALSE))),VLOOKUP(B34,Deflatores!G$42:H$64,2,FALSE),IF(OR(ISBLANK(C34),ISBLANK(B34)),"",VLOOKUP(C34,Deflatores!G$4:H$38,2,FALSE)*H34+VLOOKUP(C34,Deflatores!G$4:I$38,3,FALSE)))</f>
        <v>3.5</v>
      </c>
      <c r="M34" s="60"/>
      <c r="N34" s="60"/>
      <c r="O34" s="61" t="s">
        <v>70</v>
      </c>
    </row>
    <row r="35" ht="12.0" customHeight="1">
      <c r="A35" s="53" t="s">
        <v>71</v>
      </c>
      <c r="B35" s="54" t="s">
        <v>47</v>
      </c>
      <c r="C35" s="54" t="s">
        <v>44</v>
      </c>
      <c r="D35" s="55"/>
      <c r="E35" s="55"/>
      <c r="F35" s="56" t="str">
        <f t="shared" si="1"/>
        <v>Média</v>
      </c>
      <c r="G35" s="55" t="str">
        <f t="shared" si="2"/>
        <v>CEA</v>
      </c>
      <c r="H35" s="57">
        <f t="shared" si="3"/>
        <v>4</v>
      </c>
      <c r="I35" s="58" t="str">
        <f t="shared" si="4"/>
        <v>A</v>
      </c>
      <c r="J35" s="55" t="str">
        <f t="shared" si="5"/>
        <v>CEA50</v>
      </c>
      <c r="K35" s="59">
        <f t="shared" si="6"/>
        <v>4</v>
      </c>
      <c r="L35" s="59">
        <f>IF(NOT(ISERROR(VLOOKUP(B35,Deflatores!G$42:H$64,2,FALSE))),VLOOKUP(B35,Deflatores!G$42:H$64,2,FALSE),IF(OR(ISBLANK(C35),ISBLANK(B35)),"",VLOOKUP(C35,Deflatores!G$4:H$38,2,FALSE)*H35+VLOOKUP(C35,Deflatores!G$4:I$38,3,FALSE)))</f>
        <v>2</v>
      </c>
      <c r="M35" s="60"/>
      <c r="N35" s="60"/>
      <c r="O35" s="61" t="s">
        <v>72</v>
      </c>
    </row>
    <row r="36" ht="12.0" customHeight="1">
      <c r="A36" s="53" t="s">
        <v>73</v>
      </c>
      <c r="B36" s="54" t="s">
        <v>47</v>
      </c>
      <c r="C36" s="54" t="s">
        <v>44</v>
      </c>
      <c r="D36" s="55"/>
      <c r="E36" s="55"/>
      <c r="F36" s="56" t="str">
        <f t="shared" si="1"/>
        <v>Média</v>
      </c>
      <c r="G36" s="55" t="str">
        <f t="shared" si="2"/>
        <v>CEA</v>
      </c>
      <c r="H36" s="57">
        <f t="shared" si="3"/>
        <v>4</v>
      </c>
      <c r="I36" s="58" t="str">
        <f t="shared" si="4"/>
        <v>A</v>
      </c>
      <c r="J36" s="55" t="str">
        <f t="shared" si="5"/>
        <v>CEA50</v>
      </c>
      <c r="K36" s="59">
        <f t="shared" si="6"/>
        <v>4</v>
      </c>
      <c r="L36" s="59">
        <f>IF(NOT(ISERROR(VLOOKUP(B36,Deflatores!G$42:H$64,2,FALSE))),VLOOKUP(B36,Deflatores!G$42:H$64,2,FALSE),IF(OR(ISBLANK(C36),ISBLANK(B36)),"",VLOOKUP(C36,Deflatores!G$4:H$38,2,FALSE)*H36+VLOOKUP(C36,Deflatores!G$4:I$38,3,FALSE)))</f>
        <v>2</v>
      </c>
      <c r="M36" s="60"/>
      <c r="N36" s="60"/>
      <c r="O36" s="61" t="s">
        <v>72</v>
      </c>
    </row>
    <row r="37" ht="12.0" customHeight="1">
      <c r="A37" s="53" t="s">
        <v>74</v>
      </c>
      <c r="B37" s="54" t="s">
        <v>47</v>
      </c>
      <c r="C37" s="54" t="s">
        <v>44</v>
      </c>
      <c r="D37" s="55"/>
      <c r="E37" s="55"/>
      <c r="F37" s="56" t="str">
        <f t="shared" si="1"/>
        <v>Média</v>
      </c>
      <c r="G37" s="55" t="str">
        <f t="shared" si="2"/>
        <v>CEA</v>
      </c>
      <c r="H37" s="57">
        <f t="shared" si="3"/>
        <v>4</v>
      </c>
      <c r="I37" s="58" t="str">
        <f t="shared" si="4"/>
        <v>A</v>
      </c>
      <c r="J37" s="55" t="str">
        <f t="shared" si="5"/>
        <v>CEA50</v>
      </c>
      <c r="K37" s="59">
        <f t="shared" si="6"/>
        <v>4</v>
      </c>
      <c r="L37" s="59">
        <f>IF(NOT(ISERROR(VLOOKUP(B37,Deflatores!G$42:H$64,2,FALSE))),VLOOKUP(B37,Deflatores!G$42:H$64,2,FALSE),IF(OR(ISBLANK(C37),ISBLANK(B37)),"",VLOOKUP(C37,Deflatores!G$4:H$38,2,FALSE)*H37+VLOOKUP(C37,Deflatores!G$4:I$38,3,FALSE)))</f>
        <v>2</v>
      </c>
      <c r="M37" s="60"/>
      <c r="N37" s="60"/>
      <c r="O37" s="61" t="s">
        <v>72</v>
      </c>
    </row>
    <row r="38" ht="12.0" customHeight="1">
      <c r="A38" s="53" t="s">
        <v>75</v>
      </c>
      <c r="B38" s="54" t="s">
        <v>43</v>
      </c>
      <c r="C38" s="54" t="s">
        <v>44</v>
      </c>
      <c r="D38" s="55"/>
      <c r="E38" s="55"/>
      <c r="F38" s="56" t="str">
        <f t="shared" si="1"/>
        <v>Média</v>
      </c>
      <c r="G38" s="55" t="str">
        <f t="shared" si="2"/>
        <v>EEA</v>
      </c>
      <c r="H38" s="57">
        <f t="shared" si="3"/>
        <v>4</v>
      </c>
      <c r="I38" s="58" t="str">
        <f t="shared" si="4"/>
        <v>A</v>
      </c>
      <c r="J38" s="55" t="str">
        <f t="shared" si="5"/>
        <v>EEA50</v>
      </c>
      <c r="K38" s="59">
        <f t="shared" si="6"/>
        <v>4</v>
      </c>
      <c r="L38" s="59">
        <f>IF(NOT(ISERROR(VLOOKUP(B38,Deflatores!G$42:H$64,2,FALSE))),VLOOKUP(B38,Deflatores!G$42:H$64,2,FALSE),IF(OR(ISBLANK(C38),ISBLANK(B38)),"",VLOOKUP(C38,Deflatores!G$4:H$38,2,FALSE)*H38+VLOOKUP(C38,Deflatores!G$4:I$38,3,FALSE)))</f>
        <v>2</v>
      </c>
      <c r="M38" s="60"/>
      <c r="N38" s="60"/>
      <c r="O38" s="61" t="s">
        <v>72</v>
      </c>
    </row>
    <row r="39" ht="13.5" customHeight="1">
      <c r="A39" s="53" t="s">
        <v>50</v>
      </c>
      <c r="B39" s="54" t="s">
        <v>47</v>
      </c>
      <c r="C39" s="54" t="s">
        <v>66</v>
      </c>
      <c r="D39" s="55"/>
      <c r="E39" s="55"/>
      <c r="F39" s="56" t="str">
        <f t="shared" si="1"/>
        <v>Média</v>
      </c>
      <c r="G39" s="55" t="str">
        <f t="shared" si="2"/>
        <v>CEA</v>
      </c>
      <c r="H39" s="57">
        <f t="shared" si="3"/>
        <v>4</v>
      </c>
      <c r="I39" s="58" t="str">
        <f t="shared" si="4"/>
        <v>A</v>
      </c>
      <c r="J39" s="55" t="str">
        <f t="shared" si="5"/>
        <v>CEI</v>
      </c>
      <c r="K39" s="59">
        <f t="shared" si="6"/>
        <v>4</v>
      </c>
      <c r="L39" s="59">
        <f>IF(NOT(ISERROR(VLOOKUP(B39,Deflatores!G$42:H$64,2,FALSE))),VLOOKUP(B39,Deflatores!G$42:H$64,2,FALSE),IF(OR(ISBLANK(C39),ISBLANK(B39)),"",VLOOKUP(C39,Deflatores!G$4:H$38,2,FALSE)*H39+VLOOKUP(C39,Deflatores!G$4:I$38,3,FALSE)))</f>
        <v>4</v>
      </c>
      <c r="M39" s="60"/>
      <c r="N39" s="60"/>
      <c r="O39" s="61" t="s">
        <v>76</v>
      </c>
    </row>
    <row r="40" ht="13.5" customHeight="1">
      <c r="A40" s="63"/>
      <c r="B40" s="54"/>
      <c r="C40" s="54"/>
      <c r="D40" s="55"/>
      <c r="E40" s="55"/>
      <c r="F40" s="56" t="str">
        <f t="shared" si="1"/>
        <v/>
      </c>
      <c r="G40" s="55" t="str">
        <f t="shared" si="2"/>
        <v/>
      </c>
      <c r="H40" s="57" t="str">
        <f t="shared" si="3"/>
        <v/>
      </c>
      <c r="I40" s="58" t="str">
        <f t="shared" si="4"/>
        <v/>
      </c>
      <c r="J40" s="55" t="str">
        <f t="shared" si="5"/>
        <v/>
      </c>
      <c r="K40" s="59" t="str">
        <f t="shared" si="6"/>
        <v/>
      </c>
      <c r="L40" s="59" t="str">
        <f>IF(NOT(ISERROR(VLOOKUP(B40,Deflatores!G$42:H$64,2,FALSE))),VLOOKUP(B40,Deflatores!G$42:H$64,2,FALSE),IF(OR(ISBLANK(C40),ISBLANK(B40)),"",VLOOKUP(C40,Deflatores!G$4:H$38,2,FALSE)*H40+VLOOKUP(C40,Deflatores!G$4:I$38,3,FALSE)))</f>
        <v/>
      </c>
      <c r="M40" s="60"/>
      <c r="N40" s="60"/>
      <c r="O40" s="61"/>
    </row>
    <row r="41" ht="12.0" customHeight="1">
      <c r="A41" s="62" t="s">
        <v>77</v>
      </c>
      <c r="B41" s="54"/>
      <c r="C41" s="54"/>
      <c r="D41" s="55"/>
      <c r="E41" s="55"/>
      <c r="F41" s="56" t="str">
        <f t="shared" si="1"/>
        <v/>
      </c>
      <c r="G41" s="55" t="str">
        <f t="shared" si="2"/>
        <v/>
      </c>
      <c r="H41" s="57" t="str">
        <f t="shared" si="3"/>
        <v/>
      </c>
      <c r="I41" s="58" t="str">
        <f t="shared" si="4"/>
        <v/>
      </c>
      <c r="J41" s="55" t="str">
        <f t="shared" si="5"/>
        <v/>
      </c>
      <c r="K41" s="59" t="str">
        <f t="shared" si="6"/>
        <v/>
      </c>
      <c r="L41" s="59" t="str">
        <f>IF(NOT(ISERROR(VLOOKUP(B41,Deflatores!G$42:H$64,2,FALSE))),VLOOKUP(B41,Deflatores!G$42:H$64,2,FALSE),IF(OR(ISBLANK(C41),ISBLANK(B41)),"",VLOOKUP(C41,Deflatores!G$4:H$38,2,FALSE)*H41+VLOOKUP(C41,Deflatores!G$4:I$38,3,FALSE)))</f>
        <v/>
      </c>
      <c r="M41" s="60"/>
      <c r="N41" s="60"/>
      <c r="O41" s="61"/>
    </row>
    <row r="42" ht="13.5" customHeight="1">
      <c r="A42" s="53" t="s">
        <v>78</v>
      </c>
      <c r="B42" s="54" t="s">
        <v>47</v>
      </c>
      <c r="C42" s="54" t="s">
        <v>44</v>
      </c>
      <c r="D42" s="55"/>
      <c r="E42" s="55"/>
      <c r="F42" s="56" t="str">
        <f t="shared" si="1"/>
        <v>Média</v>
      </c>
      <c r="G42" s="55" t="str">
        <f t="shared" si="2"/>
        <v>CEA</v>
      </c>
      <c r="H42" s="57">
        <f t="shared" si="3"/>
        <v>4</v>
      </c>
      <c r="I42" s="58" t="str">
        <f t="shared" si="4"/>
        <v>A</v>
      </c>
      <c r="J42" s="55" t="str">
        <f t="shared" si="5"/>
        <v>CEA50</v>
      </c>
      <c r="K42" s="59">
        <f t="shared" si="6"/>
        <v>4</v>
      </c>
      <c r="L42" s="59">
        <f>IF(NOT(ISERROR(VLOOKUP(B42,Deflatores!G$42:H$64,2,FALSE))),VLOOKUP(B42,Deflatores!G$42:H$64,2,FALSE),IF(OR(ISBLANK(C42),ISBLANK(B42)),"",VLOOKUP(C42,Deflatores!G$4:H$38,2,FALSE)*H42+VLOOKUP(C42,Deflatores!G$4:I$38,3,FALSE)))</f>
        <v>2</v>
      </c>
      <c r="M42" s="60"/>
      <c r="N42" s="60"/>
      <c r="O42" s="64"/>
    </row>
    <row r="43" ht="15.0" customHeight="1">
      <c r="A43" s="53" t="s">
        <v>79</v>
      </c>
      <c r="B43" s="54" t="s">
        <v>43</v>
      </c>
      <c r="C43" s="54" t="s">
        <v>44</v>
      </c>
      <c r="D43" s="55"/>
      <c r="E43" s="55"/>
      <c r="F43" s="56" t="str">
        <f t="shared" si="1"/>
        <v>Média</v>
      </c>
      <c r="G43" s="55" t="str">
        <f t="shared" si="2"/>
        <v>EEA</v>
      </c>
      <c r="H43" s="57">
        <f t="shared" si="3"/>
        <v>4</v>
      </c>
      <c r="I43" s="58" t="str">
        <f t="shared" si="4"/>
        <v>A</v>
      </c>
      <c r="J43" s="55" t="str">
        <f t="shared" si="5"/>
        <v>EEA50</v>
      </c>
      <c r="K43" s="59">
        <f t="shared" si="6"/>
        <v>4</v>
      </c>
      <c r="L43" s="59">
        <f>IF(NOT(ISERROR(VLOOKUP(B43,Deflatores!G$42:H$64,2,FALSE))),VLOOKUP(B43,Deflatores!G$42:H$64,2,FALSE),IF(OR(ISBLANK(C43),ISBLANK(B43)),"",VLOOKUP(C43,Deflatores!G$4:H$38,2,FALSE)*H43+VLOOKUP(C43,Deflatores!G$4:I$38,3,FALSE)))</f>
        <v>2</v>
      </c>
      <c r="M43" s="60"/>
      <c r="N43" s="60"/>
      <c r="O43" s="64"/>
    </row>
    <row r="44" ht="13.5" customHeight="1">
      <c r="A44" s="53" t="s">
        <v>80</v>
      </c>
      <c r="B44" s="54" t="s">
        <v>53</v>
      </c>
      <c r="C44" s="54" t="s">
        <v>66</v>
      </c>
      <c r="D44" s="55"/>
      <c r="E44" s="55"/>
      <c r="F44" s="56" t="str">
        <f t="shared" si="1"/>
        <v>Baixa</v>
      </c>
      <c r="G44" s="55" t="str">
        <f t="shared" si="2"/>
        <v>ALIL</v>
      </c>
      <c r="H44" s="57">
        <f t="shared" si="3"/>
        <v>7</v>
      </c>
      <c r="I44" s="58" t="str">
        <f t="shared" si="4"/>
        <v>L</v>
      </c>
      <c r="J44" s="55" t="str">
        <f t="shared" si="5"/>
        <v>ALII</v>
      </c>
      <c r="K44" s="59">
        <f t="shared" si="6"/>
        <v>7</v>
      </c>
      <c r="L44" s="59">
        <f>IF(NOT(ISERROR(VLOOKUP(B44,Deflatores!G$42:H$64,2,FALSE))),VLOOKUP(B44,Deflatores!G$42:H$64,2,FALSE),IF(OR(ISBLANK(C44),ISBLANK(B44)),"",VLOOKUP(C44,Deflatores!G$4:H$38,2,FALSE)*H44+VLOOKUP(C44,Deflatores!G$4:I$38,3,FALSE)))</f>
        <v>7</v>
      </c>
      <c r="M44" s="60"/>
      <c r="N44" s="60"/>
      <c r="O44" s="64"/>
    </row>
    <row r="45" ht="13.5" customHeight="1">
      <c r="A45" s="53" t="s">
        <v>81</v>
      </c>
      <c r="B45" s="54" t="s">
        <v>47</v>
      </c>
      <c r="C45" s="54" t="s">
        <v>66</v>
      </c>
      <c r="D45" s="55"/>
      <c r="E45" s="55"/>
      <c r="F45" s="56" t="str">
        <f t="shared" si="1"/>
        <v>Média</v>
      </c>
      <c r="G45" s="55" t="str">
        <f t="shared" si="2"/>
        <v>CEA</v>
      </c>
      <c r="H45" s="57">
        <f t="shared" si="3"/>
        <v>4</v>
      </c>
      <c r="I45" s="58" t="str">
        <f t="shared" si="4"/>
        <v>A</v>
      </c>
      <c r="J45" s="55" t="str">
        <f t="shared" si="5"/>
        <v>CEI</v>
      </c>
      <c r="K45" s="59">
        <f t="shared" si="6"/>
        <v>4</v>
      </c>
      <c r="L45" s="59">
        <f>IF(NOT(ISERROR(VLOOKUP(B45,Deflatores!G$42:H$64,2,FALSE))),VLOOKUP(B45,Deflatores!G$42:H$64,2,FALSE),IF(OR(ISBLANK(C45),ISBLANK(B45)),"",VLOOKUP(C45,Deflatores!G$4:H$38,2,FALSE)*H45+VLOOKUP(C45,Deflatores!G$4:I$38,3,FALSE)))</f>
        <v>4</v>
      </c>
      <c r="M45" s="60"/>
      <c r="N45" s="60"/>
      <c r="O45" s="64"/>
    </row>
    <row r="46" ht="13.5" customHeight="1">
      <c r="A46" s="53" t="s">
        <v>82</v>
      </c>
      <c r="B46" s="54" t="s">
        <v>53</v>
      </c>
      <c r="C46" s="54" t="s">
        <v>66</v>
      </c>
      <c r="D46" s="55"/>
      <c r="E46" s="55"/>
      <c r="F46" s="56" t="str">
        <f t="shared" si="1"/>
        <v>Baixa</v>
      </c>
      <c r="G46" s="55" t="str">
        <f t="shared" si="2"/>
        <v>ALIL</v>
      </c>
      <c r="H46" s="57">
        <f t="shared" si="3"/>
        <v>7</v>
      </c>
      <c r="I46" s="58" t="str">
        <f t="shared" si="4"/>
        <v>L</v>
      </c>
      <c r="J46" s="55" t="str">
        <f t="shared" si="5"/>
        <v>ALII</v>
      </c>
      <c r="K46" s="59">
        <f t="shared" si="6"/>
        <v>7</v>
      </c>
      <c r="L46" s="59">
        <f>IF(NOT(ISERROR(VLOOKUP(B46,Deflatores!G$42:H$64,2,FALSE))),VLOOKUP(B46,Deflatores!G$42:H$64,2,FALSE),IF(OR(ISBLANK(C46),ISBLANK(B46)),"",VLOOKUP(C46,Deflatores!G$4:H$38,2,FALSE)*H46+VLOOKUP(C46,Deflatores!G$4:I$38,3,FALSE)))</f>
        <v>7</v>
      </c>
      <c r="M46" s="60"/>
      <c r="N46" s="60"/>
      <c r="O46" s="64"/>
    </row>
    <row r="47" ht="13.5" customHeight="1">
      <c r="A47" s="53" t="s">
        <v>83</v>
      </c>
      <c r="B47" s="54" t="s">
        <v>47</v>
      </c>
      <c r="C47" s="54" t="s">
        <v>66</v>
      </c>
      <c r="D47" s="55"/>
      <c r="E47" s="55"/>
      <c r="F47" s="56" t="str">
        <f t="shared" si="1"/>
        <v>Média</v>
      </c>
      <c r="G47" s="55" t="str">
        <f t="shared" si="2"/>
        <v>CEA</v>
      </c>
      <c r="H47" s="57">
        <f t="shared" si="3"/>
        <v>4</v>
      </c>
      <c r="I47" s="58" t="str">
        <f t="shared" si="4"/>
        <v>A</v>
      </c>
      <c r="J47" s="55" t="str">
        <f t="shared" si="5"/>
        <v>CEI</v>
      </c>
      <c r="K47" s="59">
        <f t="shared" si="6"/>
        <v>4</v>
      </c>
      <c r="L47" s="59">
        <f>IF(NOT(ISERROR(VLOOKUP(B47,Deflatores!G$42:H$64,2,FALSE))),VLOOKUP(B47,Deflatores!G$42:H$64,2,FALSE),IF(OR(ISBLANK(C47),ISBLANK(B47)),"",VLOOKUP(C47,Deflatores!G$4:H$38,2,FALSE)*H47+VLOOKUP(C47,Deflatores!G$4:I$38,3,FALSE)))</f>
        <v>4</v>
      </c>
      <c r="M47" s="60"/>
      <c r="N47" s="60"/>
      <c r="O47" s="64"/>
    </row>
    <row r="48" ht="13.5" customHeight="1">
      <c r="A48" s="53"/>
      <c r="B48" s="54"/>
      <c r="C48" s="54"/>
      <c r="D48" s="55"/>
      <c r="E48" s="55"/>
      <c r="F48" s="56" t="str">
        <f t="shared" si="1"/>
        <v/>
      </c>
      <c r="G48" s="55" t="str">
        <f t="shared" si="2"/>
        <v/>
      </c>
      <c r="H48" s="57" t="str">
        <f t="shared" si="3"/>
        <v/>
      </c>
      <c r="I48" s="58" t="str">
        <f t="shared" si="4"/>
        <v/>
      </c>
      <c r="J48" s="55" t="str">
        <f t="shared" si="5"/>
        <v/>
      </c>
      <c r="K48" s="59" t="str">
        <f t="shared" si="6"/>
        <v/>
      </c>
      <c r="L48" s="59" t="str">
        <f>IF(NOT(ISERROR(VLOOKUP(B48,Deflatores!G$42:H$64,2,FALSE))),VLOOKUP(B48,Deflatores!G$42:H$64,2,FALSE),IF(OR(ISBLANK(C48),ISBLANK(B48)),"",VLOOKUP(C48,Deflatores!G$4:H$38,2,FALSE)*H48+VLOOKUP(C48,Deflatores!G$4:I$38,3,FALSE)))</f>
        <v/>
      </c>
      <c r="M48" s="60"/>
      <c r="N48" s="60"/>
      <c r="O48" s="64"/>
    </row>
    <row r="49" ht="12.0" customHeight="1">
      <c r="A49" s="62"/>
      <c r="B49" s="54"/>
      <c r="C49" s="54"/>
      <c r="D49" s="55"/>
      <c r="E49" s="55"/>
      <c r="F49" s="56" t="str">
        <f t="shared" si="1"/>
        <v/>
      </c>
      <c r="G49" s="55" t="str">
        <f t="shared" si="2"/>
        <v/>
      </c>
      <c r="H49" s="57" t="str">
        <f t="shared" si="3"/>
        <v/>
      </c>
      <c r="I49" s="58" t="str">
        <f t="shared" si="4"/>
        <v/>
      </c>
      <c r="J49" s="55" t="str">
        <f t="shared" si="5"/>
        <v/>
      </c>
      <c r="K49" s="59" t="str">
        <f t="shared" si="6"/>
        <v/>
      </c>
      <c r="L49" s="59" t="str">
        <f>IF(NOT(ISERROR(VLOOKUP(B49,Deflatores!G$42:H$64,2,FALSE))),VLOOKUP(B49,Deflatores!G$42:H$64,2,FALSE),IF(OR(ISBLANK(C49),ISBLANK(B49)),"",VLOOKUP(C49,Deflatores!G$4:H$38,2,FALSE)*H49+VLOOKUP(C49,Deflatores!G$4:I$38,3,FALSE)))</f>
        <v/>
      </c>
      <c r="M49" s="60"/>
      <c r="N49" s="60"/>
      <c r="O49" s="61"/>
    </row>
    <row r="50" ht="12.0" customHeight="1">
      <c r="A50" s="53"/>
      <c r="B50" s="54"/>
      <c r="C50" s="54"/>
      <c r="D50" s="55"/>
      <c r="E50" s="55"/>
      <c r="F50" s="56" t="str">
        <f t="shared" si="1"/>
        <v/>
      </c>
      <c r="G50" s="55" t="str">
        <f t="shared" si="2"/>
        <v/>
      </c>
      <c r="H50" s="57" t="str">
        <f t="shared" si="3"/>
        <v/>
      </c>
      <c r="I50" s="58" t="str">
        <f t="shared" si="4"/>
        <v/>
      </c>
      <c r="J50" s="55" t="str">
        <f t="shared" si="5"/>
        <v/>
      </c>
      <c r="K50" s="59" t="str">
        <f t="shared" si="6"/>
        <v/>
      </c>
      <c r="L50" s="59" t="str">
        <f>IF(NOT(ISERROR(VLOOKUP(B50,Deflatores!G$42:H$64,2,FALSE))),VLOOKUP(B50,Deflatores!G$42:H$64,2,FALSE),IF(OR(ISBLANK(C50),ISBLANK(B50)),"",VLOOKUP(C50,Deflatores!G$4:H$38,2,FALSE)*H50+VLOOKUP(C50,Deflatores!G$4:I$38,3,FALSE)))</f>
        <v/>
      </c>
      <c r="M50" s="60"/>
      <c r="N50" s="60"/>
      <c r="O50" s="61"/>
    </row>
    <row r="51" ht="12.0" customHeight="1">
      <c r="A51" s="53"/>
      <c r="B51" s="54"/>
      <c r="C51" s="54"/>
      <c r="D51" s="55"/>
      <c r="E51" s="55"/>
      <c r="F51" s="56" t="str">
        <f t="shared" si="1"/>
        <v/>
      </c>
      <c r="G51" s="55" t="str">
        <f t="shared" si="2"/>
        <v/>
      </c>
      <c r="H51" s="57" t="str">
        <f t="shared" si="3"/>
        <v/>
      </c>
      <c r="I51" s="58" t="str">
        <f t="shared" si="4"/>
        <v/>
      </c>
      <c r="J51" s="55" t="str">
        <f t="shared" si="5"/>
        <v/>
      </c>
      <c r="K51" s="59" t="str">
        <f t="shared" si="6"/>
        <v/>
      </c>
      <c r="L51" s="59" t="str">
        <f>IF(NOT(ISERROR(VLOOKUP(B51,Deflatores!G$42:H$64,2,FALSE))),VLOOKUP(B51,Deflatores!G$42:H$64,2,FALSE),IF(OR(ISBLANK(C51),ISBLANK(B51)),"",VLOOKUP(C51,Deflatores!G$4:H$38,2,FALSE)*H51+VLOOKUP(C51,Deflatores!G$4:I$38,3,FALSE)))</f>
        <v/>
      </c>
      <c r="M51" s="60"/>
      <c r="N51" s="60"/>
      <c r="O51" s="61"/>
    </row>
    <row r="52" ht="12.0" customHeight="1">
      <c r="A52" s="53"/>
      <c r="B52" s="54"/>
      <c r="C52" s="54"/>
      <c r="D52" s="55"/>
      <c r="E52" s="55"/>
      <c r="F52" s="56" t="str">
        <f t="shared" si="1"/>
        <v/>
      </c>
      <c r="G52" s="55" t="str">
        <f t="shared" si="2"/>
        <v/>
      </c>
      <c r="H52" s="57" t="str">
        <f t="shared" si="3"/>
        <v/>
      </c>
      <c r="I52" s="58" t="str">
        <f t="shared" si="4"/>
        <v/>
      </c>
      <c r="J52" s="55" t="str">
        <f t="shared" si="5"/>
        <v/>
      </c>
      <c r="K52" s="59" t="str">
        <f t="shared" si="6"/>
        <v/>
      </c>
      <c r="L52" s="59" t="str">
        <f>IF(NOT(ISERROR(VLOOKUP(B52,Deflatores!G$42:H$64,2,FALSE))),VLOOKUP(B52,Deflatores!G$42:H$64,2,FALSE),IF(OR(ISBLANK(C52),ISBLANK(B52)),"",VLOOKUP(C52,Deflatores!G$4:H$38,2,FALSE)*H52+VLOOKUP(C52,Deflatores!G$4:I$38,3,FALSE)))</f>
        <v/>
      </c>
      <c r="M52" s="60"/>
      <c r="N52" s="60"/>
      <c r="O52" s="61"/>
    </row>
    <row r="53" ht="12.0" customHeight="1">
      <c r="A53" s="62" t="s">
        <v>84</v>
      </c>
      <c r="B53" s="54"/>
      <c r="C53" s="54"/>
      <c r="D53" s="55"/>
      <c r="E53" s="55"/>
      <c r="F53" s="56" t="str">
        <f t="shared" si="1"/>
        <v/>
      </c>
      <c r="G53" s="55" t="str">
        <f t="shared" si="2"/>
        <v/>
      </c>
      <c r="H53" s="57" t="str">
        <f t="shared" si="3"/>
        <v/>
      </c>
      <c r="I53" s="58" t="str">
        <f t="shared" si="4"/>
        <v/>
      </c>
      <c r="J53" s="55" t="str">
        <f t="shared" si="5"/>
        <v/>
      </c>
      <c r="K53" s="59" t="str">
        <f t="shared" si="6"/>
        <v/>
      </c>
      <c r="L53" s="59" t="str">
        <f>IF(NOT(ISERROR(VLOOKUP(B53,Deflatores!G$42:H$64,2,FALSE))),VLOOKUP(B53,Deflatores!G$42:H$64,2,FALSE),IF(OR(ISBLANK(C53),ISBLANK(B53)),"",VLOOKUP(C53,Deflatores!G$4:H$38,2,FALSE)*H53+VLOOKUP(C53,Deflatores!G$4:I$38,3,FALSE)))</f>
        <v/>
      </c>
      <c r="M53" s="60"/>
      <c r="N53" s="60"/>
      <c r="O53" s="61"/>
    </row>
    <row r="54" ht="12.0" customHeight="1">
      <c r="A54" s="53" t="s">
        <v>85</v>
      </c>
      <c r="B54" s="54" t="s">
        <v>47</v>
      </c>
      <c r="C54" s="54" t="s">
        <v>66</v>
      </c>
      <c r="D54" s="55"/>
      <c r="E54" s="55"/>
      <c r="F54" s="56" t="str">
        <f t="shared" si="1"/>
        <v>Média</v>
      </c>
      <c r="G54" s="55" t="str">
        <f t="shared" si="2"/>
        <v>CEA</v>
      </c>
      <c r="H54" s="57">
        <f t="shared" si="3"/>
        <v>4</v>
      </c>
      <c r="I54" s="58" t="str">
        <f t="shared" si="4"/>
        <v>A</v>
      </c>
      <c r="J54" s="55" t="str">
        <f t="shared" si="5"/>
        <v>CEI</v>
      </c>
      <c r="K54" s="59">
        <f t="shared" si="6"/>
        <v>4</v>
      </c>
      <c r="L54" s="59">
        <f>IF(NOT(ISERROR(VLOOKUP(B54,Deflatores!G$42:H$64,2,FALSE))),VLOOKUP(B54,Deflatores!G$42:H$64,2,FALSE),IF(OR(ISBLANK(C54),ISBLANK(B54)),"",VLOOKUP(C54,Deflatores!G$4:H$38,2,FALSE)*H54+VLOOKUP(C54,Deflatores!G$4:I$38,3,FALSE)))</f>
        <v>4</v>
      </c>
      <c r="M54" s="60"/>
      <c r="N54" s="60"/>
      <c r="O54" s="61"/>
    </row>
    <row r="55" ht="12.0" customHeight="1">
      <c r="A55" s="53"/>
      <c r="B55" s="54"/>
      <c r="C55" s="54"/>
      <c r="D55" s="55"/>
      <c r="E55" s="55"/>
      <c r="F55" s="56" t="str">
        <f t="shared" si="1"/>
        <v/>
      </c>
      <c r="G55" s="55" t="str">
        <f t="shared" si="2"/>
        <v/>
      </c>
      <c r="H55" s="57" t="str">
        <f t="shared" si="3"/>
        <v/>
      </c>
      <c r="I55" s="58" t="str">
        <f t="shared" si="4"/>
        <v/>
      </c>
      <c r="J55" s="55" t="str">
        <f t="shared" si="5"/>
        <v/>
      </c>
      <c r="K55" s="59" t="str">
        <f t="shared" si="6"/>
        <v/>
      </c>
      <c r="L55" s="59" t="str">
        <f>IF(NOT(ISERROR(VLOOKUP(B55,Deflatores!G$42:H$64,2,FALSE))),VLOOKUP(B55,Deflatores!G$42:H$64,2,FALSE),IF(OR(ISBLANK(C55),ISBLANK(B55)),"",VLOOKUP(C55,Deflatores!G$4:H$38,2,FALSE)*H55+VLOOKUP(C55,Deflatores!G$4:I$38,3,FALSE)))</f>
        <v/>
      </c>
      <c r="M55" s="60"/>
      <c r="N55" s="60"/>
      <c r="O55" s="61"/>
    </row>
    <row r="56" ht="12.0" customHeight="1">
      <c r="A56" s="62" t="s">
        <v>86</v>
      </c>
      <c r="B56" s="54"/>
      <c r="C56" s="54"/>
      <c r="D56" s="55"/>
      <c r="E56" s="55"/>
      <c r="F56" s="56" t="str">
        <f t="shared" si="1"/>
        <v/>
      </c>
      <c r="G56" s="55" t="str">
        <f t="shared" si="2"/>
        <v/>
      </c>
      <c r="H56" s="57" t="str">
        <f t="shared" si="3"/>
        <v/>
      </c>
      <c r="I56" s="58" t="str">
        <f t="shared" si="4"/>
        <v/>
      </c>
      <c r="J56" s="55" t="str">
        <f t="shared" si="5"/>
        <v/>
      </c>
      <c r="K56" s="59" t="str">
        <f t="shared" si="6"/>
        <v/>
      </c>
      <c r="L56" s="59" t="str">
        <f>IF(NOT(ISERROR(VLOOKUP(B56,Deflatores!G$42:H$64,2,FALSE))),VLOOKUP(B56,Deflatores!G$42:H$64,2,FALSE),IF(OR(ISBLANK(C56),ISBLANK(B56)),"",VLOOKUP(C56,Deflatores!G$4:H$38,2,FALSE)*H56+VLOOKUP(C56,Deflatores!G$4:I$38,3,FALSE)))</f>
        <v/>
      </c>
      <c r="M56" s="60"/>
      <c r="N56" s="60"/>
      <c r="O56" s="61"/>
    </row>
    <row r="57" ht="12.0" customHeight="1">
      <c r="A57" s="53" t="s">
        <v>87</v>
      </c>
      <c r="B57" s="54" t="s">
        <v>47</v>
      </c>
      <c r="C57" s="54" t="s">
        <v>66</v>
      </c>
      <c r="D57" s="55"/>
      <c r="E57" s="55"/>
      <c r="F57" s="56" t="str">
        <f t="shared" si="1"/>
        <v>Média</v>
      </c>
      <c r="G57" s="55" t="str">
        <f t="shared" si="2"/>
        <v>CEA</v>
      </c>
      <c r="H57" s="57">
        <f t="shared" si="3"/>
        <v>4</v>
      </c>
      <c r="I57" s="58" t="str">
        <f t="shared" si="4"/>
        <v>A</v>
      </c>
      <c r="J57" s="55" t="str">
        <f t="shared" si="5"/>
        <v>CEI</v>
      </c>
      <c r="K57" s="59">
        <f t="shared" si="6"/>
        <v>4</v>
      </c>
      <c r="L57" s="59">
        <f>IF(NOT(ISERROR(VLOOKUP(B57,Deflatores!G$42:H$64,2,FALSE))),VLOOKUP(B57,Deflatores!G$42:H$64,2,FALSE),IF(OR(ISBLANK(C57),ISBLANK(B57)),"",VLOOKUP(C57,Deflatores!G$4:H$38,2,FALSE)*H57+VLOOKUP(C57,Deflatores!G$4:I$38,3,FALSE)))</f>
        <v>4</v>
      </c>
      <c r="M57" s="60"/>
      <c r="N57" s="60"/>
      <c r="O57" s="61"/>
    </row>
    <row r="58" ht="13.5" customHeight="1">
      <c r="A58" s="53" t="s">
        <v>88</v>
      </c>
      <c r="B58" s="54" t="s">
        <v>47</v>
      </c>
      <c r="C58" s="54" t="s">
        <v>66</v>
      </c>
      <c r="D58" s="55"/>
      <c r="E58" s="55"/>
      <c r="F58" s="56" t="str">
        <f t="shared" si="1"/>
        <v>Média</v>
      </c>
      <c r="G58" s="55" t="str">
        <f t="shared" si="2"/>
        <v>CEA</v>
      </c>
      <c r="H58" s="57">
        <f t="shared" si="3"/>
        <v>4</v>
      </c>
      <c r="I58" s="58" t="str">
        <f t="shared" si="4"/>
        <v>A</v>
      </c>
      <c r="J58" s="55" t="str">
        <f t="shared" si="5"/>
        <v>CEI</v>
      </c>
      <c r="K58" s="59">
        <f t="shared" si="6"/>
        <v>4</v>
      </c>
      <c r="L58" s="59">
        <f>IF(NOT(ISERROR(VLOOKUP(B58,Deflatores!G$42:H$64,2,FALSE))),VLOOKUP(B58,Deflatores!G$42:H$64,2,FALSE),IF(OR(ISBLANK(C58),ISBLANK(B58)),"",VLOOKUP(C58,Deflatores!G$4:H$38,2,FALSE)*H58+VLOOKUP(C58,Deflatores!G$4:I$38,3,FALSE)))</f>
        <v>4</v>
      </c>
      <c r="M58" s="60"/>
      <c r="N58" s="60"/>
      <c r="O58" s="61"/>
    </row>
    <row r="59" ht="12.0" customHeight="1">
      <c r="A59" s="53" t="s">
        <v>89</v>
      </c>
      <c r="B59" s="54" t="s">
        <v>47</v>
      </c>
      <c r="C59" s="54" t="s">
        <v>66</v>
      </c>
      <c r="D59" s="55"/>
      <c r="E59" s="55"/>
      <c r="F59" s="56" t="str">
        <f t="shared" si="1"/>
        <v>Média</v>
      </c>
      <c r="G59" s="55" t="str">
        <f t="shared" si="2"/>
        <v>CEA</v>
      </c>
      <c r="H59" s="57">
        <f t="shared" si="3"/>
        <v>4</v>
      </c>
      <c r="I59" s="58" t="str">
        <f t="shared" si="4"/>
        <v>A</v>
      </c>
      <c r="J59" s="55" t="str">
        <f t="shared" si="5"/>
        <v>CEI</v>
      </c>
      <c r="K59" s="59">
        <f t="shared" si="6"/>
        <v>4</v>
      </c>
      <c r="L59" s="59">
        <f>IF(NOT(ISERROR(VLOOKUP(B59,Deflatores!G$42:H$64,2,FALSE))),VLOOKUP(B59,Deflatores!G$42:H$64,2,FALSE),IF(OR(ISBLANK(C59),ISBLANK(B59)),"",VLOOKUP(C59,Deflatores!G$4:H$38,2,FALSE)*H59+VLOOKUP(C59,Deflatores!G$4:I$38,3,FALSE)))</f>
        <v>4</v>
      </c>
      <c r="M59" s="60"/>
      <c r="N59" s="60"/>
      <c r="O59" s="61"/>
    </row>
    <row r="60" ht="12.0" customHeight="1">
      <c r="A60" s="53" t="s">
        <v>90</v>
      </c>
      <c r="B60" s="54" t="s">
        <v>43</v>
      </c>
      <c r="C60" s="54" t="s">
        <v>66</v>
      </c>
      <c r="D60" s="55"/>
      <c r="E60" s="55"/>
      <c r="F60" s="56" t="str">
        <f t="shared" si="1"/>
        <v>Média</v>
      </c>
      <c r="G60" s="55" t="str">
        <f t="shared" si="2"/>
        <v>EEA</v>
      </c>
      <c r="H60" s="57">
        <f t="shared" si="3"/>
        <v>4</v>
      </c>
      <c r="I60" s="58" t="str">
        <f t="shared" si="4"/>
        <v>A</v>
      </c>
      <c r="J60" s="55" t="str">
        <f t="shared" si="5"/>
        <v>EEI</v>
      </c>
      <c r="K60" s="59">
        <f t="shared" si="6"/>
        <v>4</v>
      </c>
      <c r="L60" s="59">
        <f>IF(NOT(ISERROR(VLOOKUP(B60,Deflatores!G$42:H$64,2,FALSE))),VLOOKUP(B60,Deflatores!G$42:H$64,2,FALSE),IF(OR(ISBLANK(C60),ISBLANK(B60)),"",VLOOKUP(C60,Deflatores!G$4:H$38,2,FALSE)*H60+VLOOKUP(C60,Deflatores!G$4:I$38,3,FALSE)))</f>
        <v>4</v>
      </c>
      <c r="M60" s="60"/>
      <c r="N60" s="60"/>
      <c r="O60" s="61"/>
    </row>
    <row r="61" ht="12.0" customHeight="1">
      <c r="A61" s="53"/>
      <c r="B61" s="54"/>
      <c r="C61" s="54"/>
      <c r="D61" s="55"/>
      <c r="E61" s="55"/>
      <c r="F61" s="56" t="str">
        <f t="shared" si="1"/>
        <v/>
      </c>
      <c r="G61" s="55" t="str">
        <f t="shared" si="2"/>
        <v/>
      </c>
      <c r="H61" s="57" t="str">
        <f t="shared" si="3"/>
        <v/>
      </c>
      <c r="I61" s="58" t="str">
        <f t="shared" si="4"/>
        <v/>
      </c>
      <c r="J61" s="55" t="str">
        <f t="shared" si="5"/>
        <v/>
      </c>
      <c r="K61" s="59" t="str">
        <f t="shared" si="6"/>
        <v/>
      </c>
      <c r="L61" s="59" t="str">
        <f>IF(NOT(ISERROR(VLOOKUP(B61,Deflatores!G$42:H$64,2,FALSE))),VLOOKUP(B61,Deflatores!G$42:H$64,2,FALSE),IF(OR(ISBLANK(C61),ISBLANK(B61)),"",VLOOKUP(C61,Deflatores!G$4:H$38,2,FALSE)*H61+VLOOKUP(C61,Deflatores!G$4:I$38,3,FALSE)))</f>
        <v/>
      </c>
      <c r="M61" s="60"/>
      <c r="N61" s="60"/>
      <c r="O61" s="61"/>
    </row>
    <row r="62" ht="12.0" customHeight="1">
      <c r="A62" s="62" t="s">
        <v>91</v>
      </c>
      <c r="B62" s="54"/>
      <c r="C62" s="54"/>
      <c r="D62" s="55"/>
      <c r="E62" s="55"/>
      <c r="F62" s="56" t="str">
        <f t="shared" si="1"/>
        <v/>
      </c>
      <c r="G62" s="55" t="str">
        <f t="shared" si="2"/>
        <v/>
      </c>
      <c r="H62" s="57" t="str">
        <f t="shared" si="3"/>
        <v/>
      </c>
      <c r="I62" s="58" t="str">
        <f t="shared" si="4"/>
        <v/>
      </c>
      <c r="J62" s="55" t="str">
        <f t="shared" si="5"/>
        <v/>
      </c>
      <c r="K62" s="59" t="str">
        <f t="shared" si="6"/>
        <v/>
      </c>
      <c r="L62" s="59" t="str">
        <f>IF(NOT(ISERROR(VLOOKUP(B62,Deflatores!G$42:H$64,2,FALSE))),VLOOKUP(B62,Deflatores!G$42:H$64,2,FALSE),IF(OR(ISBLANK(C62),ISBLANK(B62)),"",VLOOKUP(C62,Deflatores!G$4:H$38,2,FALSE)*H62+VLOOKUP(C62,Deflatores!G$4:I$38,3,FALSE)))</f>
        <v/>
      </c>
      <c r="M62" s="60"/>
      <c r="N62" s="60"/>
      <c r="O62" s="61"/>
    </row>
    <row r="63" ht="12.0" customHeight="1">
      <c r="A63" s="53" t="s">
        <v>92</v>
      </c>
      <c r="B63" s="54" t="s">
        <v>47</v>
      </c>
      <c r="C63" s="54" t="s">
        <v>66</v>
      </c>
      <c r="D63" s="55"/>
      <c r="E63" s="55"/>
      <c r="F63" s="56" t="str">
        <f t="shared" si="1"/>
        <v>Média</v>
      </c>
      <c r="G63" s="55" t="str">
        <f t="shared" si="2"/>
        <v>CEA</v>
      </c>
      <c r="H63" s="57">
        <f t="shared" si="3"/>
        <v>4</v>
      </c>
      <c r="I63" s="58" t="str">
        <f t="shared" si="4"/>
        <v>A</v>
      </c>
      <c r="J63" s="55" t="str">
        <f t="shared" si="5"/>
        <v>CEI</v>
      </c>
      <c r="K63" s="59">
        <f t="shared" si="6"/>
        <v>4</v>
      </c>
      <c r="L63" s="59">
        <f>IF(NOT(ISERROR(VLOOKUP(B63,Deflatores!G$42:H$64,2,FALSE))),VLOOKUP(B63,Deflatores!G$42:H$64,2,FALSE),IF(OR(ISBLANK(C63),ISBLANK(B63)),"",VLOOKUP(C63,Deflatores!G$4:H$38,2,FALSE)*H63+VLOOKUP(C63,Deflatores!G$4:I$38,3,FALSE)))</f>
        <v>4</v>
      </c>
      <c r="M63" s="60"/>
      <c r="N63" s="60"/>
      <c r="O63" s="61"/>
    </row>
    <row r="64" ht="12.0" customHeight="1">
      <c r="A64" s="53" t="s">
        <v>93</v>
      </c>
      <c r="B64" s="54" t="s">
        <v>47</v>
      </c>
      <c r="C64" s="54" t="s">
        <v>66</v>
      </c>
      <c r="D64" s="55"/>
      <c r="E64" s="55"/>
      <c r="F64" s="56" t="str">
        <f t="shared" si="1"/>
        <v>Média</v>
      </c>
      <c r="G64" s="55" t="str">
        <f t="shared" si="2"/>
        <v>CEA</v>
      </c>
      <c r="H64" s="57">
        <f t="shared" si="3"/>
        <v>4</v>
      </c>
      <c r="I64" s="58" t="str">
        <f t="shared" si="4"/>
        <v>A</v>
      </c>
      <c r="J64" s="55" t="str">
        <f t="shared" si="5"/>
        <v>CEI</v>
      </c>
      <c r="K64" s="59">
        <f t="shared" si="6"/>
        <v>4</v>
      </c>
      <c r="L64" s="59">
        <f>IF(NOT(ISERROR(VLOOKUP(B64,Deflatores!G$42:H$64,2,FALSE))),VLOOKUP(B64,Deflatores!G$42:H$64,2,FALSE),IF(OR(ISBLANK(C64),ISBLANK(B64)),"",VLOOKUP(C64,Deflatores!G$4:H$38,2,FALSE)*H64+VLOOKUP(C64,Deflatores!G$4:I$38,3,FALSE)))</f>
        <v>4</v>
      </c>
      <c r="M64" s="60"/>
      <c r="N64" s="60"/>
      <c r="O64" s="61"/>
    </row>
    <row r="65" ht="12.0" customHeight="1">
      <c r="A65" s="53" t="s">
        <v>94</v>
      </c>
      <c r="B65" s="54" t="s">
        <v>43</v>
      </c>
      <c r="C65" s="54" t="s">
        <v>66</v>
      </c>
      <c r="D65" s="55"/>
      <c r="E65" s="55"/>
      <c r="F65" s="56" t="str">
        <f t="shared" si="1"/>
        <v>Média</v>
      </c>
      <c r="G65" s="55" t="str">
        <f t="shared" si="2"/>
        <v>EEA</v>
      </c>
      <c r="H65" s="57">
        <f t="shared" si="3"/>
        <v>4</v>
      </c>
      <c r="I65" s="58" t="str">
        <f t="shared" si="4"/>
        <v>A</v>
      </c>
      <c r="J65" s="55" t="str">
        <f t="shared" si="5"/>
        <v>EEI</v>
      </c>
      <c r="K65" s="59">
        <f t="shared" si="6"/>
        <v>4</v>
      </c>
      <c r="L65" s="59">
        <f>IF(NOT(ISERROR(VLOOKUP(B65,Deflatores!G$42:H$64,2,FALSE))),VLOOKUP(B65,Deflatores!G$42:H$64,2,FALSE),IF(OR(ISBLANK(C65),ISBLANK(B65)),"",VLOOKUP(C65,Deflatores!G$4:H$38,2,FALSE)*H65+VLOOKUP(C65,Deflatores!G$4:I$38,3,FALSE)))</f>
        <v>4</v>
      </c>
      <c r="M65" s="60"/>
      <c r="N65" s="60"/>
      <c r="O65" s="61"/>
    </row>
    <row r="66" ht="12.0" customHeight="1">
      <c r="A66" s="53" t="s">
        <v>95</v>
      </c>
      <c r="B66" s="54" t="s">
        <v>53</v>
      </c>
      <c r="C66" s="54" t="s">
        <v>66</v>
      </c>
      <c r="D66" s="55"/>
      <c r="E66" s="55"/>
      <c r="F66" s="56" t="str">
        <f t="shared" si="1"/>
        <v>Baixa</v>
      </c>
      <c r="G66" s="55" t="str">
        <f t="shared" si="2"/>
        <v>ALIL</v>
      </c>
      <c r="H66" s="57">
        <f t="shared" si="3"/>
        <v>7</v>
      </c>
      <c r="I66" s="58" t="str">
        <f t="shared" si="4"/>
        <v>L</v>
      </c>
      <c r="J66" s="55" t="str">
        <f t="shared" si="5"/>
        <v>ALII</v>
      </c>
      <c r="K66" s="59">
        <f t="shared" si="6"/>
        <v>7</v>
      </c>
      <c r="L66" s="59">
        <f>IF(NOT(ISERROR(VLOOKUP(B66,Deflatores!G$42:H$64,2,FALSE))),VLOOKUP(B66,Deflatores!G$42:H$64,2,FALSE),IF(OR(ISBLANK(C66),ISBLANK(B66)),"",VLOOKUP(C66,Deflatores!G$4:H$38,2,FALSE)*H66+VLOOKUP(C66,Deflatores!G$4:I$38,3,FALSE)))</f>
        <v>7</v>
      </c>
      <c r="M66" s="60"/>
      <c r="N66" s="60"/>
      <c r="O66" s="61"/>
    </row>
    <row r="67" ht="12.0" customHeight="1">
      <c r="A67" s="53" t="s">
        <v>96</v>
      </c>
      <c r="B67" s="54" t="s">
        <v>43</v>
      </c>
      <c r="C67" s="54" t="s">
        <v>66</v>
      </c>
      <c r="D67" s="55"/>
      <c r="E67" s="55"/>
      <c r="F67" s="56" t="str">
        <f t="shared" si="1"/>
        <v>Média</v>
      </c>
      <c r="G67" s="55" t="str">
        <f t="shared" si="2"/>
        <v>EEA</v>
      </c>
      <c r="H67" s="57">
        <f t="shared" si="3"/>
        <v>4</v>
      </c>
      <c r="I67" s="58" t="str">
        <f t="shared" si="4"/>
        <v>A</v>
      </c>
      <c r="J67" s="55" t="str">
        <f t="shared" si="5"/>
        <v>EEI</v>
      </c>
      <c r="K67" s="59">
        <f t="shared" si="6"/>
        <v>4</v>
      </c>
      <c r="L67" s="59">
        <f>IF(NOT(ISERROR(VLOOKUP(B67,Deflatores!G$42:H$64,2,FALSE))),VLOOKUP(B67,Deflatores!G$42:H$64,2,FALSE),IF(OR(ISBLANK(C67),ISBLANK(B67)),"",VLOOKUP(C67,Deflatores!G$4:H$38,2,FALSE)*H67+VLOOKUP(C67,Deflatores!G$4:I$38,3,FALSE)))</f>
        <v>4</v>
      </c>
      <c r="M67" s="60"/>
      <c r="N67" s="60"/>
      <c r="O67" s="61"/>
    </row>
    <row r="68" ht="12.0" customHeight="1">
      <c r="A68" s="53" t="s">
        <v>97</v>
      </c>
      <c r="B68" s="54" t="s">
        <v>43</v>
      </c>
      <c r="C68" s="54" t="s">
        <v>66</v>
      </c>
      <c r="D68" s="55"/>
      <c r="E68" s="55"/>
      <c r="F68" s="56" t="str">
        <f t="shared" si="1"/>
        <v>Média</v>
      </c>
      <c r="G68" s="55" t="str">
        <f t="shared" si="2"/>
        <v>EEA</v>
      </c>
      <c r="H68" s="57">
        <f t="shared" si="3"/>
        <v>4</v>
      </c>
      <c r="I68" s="58" t="str">
        <f t="shared" si="4"/>
        <v>A</v>
      </c>
      <c r="J68" s="55" t="str">
        <f t="shared" si="5"/>
        <v>EEI</v>
      </c>
      <c r="K68" s="59">
        <f t="shared" si="6"/>
        <v>4</v>
      </c>
      <c r="L68" s="59">
        <f>IF(NOT(ISERROR(VLOOKUP(B68,Deflatores!G$42:H$64,2,FALSE))),VLOOKUP(B68,Deflatores!G$42:H$64,2,FALSE),IF(OR(ISBLANK(C68),ISBLANK(B68)),"",VLOOKUP(C68,Deflatores!G$4:H$38,2,FALSE)*H68+VLOOKUP(C68,Deflatores!G$4:I$38,3,FALSE)))</f>
        <v>4</v>
      </c>
      <c r="M68" s="60"/>
      <c r="N68" s="60"/>
      <c r="O68" s="61"/>
    </row>
    <row r="69" ht="12.0" customHeight="1">
      <c r="A69" s="53"/>
      <c r="B69" s="54"/>
      <c r="C69" s="54"/>
      <c r="D69" s="55"/>
      <c r="E69" s="55"/>
      <c r="F69" s="56" t="str">
        <f t="shared" si="1"/>
        <v/>
      </c>
      <c r="G69" s="55" t="str">
        <f t="shared" si="2"/>
        <v/>
      </c>
      <c r="H69" s="57" t="str">
        <f t="shared" si="3"/>
        <v/>
      </c>
      <c r="I69" s="58" t="str">
        <f t="shared" si="4"/>
        <v/>
      </c>
      <c r="J69" s="55" t="str">
        <f t="shared" si="5"/>
        <v/>
      </c>
      <c r="K69" s="59" t="str">
        <f t="shared" si="6"/>
        <v/>
      </c>
      <c r="L69" s="59" t="str">
        <f>IF(NOT(ISERROR(VLOOKUP(B69,Deflatores!G$42:H$64,2,FALSE))),VLOOKUP(B69,Deflatores!G$42:H$64,2,FALSE),IF(OR(ISBLANK(C69),ISBLANK(B69)),"",VLOOKUP(C69,Deflatores!G$4:H$38,2,FALSE)*H69+VLOOKUP(C69,Deflatores!G$4:I$38,3,FALSE)))</f>
        <v/>
      </c>
      <c r="M69" s="60"/>
      <c r="N69" s="60"/>
      <c r="O69" s="61"/>
    </row>
    <row r="70" ht="12.0" customHeight="1">
      <c r="A70" s="62" t="s">
        <v>98</v>
      </c>
      <c r="B70" s="54"/>
      <c r="C70" s="54"/>
      <c r="D70" s="55"/>
      <c r="E70" s="55"/>
      <c r="F70" s="56" t="str">
        <f t="shared" si="1"/>
        <v/>
      </c>
      <c r="G70" s="55" t="str">
        <f t="shared" si="2"/>
        <v/>
      </c>
      <c r="H70" s="57" t="str">
        <f t="shared" si="3"/>
        <v/>
      </c>
      <c r="I70" s="58" t="str">
        <f t="shared" si="4"/>
        <v/>
      </c>
      <c r="J70" s="55" t="str">
        <f t="shared" si="5"/>
        <v/>
      </c>
      <c r="K70" s="59" t="str">
        <f t="shared" si="6"/>
        <v/>
      </c>
      <c r="L70" s="59" t="str">
        <f>IF(NOT(ISERROR(VLOOKUP(B70,Deflatores!G$42:H$64,2,FALSE))),VLOOKUP(B70,Deflatores!G$42:H$64,2,FALSE),IF(OR(ISBLANK(C70),ISBLANK(B70)),"",VLOOKUP(C70,Deflatores!G$4:H$38,2,FALSE)*H70+VLOOKUP(C70,Deflatores!G$4:I$38,3,FALSE)))</f>
        <v/>
      </c>
      <c r="M70" s="60"/>
      <c r="N70" s="60"/>
      <c r="O70" s="61"/>
    </row>
    <row r="71" ht="12.0" customHeight="1">
      <c r="A71" s="53" t="s">
        <v>99</v>
      </c>
      <c r="B71" s="54" t="s">
        <v>53</v>
      </c>
      <c r="C71" s="54" t="s">
        <v>66</v>
      </c>
      <c r="D71" s="55"/>
      <c r="E71" s="55"/>
      <c r="F71" s="56" t="str">
        <f t="shared" si="1"/>
        <v>Baixa</v>
      </c>
      <c r="G71" s="55" t="str">
        <f t="shared" si="2"/>
        <v>ALIL</v>
      </c>
      <c r="H71" s="57">
        <f t="shared" si="3"/>
        <v>7</v>
      </c>
      <c r="I71" s="58" t="str">
        <f t="shared" si="4"/>
        <v>L</v>
      </c>
      <c r="J71" s="55" t="str">
        <f t="shared" si="5"/>
        <v>ALII</v>
      </c>
      <c r="K71" s="59">
        <f t="shared" si="6"/>
        <v>7</v>
      </c>
      <c r="L71" s="59">
        <f>IF(NOT(ISERROR(VLOOKUP(B71,Deflatores!G$42:H$64,2,FALSE))),VLOOKUP(B71,Deflatores!G$42:H$64,2,FALSE),IF(OR(ISBLANK(C71),ISBLANK(B71)),"",VLOOKUP(C71,Deflatores!G$4:H$38,2,FALSE)*H71+VLOOKUP(C71,Deflatores!G$4:I$38,3,FALSE)))</f>
        <v>7</v>
      </c>
      <c r="M71" s="60"/>
      <c r="N71" s="60"/>
      <c r="O71" s="61"/>
    </row>
    <row r="72" ht="12.0" customHeight="1">
      <c r="A72" s="53" t="s">
        <v>100</v>
      </c>
      <c r="B72" s="54" t="s">
        <v>47</v>
      </c>
      <c r="C72" s="54" t="s">
        <v>66</v>
      </c>
      <c r="D72" s="55"/>
      <c r="E72" s="55"/>
      <c r="F72" s="56" t="str">
        <f t="shared" si="1"/>
        <v>Média</v>
      </c>
      <c r="G72" s="55" t="str">
        <f t="shared" si="2"/>
        <v>CEA</v>
      </c>
      <c r="H72" s="57">
        <f t="shared" si="3"/>
        <v>4</v>
      </c>
      <c r="I72" s="58" t="str">
        <f t="shared" si="4"/>
        <v>A</v>
      </c>
      <c r="J72" s="55" t="str">
        <f t="shared" si="5"/>
        <v>CEI</v>
      </c>
      <c r="K72" s="59">
        <f t="shared" si="6"/>
        <v>4</v>
      </c>
      <c r="L72" s="59">
        <f>IF(NOT(ISERROR(VLOOKUP(B72,Deflatores!G$42:H$64,2,FALSE))),VLOOKUP(B72,Deflatores!G$42:H$64,2,FALSE),IF(OR(ISBLANK(C72),ISBLANK(B72)),"",VLOOKUP(C72,Deflatores!G$4:H$38,2,FALSE)*H72+VLOOKUP(C72,Deflatores!G$4:I$38,3,FALSE)))</f>
        <v>4</v>
      </c>
      <c r="M72" s="60"/>
      <c r="N72" s="60"/>
      <c r="O72" s="61"/>
    </row>
    <row r="73" ht="12.0" customHeight="1">
      <c r="A73" s="53" t="s">
        <v>101</v>
      </c>
      <c r="B73" s="54" t="s">
        <v>47</v>
      </c>
      <c r="C73" s="54" t="s">
        <v>66</v>
      </c>
      <c r="D73" s="55"/>
      <c r="E73" s="55"/>
      <c r="F73" s="56" t="str">
        <f t="shared" si="1"/>
        <v>Média</v>
      </c>
      <c r="G73" s="55" t="str">
        <f t="shared" si="2"/>
        <v>CEA</v>
      </c>
      <c r="H73" s="57">
        <f t="shared" si="3"/>
        <v>4</v>
      </c>
      <c r="I73" s="58" t="str">
        <f t="shared" si="4"/>
        <v>A</v>
      </c>
      <c r="J73" s="55" t="str">
        <f t="shared" si="5"/>
        <v>CEI</v>
      </c>
      <c r="K73" s="59">
        <f t="shared" si="6"/>
        <v>4</v>
      </c>
      <c r="L73" s="59">
        <f>IF(NOT(ISERROR(VLOOKUP(B73,Deflatores!G$42:H$64,2,FALSE))),VLOOKUP(B73,Deflatores!G$42:H$64,2,FALSE),IF(OR(ISBLANK(C73),ISBLANK(B73)),"",VLOOKUP(C73,Deflatores!G$4:H$38,2,FALSE)*H73+VLOOKUP(C73,Deflatores!G$4:I$38,3,FALSE)))</f>
        <v>4</v>
      </c>
      <c r="M73" s="60"/>
      <c r="N73" s="60"/>
      <c r="O73" s="61"/>
    </row>
    <row r="74" ht="12.0" customHeight="1">
      <c r="A74" s="53" t="s">
        <v>102</v>
      </c>
      <c r="B74" s="54" t="s">
        <v>43</v>
      </c>
      <c r="C74" s="54" t="s">
        <v>66</v>
      </c>
      <c r="D74" s="55"/>
      <c r="E74" s="55"/>
      <c r="F74" s="56" t="str">
        <f t="shared" si="1"/>
        <v>Média</v>
      </c>
      <c r="G74" s="55" t="str">
        <f t="shared" si="2"/>
        <v>EEA</v>
      </c>
      <c r="H74" s="57">
        <f t="shared" si="3"/>
        <v>4</v>
      </c>
      <c r="I74" s="58" t="str">
        <f t="shared" si="4"/>
        <v>A</v>
      </c>
      <c r="J74" s="55" t="str">
        <f t="shared" si="5"/>
        <v>EEI</v>
      </c>
      <c r="K74" s="59">
        <f t="shared" si="6"/>
        <v>4</v>
      </c>
      <c r="L74" s="59">
        <f>IF(NOT(ISERROR(VLOOKUP(B74,Deflatores!G$42:H$64,2,FALSE))),VLOOKUP(B74,Deflatores!G$42:H$64,2,FALSE),IF(OR(ISBLANK(C74),ISBLANK(B74)),"",VLOOKUP(C74,Deflatores!G$4:H$38,2,FALSE)*H74+VLOOKUP(C74,Deflatores!G$4:I$38,3,FALSE)))</f>
        <v>4</v>
      </c>
      <c r="M74" s="60"/>
      <c r="N74" s="60"/>
      <c r="O74" s="61"/>
    </row>
    <row r="75" ht="12.0" customHeight="1">
      <c r="A75" s="53" t="s">
        <v>103</v>
      </c>
      <c r="B75" s="54" t="s">
        <v>47</v>
      </c>
      <c r="C75" s="54" t="s">
        <v>66</v>
      </c>
      <c r="D75" s="55"/>
      <c r="E75" s="55"/>
      <c r="F75" s="56" t="str">
        <f t="shared" si="1"/>
        <v>Média</v>
      </c>
      <c r="G75" s="55" t="str">
        <f t="shared" si="2"/>
        <v>CEA</v>
      </c>
      <c r="H75" s="57">
        <f t="shared" si="3"/>
        <v>4</v>
      </c>
      <c r="I75" s="58" t="str">
        <f t="shared" si="4"/>
        <v>A</v>
      </c>
      <c r="J75" s="55" t="str">
        <f t="shared" si="5"/>
        <v>CEI</v>
      </c>
      <c r="K75" s="59">
        <f t="shared" si="6"/>
        <v>4</v>
      </c>
      <c r="L75" s="59">
        <f>IF(NOT(ISERROR(VLOOKUP(B75,Deflatores!G$42:H$64,2,FALSE))),VLOOKUP(B75,Deflatores!G$42:H$64,2,FALSE),IF(OR(ISBLANK(C75),ISBLANK(B75)),"",VLOOKUP(C75,Deflatores!G$4:H$38,2,FALSE)*H75+VLOOKUP(C75,Deflatores!G$4:I$38,3,FALSE)))</f>
        <v>4</v>
      </c>
      <c r="M75" s="60"/>
      <c r="N75" s="60"/>
      <c r="O75" s="61"/>
    </row>
    <row r="76" ht="12.0" customHeight="1">
      <c r="A76" s="53"/>
      <c r="B76" s="54"/>
      <c r="C76" s="54"/>
      <c r="D76" s="55"/>
      <c r="E76" s="55"/>
      <c r="F76" s="56" t="str">
        <f t="shared" si="1"/>
        <v/>
      </c>
      <c r="G76" s="55" t="str">
        <f t="shared" si="2"/>
        <v/>
      </c>
      <c r="H76" s="57" t="str">
        <f t="shared" si="3"/>
        <v/>
      </c>
      <c r="I76" s="58" t="str">
        <f t="shared" si="4"/>
        <v/>
      </c>
      <c r="J76" s="55" t="str">
        <f t="shared" si="5"/>
        <v/>
      </c>
      <c r="K76" s="59" t="str">
        <f t="shared" si="6"/>
        <v/>
      </c>
      <c r="L76" s="59" t="str">
        <f>IF(NOT(ISERROR(VLOOKUP(B76,Deflatores!G$42:H$64,2,FALSE))),VLOOKUP(B76,Deflatores!G$42:H$64,2,FALSE),IF(OR(ISBLANK(C76),ISBLANK(B76)),"",VLOOKUP(C76,Deflatores!G$4:H$38,2,FALSE)*H76+VLOOKUP(C76,Deflatores!G$4:I$38,3,FALSE)))</f>
        <v/>
      </c>
      <c r="M76" s="60"/>
      <c r="N76" s="60"/>
      <c r="O76" s="61"/>
    </row>
    <row r="77" ht="12.0" customHeight="1">
      <c r="A77" s="62" t="s">
        <v>104</v>
      </c>
      <c r="B77" s="54"/>
      <c r="C77" s="54"/>
      <c r="D77" s="55"/>
      <c r="E77" s="55"/>
      <c r="F77" s="56" t="str">
        <f t="shared" si="1"/>
        <v/>
      </c>
      <c r="G77" s="55" t="str">
        <f t="shared" si="2"/>
        <v/>
      </c>
      <c r="H77" s="57" t="str">
        <f t="shared" si="3"/>
        <v/>
      </c>
      <c r="I77" s="58" t="str">
        <f t="shared" si="4"/>
        <v/>
      </c>
      <c r="J77" s="55" t="str">
        <f t="shared" si="5"/>
        <v/>
      </c>
      <c r="K77" s="59" t="str">
        <f t="shared" si="6"/>
        <v/>
      </c>
      <c r="L77" s="59" t="str">
        <f>IF(NOT(ISERROR(VLOOKUP(B77,Deflatores!G$42:H$64,2,FALSE))),VLOOKUP(B77,Deflatores!G$42:H$64,2,FALSE),IF(OR(ISBLANK(C77),ISBLANK(B77)),"",VLOOKUP(C77,Deflatores!G$4:H$38,2,FALSE)*H77+VLOOKUP(C77,Deflatores!G$4:I$38,3,FALSE)))</f>
        <v/>
      </c>
      <c r="M77" s="60"/>
      <c r="N77" s="60"/>
      <c r="O77" s="61"/>
    </row>
    <row r="78" ht="12.0" customHeight="1">
      <c r="A78" s="53" t="s">
        <v>92</v>
      </c>
      <c r="B78" s="54" t="s">
        <v>47</v>
      </c>
      <c r="C78" s="54" t="s">
        <v>66</v>
      </c>
      <c r="D78" s="55"/>
      <c r="E78" s="55"/>
      <c r="F78" s="56" t="str">
        <f t="shared" si="1"/>
        <v>Média</v>
      </c>
      <c r="G78" s="55" t="str">
        <f t="shared" si="2"/>
        <v>CEA</v>
      </c>
      <c r="H78" s="57">
        <f t="shared" si="3"/>
        <v>4</v>
      </c>
      <c r="I78" s="58" t="str">
        <f t="shared" si="4"/>
        <v>A</v>
      </c>
      <c r="J78" s="55" t="str">
        <f t="shared" si="5"/>
        <v>CEI</v>
      </c>
      <c r="K78" s="59">
        <f t="shared" si="6"/>
        <v>4</v>
      </c>
      <c r="L78" s="59">
        <f>IF(NOT(ISERROR(VLOOKUP(B78,Deflatores!G$42:H$64,2,FALSE))),VLOOKUP(B78,Deflatores!G$42:H$64,2,FALSE),IF(OR(ISBLANK(C78),ISBLANK(B78)),"",VLOOKUP(C78,Deflatores!G$4:H$38,2,FALSE)*H78+VLOOKUP(C78,Deflatores!G$4:I$38,3,FALSE)))</f>
        <v>4</v>
      </c>
      <c r="M78" s="60"/>
      <c r="N78" s="60"/>
      <c r="O78" s="61"/>
    </row>
    <row r="79" ht="12.0" customHeight="1">
      <c r="A79" s="53" t="s">
        <v>105</v>
      </c>
      <c r="B79" s="54" t="s">
        <v>43</v>
      </c>
      <c r="C79" s="54" t="s">
        <v>66</v>
      </c>
      <c r="D79" s="55"/>
      <c r="E79" s="55"/>
      <c r="F79" s="56" t="str">
        <f t="shared" si="1"/>
        <v>Média</v>
      </c>
      <c r="G79" s="55" t="str">
        <f t="shared" si="2"/>
        <v>EEA</v>
      </c>
      <c r="H79" s="57">
        <f t="shared" si="3"/>
        <v>4</v>
      </c>
      <c r="I79" s="58" t="str">
        <f t="shared" si="4"/>
        <v>A</v>
      </c>
      <c r="J79" s="55" t="str">
        <f t="shared" si="5"/>
        <v>EEI</v>
      </c>
      <c r="K79" s="59">
        <f t="shared" si="6"/>
        <v>4</v>
      </c>
      <c r="L79" s="59">
        <f>IF(NOT(ISERROR(VLOOKUP(B79,Deflatores!G$42:H$64,2,FALSE))),VLOOKUP(B79,Deflatores!G$42:H$64,2,FALSE),IF(OR(ISBLANK(C79),ISBLANK(B79)),"",VLOOKUP(C79,Deflatores!G$4:H$38,2,FALSE)*H79+VLOOKUP(C79,Deflatores!G$4:I$38,3,FALSE)))</f>
        <v>4</v>
      </c>
      <c r="M79" s="60"/>
      <c r="N79" s="60"/>
      <c r="O79" s="61"/>
    </row>
    <row r="80" ht="12.0" customHeight="1">
      <c r="A80" s="53" t="s">
        <v>106</v>
      </c>
      <c r="B80" s="54" t="s">
        <v>43</v>
      </c>
      <c r="C80" s="54" t="s">
        <v>66</v>
      </c>
      <c r="D80" s="55"/>
      <c r="E80" s="55"/>
      <c r="F80" s="56" t="str">
        <f t="shared" si="1"/>
        <v>Média</v>
      </c>
      <c r="G80" s="55" t="str">
        <f t="shared" si="2"/>
        <v>EEA</v>
      </c>
      <c r="H80" s="57">
        <f t="shared" si="3"/>
        <v>4</v>
      </c>
      <c r="I80" s="58" t="str">
        <f t="shared" si="4"/>
        <v>A</v>
      </c>
      <c r="J80" s="55" t="str">
        <f t="shared" si="5"/>
        <v>EEI</v>
      </c>
      <c r="K80" s="59">
        <f t="shared" si="6"/>
        <v>4</v>
      </c>
      <c r="L80" s="59">
        <f>IF(NOT(ISERROR(VLOOKUP(B80,Deflatores!G$42:H$64,2,FALSE))),VLOOKUP(B80,Deflatores!G$42:H$64,2,FALSE),IF(OR(ISBLANK(C80),ISBLANK(B80)),"",VLOOKUP(C80,Deflatores!G$4:H$38,2,FALSE)*H80+VLOOKUP(C80,Deflatores!G$4:I$38,3,FALSE)))</f>
        <v>4</v>
      </c>
      <c r="M80" s="60"/>
      <c r="N80" s="60"/>
      <c r="O80" s="61"/>
    </row>
    <row r="81" ht="12.0" customHeight="1">
      <c r="A81" s="53" t="s">
        <v>107</v>
      </c>
      <c r="B81" s="54" t="s">
        <v>43</v>
      </c>
      <c r="C81" s="54" t="s">
        <v>66</v>
      </c>
      <c r="D81" s="55"/>
      <c r="E81" s="55"/>
      <c r="F81" s="56" t="str">
        <f t="shared" si="1"/>
        <v>Média</v>
      </c>
      <c r="G81" s="55" t="str">
        <f t="shared" si="2"/>
        <v>EEA</v>
      </c>
      <c r="H81" s="57">
        <f t="shared" si="3"/>
        <v>4</v>
      </c>
      <c r="I81" s="58" t="str">
        <f t="shared" si="4"/>
        <v>A</v>
      </c>
      <c r="J81" s="55" t="str">
        <f t="shared" si="5"/>
        <v>EEI</v>
      </c>
      <c r="K81" s="59">
        <f t="shared" si="6"/>
        <v>4</v>
      </c>
      <c r="L81" s="59">
        <f>IF(NOT(ISERROR(VLOOKUP(B81,Deflatores!G$42:H$64,2,FALSE))),VLOOKUP(B81,Deflatores!G$42:H$64,2,FALSE),IF(OR(ISBLANK(C81),ISBLANK(B81)),"",VLOOKUP(C81,Deflatores!G$4:H$38,2,FALSE)*H81+VLOOKUP(C81,Deflatores!G$4:I$38,3,FALSE)))</f>
        <v>4</v>
      </c>
      <c r="M81" s="60"/>
      <c r="N81" s="60"/>
      <c r="O81" s="61"/>
    </row>
    <row r="82" ht="12.0" customHeight="1">
      <c r="A82" s="53" t="s">
        <v>108</v>
      </c>
      <c r="B82" s="54" t="s">
        <v>47</v>
      </c>
      <c r="C82" s="54" t="s">
        <v>66</v>
      </c>
      <c r="D82" s="55"/>
      <c r="E82" s="55"/>
      <c r="F82" s="56" t="str">
        <f t="shared" si="1"/>
        <v>Média</v>
      </c>
      <c r="G82" s="55" t="str">
        <f t="shared" si="2"/>
        <v>CEA</v>
      </c>
      <c r="H82" s="57">
        <f t="shared" si="3"/>
        <v>4</v>
      </c>
      <c r="I82" s="58" t="str">
        <f t="shared" si="4"/>
        <v>A</v>
      </c>
      <c r="J82" s="55" t="str">
        <f t="shared" si="5"/>
        <v>CEI</v>
      </c>
      <c r="K82" s="59">
        <f t="shared" si="6"/>
        <v>4</v>
      </c>
      <c r="L82" s="59">
        <f>IF(NOT(ISERROR(VLOOKUP(B82,Deflatores!G$42:H$64,2,FALSE))),VLOOKUP(B82,Deflatores!G$42:H$64,2,FALSE),IF(OR(ISBLANK(C82),ISBLANK(B82)),"",VLOOKUP(C82,Deflatores!G$4:H$38,2,FALSE)*H82+VLOOKUP(C82,Deflatores!G$4:I$38,3,FALSE)))</f>
        <v>4</v>
      </c>
      <c r="M82" s="60"/>
      <c r="N82" s="60"/>
      <c r="O82" s="61"/>
    </row>
    <row r="83" ht="12.0" customHeight="1">
      <c r="A83" s="53" t="s">
        <v>109</v>
      </c>
      <c r="B83" s="54" t="s">
        <v>43</v>
      </c>
      <c r="C83" s="54" t="s">
        <v>66</v>
      </c>
      <c r="D83" s="55"/>
      <c r="E83" s="55"/>
      <c r="F83" s="56" t="str">
        <f t="shared" si="1"/>
        <v>Média</v>
      </c>
      <c r="G83" s="55" t="str">
        <f t="shared" si="2"/>
        <v>EEA</v>
      </c>
      <c r="H83" s="57">
        <f t="shared" si="3"/>
        <v>4</v>
      </c>
      <c r="I83" s="58" t="str">
        <f t="shared" si="4"/>
        <v>A</v>
      </c>
      <c r="J83" s="55" t="str">
        <f t="shared" si="5"/>
        <v>EEI</v>
      </c>
      <c r="K83" s="59">
        <f t="shared" si="6"/>
        <v>4</v>
      </c>
      <c r="L83" s="59">
        <f>IF(NOT(ISERROR(VLOOKUP(B83,Deflatores!G$42:H$64,2,FALSE))),VLOOKUP(B83,Deflatores!G$42:H$64,2,FALSE),IF(OR(ISBLANK(C83),ISBLANK(B83)),"",VLOOKUP(C83,Deflatores!G$4:H$38,2,FALSE)*H83+VLOOKUP(C83,Deflatores!G$4:I$38,3,FALSE)))</f>
        <v>4</v>
      </c>
      <c r="M83" s="60"/>
      <c r="N83" s="60"/>
      <c r="O83" s="61"/>
    </row>
    <row r="84" ht="12.0" customHeight="1">
      <c r="A84" s="53" t="s">
        <v>110</v>
      </c>
      <c r="B84" s="54" t="s">
        <v>47</v>
      </c>
      <c r="C84" s="54" t="s">
        <v>66</v>
      </c>
      <c r="D84" s="55"/>
      <c r="E84" s="55"/>
      <c r="F84" s="56" t="str">
        <f t="shared" si="1"/>
        <v>Média</v>
      </c>
      <c r="G84" s="55" t="str">
        <f t="shared" si="2"/>
        <v>CEA</v>
      </c>
      <c r="H84" s="57">
        <f t="shared" si="3"/>
        <v>4</v>
      </c>
      <c r="I84" s="58" t="str">
        <f t="shared" si="4"/>
        <v>A</v>
      </c>
      <c r="J84" s="55" t="str">
        <f t="shared" si="5"/>
        <v>CEI</v>
      </c>
      <c r="K84" s="59">
        <f t="shared" si="6"/>
        <v>4</v>
      </c>
      <c r="L84" s="59">
        <f>IF(NOT(ISERROR(VLOOKUP(B84,Deflatores!G$42:H$64,2,FALSE))),VLOOKUP(B84,Deflatores!G$42:H$64,2,FALSE),IF(OR(ISBLANK(C84),ISBLANK(B84)),"",VLOOKUP(C84,Deflatores!G$4:H$38,2,FALSE)*H84+VLOOKUP(C84,Deflatores!G$4:I$38,3,FALSE)))</f>
        <v>4</v>
      </c>
      <c r="M84" s="60"/>
      <c r="N84" s="60"/>
      <c r="O84" s="61"/>
    </row>
    <row r="85" ht="12.0" customHeight="1">
      <c r="A85" s="53" t="s">
        <v>110</v>
      </c>
      <c r="B85" s="54" t="s">
        <v>43</v>
      </c>
      <c r="C85" s="54" t="s">
        <v>66</v>
      </c>
      <c r="D85" s="55"/>
      <c r="E85" s="55"/>
      <c r="F85" s="56" t="str">
        <f t="shared" si="1"/>
        <v>Média</v>
      </c>
      <c r="G85" s="55" t="str">
        <f t="shared" si="2"/>
        <v>EEA</v>
      </c>
      <c r="H85" s="57">
        <f t="shared" si="3"/>
        <v>4</v>
      </c>
      <c r="I85" s="58" t="str">
        <f t="shared" si="4"/>
        <v>A</v>
      </c>
      <c r="J85" s="55" t="str">
        <f t="shared" si="5"/>
        <v>EEI</v>
      </c>
      <c r="K85" s="59">
        <f t="shared" si="6"/>
        <v>4</v>
      </c>
      <c r="L85" s="59">
        <f>IF(NOT(ISERROR(VLOOKUP(B85,Deflatores!G$42:H$64,2,FALSE))),VLOOKUP(B85,Deflatores!G$42:H$64,2,FALSE),IF(OR(ISBLANK(C85),ISBLANK(B85)),"",VLOOKUP(C85,Deflatores!G$4:H$38,2,FALSE)*H85+VLOOKUP(C85,Deflatores!G$4:I$38,3,FALSE)))</f>
        <v>4</v>
      </c>
      <c r="M85" s="60"/>
      <c r="N85" s="60"/>
      <c r="O85" s="61"/>
    </row>
    <row r="86" ht="12.0" customHeight="1">
      <c r="A86" s="53" t="s">
        <v>111</v>
      </c>
      <c r="B86" s="54" t="s">
        <v>47</v>
      </c>
      <c r="C86" s="54" t="s">
        <v>66</v>
      </c>
      <c r="D86" s="55"/>
      <c r="E86" s="55"/>
      <c r="F86" s="56" t="str">
        <f t="shared" si="1"/>
        <v>Média</v>
      </c>
      <c r="G86" s="55" t="str">
        <f t="shared" si="2"/>
        <v>CEA</v>
      </c>
      <c r="H86" s="57">
        <f t="shared" si="3"/>
        <v>4</v>
      </c>
      <c r="I86" s="58" t="str">
        <f t="shared" si="4"/>
        <v>A</v>
      </c>
      <c r="J86" s="55" t="str">
        <f t="shared" si="5"/>
        <v>CEI</v>
      </c>
      <c r="K86" s="59">
        <f t="shared" si="6"/>
        <v>4</v>
      </c>
      <c r="L86" s="59">
        <f>IF(NOT(ISERROR(VLOOKUP(B86,Deflatores!G$42:H$64,2,FALSE))),VLOOKUP(B86,Deflatores!G$42:H$64,2,FALSE),IF(OR(ISBLANK(C86),ISBLANK(B86)),"",VLOOKUP(C86,Deflatores!G$4:H$38,2,FALSE)*H86+VLOOKUP(C86,Deflatores!G$4:I$38,3,FALSE)))</f>
        <v>4</v>
      </c>
      <c r="M86" s="60"/>
      <c r="N86" s="60"/>
      <c r="O86" s="61"/>
    </row>
    <row r="87" ht="12.0" customHeight="1">
      <c r="A87" s="53" t="s">
        <v>112</v>
      </c>
      <c r="B87" s="54" t="s">
        <v>43</v>
      </c>
      <c r="C87" s="54" t="s">
        <v>66</v>
      </c>
      <c r="D87" s="55"/>
      <c r="E87" s="55"/>
      <c r="F87" s="56" t="str">
        <f t="shared" si="1"/>
        <v>Média</v>
      </c>
      <c r="G87" s="55" t="str">
        <f t="shared" si="2"/>
        <v>EEA</v>
      </c>
      <c r="H87" s="57">
        <f t="shared" si="3"/>
        <v>4</v>
      </c>
      <c r="I87" s="58" t="str">
        <f t="shared" si="4"/>
        <v>A</v>
      </c>
      <c r="J87" s="55" t="str">
        <f t="shared" si="5"/>
        <v>EEI</v>
      </c>
      <c r="K87" s="59">
        <f t="shared" si="6"/>
        <v>4</v>
      </c>
      <c r="L87" s="59">
        <f>IF(NOT(ISERROR(VLOOKUP(B87,Deflatores!G$42:H$64,2,FALSE))),VLOOKUP(B87,Deflatores!G$42:H$64,2,FALSE),IF(OR(ISBLANK(C87),ISBLANK(B87)),"",VLOOKUP(C87,Deflatores!G$4:H$38,2,FALSE)*H87+VLOOKUP(C87,Deflatores!G$4:I$38,3,FALSE)))</f>
        <v>4</v>
      </c>
      <c r="M87" s="60"/>
      <c r="N87" s="60"/>
      <c r="O87" s="61"/>
    </row>
    <row r="88" ht="12.0" customHeight="1">
      <c r="A88" s="53" t="s">
        <v>113</v>
      </c>
      <c r="B88" s="54" t="s">
        <v>53</v>
      </c>
      <c r="C88" s="54" t="s">
        <v>66</v>
      </c>
      <c r="D88" s="55"/>
      <c r="E88" s="55"/>
      <c r="F88" s="56" t="str">
        <f t="shared" si="1"/>
        <v>Baixa</v>
      </c>
      <c r="G88" s="55" t="str">
        <f t="shared" si="2"/>
        <v>ALIL</v>
      </c>
      <c r="H88" s="57">
        <f t="shared" si="3"/>
        <v>7</v>
      </c>
      <c r="I88" s="58" t="str">
        <f t="shared" si="4"/>
        <v>L</v>
      </c>
      <c r="J88" s="55" t="str">
        <f t="shared" si="5"/>
        <v>ALII</v>
      </c>
      <c r="K88" s="59">
        <f t="shared" si="6"/>
        <v>7</v>
      </c>
      <c r="L88" s="59">
        <f>IF(NOT(ISERROR(VLOOKUP(B88,Deflatores!G$42:H$64,2,FALSE))),VLOOKUP(B88,Deflatores!G$42:H$64,2,FALSE),IF(OR(ISBLANK(C88),ISBLANK(B88)),"",VLOOKUP(C88,Deflatores!G$4:H$38,2,FALSE)*H88+VLOOKUP(C88,Deflatores!G$4:I$38,3,FALSE)))</f>
        <v>7</v>
      </c>
      <c r="M88" s="60"/>
      <c r="N88" s="60"/>
      <c r="O88" s="61"/>
    </row>
    <row r="89" ht="12.0" customHeight="1">
      <c r="A89" s="53" t="s">
        <v>114</v>
      </c>
      <c r="B89" s="54" t="s">
        <v>47</v>
      </c>
      <c r="C89" s="54" t="s">
        <v>66</v>
      </c>
      <c r="D89" s="55"/>
      <c r="E89" s="55"/>
      <c r="F89" s="56" t="str">
        <f t="shared" si="1"/>
        <v>Média</v>
      </c>
      <c r="G89" s="55" t="str">
        <f t="shared" si="2"/>
        <v>CEA</v>
      </c>
      <c r="H89" s="57">
        <f t="shared" si="3"/>
        <v>4</v>
      </c>
      <c r="I89" s="58" t="str">
        <f t="shared" si="4"/>
        <v>A</v>
      </c>
      <c r="J89" s="55" t="str">
        <f t="shared" si="5"/>
        <v>CEI</v>
      </c>
      <c r="K89" s="59">
        <f t="shared" si="6"/>
        <v>4</v>
      </c>
      <c r="L89" s="59">
        <f>IF(NOT(ISERROR(VLOOKUP(B89,Deflatores!G$42:H$64,2,FALSE))),VLOOKUP(B89,Deflatores!G$42:H$64,2,FALSE),IF(OR(ISBLANK(C89),ISBLANK(B89)),"",VLOOKUP(C89,Deflatores!G$4:H$38,2,FALSE)*H89+VLOOKUP(C89,Deflatores!G$4:I$38,3,FALSE)))</f>
        <v>4</v>
      </c>
      <c r="M89" s="60"/>
      <c r="N89" s="60"/>
      <c r="O89" s="61"/>
    </row>
    <row r="90" ht="12.0" customHeight="1">
      <c r="A90" s="53" t="s">
        <v>115</v>
      </c>
      <c r="B90" s="54" t="s">
        <v>43</v>
      </c>
      <c r="C90" s="54" t="s">
        <v>66</v>
      </c>
      <c r="D90" s="55"/>
      <c r="E90" s="55"/>
      <c r="F90" s="56" t="str">
        <f t="shared" si="1"/>
        <v>Média</v>
      </c>
      <c r="G90" s="55" t="str">
        <f t="shared" si="2"/>
        <v>EEA</v>
      </c>
      <c r="H90" s="57">
        <f t="shared" si="3"/>
        <v>4</v>
      </c>
      <c r="I90" s="58" t="str">
        <f t="shared" si="4"/>
        <v>A</v>
      </c>
      <c r="J90" s="55" t="str">
        <f t="shared" si="5"/>
        <v>EEI</v>
      </c>
      <c r="K90" s="59">
        <f t="shared" si="6"/>
        <v>4</v>
      </c>
      <c r="L90" s="59">
        <f>IF(NOT(ISERROR(VLOOKUP(B90,Deflatores!G$42:H$64,2,FALSE))),VLOOKUP(B90,Deflatores!G$42:H$64,2,FALSE),IF(OR(ISBLANK(C90),ISBLANK(B90)),"",VLOOKUP(C90,Deflatores!G$4:H$38,2,FALSE)*H90+VLOOKUP(C90,Deflatores!G$4:I$38,3,FALSE)))</f>
        <v>4</v>
      </c>
      <c r="M90" s="60"/>
      <c r="N90" s="60"/>
      <c r="O90" s="61"/>
    </row>
    <row r="91" ht="12.0" customHeight="1">
      <c r="A91" s="53" t="s">
        <v>116</v>
      </c>
      <c r="B91" s="54" t="s">
        <v>47</v>
      </c>
      <c r="C91" s="54" t="s">
        <v>66</v>
      </c>
      <c r="D91" s="55"/>
      <c r="E91" s="55"/>
      <c r="F91" s="56" t="str">
        <f t="shared" si="1"/>
        <v>Média</v>
      </c>
      <c r="G91" s="55" t="str">
        <f t="shared" si="2"/>
        <v>CEA</v>
      </c>
      <c r="H91" s="57">
        <f t="shared" si="3"/>
        <v>4</v>
      </c>
      <c r="I91" s="58" t="str">
        <f t="shared" si="4"/>
        <v>A</v>
      </c>
      <c r="J91" s="55" t="str">
        <f t="shared" si="5"/>
        <v>CEI</v>
      </c>
      <c r="K91" s="59">
        <f t="shared" si="6"/>
        <v>4</v>
      </c>
      <c r="L91" s="59">
        <f>IF(NOT(ISERROR(VLOOKUP(B91,Deflatores!G$42:H$64,2,FALSE))),VLOOKUP(B91,Deflatores!G$42:H$64,2,FALSE),IF(OR(ISBLANK(C91),ISBLANK(B91)),"",VLOOKUP(C91,Deflatores!G$4:H$38,2,FALSE)*H91+VLOOKUP(C91,Deflatores!G$4:I$38,3,FALSE)))</f>
        <v>4</v>
      </c>
      <c r="M91" s="60"/>
      <c r="N91" s="60"/>
      <c r="O91" s="61"/>
    </row>
    <row r="92" ht="12.0" customHeight="1">
      <c r="A92" s="53" t="s">
        <v>117</v>
      </c>
      <c r="B92" s="54" t="s">
        <v>43</v>
      </c>
      <c r="C92" s="54" t="s">
        <v>66</v>
      </c>
      <c r="D92" s="55"/>
      <c r="E92" s="55"/>
      <c r="F92" s="56" t="str">
        <f t="shared" si="1"/>
        <v>Média</v>
      </c>
      <c r="G92" s="55" t="str">
        <f t="shared" si="2"/>
        <v>EEA</v>
      </c>
      <c r="H92" s="57">
        <f t="shared" si="3"/>
        <v>4</v>
      </c>
      <c r="I92" s="58" t="str">
        <f t="shared" si="4"/>
        <v>A</v>
      </c>
      <c r="J92" s="55" t="str">
        <f t="shared" si="5"/>
        <v>EEI</v>
      </c>
      <c r="K92" s="59">
        <f t="shared" si="6"/>
        <v>4</v>
      </c>
      <c r="L92" s="59">
        <f>IF(NOT(ISERROR(VLOOKUP(B92,Deflatores!G$42:H$64,2,FALSE))),VLOOKUP(B92,Deflatores!G$42:H$64,2,FALSE),IF(OR(ISBLANK(C92),ISBLANK(B92)),"",VLOOKUP(C92,Deflatores!G$4:H$38,2,FALSE)*H92+VLOOKUP(C92,Deflatores!G$4:I$38,3,FALSE)))</f>
        <v>4</v>
      </c>
      <c r="M92" s="60"/>
      <c r="N92" s="60"/>
      <c r="O92" s="61"/>
    </row>
    <row r="93" ht="12.0" customHeight="1">
      <c r="A93" s="53" t="s">
        <v>118</v>
      </c>
      <c r="B93" s="54" t="s">
        <v>47</v>
      </c>
      <c r="C93" s="54" t="s">
        <v>66</v>
      </c>
      <c r="D93" s="55"/>
      <c r="E93" s="55"/>
      <c r="F93" s="56" t="str">
        <f t="shared" si="1"/>
        <v>Média</v>
      </c>
      <c r="G93" s="55" t="str">
        <f t="shared" si="2"/>
        <v>CEA</v>
      </c>
      <c r="H93" s="57">
        <f t="shared" si="3"/>
        <v>4</v>
      </c>
      <c r="I93" s="58" t="str">
        <f t="shared" si="4"/>
        <v>A</v>
      </c>
      <c r="J93" s="55" t="str">
        <f t="shared" si="5"/>
        <v>CEI</v>
      </c>
      <c r="K93" s="59">
        <f t="shared" si="6"/>
        <v>4</v>
      </c>
      <c r="L93" s="59">
        <f>IF(NOT(ISERROR(VLOOKUP(B93,Deflatores!G$42:H$64,2,FALSE))),VLOOKUP(B93,Deflatores!G$42:H$64,2,FALSE),IF(OR(ISBLANK(C93),ISBLANK(B93)),"",VLOOKUP(C93,Deflatores!G$4:H$38,2,FALSE)*H93+VLOOKUP(C93,Deflatores!G$4:I$38,3,FALSE)))</f>
        <v>4</v>
      </c>
      <c r="M93" s="60"/>
      <c r="N93" s="60"/>
      <c r="O93" s="61"/>
    </row>
    <row r="94" ht="12.0" customHeight="1">
      <c r="A94" s="53" t="s">
        <v>119</v>
      </c>
      <c r="B94" s="54" t="s">
        <v>43</v>
      </c>
      <c r="C94" s="54" t="s">
        <v>66</v>
      </c>
      <c r="D94" s="55"/>
      <c r="E94" s="55"/>
      <c r="F94" s="56" t="str">
        <f t="shared" si="1"/>
        <v>Média</v>
      </c>
      <c r="G94" s="55" t="str">
        <f t="shared" si="2"/>
        <v>EEA</v>
      </c>
      <c r="H94" s="57">
        <f t="shared" si="3"/>
        <v>4</v>
      </c>
      <c r="I94" s="58" t="str">
        <f t="shared" si="4"/>
        <v>A</v>
      </c>
      <c r="J94" s="55" t="str">
        <f t="shared" si="5"/>
        <v>EEI</v>
      </c>
      <c r="K94" s="59">
        <f t="shared" si="6"/>
        <v>4</v>
      </c>
      <c r="L94" s="59">
        <f>IF(NOT(ISERROR(VLOOKUP(B94,Deflatores!G$42:H$64,2,FALSE))),VLOOKUP(B94,Deflatores!G$42:H$64,2,FALSE),IF(OR(ISBLANK(C94),ISBLANK(B94)),"",VLOOKUP(C94,Deflatores!G$4:H$38,2,FALSE)*H94+VLOOKUP(C94,Deflatores!G$4:I$38,3,FALSE)))</f>
        <v>4</v>
      </c>
      <c r="M94" s="60"/>
      <c r="N94" s="60"/>
      <c r="O94" s="61"/>
    </row>
    <row r="95" ht="12.0" customHeight="1">
      <c r="A95" s="53" t="s">
        <v>120</v>
      </c>
      <c r="B95" s="54" t="s">
        <v>47</v>
      </c>
      <c r="C95" s="54" t="s">
        <v>66</v>
      </c>
      <c r="D95" s="55"/>
      <c r="E95" s="55"/>
      <c r="F95" s="56" t="str">
        <f t="shared" si="1"/>
        <v>Média</v>
      </c>
      <c r="G95" s="55" t="str">
        <f t="shared" si="2"/>
        <v>CEA</v>
      </c>
      <c r="H95" s="57">
        <f t="shared" si="3"/>
        <v>4</v>
      </c>
      <c r="I95" s="58" t="str">
        <f t="shared" si="4"/>
        <v>A</v>
      </c>
      <c r="J95" s="55" t="str">
        <f t="shared" si="5"/>
        <v>CEI</v>
      </c>
      <c r="K95" s="59">
        <f t="shared" si="6"/>
        <v>4</v>
      </c>
      <c r="L95" s="59">
        <f>IF(NOT(ISERROR(VLOOKUP(B95,Deflatores!G$42:H$64,2,FALSE))),VLOOKUP(B95,Deflatores!G$42:H$64,2,FALSE),IF(OR(ISBLANK(C95),ISBLANK(B95)),"",VLOOKUP(C95,Deflatores!G$4:H$38,2,FALSE)*H95+VLOOKUP(C95,Deflatores!G$4:I$38,3,FALSE)))</f>
        <v>4</v>
      </c>
      <c r="M95" s="60"/>
      <c r="N95" s="60"/>
      <c r="O95" s="61"/>
    </row>
    <row r="96" ht="12.0" customHeight="1">
      <c r="A96" s="53" t="s">
        <v>121</v>
      </c>
      <c r="B96" s="54" t="s">
        <v>43</v>
      </c>
      <c r="C96" s="54" t="s">
        <v>66</v>
      </c>
      <c r="D96" s="55"/>
      <c r="E96" s="55"/>
      <c r="F96" s="56" t="str">
        <f t="shared" si="1"/>
        <v>Média</v>
      </c>
      <c r="G96" s="55" t="str">
        <f t="shared" si="2"/>
        <v>EEA</v>
      </c>
      <c r="H96" s="57">
        <f t="shared" si="3"/>
        <v>4</v>
      </c>
      <c r="I96" s="58" t="str">
        <f t="shared" si="4"/>
        <v>A</v>
      </c>
      <c r="J96" s="55" t="str">
        <f t="shared" si="5"/>
        <v>EEI</v>
      </c>
      <c r="K96" s="59">
        <f t="shared" si="6"/>
        <v>4</v>
      </c>
      <c r="L96" s="59">
        <f>IF(NOT(ISERROR(VLOOKUP(B96,Deflatores!G$42:H$64,2,FALSE))),VLOOKUP(B96,Deflatores!G$42:H$64,2,FALSE),IF(OR(ISBLANK(C96),ISBLANK(B96)),"",VLOOKUP(C96,Deflatores!G$4:H$38,2,FALSE)*H96+VLOOKUP(C96,Deflatores!G$4:I$38,3,FALSE)))</f>
        <v>4</v>
      </c>
      <c r="M96" s="60"/>
      <c r="N96" s="60"/>
      <c r="O96" s="61"/>
    </row>
    <row r="97" ht="12.0" customHeight="1">
      <c r="A97" s="53" t="s">
        <v>122</v>
      </c>
      <c r="B97" s="54" t="s">
        <v>47</v>
      </c>
      <c r="C97" s="54" t="s">
        <v>66</v>
      </c>
      <c r="D97" s="55"/>
      <c r="E97" s="55"/>
      <c r="F97" s="56" t="str">
        <f t="shared" si="1"/>
        <v>Média</v>
      </c>
      <c r="G97" s="55" t="str">
        <f t="shared" si="2"/>
        <v>CEA</v>
      </c>
      <c r="H97" s="57">
        <f t="shared" si="3"/>
        <v>4</v>
      </c>
      <c r="I97" s="58" t="str">
        <f t="shared" si="4"/>
        <v>A</v>
      </c>
      <c r="J97" s="55" t="str">
        <f t="shared" si="5"/>
        <v>CEI</v>
      </c>
      <c r="K97" s="59">
        <f t="shared" si="6"/>
        <v>4</v>
      </c>
      <c r="L97" s="59">
        <f>IF(NOT(ISERROR(VLOOKUP(B97,Deflatores!G$42:H$64,2,FALSE))),VLOOKUP(B97,Deflatores!G$42:H$64,2,FALSE),IF(OR(ISBLANK(C97),ISBLANK(B97)),"",VLOOKUP(C97,Deflatores!G$4:H$38,2,FALSE)*H97+VLOOKUP(C97,Deflatores!G$4:I$38,3,FALSE)))</f>
        <v>4</v>
      </c>
      <c r="M97" s="60"/>
      <c r="N97" s="60"/>
      <c r="O97" s="61"/>
    </row>
    <row r="98" ht="12.0" customHeight="1">
      <c r="A98" s="53" t="s">
        <v>123</v>
      </c>
      <c r="B98" s="54" t="s">
        <v>43</v>
      </c>
      <c r="C98" s="54" t="s">
        <v>66</v>
      </c>
      <c r="D98" s="55"/>
      <c r="E98" s="55"/>
      <c r="F98" s="56" t="str">
        <f t="shared" si="1"/>
        <v>Média</v>
      </c>
      <c r="G98" s="55" t="str">
        <f t="shared" si="2"/>
        <v>EEA</v>
      </c>
      <c r="H98" s="57">
        <f t="shared" si="3"/>
        <v>4</v>
      </c>
      <c r="I98" s="58" t="str">
        <f t="shared" si="4"/>
        <v>A</v>
      </c>
      <c r="J98" s="55" t="str">
        <f t="shared" si="5"/>
        <v>EEI</v>
      </c>
      <c r="K98" s="59">
        <f t="shared" si="6"/>
        <v>4</v>
      </c>
      <c r="L98" s="59">
        <f>IF(NOT(ISERROR(VLOOKUP(B98,Deflatores!G$42:H$64,2,FALSE))),VLOOKUP(B98,Deflatores!G$42:H$64,2,FALSE),IF(OR(ISBLANK(C98),ISBLANK(B98)),"",VLOOKUP(C98,Deflatores!G$4:H$38,2,FALSE)*H98+VLOOKUP(C98,Deflatores!G$4:I$38,3,FALSE)))</f>
        <v>4</v>
      </c>
      <c r="M98" s="60"/>
      <c r="N98" s="60"/>
      <c r="O98" s="61"/>
    </row>
    <row r="99" ht="12.0" customHeight="1">
      <c r="A99" s="53"/>
      <c r="B99" s="54"/>
      <c r="C99" s="54"/>
      <c r="D99" s="55"/>
      <c r="E99" s="55"/>
      <c r="F99" s="56" t="str">
        <f t="shared" si="1"/>
        <v/>
      </c>
      <c r="G99" s="55" t="str">
        <f t="shared" si="2"/>
        <v/>
      </c>
      <c r="H99" s="57" t="str">
        <f t="shared" si="3"/>
        <v/>
      </c>
      <c r="I99" s="58" t="str">
        <f t="shared" si="4"/>
        <v/>
      </c>
      <c r="J99" s="55" t="str">
        <f t="shared" si="5"/>
        <v/>
      </c>
      <c r="K99" s="59" t="str">
        <f t="shared" si="6"/>
        <v/>
      </c>
      <c r="L99" s="59" t="str">
        <f>IF(NOT(ISERROR(VLOOKUP(B99,Deflatores!G$42:H$64,2,FALSE))),VLOOKUP(B99,Deflatores!G$42:H$64,2,FALSE),IF(OR(ISBLANK(C99),ISBLANK(B99)),"",VLOOKUP(C99,Deflatores!G$4:H$38,2,FALSE)*H99+VLOOKUP(C99,Deflatores!G$4:I$38,3,FALSE)))</f>
        <v/>
      </c>
      <c r="M99" s="60"/>
      <c r="N99" s="60"/>
      <c r="O99" s="61"/>
    </row>
    <row r="100" ht="12.0" customHeight="1">
      <c r="A100" s="62" t="s">
        <v>124</v>
      </c>
      <c r="B100" s="54"/>
      <c r="C100" s="54"/>
      <c r="D100" s="55"/>
      <c r="E100" s="55"/>
      <c r="F100" s="56" t="str">
        <f t="shared" si="1"/>
        <v/>
      </c>
      <c r="G100" s="55" t="str">
        <f t="shared" si="2"/>
        <v/>
      </c>
      <c r="H100" s="57" t="str">
        <f t="shared" si="3"/>
        <v/>
      </c>
      <c r="I100" s="58" t="str">
        <f t="shared" si="4"/>
        <v/>
      </c>
      <c r="J100" s="55" t="str">
        <f t="shared" si="5"/>
        <v/>
      </c>
      <c r="K100" s="59" t="str">
        <f t="shared" si="6"/>
        <v/>
      </c>
      <c r="L100" s="59" t="str">
        <f>IF(NOT(ISERROR(VLOOKUP(B100,Deflatores!G$42:H$64,2,FALSE))),VLOOKUP(B100,Deflatores!G$42:H$64,2,FALSE),IF(OR(ISBLANK(C100),ISBLANK(B100)),"",VLOOKUP(C100,Deflatores!G$4:H$38,2,FALSE)*H100+VLOOKUP(C100,Deflatores!G$4:I$38,3,FALSE)))</f>
        <v/>
      </c>
      <c r="M100" s="60"/>
      <c r="N100" s="60"/>
      <c r="O100" s="61"/>
    </row>
    <row r="101" ht="12.0" customHeight="1">
      <c r="A101" s="53" t="s">
        <v>125</v>
      </c>
      <c r="B101" s="54" t="s">
        <v>43</v>
      </c>
      <c r="C101" s="54" t="s">
        <v>66</v>
      </c>
      <c r="D101" s="55"/>
      <c r="E101" s="55"/>
      <c r="F101" s="56" t="str">
        <f t="shared" si="1"/>
        <v>Média</v>
      </c>
      <c r="G101" s="55" t="str">
        <f t="shared" si="2"/>
        <v>EEA</v>
      </c>
      <c r="H101" s="57">
        <f t="shared" si="3"/>
        <v>4</v>
      </c>
      <c r="I101" s="58" t="str">
        <f t="shared" si="4"/>
        <v>A</v>
      </c>
      <c r="J101" s="55" t="str">
        <f t="shared" si="5"/>
        <v>EEI</v>
      </c>
      <c r="K101" s="59">
        <f t="shared" si="6"/>
        <v>4</v>
      </c>
      <c r="L101" s="59">
        <f>IF(NOT(ISERROR(VLOOKUP(B101,Deflatores!G$42:H$64,2,FALSE))),VLOOKUP(B101,Deflatores!G$42:H$64,2,FALSE),IF(OR(ISBLANK(C101),ISBLANK(B101)),"",VLOOKUP(C101,Deflatores!G$4:H$38,2,FALSE)*H101+VLOOKUP(C101,Deflatores!G$4:I$38,3,FALSE)))</f>
        <v>4</v>
      </c>
      <c r="M101" s="60"/>
      <c r="N101" s="60"/>
      <c r="O101" s="61" t="s">
        <v>126</v>
      </c>
    </row>
    <row r="102" ht="12.0" customHeight="1">
      <c r="A102" s="53" t="s">
        <v>127</v>
      </c>
      <c r="B102" s="54" t="s">
        <v>47</v>
      </c>
      <c r="C102" s="54" t="s">
        <v>66</v>
      </c>
      <c r="D102" s="55"/>
      <c r="E102" s="55"/>
      <c r="F102" s="56" t="str">
        <f t="shared" si="1"/>
        <v>Média</v>
      </c>
      <c r="G102" s="55" t="str">
        <f t="shared" si="2"/>
        <v>CEA</v>
      </c>
      <c r="H102" s="57">
        <f t="shared" si="3"/>
        <v>4</v>
      </c>
      <c r="I102" s="58" t="str">
        <f t="shared" si="4"/>
        <v>A</v>
      </c>
      <c r="J102" s="55" t="str">
        <f t="shared" si="5"/>
        <v>CEI</v>
      </c>
      <c r="K102" s="59">
        <f t="shared" si="6"/>
        <v>4</v>
      </c>
      <c r="L102" s="59">
        <f>IF(NOT(ISERROR(VLOOKUP(B102,Deflatores!G$42:H$64,2,FALSE))),VLOOKUP(B102,Deflatores!G$42:H$64,2,FALSE),IF(OR(ISBLANK(C102),ISBLANK(B102)),"",VLOOKUP(C102,Deflatores!G$4:H$38,2,FALSE)*H102+VLOOKUP(C102,Deflatores!G$4:I$38,3,FALSE)))</f>
        <v>4</v>
      </c>
      <c r="M102" s="60"/>
      <c r="N102" s="60"/>
      <c r="O102" s="61"/>
    </row>
    <row r="103" ht="12.0" customHeight="1">
      <c r="A103" s="53" t="s">
        <v>128</v>
      </c>
      <c r="B103" s="54" t="s">
        <v>43</v>
      </c>
      <c r="C103" s="54" t="s">
        <v>66</v>
      </c>
      <c r="D103" s="55"/>
      <c r="E103" s="55"/>
      <c r="F103" s="56" t="str">
        <f t="shared" si="1"/>
        <v>Média</v>
      </c>
      <c r="G103" s="55" t="str">
        <f t="shared" si="2"/>
        <v>EEA</v>
      </c>
      <c r="H103" s="57">
        <f t="shared" si="3"/>
        <v>4</v>
      </c>
      <c r="I103" s="58" t="str">
        <f t="shared" si="4"/>
        <v>A</v>
      </c>
      <c r="J103" s="55" t="str">
        <f t="shared" si="5"/>
        <v>EEI</v>
      </c>
      <c r="K103" s="59">
        <f t="shared" si="6"/>
        <v>4</v>
      </c>
      <c r="L103" s="59">
        <f>IF(NOT(ISERROR(VLOOKUP(B103,Deflatores!G$42:H$64,2,FALSE))),VLOOKUP(B103,Deflatores!G$42:H$64,2,FALSE),IF(OR(ISBLANK(C103),ISBLANK(B103)),"",VLOOKUP(C103,Deflatores!G$4:H$38,2,FALSE)*H103+VLOOKUP(C103,Deflatores!G$4:I$38,3,FALSE)))</f>
        <v>4</v>
      </c>
      <c r="M103" s="60"/>
      <c r="N103" s="60"/>
      <c r="O103" s="61"/>
    </row>
    <row r="104" ht="12.0" customHeight="1">
      <c r="A104" s="53"/>
      <c r="B104" s="54"/>
      <c r="C104" s="54"/>
      <c r="D104" s="55"/>
      <c r="E104" s="55"/>
      <c r="F104" s="56" t="str">
        <f t="shared" si="1"/>
        <v/>
      </c>
      <c r="G104" s="55" t="str">
        <f t="shared" si="2"/>
        <v/>
      </c>
      <c r="H104" s="57" t="str">
        <f t="shared" si="3"/>
        <v/>
      </c>
      <c r="I104" s="58" t="str">
        <f t="shared" si="4"/>
        <v/>
      </c>
      <c r="J104" s="55" t="str">
        <f t="shared" si="5"/>
        <v/>
      </c>
      <c r="K104" s="59" t="str">
        <f t="shared" si="6"/>
        <v/>
      </c>
      <c r="L104" s="59" t="str">
        <f>IF(NOT(ISERROR(VLOOKUP(B104,Deflatores!G$42:H$64,2,FALSE))),VLOOKUP(B104,Deflatores!G$42:H$64,2,FALSE),IF(OR(ISBLANK(C104),ISBLANK(B104)),"",VLOOKUP(C104,Deflatores!G$4:H$38,2,FALSE)*H104+VLOOKUP(C104,Deflatores!G$4:I$38,3,FALSE)))</f>
        <v/>
      </c>
      <c r="M104" s="60"/>
      <c r="N104" s="60"/>
      <c r="O104" s="61"/>
    </row>
    <row r="105" ht="12.0" customHeight="1">
      <c r="A105" s="62" t="s">
        <v>129</v>
      </c>
      <c r="B105" s="54"/>
      <c r="C105" s="54"/>
      <c r="D105" s="55"/>
      <c r="E105" s="55"/>
      <c r="F105" s="56" t="str">
        <f t="shared" si="1"/>
        <v/>
      </c>
      <c r="G105" s="55" t="str">
        <f t="shared" si="2"/>
        <v/>
      </c>
      <c r="H105" s="57" t="str">
        <f t="shared" si="3"/>
        <v/>
      </c>
      <c r="I105" s="58" t="str">
        <f t="shared" si="4"/>
        <v/>
      </c>
      <c r="J105" s="55" t="str">
        <f t="shared" si="5"/>
        <v/>
      </c>
      <c r="K105" s="59" t="str">
        <f t="shared" si="6"/>
        <v/>
      </c>
      <c r="L105" s="59" t="str">
        <f>IF(NOT(ISERROR(VLOOKUP(B105,Deflatores!G$42:H$64,2,FALSE))),VLOOKUP(B105,Deflatores!G$42:H$64,2,FALSE),IF(OR(ISBLANK(C105),ISBLANK(B105)),"",VLOOKUP(C105,Deflatores!G$4:H$38,2,FALSE)*H105+VLOOKUP(C105,Deflatores!G$4:I$38,3,FALSE)))</f>
        <v/>
      </c>
      <c r="M105" s="60"/>
      <c r="N105" s="60"/>
      <c r="O105" s="61"/>
    </row>
    <row r="106" ht="12.0" customHeight="1">
      <c r="A106" s="53" t="s">
        <v>130</v>
      </c>
      <c r="B106" s="54" t="s">
        <v>47</v>
      </c>
      <c r="C106" s="54" t="s">
        <v>66</v>
      </c>
      <c r="D106" s="55"/>
      <c r="E106" s="55"/>
      <c r="F106" s="56" t="str">
        <f t="shared" si="1"/>
        <v>Média</v>
      </c>
      <c r="G106" s="55" t="str">
        <f t="shared" si="2"/>
        <v>CEA</v>
      </c>
      <c r="H106" s="57">
        <f t="shared" si="3"/>
        <v>4</v>
      </c>
      <c r="I106" s="58" t="str">
        <f t="shared" si="4"/>
        <v>A</v>
      </c>
      <c r="J106" s="55" t="str">
        <f t="shared" si="5"/>
        <v>CEI</v>
      </c>
      <c r="K106" s="59">
        <f t="shared" si="6"/>
        <v>4</v>
      </c>
      <c r="L106" s="59">
        <f>IF(NOT(ISERROR(VLOOKUP(B106,Deflatores!G$42:H$64,2,FALSE))),VLOOKUP(B106,Deflatores!G$42:H$64,2,FALSE),IF(OR(ISBLANK(C106),ISBLANK(B106)),"",VLOOKUP(C106,Deflatores!G$4:H$38,2,FALSE)*H106+VLOOKUP(C106,Deflatores!G$4:I$38,3,FALSE)))</f>
        <v>4</v>
      </c>
      <c r="M106" s="60"/>
      <c r="N106" s="60"/>
      <c r="O106" s="61"/>
    </row>
    <row r="107" ht="12.0" customHeight="1">
      <c r="A107" s="53" t="s">
        <v>131</v>
      </c>
      <c r="B107" s="54" t="s">
        <v>47</v>
      </c>
      <c r="C107" s="54" t="s">
        <v>66</v>
      </c>
      <c r="D107" s="55"/>
      <c r="E107" s="55"/>
      <c r="F107" s="56" t="str">
        <f t="shared" si="1"/>
        <v>Média</v>
      </c>
      <c r="G107" s="55" t="str">
        <f t="shared" si="2"/>
        <v>CEA</v>
      </c>
      <c r="H107" s="57">
        <f t="shared" si="3"/>
        <v>4</v>
      </c>
      <c r="I107" s="58" t="str">
        <f t="shared" si="4"/>
        <v>A</v>
      </c>
      <c r="J107" s="55" t="str">
        <f t="shared" si="5"/>
        <v>CEI</v>
      </c>
      <c r="K107" s="59">
        <f t="shared" si="6"/>
        <v>4</v>
      </c>
      <c r="L107" s="59">
        <f>IF(NOT(ISERROR(VLOOKUP(B107,Deflatores!G$42:H$64,2,FALSE))),VLOOKUP(B107,Deflatores!G$42:H$64,2,FALSE),IF(OR(ISBLANK(C107),ISBLANK(B107)),"",VLOOKUP(C107,Deflatores!G$4:H$38,2,FALSE)*H107+VLOOKUP(C107,Deflatores!G$4:I$38,3,FALSE)))</f>
        <v>4</v>
      </c>
      <c r="M107" s="60"/>
      <c r="N107" s="60"/>
      <c r="O107" s="61"/>
    </row>
    <row r="108" ht="12.0" customHeight="1">
      <c r="A108" s="53" t="s">
        <v>132</v>
      </c>
      <c r="B108" s="54" t="s">
        <v>43</v>
      </c>
      <c r="C108" s="54" t="s">
        <v>66</v>
      </c>
      <c r="D108" s="55"/>
      <c r="E108" s="55"/>
      <c r="F108" s="56" t="str">
        <f t="shared" si="1"/>
        <v>Média</v>
      </c>
      <c r="G108" s="55" t="str">
        <f t="shared" si="2"/>
        <v>EEA</v>
      </c>
      <c r="H108" s="57">
        <f t="shared" si="3"/>
        <v>4</v>
      </c>
      <c r="I108" s="58" t="str">
        <f t="shared" si="4"/>
        <v>A</v>
      </c>
      <c r="J108" s="55" t="str">
        <f t="shared" si="5"/>
        <v>EEI</v>
      </c>
      <c r="K108" s="59">
        <f t="shared" si="6"/>
        <v>4</v>
      </c>
      <c r="L108" s="59">
        <f>IF(NOT(ISERROR(VLOOKUP(B108,Deflatores!G$42:H$64,2,FALSE))),VLOOKUP(B108,Deflatores!G$42:H$64,2,FALSE),IF(OR(ISBLANK(C108),ISBLANK(B108)),"",VLOOKUP(C108,Deflatores!G$4:H$38,2,FALSE)*H108+VLOOKUP(C108,Deflatores!G$4:I$38,3,FALSE)))</f>
        <v>4</v>
      </c>
      <c r="M108" s="60"/>
      <c r="N108" s="60"/>
      <c r="O108" s="61"/>
    </row>
    <row r="109" ht="12.0" customHeight="1">
      <c r="A109" s="53"/>
      <c r="B109" s="54"/>
      <c r="C109" s="54"/>
      <c r="D109" s="55"/>
      <c r="E109" s="55"/>
      <c r="F109" s="56" t="str">
        <f t="shared" si="1"/>
        <v/>
      </c>
      <c r="G109" s="55" t="str">
        <f t="shared" si="2"/>
        <v/>
      </c>
      <c r="H109" s="57" t="str">
        <f t="shared" si="3"/>
        <v/>
      </c>
      <c r="I109" s="58" t="str">
        <f t="shared" si="4"/>
        <v/>
      </c>
      <c r="J109" s="55" t="str">
        <f t="shared" si="5"/>
        <v/>
      </c>
      <c r="K109" s="59" t="str">
        <f t="shared" si="6"/>
        <v/>
      </c>
      <c r="L109" s="59" t="str">
        <f>IF(NOT(ISERROR(VLOOKUP(B109,Deflatores!G$42:H$64,2,FALSE))),VLOOKUP(B109,Deflatores!G$42:H$64,2,FALSE),IF(OR(ISBLANK(C109),ISBLANK(B109)),"",VLOOKUP(C109,Deflatores!G$4:H$38,2,FALSE)*H109+VLOOKUP(C109,Deflatores!G$4:I$38,3,FALSE)))</f>
        <v/>
      </c>
      <c r="M109" s="60"/>
      <c r="N109" s="60"/>
      <c r="O109" s="61"/>
    </row>
    <row r="110" ht="12.0" customHeight="1">
      <c r="A110" s="62" t="s">
        <v>133</v>
      </c>
      <c r="B110" s="54"/>
      <c r="C110" s="54"/>
      <c r="D110" s="55"/>
      <c r="E110" s="55"/>
      <c r="F110" s="56" t="str">
        <f t="shared" si="1"/>
        <v/>
      </c>
      <c r="G110" s="55" t="str">
        <f t="shared" si="2"/>
        <v/>
      </c>
      <c r="H110" s="57" t="str">
        <f t="shared" si="3"/>
        <v/>
      </c>
      <c r="I110" s="58" t="str">
        <f t="shared" si="4"/>
        <v/>
      </c>
      <c r="J110" s="55" t="str">
        <f t="shared" si="5"/>
        <v/>
      </c>
      <c r="K110" s="59" t="str">
        <f t="shared" si="6"/>
        <v/>
      </c>
      <c r="L110" s="59" t="str">
        <f>IF(NOT(ISERROR(VLOOKUP(B110,Deflatores!G$42:H$64,2,FALSE))),VLOOKUP(B110,Deflatores!G$42:H$64,2,FALSE),IF(OR(ISBLANK(C110),ISBLANK(B110)),"",VLOOKUP(C110,Deflatores!G$4:H$38,2,FALSE)*H110+VLOOKUP(C110,Deflatores!G$4:I$38,3,FALSE)))</f>
        <v/>
      </c>
      <c r="M110" s="60"/>
      <c r="N110" s="60"/>
      <c r="O110" s="61"/>
    </row>
    <row r="111" ht="12.0" customHeight="1">
      <c r="A111" s="53" t="s">
        <v>134</v>
      </c>
      <c r="B111" s="54" t="s">
        <v>47</v>
      </c>
      <c r="C111" s="54" t="s">
        <v>66</v>
      </c>
      <c r="D111" s="55"/>
      <c r="E111" s="55"/>
      <c r="F111" s="56" t="str">
        <f t="shared" si="1"/>
        <v>Média</v>
      </c>
      <c r="G111" s="55" t="str">
        <f t="shared" si="2"/>
        <v>CEA</v>
      </c>
      <c r="H111" s="57">
        <f t="shared" si="3"/>
        <v>4</v>
      </c>
      <c r="I111" s="58" t="str">
        <f t="shared" si="4"/>
        <v>A</v>
      </c>
      <c r="J111" s="55" t="str">
        <f t="shared" si="5"/>
        <v>CEI</v>
      </c>
      <c r="K111" s="59">
        <f t="shared" si="6"/>
        <v>4</v>
      </c>
      <c r="L111" s="59">
        <f>IF(NOT(ISERROR(VLOOKUP(B111,Deflatores!G$42:H$64,2,FALSE))),VLOOKUP(B111,Deflatores!G$42:H$64,2,FALSE),IF(OR(ISBLANK(C111),ISBLANK(B111)),"",VLOOKUP(C111,Deflatores!G$4:H$38,2,FALSE)*H111+VLOOKUP(C111,Deflatores!G$4:I$38,3,FALSE)))</f>
        <v>4</v>
      </c>
      <c r="M111" s="60"/>
      <c r="N111" s="60"/>
      <c r="O111" s="61"/>
    </row>
    <row r="112" ht="13.5" customHeight="1">
      <c r="A112" s="53" t="s">
        <v>135</v>
      </c>
      <c r="B112" s="54" t="s">
        <v>47</v>
      </c>
      <c r="C112" s="54" t="s">
        <v>66</v>
      </c>
      <c r="D112" s="55"/>
      <c r="E112" s="55"/>
      <c r="F112" s="56" t="str">
        <f t="shared" si="1"/>
        <v>Média</v>
      </c>
      <c r="G112" s="55" t="str">
        <f t="shared" si="2"/>
        <v>CEA</v>
      </c>
      <c r="H112" s="57">
        <f t="shared" si="3"/>
        <v>4</v>
      </c>
      <c r="I112" s="58" t="str">
        <f t="shared" si="4"/>
        <v>A</v>
      </c>
      <c r="J112" s="55" t="str">
        <f t="shared" si="5"/>
        <v>CEI</v>
      </c>
      <c r="K112" s="59">
        <f t="shared" si="6"/>
        <v>4</v>
      </c>
      <c r="L112" s="59">
        <f>IF(NOT(ISERROR(VLOOKUP(B112,Deflatores!G$42:H$64,2,FALSE))),VLOOKUP(B112,Deflatores!G$42:H$64,2,FALSE),IF(OR(ISBLANK(C112),ISBLANK(B112)),"",VLOOKUP(C112,Deflatores!G$4:H$38,2,FALSE)*H112+VLOOKUP(C112,Deflatores!G$4:I$38,3,FALSE)))</f>
        <v>4</v>
      </c>
      <c r="M112" s="60"/>
      <c r="N112" s="60"/>
      <c r="O112" s="61"/>
    </row>
    <row r="113" ht="12.0" customHeight="1">
      <c r="A113" s="53" t="s">
        <v>136</v>
      </c>
      <c r="B113" s="54" t="s">
        <v>47</v>
      </c>
      <c r="C113" s="54" t="s">
        <v>66</v>
      </c>
      <c r="D113" s="55"/>
      <c r="E113" s="55"/>
      <c r="F113" s="56" t="str">
        <f t="shared" si="1"/>
        <v>Média</v>
      </c>
      <c r="G113" s="55" t="str">
        <f t="shared" si="2"/>
        <v>CEA</v>
      </c>
      <c r="H113" s="57">
        <f t="shared" si="3"/>
        <v>4</v>
      </c>
      <c r="I113" s="58" t="str">
        <f t="shared" si="4"/>
        <v>A</v>
      </c>
      <c r="J113" s="55" t="str">
        <f t="shared" si="5"/>
        <v>CEI</v>
      </c>
      <c r="K113" s="59">
        <f t="shared" si="6"/>
        <v>4</v>
      </c>
      <c r="L113" s="59">
        <f>IF(NOT(ISERROR(VLOOKUP(B113,Deflatores!G$42:H$64,2,FALSE))),VLOOKUP(B113,Deflatores!G$42:H$64,2,FALSE),IF(OR(ISBLANK(C113),ISBLANK(B113)),"",VLOOKUP(C113,Deflatores!G$4:H$38,2,FALSE)*H113+VLOOKUP(C113,Deflatores!G$4:I$38,3,FALSE)))</f>
        <v>4</v>
      </c>
      <c r="M113" s="60"/>
      <c r="N113" s="60"/>
      <c r="O113" s="61"/>
    </row>
    <row r="114" ht="12.0" customHeight="1">
      <c r="A114" s="53"/>
      <c r="B114" s="54"/>
      <c r="C114" s="54"/>
      <c r="D114" s="55"/>
      <c r="E114" s="55"/>
      <c r="F114" s="56" t="str">
        <f t="shared" si="1"/>
        <v/>
      </c>
      <c r="G114" s="55" t="str">
        <f t="shared" si="2"/>
        <v/>
      </c>
      <c r="H114" s="57" t="str">
        <f t="shared" si="3"/>
        <v/>
      </c>
      <c r="I114" s="58" t="str">
        <f t="shared" si="4"/>
        <v/>
      </c>
      <c r="J114" s="55" t="str">
        <f t="shared" si="5"/>
        <v/>
      </c>
      <c r="K114" s="59" t="str">
        <f t="shared" si="6"/>
        <v/>
      </c>
      <c r="L114" s="59" t="str">
        <f>IF(NOT(ISERROR(VLOOKUP(B114,Deflatores!G$42:H$64,2,FALSE))),VLOOKUP(B114,Deflatores!G$42:H$64,2,FALSE),IF(OR(ISBLANK(C114),ISBLANK(B114)),"",VLOOKUP(C114,Deflatores!G$4:H$38,2,FALSE)*H114+VLOOKUP(C114,Deflatores!G$4:I$38,3,FALSE)))</f>
        <v/>
      </c>
      <c r="M114" s="60"/>
      <c r="N114" s="60"/>
      <c r="O114" s="61"/>
    </row>
    <row r="115" ht="12.0" customHeight="1">
      <c r="A115" s="53"/>
      <c r="B115" s="54"/>
      <c r="C115" s="54"/>
      <c r="D115" s="55"/>
      <c r="E115" s="55"/>
      <c r="F115" s="56" t="str">
        <f t="shared" si="1"/>
        <v/>
      </c>
      <c r="G115" s="55" t="str">
        <f t="shared" si="2"/>
        <v/>
      </c>
      <c r="H115" s="57" t="str">
        <f t="shared" si="3"/>
        <v/>
      </c>
      <c r="I115" s="58" t="str">
        <f t="shared" si="4"/>
        <v/>
      </c>
      <c r="J115" s="55" t="str">
        <f t="shared" si="5"/>
        <v/>
      </c>
      <c r="K115" s="59" t="str">
        <f t="shared" si="6"/>
        <v/>
      </c>
      <c r="L115" s="59" t="str">
        <f>IF(NOT(ISERROR(VLOOKUP(B115,Deflatores!G$42:H$64,2,FALSE))),VLOOKUP(B115,Deflatores!G$42:H$64,2,FALSE),IF(OR(ISBLANK(C115),ISBLANK(B115)),"",VLOOKUP(C115,Deflatores!G$4:H$38,2,FALSE)*H115+VLOOKUP(C115,Deflatores!G$4:I$38,3,FALSE)))</f>
        <v/>
      </c>
      <c r="M115" s="60"/>
      <c r="N115" s="60"/>
      <c r="O115" s="61"/>
    </row>
    <row r="116" ht="12.0" customHeight="1">
      <c r="A116" s="53"/>
      <c r="B116" s="54"/>
      <c r="C116" s="54"/>
      <c r="D116" s="55"/>
      <c r="E116" s="55"/>
      <c r="F116" s="56" t="str">
        <f t="shared" si="1"/>
        <v/>
      </c>
      <c r="G116" s="55" t="str">
        <f t="shared" si="2"/>
        <v/>
      </c>
      <c r="H116" s="57" t="str">
        <f t="shared" si="3"/>
        <v/>
      </c>
      <c r="I116" s="58" t="str">
        <f t="shared" si="4"/>
        <v/>
      </c>
      <c r="J116" s="55" t="str">
        <f t="shared" si="5"/>
        <v/>
      </c>
      <c r="K116" s="59" t="str">
        <f t="shared" si="6"/>
        <v/>
      </c>
      <c r="L116" s="59" t="str">
        <f>IF(NOT(ISERROR(VLOOKUP(B116,Deflatores!G$42:H$64,2,FALSE))),VLOOKUP(B116,Deflatores!G$42:H$64,2,FALSE),IF(OR(ISBLANK(C116),ISBLANK(B116)),"",VLOOKUP(C116,Deflatores!G$4:H$38,2,FALSE)*H116+VLOOKUP(C116,Deflatores!G$4:I$38,3,FALSE)))</f>
        <v/>
      </c>
      <c r="M116" s="60"/>
      <c r="N116" s="60"/>
      <c r="O116" s="61"/>
    </row>
    <row r="117" ht="12.0" customHeight="1">
      <c r="A117" s="53"/>
      <c r="B117" s="54"/>
      <c r="C117" s="54"/>
      <c r="D117" s="55"/>
      <c r="E117" s="55"/>
      <c r="F117" s="56" t="str">
        <f t="shared" si="1"/>
        <v/>
      </c>
      <c r="G117" s="55" t="str">
        <f t="shared" si="2"/>
        <v/>
      </c>
      <c r="H117" s="57" t="str">
        <f t="shared" si="3"/>
        <v/>
      </c>
      <c r="I117" s="58" t="str">
        <f t="shared" si="4"/>
        <v/>
      </c>
      <c r="J117" s="55" t="str">
        <f t="shared" si="5"/>
        <v/>
      </c>
      <c r="K117" s="59" t="str">
        <f t="shared" si="6"/>
        <v/>
      </c>
      <c r="L117" s="59" t="str">
        <f>IF(NOT(ISERROR(VLOOKUP(B117,Deflatores!G$42:H$64,2,FALSE))),VLOOKUP(B117,Deflatores!G$42:H$64,2,FALSE),IF(OR(ISBLANK(C117),ISBLANK(B117)),"",VLOOKUP(C117,Deflatores!G$4:H$38,2,FALSE)*H117+VLOOKUP(C117,Deflatores!G$4:I$38,3,FALSE)))</f>
        <v/>
      </c>
      <c r="M117" s="60"/>
      <c r="N117" s="60"/>
      <c r="O117" s="61"/>
    </row>
    <row r="118" ht="13.5" customHeight="1">
      <c r="A118" s="65" t="s">
        <v>137</v>
      </c>
      <c r="B118" s="66" t="s">
        <v>53</v>
      </c>
      <c r="C118" s="66" t="s">
        <v>66</v>
      </c>
      <c r="D118" s="55"/>
      <c r="E118" s="55"/>
      <c r="F118" s="56" t="str">
        <f t="shared" si="1"/>
        <v>Baixa</v>
      </c>
      <c r="G118" s="55" t="str">
        <f t="shared" si="2"/>
        <v>ALIL</v>
      </c>
      <c r="H118" s="57">
        <f t="shared" si="3"/>
        <v>7</v>
      </c>
      <c r="I118" s="58" t="str">
        <f t="shared" si="4"/>
        <v>L</v>
      </c>
      <c r="J118" s="55" t="str">
        <f t="shared" si="5"/>
        <v>ALII</v>
      </c>
      <c r="K118" s="59">
        <f t="shared" si="6"/>
        <v>7</v>
      </c>
      <c r="L118" s="59">
        <f>IF(NOT(ISERROR(VLOOKUP(B118,Deflatores!G$42:H$64,2,FALSE))),VLOOKUP(B118,Deflatores!G$42:H$64,2,FALSE),IF(OR(ISBLANK(C118),ISBLANK(B118)),"",VLOOKUP(C118,Deflatores!G$4:H$38,2,FALSE)*H118+VLOOKUP(C118,Deflatores!G$4:I$38,3,FALSE)))</f>
        <v>7</v>
      </c>
      <c r="M118" s="60"/>
      <c r="N118" s="60"/>
      <c r="O118" s="61"/>
    </row>
    <row r="119" ht="13.5" customHeight="1">
      <c r="A119" s="65" t="s">
        <v>138</v>
      </c>
      <c r="B119" s="66" t="s">
        <v>43</v>
      </c>
      <c r="C119" s="66" t="s">
        <v>66</v>
      </c>
      <c r="D119" s="55"/>
      <c r="E119" s="55"/>
      <c r="F119" s="56" t="str">
        <f t="shared" si="1"/>
        <v>Média</v>
      </c>
      <c r="G119" s="55" t="str">
        <f t="shared" si="2"/>
        <v>EEA</v>
      </c>
      <c r="H119" s="57">
        <f t="shared" si="3"/>
        <v>4</v>
      </c>
      <c r="I119" s="58" t="str">
        <f t="shared" si="4"/>
        <v>A</v>
      </c>
      <c r="J119" s="55" t="str">
        <f t="shared" si="5"/>
        <v>EEI</v>
      </c>
      <c r="K119" s="59">
        <f t="shared" si="6"/>
        <v>4</v>
      </c>
      <c r="L119" s="59">
        <f>IF(NOT(ISERROR(VLOOKUP(B119,Deflatores!G$42:H$64,2,FALSE))),VLOOKUP(B119,Deflatores!G$42:H$64,2,FALSE),IF(OR(ISBLANK(C119),ISBLANK(B119)),"",VLOOKUP(C119,Deflatores!G$4:H$38,2,FALSE)*H119+VLOOKUP(C119,Deflatores!G$4:I$38,3,FALSE)))</f>
        <v>4</v>
      </c>
      <c r="M119" s="60"/>
      <c r="N119" s="60"/>
      <c r="O119" s="61"/>
    </row>
    <row r="120" ht="12.0" customHeight="1">
      <c r="A120" s="65" t="s">
        <v>139</v>
      </c>
      <c r="B120" s="66" t="s">
        <v>43</v>
      </c>
      <c r="C120" s="66" t="s">
        <v>66</v>
      </c>
      <c r="D120" s="55"/>
      <c r="E120" s="55"/>
      <c r="F120" s="56" t="str">
        <f t="shared" si="1"/>
        <v>Média</v>
      </c>
      <c r="G120" s="55" t="str">
        <f t="shared" si="2"/>
        <v>EEA</v>
      </c>
      <c r="H120" s="57">
        <f t="shared" si="3"/>
        <v>4</v>
      </c>
      <c r="I120" s="58" t="str">
        <f t="shared" si="4"/>
        <v>A</v>
      </c>
      <c r="J120" s="55" t="str">
        <f t="shared" si="5"/>
        <v>EEI</v>
      </c>
      <c r="K120" s="59">
        <f t="shared" si="6"/>
        <v>4</v>
      </c>
      <c r="L120" s="59">
        <f>IF(NOT(ISERROR(VLOOKUP(B120,Deflatores!G$42:H$64,2,FALSE))),VLOOKUP(B120,Deflatores!G$42:H$64,2,FALSE),IF(OR(ISBLANK(C120),ISBLANK(B120)),"",VLOOKUP(C120,Deflatores!G$4:H$38,2,FALSE)*H120+VLOOKUP(C120,Deflatores!G$4:I$38,3,FALSE)))</f>
        <v>4</v>
      </c>
      <c r="M120" s="60"/>
      <c r="N120" s="60"/>
      <c r="O120" s="61"/>
    </row>
    <row r="121" ht="12.0" customHeight="1">
      <c r="A121" s="65" t="s">
        <v>140</v>
      </c>
      <c r="B121" s="66" t="s">
        <v>47</v>
      </c>
      <c r="C121" s="66" t="s">
        <v>66</v>
      </c>
      <c r="D121" s="55"/>
      <c r="E121" s="55"/>
      <c r="F121" s="56" t="str">
        <f t="shared" si="1"/>
        <v>Média</v>
      </c>
      <c r="G121" s="55" t="str">
        <f t="shared" si="2"/>
        <v>CEA</v>
      </c>
      <c r="H121" s="57">
        <f t="shared" si="3"/>
        <v>4</v>
      </c>
      <c r="I121" s="58" t="str">
        <f t="shared" si="4"/>
        <v>A</v>
      </c>
      <c r="J121" s="55" t="str">
        <f t="shared" si="5"/>
        <v>CEI</v>
      </c>
      <c r="K121" s="59">
        <f t="shared" si="6"/>
        <v>4</v>
      </c>
      <c r="L121" s="59">
        <f>IF(NOT(ISERROR(VLOOKUP(B121,Deflatores!G$42:H$64,2,FALSE))),VLOOKUP(B121,Deflatores!G$42:H$64,2,FALSE),IF(OR(ISBLANK(C121),ISBLANK(B121)),"",VLOOKUP(C121,Deflatores!G$4:H$38,2,FALSE)*H121+VLOOKUP(C121,Deflatores!G$4:I$38,3,FALSE)))</f>
        <v>4</v>
      </c>
      <c r="M121" s="60"/>
      <c r="N121" s="60"/>
      <c r="O121" s="61"/>
    </row>
    <row r="122" ht="12.0" customHeight="1">
      <c r="A122" s="65" t="s">
        <v>141</v>
      </c>
      <c r="B122" s="66" t="s">
        <v>47</v>
      </c>
      <c r="C122" s="66" t="s">
        <v>66</v>
      </c>
      <c r="D122" s="55"/>
      <c r="E122" s="55"/>
      <c r="F122" s="56" t="str">
        <f t="shared" si="1"/>
        <v>Média</v>
      </c>
      <c r="G122" s="55" t="str">
        <f t="shared" si="2"/>
        <v>CEA</v>
      </c>
      <c r="H122" s="57">
        <f t="shared" si="3"/>
        <v>4</v>
      </c>
      <c r="I122" s="58" t="str">
        <f t="shared" si="4"/>
        <v>A</v>
      </c>
      <c r="J122" s="55" t="str">
        <f t="shared" si="5"/>
        <v>CEI</v>
      </c>
      <c r="K122" s="59">
        <f t="shared" si="6"/>
        <v>4</v>
      </c>
      <c r="L122" s="59">
        <f>IF(NOT(ISERROR(VLOOKUP(B122,Deflatores!G$42:H$64,2,FALSE))),VLOOKUP(B122,Deflatores!G$42:H$64,2,FALSE),IF(OR(ISBLANK(C122),ISBLANK(B122)),"",VLOOKUP(C122,Deflatores!G$4:H$38,2,FALSE)*H122+VLOOKUP(C122,Deflatores!G$4:I$38,3,FALSE)))</f>
        <v>4</v>
      </c>
      <c r="M122" s="60"/>
      <c r="N122" s="60"/>
      <c r="O122" s="61"/>
    </row>
    <row r="123" ht="12.0" customHeight="1">
      <c r="A123" s="67" t="s">
        <v>142</v>
      </c>
      <c r="B123" s="66" t="s">
        <v>47</v>
      </c>
      <c r="C123" s="66" t="s">
        <v>66</v>
      </c>
      <c r="D123" s="55"/>
      <c r="E123" s="55"/>
      <c r="F123" s="56" t="str">
        <f t="shared" si="1"/>
        <v>Média</v>
      </c>
      <c r="G123" s="55" t="str">
        <f t="shared" si="2"/>
        <v>CEA</v>
      </c>
      <c r="H123" s="57">
        <f t="shared" si="3"/>
        <v>4</v>
      </c>
      <c r="I123" s="58" t="str">
        <f t="shared" si="4"/>
        <v>A</v>
      </c>
      <c r="J123" s="55" t="str">
        <f t="shared" si="5"/>
        <v>CEI</v>
      </c>
      <c r="K123" s="59">
        <f t="shared" si="6"/>
        <v>4</v>
      </c>
      <c r="L123" s="59">
        <f>IF(NOT(ISERROR(VLOOKUP(B123,Deflatores!G$42:H$64,2,FALSE))),VLOOKUP(B123,Deflatores!G$42:H$64,2,FALSE),IF(OR(ISBLANK(C123),ISBLANK(B123)),"",VLOOKUP(C123,Deflatores!G$4:H$38,2,FALSE)*H123+VLOOKUP(C123,Deflatores!G$4:I$38,3,FALSE)))</f>
        <v>4</v>
      </c>
      <c r="M123" s="60"/>
      <c r="N123" s="60"/>
      <c r="O123" s="61"/>
    </row>
    <row r="124" ht="12.0" customHeight="1">
      <c r="A124" s="65" t="s">
        <v>143</v>
      </c>
      <c r="B124" s="66" t="s">
        <v>144</v>
      </c>
      <c r="C124" s="66" t="s">
        <v>66</v>
      </c>
      <c r="D124" s="55"/>
      <c r="E124" s="55"/>
      <c r="F124" s="56" t="str">
        <f t="shared" si="1"/>
        <v>Baixa</v>
      </c>
      <c r="G124" s="55" t="str">
        <f t="shared" si="2"/>
        <v>AIEL</v>
      </c>
      <c r="H124" s="57">
        <f t="shared" si="3"/>
        <v>5</v>
      </c>
      <c r="I124" s="58" t="str">
        <f t="shared" si="4"/>
        <v>L</v>
      </c>
      <c r="J124" s="55" t="str">
        <f t="shared" si="5"/>
        <v>AIEI</v>
      </c>
      <c r="K124" s="59">
        <f t="shared" si="6"/>
        <v>5</v>
      </c>
      <c r="L124" s="59">
        <f>IF(NOT(ISERROR(VLOOKUP(B124,Deflatores!G$42:H$64,2,FALSE))),VLOOKUP(B124,Deflatores!G$42:H$64,2,FALSE),IF(OR(ISBLANK(C124),ISBLANK(B124)),"",VLOOKUP(C124,Deflatores!G$4:H$38,2,FALSE)*H124+VLOOKUP(C124,Deflatores!G$4:I$38,3,FALSE)))</f>
        <v>5</v>
      </c>
      <c r="M124" s="60"/>
      <c r="N124" s="60"/>
      <c r="O124" s="61"/>
    </row>
    <row r="125" ht="12.0" customHeight="1">
      <c r="A125" s="65" t="s">
        <v>145</v>
      </c>
      <c r="B125" s="66" t="s">
        <v>146</v>
      </c>
      <c r="C125" s="66" t="s">
        <v>66</v>
      </c>
      <c r="D125" s="55"/>
      <c r="E125" s="55"/>
      <c r="F125" s="56" t="str">
        <f t="shared" si="1"/>
        <v>Média</v>
      </c>
      <c r="G125" s="55" t="str">
        <f t="shared" si="2"/>
        <v>SEA</v>
      </c>
      <c r="H125" s="57">
        <f t="shared" si="3"/>
        <v>5</v>
      </c>
      <c r="I125" s="58" t="str">
        <f t="shared" si="4"/>
        <v>A</v>
      </c>
      <c r="J125" s="55" t="str">
        <f t="shared" si="5"/>
        <v>SEI</v>
      </c>
      <c r="K125" s="59">
        <f t="shared" si="6"/>
        <v>5</v>
      </c>
      <c r="L125" s="59">
        <f>IF(NOT(ISERROR(VLOOKUP(B125,Deflatores!G$42:H$64,2,FALSE))),VLOOKUP(B125,Deflatores!G$42:H$64,2,FALSE),IF(OR(ISBLANK(C125),ISBLANK(B125)),"",VLOOKUP(C125,Deflatores!G$4:H$38,2,FALSE)*H125+VLOOKUP(C125,Deflatores!G$4:I$38,3,FALSE)))</f>
        <v>5</v>
      </c>
      <c r="M125" s="60"/>
      <c r="N125" s="60"/>
      <c r="O125" s="61"/>
    </row>
    <row r="126" ht="12.0" customHeight="1">
      <c r="A126" s="53"/>
      <c r="B126" s="54"/>
      <c r="C126" s="54"/>
      <c r="D126" s="55"/>
      <c r="E126" s="55"/>
      <c r="F126" s="56" t="str">
        <f t="shared" si="1"/>
        <v/>
      </c>
      <c r="G126" s="55" t="str">
        <f t="shared" si="2"/>
        <v/>
      </c>
      <c r="H126" s="57" t="str">
        <f t="shared" si="3"/>
        <v/>
      </c>
      <c r="I126" s="58" t="str">
        <f t="shared" si="4"/>
        <v/>
      </c>
      <c r="J126" s="55" t="str">
        <f t="shared" si="5"/>
        <v/>
      </c>
      <c r="K126" s="59" t="str">
        <f t="shared" si="6"/>
        <v/>
      </c>
      <c r="L126" s="59" t="str">
        <f>IF(NOT(ISERROR(VLOOKUP(B126,Deflatores!G$42:H$64,2,FALSE))),VLOOKUP(B126,Deflatores!G$42:H$64,2,FALSE),IF(OR(ISBLANK(C126),ISBLANK(B126)),"",VLOOKUP(C126,Deflatores!G$4:H$38,2,FALSE)*H126+VLOOKUP(C126,Deflatores!G$4:I$38,3,FALSE)))</f>
        <v/>
      </c>
      <c r="M126" s="60"/>
      <c r="N126" s="60"/>
      <c r="O126" s="61"/>
    </row>
    <row r="127" ht="12.0" customHeight="1">
      <c r="A127" s="53"/>
      <c r="B127" s="54"/>
      <c r="C127" s="54"/>
      <c r="D127" s="55"/>
      <c r="E127" s="55"/>
      <c r="F127" s="56" t="str">
        <f t="shared" si="1"/>
        <v/>
      </c>
      <c r="G127" s="55" t="str">
        <f t="shared" si="2"/>
        <v/>
      </c>
      <c r="H127" s="57" t="str">
        <f t="shared" si="3"/>
        <v/>
      </c>
      <c r="I127" s="58" t="str">
        <f t="shared" si="4"/>
        <v/>
      </c>
      <c r="J127" s="55" t="str">
        <f t="shared" si="5"/>
        <v/>
      </c>
      <c r="K127" s="59" t="str">
        <f t="shared" si="6"/>
        <v/>
      </c>
      <c r="L127" s="59" t="str">
        <f>IF(NOT(ISERROR(VLOOKUP(B127,Deflatores!G$42:H$64,2,FALSE))),VLOOKUP(B127,Deflatores!G$42:H$64,2,FALSE),IF(OR(ISBLANK(C127),ISBLANK(B127)),"",VLOOKUP(C127,Deflatores!G$4:H$38,2,FALSE)*H127+VLOOKUP(C127,Deflatores!G$4:I$38,3,FALSE)))</f>
        <v/>
      </c>
      <c r="M127" s="60"/>
      <c r="N127" s="60"/>
      <c r="O127" s="61"/>
    </row>
    <row r="128" ht="12.0" customHeight="1">
      <c r="A128" s="53"/>
      <c r="B128" s="54"/>
      <c r="C128" s="54"/>
      <c r="D128" s="55"/>
      <c r="E128" s="55"/>
      <c r="F128" s="56" t="str">
        <f t="shared" si="1"/>
        <v/>
      </c>
      <c r="G128" s="55" t="str">
        <f t="shared" si="2"/>
        <v/>
      </c>
      <c r="H128" s="57" t="str">
        <f t="shared" si="3"/>
        <v/>
      </c>
      <c r="I128" s="58" t="str">
        <f t="shared" si="4"/>
        <v/>
      </c>
      <c r="J128" s="55" t="str">
        <f t="shared" si="5"/>
        <v/>
      </c>
      <c r="K128" s="59" t="str">
        <f t="shared" si="6"/>
        <v/>
      </c>
      <c r="L128" s="59" t="str">
        <f>IF(NOT(ISERROR(VLOOKUP(B128,Deflatores!G$42:H$64,2,FALSE))),VLOOKUP(B128,Deflatores!G$42:H$64,2,FALSE),IF(OR(ISBLANK(C128),ISBLANK(B128)),"",VLOOKUP(C128,Deflatores!G$4:H$38,2,FALSE)*H128+VLOOKUP(C128,Deflatores!G$4:I$38,3,FALSE)))</f>
        <v/>
      </c>
      <c r="M128" s="60"/>
      <c r="N128" s="60"/>
      <c r="O128" s="61"/>
    </row>
    <row r="129" ht="12.0" customHeight="1">
      <c r="A129" s="68"/>
      <c r="B129" s="54"/>
      <c r="C129" s="54"/>
      <c r="D129" s="55"/>
      <c r="E129" s="55"/>
      <c r="F129" s="56" t="str">
        <f t="shared" si="1"/>
        <v/>
      </c>
      <c r="G129" s="55" t="str">
        <f t="shared" si="2"/>
        <v/>
      </c>
      <c r="H129" s="57" t="str">
        <f t="shared" si="3"/>
        <v/>
      </c>
      <c r="I129" s="58" t="str">
        <f t="shared" si="4"/>
        <v/>
      </c>
      <c r="J129" s="55" t="str">
        <f t="shared" si="5"/>
        <v/>
      </c>
      <c r="K129" s="59" t="str">
        <f t="shared" si="6"/>
        <v/>
      </c>
      <c r="L129" s="59" t="str">
        <f>IF(NOT(ISERROR(VLOOKUP(B129,Deflatores!G$42:H$64,2,FALSE))),VLOOKUP(B129,Deflatores!G$42:H$64,2,FALSE),IF(OR(ISBLANK(C129),ISBLANK(B129)),"",VLOOKUP(C129,Deflatores!G$4:H$38,2,FALSE)*H129+VLOOKUP(C129,Deflatores!G$4:I$38,3,FALSE)))</f>
        <v/>
      </c>
      <c r="M129" s="60"/>
      <c r="N129" s="60"/>
      <c r="O129" s="61"/>
    </row>
    <row r="130" ht="12.0" customHeight="1">
      <c r="A130" s="53"/>
      <c r="B130" s="54"/>
      <c r="C130" s="54"/>
      <c r="D130" s="55"/>
      <c r="E130" s="55"/>
      <c r="F130" s="56" t="str">
        <f t="shared" si="1"/>
        <v/>
      </c>
      <c r="G130" s="55" t="str">
        <f t="shared" si="2"/>
        <v/>
      </c>
      <c r="H130" s="57" t="str">
        <f t="shared" si="3"/>
        <v/>
      </c>
      <c r="I130" s="58" t="str">
        <f t="shared" si="4"/>
        <v/>
      </c>
      <c r="J130" s="55" t="str">
        <f t="shared" si="5"/>
        <v/>
      </c>
      <c r="K130" s="59" t="str">
        <f t="shared" si="6"/>
        <v/>
      </c>
      <c r="L130" s="59" t="str">
        <f>IF(NOT(ISERROR(VLOOKUP(B130,Deflatores!G$42:H$64,2,FALSE))),VLOOKUP(B130,Deflatores!G$42:H$64,2,FALSE),IF(OR(ISBLANK(C130),ISBLANK(B130)),"",VLOOKUP(C130,Deflatores!G$4:H$38,2,FALSE)*H130+VLOOKUP(C130,Deflatores!G$4:I$38,3,FALSE)))</f>
        <v/>
      </c>
      <c r="M130" s="60"/>
      <c r="N130" s="60"/>
      <c r="O130" s="61"/>
    </row>
    <row r="131" ht="12.0" customHeight="1">
      <c r="A131" s="53"/>
      <c r="B131" s="54"/>
      <c r="C131" s="54"/>
      <c r="D131" s="55"/>
      <c r="E131" s="55"/>
      <c r="F131" s="56" t="str">
        <f t="shared" si="1"/>
        <v/>
      </c>
      <c r="G131" s="55" t="str">
        <f t="shared" si="2"/>
        <v/>
      </c>
      <c r="H131" s="57" t="str">
        <f t="shared" si="3"/>
        <v/>
      </c>
      <c r="I131" s="58" t="str">
        <f t="shared" si="4"/>
        <v/>
      </c>
      <c r="J131" s="55" t="str">
        <f t="shared" si="5"/>
        <v/>
      </c>
      <c r="K131" s="59" t="str">
        <f t="shared" si="6"/>
        <v/>
      </c>
      <c r="L131" s="59" t="str">
        <f>IF(NOT(ISERROR(VLOOKUP(B131,Deflatores!G$42:H$64,2,FALSE))),VLOOKUP(B131,Deflatores!G$42:H$64,2,FALSE),IF(OR(ISBLANK(C131),ISBLANK(B131)),"",VLOOKUP(C131,Deflatores!G$4:H$38,2,FALSE)*H131+VLOOKUP(C131,Deflatores!G$4:I$38,3,FALSE)))</f>
        <v/>
      </c>
      <c r="M131" s="60"/>
      <c r="N131" s="60"/>
      <c r="O131" s="61"/>
    </row>
    <row r="132" ht="12.0" customHeight="1">
      <c r="A132" s="53"/>
      <c r="B132" s="54"/>
      <c r="C132" s="54"/>
      <c r="D132" s="55"/>
      <c r="E132" s="55"/>
      <c r="F132" s="56" t="str">
        <f t="shared" si="1"/>
        <v/>
      </c>
      <c r="G132" s="55" t="str">
        <f t="shared" si="2"/>
        <v/>
      </c>
      <c r="H132" s="57" t="str">
        <f t="shared" si="3"/>
        <v/>
      </c>
      <c r="I132" s="58" t="str">
        <f t="shared" si="4"/>
        <v/>
      </c>
      <c r="J132" s="55" t="str">
        <f t="shared" si="5"/>
        <v/>
      </c>
      <c r="K132" s="59" t="str">
        <f t="shared" si="6"/>
        <v/>
      </c>
      <c r="L132" s="59" t="str">
        <f>IF(NOT(ISERROR(VLOOKUP(B132,Deflatores!G$42:H$64,2,FALSE))),VLOOKUP(B132,Deflatores!G$42:H$64,2,FALSE),IF(OR(ISBLANK(C132),ISBLANK(B132)),"",VLOOKUP(C132,Deflatores!G$4:H$38,2,FALSE)*H132+VLOOKUP(C132,Deflatores!G$4:I$38,3,FALSE)))</f>
        <v/>
      </c>
      <c r="M132" s="60"/>
      <c r="N132" s="60"/>
      <c r="O132" s="61"/>
    </row>
    <row r="133" ht="12.0" customHeight="1">
      <c r="A133" s="53"/>
      <c r="B133" s="54"/>
      <c r="C133" s="54"/>
      <c r="D133" s="55"/>
      <c r="E133" s="55"/>
      <c r="F133" s="56" t="str">
        <f t="shared" si="1"/>
        <v/>
      </c>
      <c r="G133" s="55" t="str">
        <f t="shared" si="2"/>
        <v/>
      </c>
      <c r="H133" s="57" t="str">
        <f t="shared" si="3"/>
        <v/>
      </c>
      <c r="I133" s="58" t="str">
        <f t="shared" si="4"/>
        <v/>
      </c>
      <c r="J133" s="55" t="str">
        <f t="shared" si="5"/>
        <v/>
      </c>
      <c r="K133" s="59" t="str">
        <f t="shared" si="6"/>
        <v/>
      </c>
      <c r="L133" s="59" t="str">
        <f>IF(NOT(ISERROR(VLOOKUP(B133,Deflatores!G$42:H$64,2,FALSE))),VLOOKUP(B133,Deflatores!G$42:H$64,2,FALSE),IF(OR(ISBLANK(C133),ISBLANK(B133)),"",VLOOKUP(C133,Deflatores!G$4:H$38,2,FALSE)*H133+VLOOKUP(C133,Deflatores!G$4:I$38,3,FALSE)))</f>
        <v/>
      </c>
      <c r="M133" s="60"/>
      <c r="N133" s="60"/>
      <c r="O133" s="61"/>
    </row>
    <row r="134" ht="12.0" customHeight="1">
      <c r="A134" s="53"/>
      <c r="B134" s="54"/>
      <c r="C134" s="54"/>
      <c r="D134" s="55"/>
      <c r="E134" s="55"/>
      <c r="F134" s="56" t="str">
        <f t="shared" si="1"/>
        <v/>
      </c>
      <c r="G134" s="55" t="str">
        <f t="shared" si="2"/>
        <v/>
      </c>
      <c r="H134" s="57" t="str">
        <f t="shared" si="3"/>
        <v/>
      </c>
      <c r="I134" s="58" t="str">
        <f t="shared" si="4"/>
        <v/>
      </c>
      <c r="J134" s="55" t="str">
        <f t="shared" si="5"/>
        <v/>
      </c>
      <c r="K134" s="59" t="str">
        <f t="shared" si="6"/>
        <v/>
      </c>
      <c r="L134" s="59" t="str">
        <f>IF(NOT(ISERROR(VLOOKUP(B134,Deflatores!G$42:H$64,2,FALSE))),VLOOKUP(B134,Deflatores!G$42:H$64,2,FALSE),IF(OR(ISBLANK(C134),ISBLANK(B134)),"",VLOOKUP(C134,Deflatores!G$4:H$38,2,FALSE)*H134+VLOOKUP(C134,Deflatores!G$4:I$38,3,FALSE)))</f>
        <v/>
      </c>
      <c r="M134" s="60"/>
      <c r="N134" s="60"/>
      <c r="O134" s="61"/>
    </row>
    <row r="135" ht="15.0" customHeight="1">
      <c r="A135" s="68"/>
      <c r="B135" s="54"/>
      <c r="C135" s="54"/>
      <c r="D135" s="55"/>
      <c r="E135" s="55"/>
      <c r="F135" s="56" t="str">
        <f t="shared" si="1"/>
        <v/>
      </c>
      <c r="G135" s="55" t="str">
        <f t="shared" si="2"/>
        <v/>
      </c>
      <c r="H135" s="57" t="str">
        <f t="shared" si="3"/>
        <v/>
      </c>
      <c r="I135" s="58" t="str">
        <f t="shared" si="4"/>
        <v/>
      </c>
      <c r="J135" s="55" t="str">
        <f t="shared" si="5"/>
        <v/>
      </c>
      <c r="K135" s="59" t="str">
        <f t="shared" si="6"/>
        <v/>
      </c>
      <c r="L135" s="59" t="str">
        <f>IF(NOT(ISERROR(VLOOKUP(B135,Deflatores!G$42:H$64,2,FALSE))),VLOOKUP(B135,Deflatores!G$42:H$64,2,FALSE),IF(OR(ISBLANK(C135),ISBLANK(B135)),"",VLOOKUP(C135,Deflatores!G$4:H$38,2,FALSE)*H135+VLOOKUP(C135,Deflatores!G$4:I$38,3,FALSE)))</f>
        <v/>
      </c>
      <c r="M135" s="60"/>
      <c r="N135" s="60"/>
      <c r="O135" s="61"/>
    </row>
    <row r="136" ht="13.5" customHeight="1">
      <c r="A136" s="53"/>
      <c r="B136" s="54"/>
      <c r="C136" s="54"/>
      <c r="D136" s="55"/>
      <c r="E136" s="55"/>
      <c r="F136" s="56" t="str">
        <f t="shared" si="1"/>
        <v/>
      </c>
      <c r="G136" s="55" t="str">
        <f t="shared" si="2"/>
        <v/>
      </c>
      <c r="H136" s="57" t="str">
        <f t="shared" si="3"/>
        <v/>
      </c>
      <c r="I136" s="58" t="str">
        <f t="shared" si="4"/>
        <v/>
      </c>
      <c r="J136" s="55" t="str">
        <f t="shared" si="5"/>
        <v/>
      </c>
      <c r="K136" s="59" t="str">
        <f t="shared" si="6"/>
        <v/>
      </c>
      <c r="L136" s="59" t="str">
        <f>IF(NOT(ISERROR(VLOOKUP(B136,Deflatores!G$42:H$64,2,FALSE))),VLOOKUP(B136,Deflatores!G$42:H$64,2,FALSE),IF(OR(ISBLANK(C136),ISBLANK(B136)),"",VLOOKUP(C136,Deflatores!G$4:H$38,2,FALSE)*H136+VLOOKUP(C136,Deflatores!G$4:I$38,3,FALSE)))</f>
        <v/>
      </c>
      <c r="M136" s="60"/>
      <c r="N136" s="60"/>
      <c r="O136" s="61"/>
    </row>
    <row r="137" ht="12.0" customHeight="1">
      <c r="A137" s="53"/>
      <c r="B137" s="54"/>
      <c r="C137" s="54"/>
      <c r="D137" s="55"/>
      <c r="E137" s="55"/>
      <c r="F137" s="56" t="str">
        <f t="shared" si="1"/>
        <v/>
      </c>
      <c r="G137" s="55" t="str">
        <f t="shared" si="2"/>
        <v/>
      </c>
      <c r="H137" s="57" t="str">
        <f t="shared" si="3"/>
        <v/>
      </c>
      <c r="I137" s="58" t="str">
        <f t="shared" si="4"/>
        <v/>
      </c>
      <c r="J137" s="55" t="str">
        <f t="shared" si="5"/>
        <v/>
      </c>
      <c r="K137" s="59" t="str">
        <f t="shared" si="6"/>
        <v/>
      </c>
      <c r="L137" s="59" t="str">
        <f>IF(NOT(ISERROR(VLOOKUP(B137,Deflatores!G$42:H$64,2,FALSE))),VLOOKUP(B137,Deflatores!G$42:H$64,2,FALSE),IF(OR(ISBLANK(C137),ISBLANK(B137)),"",VLOOKUP(C137,Deflatores!G$4:H$38,2,FALSE)*H137+VLOOKUP(C137,Deflatores!G$4:I$38,3,FALSE)))</f>
        <v/>
      </c>
      <c r="M137" s="60"/>
      <c r="N137" s="60"/>
      <c r="O137" s="61"/>
    </row>
    <row r="138" ht="12.0" customHeight="1">
      <c r="A138" s="53"/>
      <c r="B138" s="54"/>
      <c r="C138" s="54"/>
      <c r="D138" s="55"/>
      <c r="E138" s="55"/>
      <c r="F138" s="56" t="str">
        <f t="shared" si="1"/>
        <v/>
      </c>
      <c r="G138" s="55" t="str">
        <f t="shared" si="2"/>
        <v/>
      </c>
      <c r="H138" s="57" t="str">
        <f t="shared" si="3"/>
        <v/>
      </c>
      <c r="I138" s="58" t="str">
        <f t="shared" si="4"/>
        <v/>
      </c>
      <c r="J138" s="55" t="str">
        <f t="shared" si="5"/>
        <v/>
      </c>
      <c r="K138" s="59" t="str">
        <f t="shared" si="6"/>
        <v/>
      </c>
      <c r="L138" s="59" t="str">
        <f>IF(NOT(ISERROR(VLOOKUP(B138,Deflatores!G$42:H$64,2,FALSE))),VLOOKUP(B138,Deflatores!G$42:H$64,2,FALSE),IF(OR(ISBLANK(C138),ISBLANK(B138)),"",VLOOKUP(C138,Deflatores!G$4:H$38,2,FALSE)*H138+VLOOKUP(C138,Deflatores!G$4:I$38,3,FALSE)))</f>
        <v/>
      </c>
      <c r="M138" s="60"/>
      <c r="N138" s="60"/>
      <c r="O138" s="61"/>
    </row>
    <row r="139" ht="14.25" customHeight="1">
      <c r="A139" s="53"/>
      <c r="B139" s="54"/>
      <c r="C139" s="54"/>
      <c r="D139" s="55"/>
      <c r="E139" s="55"/>
      <c r="F139" s="56" t="str">
        <f t="shared" si="1"/>
        <v/>
      </c>
      <c r="G139" s="55" t="str">
        <f t="shared" si="2"/>
        <v/>
      </c>
      <c r="H139" s="57" t="str">
        <f t="shared" si="3"/>
        <v/>
      </c>
      <c r="I139" s="58" t="str">
        <f t="shared" si="4"/>
        <v/>
      </c>
      <c r="J139" s="55" t="str">
        <f t="shared" si="5"/>
        <v/>
      </c>
      <c r="K139" s="59" t="str">
        <f t="shared" si="6"/>
        <v/>
      </c>
      <c r="L139" s="59" t="str">
        <f>IF(NOT(ISERROR(VLOOKUP(B139,Deflatores!G$42:H$64,2,FALSE))),VLOOKUP(B139,Deflatores!G$42:H$64,2,FALSE),IF(OR(ISBLANK(C139),ISBLANK(B139)),"",VLOOKUP(C139,Deflatores!G$4:H$38,2,FALSE)*H139+VLOOKUP(C139,Deflatores!G$4:I$38,3,FALSE)))</f>
        <v/>
      </c>
      <c r="M139" s="60"/>
      <c r="N139" s="60"/>
      <c r="O139" s="61"/>
    </row>
    <row r="140" ht="12.0" customHeight="1">
      <c r="A140" s="53"/>
      <c r="B140" s="54"/>
      <c r="C140" s="54"/>
      <c r="D140" s="55"/>
      <c r="E140" s="55"/>
      <c r="F140" s="56" t="str">
        <f t="shared" si="1"/>
        <v/>
      </c>
      <c r="G140" s="55" t="str">
        <f t="shared" si="2"/>
        <v/>
      </c>
      <c r="H140" s="57" t="str">
        <f t="shared" si="3"/>
        <v/>
      </c>
      <c r="I140" s="58" t="str">
        <f t="shared" si="4"/>
        <v/>
      </c>
      <c r="J140" s="55" t="str">
        <f t="shared" si="5"/>
        <v/>
      </c>
      <c r="K140" s="59" t="str">
        <f t="shared" si="6"/>
        <v/>
      </c>
      <c r="L140" s="59" t="str">
        <f>IF(NOT(ISERROR(VLOOKUP(B140,Deflatores!G$42:H$64,2,FALSE))),VLOOKUP(B140,Deflatores!G$42:H$64,2,FALSE),IF(OR(ISBLANK(C140),ISBLANK(B140)),"",VLOOKUP(C140,Deflatores!G$4:H$38,2,FALSE)*H140+VLOOKUP(C140,Deflatores!G$4:I$38,3,FALSE)))</f>
        <v/>
      </c>
      <c r="M140" s="60"/>
      <c r="N140" s="60"/>
      <c r="O140" s="61"/>
    </row>
    <row r="141" ht="12.0" customHeight="1">
      <c r="A141" s="68"/>
      <c r="B141" s="54"/>
      <c r="C141" s="54"/>
      <c r="D141" s="55"/>
      <c r="E141" s="55"/>
      <c r="F141" s="56" t="str">
        <f t="shared" si="1"/>
        <v/>
      </c>
      <c r="G141" s="55" t="str">
        <f t="shared" si="2"/>
        <v/>
      </c>
      <c r="H141" s="57" t="str">
        <f t="shared" si="3"/>
        <v/>
      </c>
      <c r="I141" s="58" t="str">
        <f t="shared" si="4"/>
        <v/>
      </c>
      <c r="J141" s="55" t="str">
        <f t="shared" si="5"/>
        <v/>
      </c>
      <c r="K141" s="59" t="str">
        <f t="shared" si="6"/>
        <v/>
      </c>
      <c r="L141" s="59" t="str">
        <f>IF(NOT(ISERROR(VLOOKUP(B141,Deflatores!G$42:H$64,2,FALSE))),VLOOKUP(B141,Deflatores!G$42:H$64,2,FALSE),IF(OR(ISBLANK(C141),ISBLANK(B141)),"",VLOOKUP(C141,Deflatores!G$4:H$38,2,FALSE)*H141+VLOOKUP(C141,Deflatores!G$4:I$38,3,FALSE)))</f>
        <v/>
      </c>
      <c r="M141" s="60"/>
      <c r="N141" s="60"/>
      <c r="O141" s="61"/>
    </row>
    <row r="142" ht="12.0" customHeight="1">
      <c r="A142" s="53"/>
      <c r="B142" s="54"/>
      <c r="C142" s="54"/>
      <c r="D142" s="55"/>
      <c r="E142" s="55"/>
      <c r="F142" s="56" t="str">
        <f t="shared" si="1"/>
        <v/>
      </c>
      <c r="G142" s="55" t="str">
        <f t="shared" si="2"/>
        <v/>
      </c>
      <c r="H142" s="57" t="str">
        <f t="shared" si="3"/>
        <v/>
      </c>
      <c r="I142" s="58" t="str">
        <f t="shared" si="4"/>
        <v/>
      </c>
      <c r="J142" s="55" t="str">
        <f t="shared" si="5"/>
        <v/>
      </c>
      <c r="K142" s="59" t="str">
        <f t="shared" si="6"/>
        <v/>
      </c>
      <c r="L142" s="59" t="str">
        <f>IF(NOT(ISERROR(VLOOKUP(B142,Deflatores!G$42:H$64,2,FALSE))),VLOOKUP(B142,Deflatores!G$42:H$64,2,FALSE),IF(OR(ISBLANK(C142),ISBLANK(B142)),"",VLOOKUP(C142,Deflatores!G$4:H$38,2,FALSE)*H142+VLOOKUP(C142,Deflatores!G$4:I$38,3,FALSE)))</f>
        <v/>
      </c>
      <c r="M142" s="60"/>
      <c r="N142" s="60"/>
      <c r="O142" s="61"/>
    </row>
    <row r="143" ht="12.0" customHeight="1">
      <c r="A143" s="53"/>
      <c r="B143" s="54"/>
      <c r="C143" s="54"/>
      <c r="D143" s="55"/>
      <c r="E143" s="55"/>
      <c r="F143" s="56" t="str">
        <f t="shared" si="1"/>
        <v/>
      </c>
      <c r="G143" s="55" t="str">
        <f t="shared" si="2"/>
        <v/>
      </c>
      <c r="H143" s="57" t="str">
        <f t="shared" si="3"/>
        <v/>
      </c>
      <c r="I143" s="58" t="str">
        <f t="shared" si="4"/>
        <v/>
      </c>
      <c r="J143" s="55" t="str">
        <f t="shared" si="5"/>
        <v/>
      </c>
      <c r="K143" s="59" t="str">
        <f t="shared" si="6"/>
        <v/>
      </c>
      <c r="L143" s="59" t="str">
        <f>IF(NOT(ISERROR(VLOOKUP(B143,Deflatores!G$42:H$64,2,FALSE))),VLOOKUP(B143,Deflatores!G$42:H$64,2,FALSE),IF(OR(ISBLANK(C143),ISBLANK(B143)),"",VLOOKUP(C143,Deflatores!G$4:H$38,2,FALSE)*H143+VLOOKUP(C143,Deflatores!G$4:I$38,3,FALSE)))</f>
        <v/>
      </c>
      <c r="M143" s="60"/>
      <c r="N143" s="60"/>
      <c r="O143" s="61"/>
    </row>
    <row r="144" ht="12.0" customHeight="1">
      <c r="A144" s="53"/>
      <c r="B144" s="54"/>
      <c r="C144" s="54"/>
      <c r="D144" s="55"/>
      <c r="E144" s="55"/>
      <c r="F144" s="56" t="str">
        <f t="shared" si="1"/>
        <v/>
      </c>
      <c r="G144" s="55" t="str">
        <f t="shared" si="2"/>
        <v/>
      </c>
      <c r="H144" s="57" t="str">
        <f t="shared" si="3"/>
        <v/>
      </c>
      <c r="I144" s="58" t="str">
        <f t="shared" si="4"/>
        <v/>
      </c>
      <c r="J144" s="55" t="str">
        <f t="shared" si="5"/>
        <v/>
      </c>
      <c r="K144" s="59" t="str">
        <f t="shared" si="6"/>
        <v/>
      </c>
      <c r="L144" s="59" t="str">
        <f>IF(NOT(ISERROR(VLOOKUP(B144,Deflatores!G$42:H$64,2,FALSE))),VLOOKUP(B144,Deflatores!G$42:H$64,2,FALSE),IF(OR(ISBLANK(C144),ISBLANK(B144)),"",VLOOKUP(C144,Deflatores!G$4:H$38,2,FALSE)*H144+VLOOKUP(C144,Deflatores!G$4:I$38,3,FALSE)))</f>
        <v/>
      </c>
      <c r="M144" s="60"/>
      <c r="N144" s="60"/>
      <c r="O144" s="61"/>
    </row>
    <row r="145" ht="12.0" customHeight="1">
      <c r="A145" s="53"/>
      <c r="B145" s="54"/>
      <c r="C145" s="54"/>
      <c r="D145" s="55"/>
      <c r="E145" s="55"/>
      <c r="F145" s="56" t="str">
        <f t="shared" si="1"/>
        <v/>
      </c>
      <c r="G145" s="55" t="str">
        <f t="shared" si="2"/>
        <v/>
      </c>
      <c r="H145" s="57" t="str">
        <f t="shared" si="3"/>
        <v/>
      </c>
      <c r="I145" s="58" t="str">
        <f t="shared" si="4"/>
        <v/>
      </c>
      <c r="J145" s="55" t="str">
        <f t="shared" si="5"/>
        <v/>
      </c>
      <c r="K145" s="59" t="str">
        <f t="shared" si="6"/>
        <v/>
      </c>
      <c r="L145" s="59" t="str">
        <f>IF(NOT(ISERROR(VLOOKUP(B145,Deflatores!G$42:H$64,2,FALSE))),VLOOKUP(B145,Deflatores!G$42:H$64,2,FALSE),IF(OR(ISBLANK(C145),ISBLANK(B145)),"",VLOOKUP(C145,Deflatores!G$4:H$38,2,FALSE)*H145+VLOOKUP(C145,Deflatores!G$4:I$38,3,FALSE)))</f>
        <v/>
      </c>
      <c r="M145" s="60"/>
      <c r="N145" s="60"/>
      <c r="O145" s="61"/>
    </row>
    <row r="146" ht="12.0" customHeight="1">
      <c r="A146" s="53"/>
      <c r="B146" s="54"/>
      <c r="C146" s="54"/>
      <c r="D146" s="55"/>
      <c r="E146" s="55"/>
      <c r="F146" s="56" t="str">
        <f t="shared" si="1"/>
        <v/>
      </c>
      <c r="G146" s="55" t="str">
        <f t="shared" si="2"/>
        <v/>
      </c>
      <c r="H146" s="57" t="str">
        <f t="shared" si="3"/>
        <v/>
      </c>
      <c r="I146" s="58" t="str">
        <f t="shared" si="4"/>
        <v/>
      </c>
      <c r="J146" s="55" t="str">
        <f t="shared" si="5"/>
        <v/>
      </c>
      <c r="K146" s="59" t="str">
        <f t="shared" si="6"/>
        <v/>
      </c>
      <c r="L146" s="59" t="str">
        <f>IF(NOT(ISERROR(VLOOKUP(B146,Deflatores!G$42:H$64,2,FALSE))),VLOOKUP(B146,Deflatores!G$42:H$64,2,FALSE),IF(OR(ISBLANK(C146),ISBLANK(B146)),"",VLOOKUP(C146,Deflatores!G$4:H$38,2,FALSE)*H146+VLOOKUP(C146,Deflatores!G$4:I$38,3,FALSE)))</f>
        <v/>
      </c>
      <c r="M146" s="60"/>
      <c r="N146" s="60"/>
      <c r="O146" s="61"/>
    </row>
    <row r="147" ht="12.0" customHeight="1">
      <c r="A147" s="53"/>
      <c r="B147" s="54"/>
      <c r="C147" s="54"/>
      <c r="D147" s="55"/>
      <c r="E147" s="55"/>
      <c r="F147" s="56" t="str">
        <f t="shared" si="1"/>
        <v/>
      </c>
      <c r="G147" s="55" t="str">
        <f t="shared" si="2"/>
        <v/>
      </c>
      <c r="H147" s="57" t="str">
        <f t="shared" si="3"/>
        <v/>
      </c>
      <c r="I147" s="58" t="str">
        <f t="shared" si="4"/>
        <v/>
      </c>
      <c r="J147" s="55" t="str">
        <f t="shared" si="5"/>
        <v/>
      </c>
      <c r="K147" s="59" t="str">
        <f t="shared" si="6"/>
        <v/>
      </c>
      <c r="L147" s="59" t="str">
        <f>IF(NOT(ISERROR(VLOOKUP(B147,Deflatores!G$42:H$64,2,FALSE))),VLOOKUP(B147,Deflatores!G$42:H$64,2,FALSE),IF(OR(ISBLANK(C147),ISBLANK(B147)),"",VLOOKUP(C147,Deflatores!G$4:H$38,2,FALSE)*H147+VLOOKUP(C147,Deflatores!G$4:I$38,3,FALSE)))</f>
        <v/>
      </c>
      <c r="M147" s="60"/>
      <c r="N147" s="60"/>
      <c r="O147" s="61"/>
    </row>
    <row r="148" ht="12.0" customHeight="1">
      <c r="A148" s="53"/>
      <c r="B148" s="54"/>
      <c r="C148" s="54"/>
      <c r="D148" s="55"/>
      <c r="E148" s="55"/>
      <c r="F148" s="56" t="str">
        <f t="shared" si="1"/>
        <v/>
      </c>
      <c r="G148" s="55" t="str">
        <f t="shared" si="2"/>
        <v/>
      </c>
      <c r="H148" s="57" t="str">
        <f t="shared" si="3"/>
        <v/>
      </c>
      <c r="I148" s="58" t="str">
        <f t="shared" si="4"/>
        <v/>
      </c>
      <c r="J148" s="55" t="str">
        <f t="shared" si="5"/>
        <v/>
      </c>
      <c r="K148" s="59" t="str">
        <f t="shared" si="6"/>
        <v/>
      </c>
      <c r="L148" s="59" t="str">
        <f>IF(NOT(ISERROR(VLOOKUP(B148,Deflatores!G$42:H$64,2,FALSE))),VLOOKUP(B148,Deflatores!G$42:H$64,2,FALSE),IF(OR(ISBLANK(C148),ISBLANK(B148)),"",VLOOKUP(C148,Deflatores!G$4:H$38,2,FALSE)*H148+VLOOKUP(C148,Deflatores!G$4:I$38,3,FALSE)))</f>
        <v/>
      </c>
      <c r="M148" s="60"/>
      <c r="N148" s="60"/>
      <c r="O148" s="61"/>
    </row>
    <row r="149" ht="12.0" customHeight="1">
      <c r="A149" s="53"/>
      <c r="B149" s="54"/>
      <c r="C149" s="54"/>
      <c r="D149" s="55"/>
      <c r="E149" s="55"/>
      <c r="F149" s="56" t="str">
        <f t="shared" si="1"/>
        <v/>
      </c>
      <c r="G149" s="55" t="str">
        <f t="shared" si="2"/>
        <v/>
      </c>
      <c r="H149" s="57" t="str">
        <f t="shared" si="3"/>
        <v/>
      </c>
      <c r="I149" s="58" t="str">
        <f t="shared" si="4"/>
        <v/>
      </c>
      <c r="J149" s="55" t="str">
        <f t="shared" si="5"/>
        <v/>
      </c>
      <c r="K149" s="59" t="str">
        <f t="shared" si="6"/>
        <v/>
      </c>
      <c r="L149" s="59" t="str">
        <f>IF(NOT(ISERROR(VLOOKUP(B149,Deflatores!G$42:H$64,2,FALSE))),VLOOKUP(B149,Deflatores!G$42:H$64,2,FALSE),IF(OR(ISBLANK(C149),ISBLANK(B149)),"",VLOOKUP(C149,Deflatores!G$4:H$38,2,FALSE)*H149+VLOOKUP(C149,Deflatores!G$4:I$38,3,FALSE)))</f>
        <v/>
      </c>
      <c r="M149" s="60"/>
      <c r="N149" s="60"/>
      <c r="O149" s="61"/>
    </row>
    <row r="150" ht="12.0" customHeight="1">
      <c r="A150" s="53"/>
      <c r="B150" s="54"/>
      <c r="C150" s="54"/>
      <c r="D150" s="55"/>
      <c r="E150" s="55"/>
      <c r="F150" s="56" t="str">
        <f t="shared" si="1"/>
        <v/>
      </c>
      <c r="G150" s="55" t="str">
        <f t="shared" si="2"/>
        <v/>
      </c>
      <c r="H150" s="57" t="str">
        <f t="shared" si="3"/>
        <v/>
      </c>
      <c r="I150" s="58" t="str">
        <f t="shared" si="4"/>
        <v/>
      </c>
      <c r="J150" s="55" t="str">
        <f t="shared" si="5"/>
        <v/>
      </c>
      <c r="K150" s="59" t="str">
        <f t="shared" si="6"/>
        <v/>
      </c>
      <c r="L150" s="59" t="str">
        <f>IF(NOT(ISERROR(VLOOKUP(B150,Deflatores!G$42:H$64,2,FALSE))),VLOOKUP(B150,Deflatores!G$42:H$64,2,FALSE),IF(OR(ISBLANK(C150),ISBLANK(B150)),"",VLOOKUP(C150,Deflatores!G$4:H$38,2,FALSE)*H150+VLOOKUP(C150,Deflatores!G$4:I$38,3,FALSE)))</f>
        <v/>
      </c>
      <c r="M150" s="60"/>
      <c r="N150" s="60"/>
      <c r="O150" s="61"/>
    </row>
    <row r="151" ht="12.0" customHeight="1">
      <c r="A151" s="68"/>
      <c r="B151" s="54"/>
      <c r="C151" s="54"/>
      <c r="D151" s="55"/>
      <c r="E151" s="55"/>
      <c r="F151" s="56" t="str">
        <f t="shared" si="1"/>
        <v/>
      </c>
      <c r="G151" s="55" t="str">
        <f t="shared" si="2"/>
        <v/>
      </c>
      <c r="H151" s="57" t="str">
        <f t="shared" si="3"/>
        <v/>
      </c>
      <c r="I151" s="58" t="str">
        <f t="shared" si="4"/>
        <v/>
      </c>
      <c r="J151" s="55" t="str">
        <f t="shared" si="5"/>
        <v/>
      </c>
      <c r="K151" s="59" t="str">
        <f t="shared" si="6"/>
        <v/>
      </c>
      <c r="L151" s="59" t="str">
        <f>IF(NOT(ISERROR(VLOOKUP(B151,Deflatores!G$42:H$64,2,FALSE))),VLOOKUP(B151,Deflatores!G$42:H$64,2,FALSE),IF(OR(ISBLANK(C151),ISBLANK(B151)),"",VLOOKUP(C151,Deflatores!G$4:H$38,2,FALSE)*H151+VLOOKUP(C151,Deflatores!G$4:I$38,3,FALSE)))</f>
        <v/>
      </c>
      <c r="M151" s="60"/>
      <c r="N151" s="60"/>
      <c r="O151" s="61"/>
    </row>
    <row r="152" ht="12.0" customHeight="1">
      <c r="A152" s="53"/>
      <c r="B152" s="54"/>
      <c r="C152" s="54"/>
      <c r="D152" s="55"/>
      <c r="E152" s="55"/>
      <c r="F152" s="56" t="str">
        <f t="shared" si="1"/>
        <v/>
      </c>
      <c r="G152" s="55" t="str">
        <f t="shared" si="2"/>
        <v/>
      </c>
      <c r="H152" s="57" t="str">
        <f t="shared" si="3"/>
        <v/>
      </c>
      <c r="I152" s="58" t="str">
        <f t="shared" si="4"/>
        <v/>
      </c>
      <c r="J152" s="55" t="str">
        <f t="shared" si="5"/>
        <v/>
      </c>
      <c r="K152" s="59" t="str">
        <f t="shared" si="6"/>
        <v/>
      </c>
      <c r="L152" s="59" t="str">
        <f>IF(NOT(ISERROR(VLOOKUP(B152,Deflatores!G$42:H$64,2,FALSE))),VLOOKUP(B152,Deflatores!G$42:H$64,2,FALSE),IF(OR(ISBLANK(C152),ISBLANK(B152)),"",VLOOKUP(C152,Deflatores!G$4:H$38,2,FALSE)*H152+VLOOKUP(C152,Deflatores!G$4:I$38,3,FALSE)))</f>
        <v/>
      </c>
      <c r="M152" s="60"/>
      <c r="N152" s="60"/>
      <c r="O152" s="61"/>
    </row>
    <row r="153" ht="12.0" customHeight="1">
      <c r="A153" s="53"/>
      <c r="B153" s="54"/>
      <c r="C153" s="54"/>
      <c r="D153" s="55"/>
      <c r="E153" s="55"/>
      <c r="F153" s="56" t="str">
        <f t="shared" si="1"/>
        <v/>
      </c>
      <c r="G153" s="55" t="str">
        <f t="shared" si="2"/>
        <v/>
      </c>
      <c r="H153" s="57" t="str">
        <f t="shared" si="3"/>
        <v/>
      </c>
      <c r="I153" s="58" t="str">
        <f t="shared" si="4"/>
        <v/>
      </c>
      <c r="J153" s="55" t="str">
        <f t="shared" si="5"/>
        <v/>
      </c>
      <c r="K153" s="59" t="str">
        <f t="shared" si="6"/>
        <v/>
      </c>
      <c r="L153" s="59" t="str">
        <f>IF(NOT(ISERROR(VLOOKUP(B153,Deflatores!G$42:H$64,2,FALSE))),VLOOKUP(B153,Deflatores!G$42:H$64,2,FALSE),IF(OR(ISBLANK(C153),ISBLANK(B153)),"",VLOOKUP(C153,Deflatores!G$4:H$38,2,FALSE)*H153+VLOOKUP(C153,Deflatores!G$4:I$38,3,FALSE)))</f>
        <v/>
      </c>
      <c r="M153" s="60"/>
      <c r="N153" s="60"/>
      <c r="O153" s="61"/>
    </row>
    <row r="154" ht="12.0" customHeight="1">
      <c r="A154" s="53"/>
      <c r="B154" s="54"/>
      <c r="C154" s="54"/>
      <c r="D154" s="55"/>
      <c r="E154" s="55"/>
      <c r="F154" s="56" t="str">
        <f t="shared" si="1"/>
        <v/>
      </c>
      <c r="G154" s="55" t="str">
        <f t="shared" si="2"/>
        <v/>
      </c>
      <c r="H154" s="57" t="str">
        <f t="shared" si="3"/>
        <v/>
      </c>
      <c r="I154" s="58" t="str">
        <f t="shared" si="4"/>
        <v/>
      </c>
      <c r="J154" s="55" t="str">
        <f t="shared" si="5"/>
        <v/>
      </c>
      <c r="K154" s="59" t="str">
        <f t="shared" si="6"/>
        <v/>
      </c>
      <c r="L154" s="59" t="str">
        <f>IF(NOT(ISERROR(VLOOKUP(B154,Deflatores!G$42:H$64,2,FALSE))),VLOOKUP(B154,Deflatores!G$42:H$64,2,FALSE),IF(OR(ISBLANK(C154),ISBLANK(B154)),"",VLOOKUP(C154,Deflatores!G$4:H$38,2,FALSE)*H154+VLOOKUP(C154,Deflatores!G$4:I$38,3,FALSE)))</f>
        <v/>
      </c>
      <c r="M154" s="60"/>
      <c r="N154" s="60"/>
      <c r="O154" s="61"/>
    </row>
    <row r="155" ht="12.0" customHeight="1">
      <c r="A155" s="53"/>
      <c r="B155" s="54"/>
      <c r="C155" s="54"/>
      <c r="D155" s="55"/>
      <c r="E155" s="55"/>
      <c r="F155" s="56" t="str">
        <f t="shared" si="1"/>
        <v/>
      </c>
      <c r="G155" s="55" t="str">
        <f t="shared" si="2"/>
        <v/>
      </c>
      <c r="H155" s="57" t="str">
        <f t="shared" si="3"/>
        <v/>
      </c>
      <c r="I155" s="58" t="str">
        <f t="shared" si="4"/>
        <v/>
      </c>
      <c r="J155" s="55" t="str">
        <f t="shared" si="5"/>
        <v/>
      </c>
      <c r="K155" s="59" t="str">
        <f t="shared" si="6"/>
        <v/>
      </c>
      <c r="L155" s="59" t="str">
        <f>IF(NOT(ISERROR(VLOOKUP(B155,Deflatores!G$42:H$64,2,FALSE))),VLOOKUP(B155,Deflatores!G$42:H$64,2,FALSE),IF(OR(ISBLANK(C155),ISBLANK(B155)),"",VLOOKUP(C155,Deflatores!G$4:H$38,2,FALSE)*H155+VLOOKUP(C155,Deflatores!G$4:I$38,3,FALSE)))</f>
        <v/>
      </c>
      <c r="M155" s="60"/>
      <c r="N155" s="60"/>
      <c r="O155" s="61"/>
    </row>
    <row r="156" ht="12.0" customHeight="1">
      <c r="A156" s="53"/>
      <c r="B156" s="54"/>
      <c r="C156" s="54"/>
      <c r="D156" s="55"/>
      <c r="E156" s="55"/>
      <c r="F156" s="56"/>
      <c r="G156" s="55"/>
      <c r="H156" s="57"/>
      <c r="I156" s="58"/>
      <c r="J156" s="55"/>
      <c r="K156" s="59"/>
      <c r="L156" s="59"/>
      <c r="M156" s="60"/>
      <c r="N156" s="60"/>
      <c r="O156" s="61"/>
    </row>
    <row r="157" ht="12.0" customHeight="1">
      <c r="A157" s="68"/>
      <c r="B157" s="54"/>
      <c r="C157" s="54"/>
      <c r="D157" s="55"/>
      <c r="E157" s="55"/>
      <c r="F157" s="56"/>
      <c r="G157" s="55"/>
      <c r="H157" s="57"/>
      <c r="I157" s="58"/>
      <c r="J157" s="55"/>
      <c r="K157" s="59"/>
      <c r="L157" s="59"/>
      <c r="M157" s="60"/>
      <c r="N157" s="60"/>
      <c r="O157" s="61"/>
    </row>
    <row r="158" ht="12.0" customHeight="1">
      <c r="A158" s="53"/>
      <c r="B158" s="54"/>
      <c r="C158" s="54"/>
      <c r="D158" s="55"/>
      <c r="E158" s="55"/>
      <c r="F158" s="56" t="str">
        <f t="shared" ref="F158:F809" si="7">IF(ISBLANK(B158),"",IF(I158="L","Baixa",IF(I158="A","Média",IF(I158="","","Alta"))))</f>
        <v/>
      </c>
      <c r="G158" s="55" t="str">
        <f t="shared" ref="G158:G809" si="8">CONCATENATE(B158,I158)</f>
        <v/>
      </c>
      <c r="H158" s="57" t="str">
        <f t="shared" ref="H158:H809" si="9">IF(ISBLANK(B158),"",IF(B158="ALI",IF(I158="L",7,IF(I158="A",10,15)),IF(B158="AIE",IF(I158="L",5,IF(I158="A",7,10)),IF(B158="SE",IF(I158="L",4,IF(I158="A",5,7)),IF(OR(B158="EE",B158="CE"),IF(I158="L",3,IF(I158="A",4,6)),0)))))</f>
        <v/>
      </c>
      <c r="I158" s="58" t="str">
        <f t="shared" ref="I158:I809" si="10">IF(OR(ISBLANK(D158),ISBLANK(E158)),IF(OR(B158="ALI",B158="AIE"),"L",IF(OR(B158="EE",B158="SE",B158="CE"),"A","")),IF(B158="EE",IF(E158&gt;=3,IF(D158&gt;=5,"H","A"),IF(E158&gt;=2,IF(D158&gt;=16,"H",IF(D158&lt;=4,"L","A")),IF(D158&lt;=15,"L","A"))),IF(OR(B158="SE",B158="CE"),IF(E158&gt;=4,IF(D158&gt;=6,"H","A"),IF(E158&gt;=2,IF(D158&gt;=20,"H",IF(D158&lt;=5,"L","A")),IF(D158&lt;=19,"L","A"))),IF(OR(B158="ALI",B158="AIE"),IF(E158&gt;=6,IF(D158&gt;=20,"H","A"),IF(E158&gt;=2,IF(D158&gt;=51,"H",IF(D158&lt;=19,"L","A")),IF(D158&lt;=50,"L","A"))),""))))</f>
        <v/>
      </c>
      <c r="J158" s="55" t="str">
        <f t="shared" ref="J158:J809" si="11">CONCATENATE(B158,C158)</f>
        <v/>
      </c>
      <c r="K158" s="59" t="str">
        <f t="shared" ref="K158:K809" si="12">IF(OR(H158="",H158=0),L158,H158)</f>
        <v/>
      </c>
      <c r="L158" s="59" t="str">
        <f>IF(NOT(ISERROR(VLOOKUP(B158,Deflatores!G$42:H$64,2,FALSE))),VLOOKUP(B158,Deflatores!G$42:H$64,2,FALSE),IF(OR(ISBLANK(C158),ISBLANK(B158)),"",VLOOKUP(C158,Deflatores!G$4:H$38,2,FALSE)*H158+VLOOKUP(C158,Deflatores!G$4:I$38,3,FALSE)))</f>
        <v/>
      </c>
      <c r="M158" s="60"/>
      <c r="N158" s="60"/>
      <c r="O158" s="61"/>
    </row>
    <row r="159" ht="12.0" customHeight="1">
      <c r="A159" s="53"/>
      <c r="B159" s="54"/>
      <c r="C159" s="54"/>
      <c r="D159" s="55"/>
      <c r="E159" s="55"/>
      <c r="F159" s="56" t="str">
        <f t="shared" si="7"/>
        <v/>
      </c>
      <c r="G159" s="55" t="str">
        <f t="shared" si="8"/>
        <v/>
      </c>
      <c r="H159" s="57" t="str">
        <f t="shared" si="9"/>
        <v/>
      </c>
      <c r="I159" s="58" t="str">
        <f t="shared" si="10"/>
        <v/>
      </c>
      <c r="J159" s="55" t="str">
        <f t="shared" si="11"/>
        <v/>
      </c>
      <c r="K159" s="59" t="str">
        <f t="shared" si="12"/>
        <v/>
      </c>
      <c r="L159" s="59" t="str">
        <f>IF(NOT(ISERROR(VLOOKUP(B159,Deflatores!G$42:H$64,2,FALSE))),VLOOKUP(B159,Deflatores!G$42:H$64,2,FALSE),IF(OR(ISBLANK(C159),ISBLANK(B159)),"",VLOOKUP(C159,Deflatores!G$4:H$38,2,FALSE)*H159+VLOOKUP(C159,Deflatores!G$4:I$38,3,FALSE)))</f>
        <v/>
      </c>
      <c r="M159" s="60"/>
      <c r="N159" s="60"/>
      <c r="O159" s="61"/>
    </row>
    <row r="160" ht="12.0" customHeight="1">
      <c r="A160" s="53"/>
      <c r="B160" s="54"/>
      <c r="C160" s="54"/>
      <c r="D160" s="55"/>
      <c r="E160" s="55"/>
      <c r="F160" s="56" t="str">
        <f t="shared" si="7"/>
        <v/>
      </c>
      <c r="G160" s="55" t="str">
        <f t="shared" si="8"/>
        <v/>
      </c>
      <c r="H160" s="57" t="str">
        <f t="shared" si="9"/>
        <v/>
      </c>
      <c r="I160" s="58" t="str">
        <f t="shared" si="10"/>
        <v/>
      </c>
      <c r="J160" s="55" t="str">
        <f t="shared" si="11"/>
        <v/>
      </c>
      <c r="K160" s="59" t="str">
        <f t="shared" si="12"/>
        <v/>
      </c>
      <c r="L160" s="59" t="str">
        <f>IF(NOT(ISERROR(VLOOKUP(B160,Deflatores!G$42:H$64,2,FALSE))),VLOOKUP(B160,Deflatores!G$42:H$64,2,FALSE),IF(OR(ISBLANK(C160),ISBLANK(B160)),"",VLOOKUP(C160,Deflatores!G$4:H$38,2,FALSE)*H160+VLOOKUP(C160,Deflatores!G$4:I$38,3,FALSE)))</f>
        <v/>
      </c>
      <c r="M160" s="60"/>
      <c r="N160" s="60"/>
      <c r="O160" s="61"/>
    </row>
    <row r="161" ht="12.0" customHeight="1">
      <c r="A161" s="53"/>
      <c r="B161" s="54"/>
      <c r="C161" s="54"/>
      <c r="D161" s="55"/>
      <c r="E161" s="55"/>
      <c r="F161" s="56" t="str">
        <f t="shared" si="7"/>
        <v/>
      </c>
      <c r="G161" s="55" t="str">
        <f t="shared" si="8"/>
        <v/>
      </c>
      <c r="H161" s="57" t="str">
        <f t="shared" si="9"/>
        <v/>
      </c>
      <c r="I161" s="58" t="str">
        <f t="shared" si="10"/>
        <v/>
      </c>
      <c r="J161" s="55" t="str">
        <f t="shared" si="11"/>
        <v/>
      </c>
      <c r="K161" s="59" t="str">
        <f t="shared" si="12"/>
        <v/>
      </c>
      <c r="L161" s="59" t="str">
        <f>IF(NOT(ISERROR(VLOOKUP(B161,Deflatores!G$42:H$64,2,FALSE))),VLOOKUP(B161,Deflatores!G$42:H$64,2,FALSE),IF(OR(ISBLANK(C161),ISBLANK(B161)),"",VLOOKUP(C161,Deflatores!G$4:H$38,2,FALSE)*H161+VLOOKUP(C161,Deflatores!G$4:I$38,3,FALSE)))</f>
        <v/>
      </c>
      <c r="M161" s="60"/>
      <c r="N161" s="60"/>
      <c r="O161" s="61"/>
    </row>
    <row r="162" ht="12.0" customHeight="1">
      <c r="A162" s="53"/>
      <c r="B162" s="54"/>
      <c r="C162" s="54"/>
      <c r="D162" s="55"/>
      <c r="E162" s="55"/>
      <c r="F162" s="56" t="str">
        <f t="shared" si="7"/>
        <v/>
      </c>
      <c r="G162" s="55" t="str">
        <f t="shared" si="8"/>
        <v/>
      </c>
      <c r="H162" s="57" t="str">
        <f t="shared" si="9"/>
        <v/>
      </c>
      <c r="I162" s="58" t="str">
        <f t="shared" si="10"/>
        <v/>
      </c>
      <c r="J162" s="55" t="str">
        <f t="shared" si="11"/>
        <v/>
      </c>
      <c r="K162" s="59" t="str">
        <f t="shared" si="12"/>
        <v/>
      </c>
      <c r="L162" s="59" t="str">
        <f>IF(NOT(ISERROR(VLOOKUP(B162,Deflatores!G$42:H$64,2,FALSE))),VLOOKUP(B162,Deflatores!G$42:H$64,2,FALSE),IF(OR(ISBLANK(C162),ISBLANK(B162)),"",VLOOKUP(C162,Deflatores!G$4:H$38,2,FALSE)*H162+VLOOKUP(C162,Deflatores!G$4:I$38,3,FALSE)))</f>
        <v/>
      </c>
      <c r="M162" s="60"/>
      <c r="N162" s="60"/>
      <c r="O162" s="61"/>
    </row>
    <row r="163" ht="12.0" customHeight="1">
      <c r="A163" s="68"/>
      <c r="B163" s="54"/>
      <c r="C163" s="54"/>
      <c r="D163" s="55"/>
      <c r="E163" s="55"/>
      <c r="F163" s="56" t="str">
        <f t="shared" si="7"/>
        <v/>
      </c>
      <c r="G163" s="55" t="str">
        <f t="shared" si="8"/>
        <v/>
      </c>
      <c r="H163" s="57" t="str">
        <f t="shared" si="9"/>
        <v/>
      </c>
      <c r="I163" s="58" t="str">
        <f t="shared" si="10"/>
        <v/>
      </c>
      <c r="J163" s="55" t="str">
        <f t="shared" si="11"/>
        <v/>
      </c>
      <c r="K163" s="59" t="str">
        <f t="shared" si="12"/>
        <v/>
      </c>
      <c r="L163" s="59" t="str">
        <f>IF(NOT(ISERROR(VLOOKUP(B163,Deflatores!G$42:H$64,2,FALSE))),VLOOKUP(B163,Deflatores!G$42:H$64,2,FALSE),IF(OR(ISBLANK(C163),ISBLANK(B163)),"",VLOOKUP(C163,Deflatores!G$4:H$38,2,FALSE)*H163+VLOOKUP(C163,Deflatores!G$4:I$38,3,FALSE)))</f>
        <v/>
      </c>
      <c r="M163" s="60"/>
      <c r="N163" s="60"/>
      <c r="O163" s="61"/>
    </row>
    <row r="164" ht="12.0" customHeight="1">
      <c r="A164" s="53"/>
      <c r="B164" s="54"/>
      <c r="C164" s="54"/>
      <c r="D164" s="55"/>
      <c r="E164" s="55"/>
      <c r="F164" s="56" t="str">
        <f t="shared" si="7"/>
        <v/>
      </c>
      <c r="G164" s="55" t="str">
        <f t="shared" si="8"/>
        <v/>
      </c>
      <c r="H164" s="57" t="str">
        <f t="shared" si="9"/>
        <v/>
      </c>
      <c r="I164" s="58" t="str">
        <f t="shared" si="10"/>
        <v/>
      </c>
      <c r="J164" s="55" t="str">
        <f t="shared" si="11"/>
        <v/>
      </c>
      <c r="K164" s="59" t="str">
        <f t="shared" si="12"/>
        <v/>
      </c>
      <c r="L164" s="59" t="str">
        <f>IF(NOT(ISERROR(VLOOKUP(B164,Deflatores!G$42:H$64,2,FALSE))),VLOOKUP(B164,Deflatores!G$42:H$64,2,FALSE),IF(OR(ISBLANK(C164),ISBLANK(B164)),"",VLOOKUP(C164,Deflatores!G$4:H$38,2,FALSE)*H164+VLOOKUP(C164,Deflatores!G$4:I$38,3,FALSE)))</f>
        <v/>
      </c>
      <c r="M164" s="60"/>
      <c r="N164" s="60"/>
      <c r="O164" s="61"/>
    </row>
    <row r="165" ht="12.0" customHeight="1">
      <c r="A165" s="53"/>
      <c r="B165" s="54"/>
      <c r="C165" s="54"/>
      <c r="D165" s="55"/>
      <c r="E165" s="55"/>
      <c r="F165" s="56" t="str">
        <f t="shared" si="7"/>
        <v/>
      </c>
      <c r="G165" s="55" t="str">
        <f t="shared" si="8"/>
        <v/>
      </c>
      <c r="H165" s="57" t="str">
        <f t="shared" si="9"/>
        <v/>
      </c>
      <c r="I165" s="58" t="str">
        <f t="shared" si="10"/>
        <v/>
      </c>
      <c r="J165" s="55" t="str">
        <f t="shared" si="11"/>
        <v/>
      </c>
      <c r="K165" s="59" t="str">
        <f t="shared" si="12"/>
        <v/>
      </c>
      <c r="L165" s="59" t="str">
        <f>IF(NOT(ISERROR(VLOOKUP(B165,Deflatores!G$42:H$64,2,FALSE))),VLOOKUP(B165,Deflatores!G$42:H$64,2,FALSE),IF(OR(ISBLANK(C165),ISBLANK(B165)),"",VLOOKUP(C165,Deflatores!G$4:H$38,2,FALSE)*H165+VLOOKUP(C165,Deflatores!G$4:I$38,3,FALSE)))</f>
        <v/>
      </c>
      <c r="M165" s="60"/>
      <c r="N165" s="60"/>
      <c r="O165" s="61"/>
    </row>
    <row r="166" ht="12.0" customHeight="1">
      <c r="A166" s="53"/>
      <c r="B166" s="54"/>
      <c r="C166" s="54"/>
      <c r="D166" s="55"/>
      <c r="E166" s="55"/>
      <c r="F166" s="56" t="str">
        <f t="shared" si="7"/>
        <v/>
      </c>
      <c r="G166" s="55" t="str">
        <f t="shared" si="8"/>
        <v/>
      </c>
      <c r="H166" s="57" t="str">
        <f t="shared" si="9"/>
        <v/>
      </c>
      <c r="I166" s="58" t="str">
        <f t="shared" si="10"/>
        <v/>
      </c>
      <c r="J166" s="55" t="str">
        <f t="shared" si="11"/>
        <v/>
      </c>
      <c r="K166" s="59" t="str">
        <f t="shared" si="12"/>
        <v/>
      </c>
      <c r="L166" s="59" t="str">
        <f>IF(NOT(ISERROR(VLOOKUP(B166,Deflatores!G$42:H$64,2,FALSE))),VLOOKUP(B166,Deflatores!G$42:H$64,2,FALSE),IF(OR(ISBLANK(C166),ISBLANK(B166)),"",VLOOKUP(C166,Deflatores!G$4:H$38,2,FALSE)*H166+VLOOKUP(C166,Deflatores!G$4:I$38,3,FALSE)))</f>
        <v/>
      </c>
      <c r="M166" s="60"/>
      <c r="N166" s="60"/>
      <c r="O166" s="61"/>
    </row>
    <row r="167" ht="12.0" customHeight="1">
      <c r="A167" s="53"/>
      <c r="B167" s="54"/>
      <c r="C167" s="54"/>
      <c r="D167" s="55"/>
      <c r="E167" s="55"/>
      <c r="F167" s="56" t="str">
        <f t="shared" si="7"/>
        <v/>
      </c>
      <c r="G167" s="55" t="str">
        <f t="shared" si="8"/>
        <v/>
      </c>
      <c r="H167" s="57" t="str">
        <f t="shared" si="9"/>
        <v/>
      </c>
      <c r="I167" s="58" t="str">
        <f t="shared" si="10"/>
        <v/>
      </c>
      <c r="J167" s="55" t="str">
        <f t="shared" si="11"/>
        <v/>
      </c>
      <c r="K167" s="59" t="str">
        <f t="shared" si="12"/>
        <v/>
      </c>
      <c r="L167" s="59" t="str">
        <f>IF(NOT(ISERROR(VLOOKUP(B167,Deflatores!G$42:H$64,2,FALSE))),VLOOKUP(B167,Deflatores!G$42:H$64,2,FALSE),IF(OR(ISBLANK(C167),ISBLANK(B167)),"",VLOOKUP(C167,Deflatores!G$4:H$38,2,FALSE)*H167+VLOOKUP(C167,Deflatores!G$4:I$38,3,FALSE)))</f>
        <v/>
      </c>
      <c r="M167" s="60"/>
      <c r="N167" s="60"/>
      <c r="O167" s="61"/>
    </row>
    <row r="168" ht="12.0" customHeight="1">
      <c r="A168" s="53"/>
      <c r="B168" s="54"/>
      <c r="C168" s="54"/>
      <c r="D168" s="55"/>
      <c r="E168" s="55"/>
      <c r="F168" s="56" t="str">
        <f t="shared" si="7"/>
        <v/>
      </c>
      <c r="G168" s="55" t="str">
        <f t="shared" si="8"/>
        <v/>
      </c>
      <c r="H168" s="57" t="str">
        <f t="shared" si="9"/>
        <v/>
      </c>
      <c r="I168" s="58" t="str">
        <f t="shared" si="10"/>
        <v/>
      </c>
      <c r="J168" s="55" t="str">
        <f t="shared" si="11"/>
        <v/>
      </c>
      <c r="K168" s="59" t="str">
        <f t="shared" si="12"/>
        <v/>
      </c>
      <c r="L168" s="59" t="str">
        <f>IF(NOT(ISERROR(VLOOKUP(B168,Deflatores!G$42:H$64,2,FALSE))),VLOOKUP(B168,Deflatores!G$42:H$64,2,FALSE),IF(OR(ISBLANK(C168),ISBLANK(B168)),"",VLOOKUP(C168,Deflatores!G$4:H$38,2,FALSE)*H168+VLOOKUP(C168,Deflatores!G$4:I$38,3,FALSE)))</f>
        <v/>
      </c>
      <c r="M168" s="60"/>
      <c r="N168" s="60"/>
      <c r="O168" s="61"/>
    </row>
    <row r="169" ht="12.0" customHeight="1">
      <c r="A169" s="68"/>
      <c r="B169" s="54"/>
      <c r="C169" s="54"/>
      <c r="D169" s="55"/>
      <c r="E169" s="55"/>
      <c r="F169" s="56" t="str">
        <f t="shared" si="7"/>
        <v/>
      </c>
      <c r="G169" s="55" t="str">
        <f t="shared" si="8"/>
        <v/>
      </c>
      <c r="H169" s="57" t="str">
        <f t="shared" si="9"/>
        <v/>
      </c>
      <c r="I169" s="58" t="str">
        <f t="shared" si="10"/>
        <v/>
      </c>
      <c r="J169" s="55" t="str">
        <f t="shared" si="11"/>
        <v/>
      </c>
      <c r="K169" s="59" t="str">
        <f t="shared" si="12"/>
        <v/>
      </c>
      <c r="L169" s="59" t="str">
        <f>IF(NOT(ISERROR(VLOOKUP(B169,Deflatores!G$42:H$64,2,FALSE))),VLOOKUP(B169,Deflatores!G$42:H$64,2,FALSE),IF(OR(ISBLANK(C169),ISBLANK(B169)),"",VLOOKUP(C169,Deflatores!G$4:H$38,2,FALSE)*H169+VLOOKUP(C169,Deflatores!G$4:I$38,3,FALSE)))</f>
        <v/>
      </c>
      <c r="M169" s="60"/>
      <c r="N169" s="60"/>
      <c r="O169" s="61"/>
    </row>
    <row r="170" ht="12.0" customHeight="1">
      <c r="A170" s="53"/>
      <c r="B170" s="54"/>
      <c r="C170" s="54"/>
      <c r="D170" s="55"/>
      <c r="E170" s="55"/>
      <c r="F170" s="56" t="str">
        <f t="shared" si="7"/>
        <v/>
      </c>
      <c r="G170" s="55" t="str">
        <f t="shared" si="8"/>
        <v/>
      </c>
      <c r="H170" s="57" t="str">
        <f t="shared" si="9"/>
        <v/>
      </c>
      <c r="I170" s="58" t="str">
        <f t="shared" si="10"/>
        <v/>
      </c>
      <c r="J170" s="55" t="str">
        <f t="shared" si="11"/>
        <v/>
      </c>
      <c r="K170" s="59" t="str">
        <f t="shared" si="12"/>
        <v/>
      </c>
      <c r="L170" s="59" t="str">
        <f>IF(NOT(ISERROR(VLOOKUP(B170,Deflatores!G$42:H$64,2,FALSE))),VLOOKUP(B170,Deflatores!G$42:H$64,2,FALSE),IF(OR(ISBLANK(C170),ISBLANK(B170)),"",VLOOKUP(C170,Deflatores!G$4:H$38,2,FALSE)*H170+VLOOKUP(C170,Deflatores!G$4:I$38,3,FALSE)))</f>
        <v/>
      </c>
      <c r="M170" s="60"/>
      <c r="N170" s="60"/>
      <c r="O170" s="61"/>
    </row>
    <row r="171" ht="12.0" customHeight="1">
      <c r="A171" s="53"/>
      <c r="B171" s="54"/>
      <c r="C171" s="54"/>
      <c r="D171" s="55"/>
      <c r="E171" s="55"/>
      <c r="F171" s="56" t="str">
        <f t="shared" si="7"/>
        <v/>
      </c>
      <c r="G171" s="55" t="str">
        <f t="shared" si="8"/>
        <v/>
      </c>
      <c r="H171" s="57" t="str">
        <f t="shared" si="9"/>
        <v/>
      </c>
      <c r="I171" s="58" t="str">
        <f t="shared" si="10"/>
        <v/>
      </c>
      <c r="J171" s="55" t="str">
        <f t="shared" si="11"/>
        <v/>
      </c>
      <c r="K171" s="59" t="str">
        <f t="shared" si="12"/>
        <v/>
      </c>
      <c r="L171" s="59" t="str">
        <f>IF(NOT(ISERROR(VLOOKUP(B171,Deflatores!G$42:H$64,2,FALSE))),VLOOKUP(B171,Deflatores!G$42:H$64,2,FALSE),IF(OR(ISBLANK(C171),ISBLANK(B171)),"",VLOOKUP(C171,Deflatores!G$4:H$38,2,FALSE)*H171+VLOOKUP(C171,Deflatores!G$4:I$38,3,FALSE)))</f>
        <v/>
      </c>
      <c r="M171" s="60"/>
      <c r="N171" s="60"/>
      <c r="O171" s="61"/>
    </row>
    <row r="172" ht="12.0" customHeight="1">
      <c r="A172" s="53"/>
      <c r="B172" s="54"/>
      <c r="C172" s="54"/>
      <c r="D172" s="55"/>
      <c r="E172" s="55"/>
      <c r="F172" s="56" t="str">
        <f t="shared" si="7"/>
        <v/>
      </c>
      <c r="G172" s="55" t="str">
        <f t="shared" si="8"/>
        <v/>
      </c>
      <c r="H172" s="57" t="str">
        <f t="shared" si="9"/>
        <v/>
      </c>
      <c r="I172" s="58" t="str">
        <f t="shared" si="10"/>
        <v/>
      </c>
      <c r="J172" s="55" t="str">
        <f t="shared" si="11"/>
        <v/>
      </c>
      <c r="K172" s="59" t="str">
        <f t="shared" si="12"/>
        <v/>
      </c>
      <c r="L172" s="59" t="str">
        <f>IF(NOT(ISERROR(VLOOKUP(B172,Deflatores!G$42:H$64,2,FALSE))),VLOOKUP(B172,Deflatores!G$42:H$64,2,FALSE),IF(OR(ISBLANK(C172),ISBLANK(B172)),"",VLOOKUP(C172,Deflatores!G$4:H$38,2,FALSE)*H172+VLOOKUP(C172,Deflatores!G$4:I$38,3,FALSE)))</f>
        <v/>
      </c>
      <c r="M172" s="60"/>
      <c r="N172" s="60"/>
      <c r="O172" s="61"/>
    </row>
    <row r="173" ht="12.0" customHeight="1">
      <c r="A173" s="53"/>
      <c r="B173" s="54"/>
      <c r="C173" s="54"/>
      <c r="D173" s="55"/>
      <c r="E173" s="55"/>
      <c r="F173" s="56" t="str">
        <f t="shared" si="7"/>
        <v/>
      </c>
      <c r="G173" s="55" t="str">
        <f t="shared" si="8"/>
        <v/>
      </c>
      <c r="H173" s="57" t="str">
        <f t="shared" si="9"/>
        <v/>
      </c>
      <c r="I173" s="58" t="str">
        <f t="shared" si="10"/>
        <v/>
      </c>
      <c r="J173" s="55" t="str">
        <f t="shared" si="11"/>
        <v/>
      </c>
      <c r="K173" s="59" t="str">
        <f t="shared" si="12"/>
        <v/>
      </c>
      <c r="L173" s="59" t="str">
        <f>IF(NOT(ISERROR(VLOOKUP(B173,Deflatores!G$42:H$64,2,FALSE))),VLOOKUP(B173,Deflatores!G$42:H$64,2,FALSE),IF(OR(ISBLANK(C173),ISBLANK(B173)),"",VLOOKUP(C173,Deflatores!G$4:H$38,2,FALSE)*H173+VLOOKUP(C173,Deflatores!G$4:I$38,3,FALSE)))</f>
        <v/>
      </c>
      <c r="M173" s="60"/>
      <c r="N173" s="60"/>
      <c r="O173" s="61"/>
    </row>
    <row r="174" ht="12.0" customHeight="1">
      <c r="A174" s="53"/>
      <c r="B174" s="54"/>
      <c r="C174" s="54"/>
      <c r="D174" s="55"/>
      <c r="E174" s="55"/>
      <c r="F174" s="56" t="str">
        <f t="shared" si="7"/>
        <v/>
      </c>
      <c r="G174" s="55" t="str">
        <f t="shared" si="8"/>
        <v/>
      </c>
      <c r="H174" s="57" t="str">
        <f t="shared" si="9"/>
        <v/>
      </c>
      <c r="I174" s="58" t="str">
        <f t="shared" si="10"/>
        <v/>
      </c>
      <c r="J174" s="55" t="str">
        <f t="shared" si="11"/>
        <v/>
      </c>
      <c r="K174" s="59" t="str">
        <f t="shared" si="12"/>
        <v/>
      </c>
      <c r="L174" s="59" t="str">
        <f>IF(NOT(ISERROR(VLOOKUP(B174,Deflatores!G$42:H$64,2,FALSE))),VLOOKUP(B174,Deflatores!G$42:H$64,2,FALSE),IF(OR(ISBLANK(C174),ISBLANK(B174)),"",VLOOKUP(C174,Deflatores!G$4:H$38,2,FALSE)*H174+VLOOKUP(C174,Deflatores!G$4:I$38,3,FALSE)))</f>
        <v/>
      </c>
      <c r="M174" s="60"/>
      <c r="N174" s="60"/>
      <c r="O174" s="61"/>
    </row>
    <row r="175" ht="12.0" customHeight="1">
      <c r="A175" s="68"/>
      <c r="B175" s="54"/>
      <c r="C175" s="54"/>
      <c r="D175" s="55"/>
      <c r="E175" s="55"/>
      <c r="F175" s="56" t="str">
        <f t="shared" si="7"/>
        <v/>
      </c>
      <c r="G175" s="55" t="str">
        <f t="shared" si="8"/>
        <v/>
      </c>
      <c r="H175" s="57" t="str">
        <f t="shared" si="9"/>
        <v/>
      </c>
      <c r="I175" s="58" t="str">
        <f t="shared" si="10"/>
        <v/>
      </c>
      <c r="J175" s="55" t="str">
        <f t="shared" si="11"/>
        <v/>
      </c>
      <c r="K175" s="59" t="str">
        <f t="shared" si="12"/>
        <v/>
      </c>
      <c r="L175" s="59" t="str">
        <f>IF(NOT(ISERROR(VLOOKUP(B175,Deflatores!G$42:H$64,2,FALSE))),VLOOKUP(B175,Deflatores!G$42:H$64,2,FALSE),IF(OR(ISBLANK(C175),ISBLANK(B175)),"",VLOOKUP(C175,Deflatores!G$4:H$38,2,FALSE)*H175+VLOOKUP(C175,Deflatores!G$4:I$38,3,FALSE)))</f>
        <v/>
      </c>
      <c r="M175" s="60"/>
      <c r="N175" s="60"/>
      <c r="O175" s="61"/>
    </row>
    <row r="176" ht="12.0" customHeight="1">
      <c r="A176" s="53"/>
      <c r="B176" s="54"/>
      <c r="C176" s="54"/>
      <c r="D176" s="55"/>
      <c r="E176" s="55"/>
      <c r="F176" s="56" t="str">
        <f t="shared" si="7"/>
        <v/>
      </c>
      <c r="G176" s="55" t="str">
        <f t="shared" si="8"/>
        <v/>
      </c>
      <c r="H176" s="57" t="str">
        <f t="shared" si="9"/>
        <v/>
      </c>
      <c r="I176" s="58" t="str">
        <f t="shared" si="10"/>
        <v/>
      </c>
      <c r="J176" s="55" t="str">
        <f t="shared" si="11"/>
        <v/>
      </c>
      <c r="K176" s="59" t="str">
        <f t="shared" si="12"/>
        <v/>
      </c>
      <c r="L176" s="59" t="str">
        <f>IF(NOT(ISERROR(VLOOKUP(B176,Deflatores!G$42:H$64,2,FALSE))),VLOOKUP(B176,Deflatores!G$42:H$64,2,FALSE),IF(OR(ISBLANK(C176),ISBLANK(B176)),"",VLOOKUP(C176,Deflatores!G$4:H$38,2,FALSE)*H176+VLOOKUP(C176,Deflatores!G$4:I$38,3,FALSE)))</f>
        <v/>
      </c>
      <c r="M176" s="60"/>
      <c r="N176" s="60"/>
      <c r="O176" s="61"/>
    </row>
    <row r="177" ht="12.0" customHeight="1">
      <c r="A177" s="53"/>
      <c r="B177" s="54"/>
      <c r="C177" s="54"/>
      <c r="D177" s="55"/>
      <c r="E177" s="55"/>
      <c r="F177" s="56" t="str">
        <f t="shared" si="7"/>
        <v/>
      </c>
      <c r="G177" s="55" t="str">
        <f t="shared" si="8"/>
        <v/>
      </c>
      <c r="H177" s="57" t="str">
        <f t="shared" si="9"/>
        <v/>
      </c>
      <c r="I177" s="58" t="str">
        <f t="shared" si="10"/>
        <v/>
      </c>
      <c r="J177" s="55" t="str">
        <f t="shared" si="11"/>
        <v/>
      </c>
      <c r="K177" s="59" t="str">
        <f t="shared" si="12"/>
        <v/>
      </c>
      <c r="L177" s="59" t="str">
        <f>IF(NOT(ISERROR(VLOOKUP(B177,Deflatores!G$42:H$64,2,FALSE))),VLOOKUP(B177,Deflatores!G$42:H$64,2,FALSE),IF(OR(ISBLANK(C177),ISBLANK(B177)),"",VLOOKUP(C177,Deflatores!G$4:H$38,2,FALSE)*H177+VLOOKUP(C177,Deflatores!G$4:I$38,3,FALSE)))</f>
        <v/>
      </c>
      <c r="M177" s="60"/>
      <c r="N177" s="60"/>
      <c r="O177" s="61"/>
    </row>
    <row r="178" ht="12.0" customHeight="1">
      <c r="A178" s="53"/>
      <c r="B178" s="54"/>
      <c r="C178" s="54"/>
      <c r="D178" s="55"/>
      <c r="E178" s="55"/>
      <c r="F178" s="56" t="str">
        <f t="shared" si="7"/>
        <v/>
      </c>
      <c r="G178" s="55" t="str">
        <f t="shared" si="8"/>
        <v/>
      </c>
      <c r="H178" s="57" t="str">
        <f t="shared" si="9"/>
        <v/>
      </c>
      <c r="I178" s="58" t="str">
        <f t="shared" si="10"/>
        <v/>
      </c>
      <c r="J178" s="55" t="str">
        <f t="shared" si="11"/>
        <v/>
      </c>
      <c r="K178" s="59" t="str">
        <f t="shared" si="12"/>
        <v/>
      </c>
      <c r="L178" s="59" t="str">
        <f>IF(NOT(ISERROR(VLOOKUP(B178,Deflatores!G$42:H$64,2,FALSE))),VLOOKUP(B178,Deflatores!G$42:H$64,2,FALSE),IF(OR(ISBLANK(C178),ISBLANK(B178)),"",VLOOKUP(C178,Deflatores!G$4:H$38,2,FALSE)*H178+VLOOKUP(C178,Deflatores!G$4:I$38,3,FALSE)))</f>
        <v/>
      </c>
      <c r="M178" s="60"/>
      <c r="N178" s="60"/>
      <c r="O178" s="61" t="s">
        <v>147</v>
      </c>
    </row>
    <row r="179" ht="12.0" customHeight="1">
      <c r="A179" s="68"/>
      <c r="B179" s="54"/>
      <c r="C179" s="54"/>
      <c r="D179" s="55"/>
      <c r="E179" s="55"/>
      <c r="F179" s="56" t="str">
        <f t="shared" si="7"/>
        <v/>
      </c>
      <c r="G179" s="55" t="str">
        <f t="shared" si="8"/>
        <v/>
      </c>
      <c r="H179" s="57" t="str">
        <f t="shared" si="9"/>
        <v/>
      </c>
      <c r="I179" s="58" t="str">
        <f t="shared" si="10"/>
        <v/>
      </c>
      <c r="J179" s="55" t="str">
        <f t="shared" si="11"/>
        <v/>
      </c>
      <c r="K179" s="59" t="str">
        <f t="shared" si="12"/>
        <v/>
      </c>
      <c r="L179" s="59" t="str">
        <f>IF(NOT(ISERROR(VLOOKUP(B179,Deflatores!G$42:H$64,2,FALSE))),VLOOKUP(B179,Deflatores!G$42:H$64,2,FALSE),IF(OR(ISBLANK(C179),ISBLANK(B179)),"",VLOOKUP(C179,Deflatores!G$4:H$38,2,FALSE)*H179+VLOOKUP(C179,Deflatores!G$4:I$38,3,FALSE)))</f>
        <v/>
      </c>
      <c r="M179" s="60"/>
      <c r="N179" s="60"/>
      <c r="O179" s="61"/>
    </row>
    <row r="180" ht="12.0" customHeight="1">
      <c r="A180" s="53"/>
      <c r="B180" s="54"/>
      <c r="C180" s="54"/>
      <c r="D180" s="55"/>
      <c r="E180" s="55"/>
      <c r="F180" s="56" t="str">
        <f t="shared" si="7"/>
        <v/>
      </c>
      <c r="G180" s="55" t="str">
        <f t="shared" si="8"/>
        <v/>
      </c>
      <c r="H180" s="57" t="str">
        <f t="shared" si="9"/>
        <v/>
      </c>
      <c r="I180" s="58" t="str">
        <f t="shared" si="10"/>
        <v/>
      </c>
      <c r="J180" s="55" t="str">
        <f t="shared" si="11"/>
        <v/>
      </c>
      <c r="K180" s="59" t="str">
        <f t="shared" si="12"/>
        <v/>
      </c>
      <c r="L180" s="59" t="str">
        <f>IF(NOT(ISERROR(VLOOKUP(B180,Deflatores!G$42:H$64,2,FALSE))),VLOOKUP(B180,Deflatores!G$42:H$64,2,FALSE),IF(OR(ISBLANK(C180),ISBLANK(B180)),"",VLOOKUP(C180,Deflatores!G$4:H$38,2,FALSE)*H180+VLOOKUP(C180,Deflatores!G$4:I$38,3,FALSE)))</f>
        <v/>
      </c>
      <c r="M180" s="60"/>
      <c r="N180" s="60"/>
      <c r="O180" s="61"/>
    </row>
    <row r="181" ht="12.0" customHeight="1">
      <c r="A181" s="53"/>
      <c r="B181" s="54"/>
      <c r="C181" s="54"/>
      <c r="D181" s="55"/>
      <c r="E181" s="55"/>
      <c r="F181" s="56" t="str">
        <f t="shared" si="7"/>
        <v/>
      </c>
      <c r="G181" s="55" t="str">
        <f t="shared" si="8"/>
        <v/>
      </c>
      <c r="H181" s="57" t="str">
        <f t="shared" si="9"/>
        <v/>
      </c>
      <c r="I181" s="58" t="str">
        <f t="shared" si="10"/>
        <v/>
      </c>
      <c r="J181" s="55" t="str">
        <f t="shared" si="11"/>
        <v/>
      </c>
      <c r="K181" s="59" t="str">
        <f t="shared" si="12"/>
        <v/>
      </c>
      <c r="L181" s="59" t="str">
        <f>IF(NOT(ISERROR(VLOOKUP(B181,Deflatores!G$42:H$64,2,FALSE))),VLOOKUP(B181,Deflatores!G$42:H$64,2,FALSE),IF(OR(ISBLANK(C181),ISBLANK(B181)),"",VLOOKUP(C181,Deflatores!G$4:H$38,2,FALSE)*H181+VLOOKUP(C181,Deflatores!G$4:I$38,3,FALSE)))</f>
        <v/>
      </c>
      <c r="M181" s="60"/>
      <c r="N181" s="60"/>
      <c r="O181" s="61"/>
    </row>
    <row r="182" ht="12.0" customHeight="1">
      <c r="A182" s="53"/>
      <c r="B182" s="54"/>
      <c r="C182" s="54"/>
      <c r="D182" s="55"/>
      <c r="E182" s="55"/>
      <c r="F182" s="56" t="str">
        <f t="shared" si="7"/>
        <v/>
      </c>
      <c r="G182" s="55" t="str">
        <f t="shared" si="8"/>
        <v/>
      </c>
      <c r="H182" s="57" t="str">
        <f t="shared" si="9"/>
        <v/>
      </c>
      <c r="I182" s="58" t="str">
        <f t="shared" si="10"/>
        <v/>
      </c>
      <c r="J182" s="55" t="str">
        <f t="shared" si="11"/>
        <v/>
      </c>
      <c r="K182" s="59" t="str">
        <f t="shared" si="12"/>
        <v/>
      </c>
      <c r="L182" s="59" t="str">
        <f>IF(NOT(ISERROR(VLOOKUP(B182,Deflatores!G$42:H$64,2,FALSE))),VLOOKUP(B182,Deflatores!G$42:H$64,2,FALSE),IF(OR(ISBLANK(C182),ISBLANK(B182)),"",VLOOKUP(C182,Deflatores!G$4:H$38,2,FALSE)*H182+VLOOKUP(C182,Deflatores!G$4:I$38,3,FALSE)))</f>
        <v/>
      </c>
      <c r="M182" s="60"/>
      <c r="N182" s="60"/>
      <c r="O182" s="61"/>
    </row>
    <row r="183" ht="12.0" customHeight="1">
      <c r="A183" s="53"/>
      <c r="B183" s="54"/>
      <c r="C183" s="54"/>
      <c r="D183" s="55"/>
      <c r="E183" s="55"/>
      <c r="F183" s="56" t="str">
        <f t="shared" si="7"/>
        <v/>
      </c>
      <c r="G183" s="55" t="str">
        <f t="shared" si="8"/>
        <v/>
      </c>
      <c r="H183" s="57" t="str">
        <f t="shared" si="9"/>
        <v/>
      </c>
      <c r="I183" s="58" t="str">
        <f t="shared" si="10"/>
        <v/>
      </c>
      <c r="J183" s="55" t="str">
        <f t="shared" si="11"/>
        <v/>
      </c>
      <c r="K183" s="59" t="str">
        <f t="shared" si="12"/>
        <v/>
      </c>
      <c r="L183" s="59" t="str">
        <f>IF(NOT(ISERROR(VLOOKUP(B183,Deflatores!G$42:H$64,2,FALSE))),VLOOKUP(B183,Deflatores!G$42:H$64,2,FALSE),IF(OR(ISBLANK(C183),ISBLANK(B183)),"",VLOOKUP(C183,Deflatores!G$4:H$38,2,FALSE)*H183+VLOOKUP(C183,Deflatores!G$4:I$38,3,FALSE)))</f>
        <v/>
      </c>
      <c r="M183" s="60"/>
      <c r="N183" s="60"/>
      <c r="O183" s="61"/>
    </row>
    <row r="184" ht="12.0" customHeight="1">
      <c r="A184" s="53"/>
      <c r="B184" s="54"/>
      <c r="C184" s="54"/>
      <c r="D184" s="55"/>
      <c r="E184" s="55"/>
      <c r="F184" s="56" t="str">
        <f t="shared" si="7"/>
        <v/>
      </c>
      <c r="G184" s="55" t="str">
        <f t="shared" si="8"/>
        <v/>
      </c>
      <c r="H184" s="57" t="str">
        <f t="shared" si="9"/>
        <v/>
      </c>
      <c r="I184" s="58" t="str">
        <f t="shared" si="10"/>
        <v/>
      </c>
      <c r="J184" s="55" t="str">
        <f t="shared" si="11"/>
        <v/>
      </c>
      <c r="K184" s="59" t="str">
        <f t="shared" si="12"/>
        <v/>
      </c>
      <c r="L184" s="59" t="str">
        <f>IF(NOT(ISERROR(VLOOKUP(B184,Deflatores!G$42:H$64,2,FALSE))),VLOOKUP(B184,Deflatores!G$42:H$64,2,FALSE),IF(OR(ISBLANK(C184),ISBLANK(B184)),"",VLOOKUP(C184,Deflatores!G$4:H$38,2,FALSE)*H184+VLOOKUP(C184,Deflatores!G$4:I$38,3,FALSE)))</f>
        <v/>
      </c>
      <c r="M184" s="60"/>
      <c r="N184" s="60"/>
      <c r="O184" s="61"/>
    </row>
    <row r="185" ht="12.0" customHeight="1">
      <c r="A185" s="53"/>
      <c r="B185" s="54"/>
      <c r="C185" s="54"/>
      <c r="D185" s="55"/>
      <c r="E185" s="55"/>
      <c r="F185" s="56" t="str">
        <f t="shared" si="7"/>
        <v/>
      </c>
      <c r="G185" s="55" t="str">
        <f t="shared" si="8"/>
        <v/>
      </c>
      <c r="H185" s="57" t="str">
        <f t="shared" si="9"/>
        <v/>
      </c>
      <c r="I185" s="58" t="str">
        <f t="shared" si="10"/>
        <v/>
      </c>
      <c r="J185" s="55" t="str">
        <f t="shared" si="11"/>
        <v/>
      </c>
      <c r="K185" s="59" t="str">
        <f t="shared" si="12"/>
        <v/>
      </c>
      <c r="L185" s="59" t="str">
        <f>IF(NOT(ISERROR(VLOOKUP(B185,Deflatores!G$42:H$64,2,FALSE))),VLOOKUP(B185,Deflatores!G$42:H$64,2,FALSE),IF(OR(ISBLANK(C185),ISBLANK(B185)),"",VLOOKUP(C185,Deflatores!G$4:H$38,2,FALSE)*H185+VLOOKUP(C185,Deflatores!G$4:I$38,3,FALSE)))</f>
        <v/>
      </c>
      <c r="M185" s="60"/>
      <c r="N185" s="60"/>
      <c r="O185" s="61"/>
    </row>
    <row r="186" ht="12.0" customHeight="1">
      <c r="A186" s="53"/>
      <c r="B186" s="54"/>
      <c r="C186" s="54"/>
      <c r="D186" s="55"/>
      <c r="E186" s="55"/>
      <c r="F186" s="56" t="str">
        <f t="shared" si="7"/>
        <v/>
      </c>
      <c r="G186" s="55" t="str">
        <f t="shared" si="8"/>
        <v/>
      </c>
      <c r="H186" s="57" t="str">
        <f t="shared" si="9"/>
        <v/>
      </c>
      <c r="I186" s="58" t="str">
        <f t="shared" si="10"/>
        <v/>
      </c>
      <c r="J186" s="55" t="str">
        <f t="shared" si="11"/>
        <v/>
      </c>
      <c r="K186" s="59" t="str">
        <f t="shared" si="12"/>
        <v/>
      </c>
      <c r="L186" s="59" t="str">
        <f>IF(NOT(ISERROR(VLOOKUP(B186,Deflatores!G$42:H$64,2,FALSE))),VLOOKUP(B186,Deflatores!G$42:H$64,2,FALSE),IF(OR(ISBLANK(C186),ISBLANK(B186)),"",VLOOKUP(C186,Deflatores!G$4:H$38,2,FALSE)*H186+VLOOKUP(C186,Deflatores!G$4:I$38,3,FALSE)))</f>
        <v/>
      </c>
      <c r="M186" s="60"/>
      <c r="N186" s="60"/>
      <c r="O186" s="61"/>
    </row>
    <row r="187" ht="12.0" customHeight="1">
      <c r="A187" s="53"/>
      <c r="B187" s="54"/>
      <c r="C187" s="54"/>
      <c r="D187" s="55"/>
      <c r="E187" s="55"/>
      <c r="F187" s="56" t="str">
        <f t="shared" si="7"/>
        <v/>
      </c>
      <c r="G187" s="55" t="str">
        <f t="shared" si="8"/>
        <v/>
      </c>
      <c r="H187" s="57" t="str">
        <f t="shared" si="9"/>
        <v/>
      </c>
      <c r="I187" s="58" t="str">
        <f t="shared" si="10"/>
        <v/>
      </c>
      <c r="J187" s="55" t="str">
        <f t="shared" si="11"/>
        <v/>
      </c>
      <c r="K187" s="59" t="str">
        <f t="shared" si="12"/>
        <v/>
      </c>
      <c r="L187" s="59" t="str">
        <f>IF(NOT(ISERROR(VLOOKUP(B187,Deflatores!G$42:H$64,2,FALSE))),VLOOKUP(B187,Deflatores!G$42:H$64,2,FALSE),IF(OR(ISBLANK(C187),ISBLANK(B187)),"",VLOOKUP(C187,Deflatores!G$4:H$38,2,FALSE)*H187+VLOOKUP(C187,Deflatores!G$4:I$38,3,FALSE)))</f>
        <v/>
      </c>
      <c r="M187" s="60"/>
      <c r="N187" s="60"/>
      <c r="O187" s="61"/>
    </row>
    <row r="188" ht="12.0" customHeight="1">
      <c r="A188" s="53"/>
      <c r="B188" s="54"/>
      <c r="C188" s="54"/>
      <c r="D188" s="55"/>
      <c r="E188" s="55"/>
      <c r="F188" s="56" t="str">
        <f t="shared" si="7"/>
        <v/>
      </c>
      <c r="G188" s="55" t="str">
        <f t="shared" si="8"/>
        <v/>
      </c>
      <c r="H188" s="57" t="str">
        <f t="shared" si="9"/>
        <v/>
      </c>
      <c r="I188" s="58" t="str">
        <f t="shared" si="10"/>
        <v/>
      </c>
      <c r="J188" s="55" t="str">
        <f t="shared" si="11"/>
        <v/>
      </c>
      <c r="K188" s="59" t="str">
        <f t="shared" si="12"/>
        <v/>
      </c>
      <c r="L188" s="59" t="str">
        <f>IF(NOT(ISERROR(VLOOKUP(B188,Deflatores!G$42:H$64,2,FALSE))),VLOOKUP(B188,Deflatores!G$42:H$64,2,FALSE),IF(OR(ISBLANK(C188),ISBLANK(B188)),"",VLOOKUP(C188,Deflatores!G$4:H$38,2,FALSE)*H188+VLOOKUP(C188,Deflatores!G$4:I$38,3,FALSE)))</f>
        <v/>
      </c>
      <c r="M188" s="60"/>
      <c r="N188" s="60"/>
      <c r="O188" s="61"/>
    </row>
    <row r="189" ht="12.0" customHeight="1">
      <c r="A189" s="68"/>
      <c r="B189" s="54"/>
      <c r="C189" s="54"/>
      <c r="D189" s="55"/>
      <c r="E189" s="55"/>
      <c r="F189" s="56" t="str">
        <f t="shared" si="7"/>
        <v/>
      </c>
      <c r="G189" s="55" t="str">
        <f t="shared" si="8"/>
        <v/>
      </c>
      <c r="H189" s="57" t="str">
        <f t="shared" si="9"/>
        <v/>
      </c>
      <c r="I189" s="58" t="str">
        <f t="shared" si="10"/>
        <v/>
      </c>
      <c r="J189" s="55" t="str">
        <f t="shared" si="11"/>
        <v/>
      </c>
      <c r="K189" s="59" t="str">
        <f t="shared" si="12"/>
        <v/>
      </c>
      <c r="L189" s="59" t="str">
        <f>IF(NOT(ISERROR(VLOOKUP(B189,Deflatores!G$42:H$64,2,FALSE))),VLOOKUP(B189,Deflatores!G$42:H$64,2,FALSE),IF(OR(ISBLANK(C189),ISBLANK(B189)),"",VLOOKUP(C189,Deflatores!G$4:H$38,2,FALSE)*H189+VLOOKUP(C189,Deflatores!G$4:I$38,3,FALSE)))</f>
        <v/>
      </c>
      <c r="M189" s="60"/>
      <c r="N189" s="60"/>
      <c r="O189" s="61"/>
    </row>
    <row r="190" ht="12.0" customHeight="1">
      <c r="A190" s="53"/>
      <c r="B190" s="54"/>
      <c r="C190" s="54"/>
      <c r="D190" s="55"/>
      <c r="E190" s="55"/>
      <c r="F190" s="56" t="str">
        <f t="shared" si="7"/>
        <v/>
      </c>
      <c r="G190" s="55" t="str">
        <f t="shared" si="8"/>
        <v/>
      </c>
      <c r="H190" s="57" t="str">
        <f t="shared" si="9"/>
        <v/>
      </c>
      <c r="I190" s="58" t="str">
        <f t="shared" si="10"/>
        <v/>
      </c>
      <c r="J190" s="55" t="str">
        <f t="shared" si="11"/>
        <v/>
      </c>
      <c r="K190" s="59" t="str">
        <f t="shared" si="12"/>
        <v/>
      </c>
      <c r="L190" s="59" t="str">
        <f>IF(NOT(ISERROR(VLOOKUP(B190,Deflatores!G$42:H$64,2,FALSE))),VLOOKUP(B190,Deflatores!G$42:H$64,2,FALSE),IF(OR(ISBLANK(C190),ISBLANK(B190)),"",VLOOKUP(C190,Deflatores!G$4:H$38,2,FALSE)*H190+VLOOKUP(C190,Deflatores!G$4:I$38,3,FALSE)))</f>
        <v/>
      </c>
      <c r="M190" s="60"/>
      <c r="N190" s="60"/>
      <c r="O190" s="61"/>
    </row>
    <row r="191" ht="12.0" customHeight="1">
      <c r="A191" s="53"/>
      <c r="B191" s="54"/>
      <c r="C191" s="54"/>
      <c r="D191" s="55"/>
      <c r="E191" s="55"/>
      <c r="F191" s="56" t="str">
        <f t="shared" si="7"/>
        <v/>
      </c>
      <c r="G191" s="55" t="str">
        <f t="shared" si="8"/>
        <v/>
      </c>
      <c r="H191" s="57" t="str">
        <f t="shared" si="9"/>
        <v/>
      </c>
      <c r="I191" s="58" t="str">
        <f t="shared" si="10"/>
        <v/>
      </c>
      <c r="J191" s="55" t="str">
        <f t="shared" si="11"/>
        <v/>
      </c>
      <c r="K191" s="59" t="str">
        <f t="shared" si="12"/>
        <v/>
      </c>
      <c r="L191" s="59" t="str">
        <f>IF(NOT(ISERROR(VLOOKUP(B191,Deflatores!G$42:H$64,2,FALSE))),VLOOKUP(B191,Deflatores!G$42:H$64,2,FALSE),IF(OR(ISBLANK(C191),ISBLANK(B191)),"",VLOOKUP(C191,Deflatores!G$4:H$38,2,FALSE)*H191+VLOOKUP(C191,Deflatores!G$4:I$38,3,FALSE)))</f>
        <v/>
      </c>
      <c r="M191" s="60"/>
      <c r="N191" s="60"/>
      <c r="O191" s="61"/>
    </row>
    <row r="192" ht="12.0" customHeight="1">
      <c r="A192" s="53"/>
      <c r="B192" s="54"/>
      <c r="C192" s="54"/>
      <c r="D192" s="55"/>
      <c r="E192" s="55"/>
      <c r="F192" s="56" t="str">
        <f t="shared" si="7"/>
        <v/>
      </c>
      <c r="G192" s="55" t="str">
        <f t="shared" si="8"/>
        <v/>
      </c>
      <c r="H192" s="57" t="str">
        <f t="shared" si="9"/>
        <v/>
      </c>
      <c r="I192" s="58" t="str">
        <f t="shared" si="10"/>
        <v/>
      </c>
      <c r="J192" s="55" t="str">
        <f t="shared" si="11"/>
        <v/>
      </c>
      <c r="K192" s="59" t="str">
        <f t="shared" si="12"/>
        <v/>
      </c>
      <c r="L192" s="59" t="str">
        <f>IF(NOT(ISERROR(VLOOKUP(B192,Deflatores!G$42:H$64,2,FALSE))),VLOOKUP(B192,Deflatores!G$42:H$64,2,FALSE),IF(OR(ISBLANK(C192),ISBLANK(B192)),"",VLOOKUP(C192,Deflatores!G$4:H$38,2,FALSE)*H192+VLOOKUP(C192,Deflatores!G$4:I$38,3,FALSE)))</f>
        <v/>
      </c>
      <c r="M192" s="60"/>
      <c r="N192" s="60"/>
      <c r="O192" s="61"/>
    </row>
    <row r="193" ht="12.0" customHeight="1">
      <c r="A193" s="53"/>
      <c r="B193" s="54"/>
      <c r="C193" s="54"/>
      <c r="D193" s="55"/>
      <c r="E193" s="55"/>
      <c r="F193" s="56" t="str">
        <f t="shared" si="7"/>
        <v/>
      </c>
      <c r="G193" s="55" t="str">
        <f t="shared" si="8"/>
        <v/>
      </c>
      <c r="H193" s="57" t="str">
        <f t="shared" si="9"/>
        <v/>
      </c>
      <c r="I193" s="58" t="str">
        <f t="shared" si="10"/>
        <v/>
      </c>
      <c r="J193" s="55" t="str">
        <f t="shared" si="11"/>
        <v/>
      </c>
      <c r="K193" s="59" t="str">
        <f t="shared" si="12"/>
        <v/>
      </c>
      <c r="L193" s="59" t="str">
        <f>IF(NOT(ISERROR(VLOOKUP(B193,Deflatores!G$42:H$64,2,FALSE))),VLOOKUP(B193,Deflatores!G$42:H$64,2,FALSE),IF(OR(ISBLANK(C193),ISBLANK(B193)),"",VLOOKUP(C193,Deflatores!G$4:H$38,2,FALSE)*H193+VLOOKUP(C193,Deflatores!G$4:I$38,3,FALSE)))</f>
        <v/>
      </c>
      <c r="M193" s="60"/>
      <c r="N193" s="60"/>
      <c r="O193" s="61"/>
    </row>
    <row r="194" ht="12.0" customHeight="1">
      <c r="A194" s="53"/>
      <c r="B194" s="54"/>
      <c r="C194" s="54"/>
      <c r="D194" s="55"/>
      <c r="E194" s="55"/>
      <c r="F194" s="56" t="str">
        <f t="shared" si="7"/>
        <v/>
      </c>
      <c r="G194" s="55" t="str">
        <f t="shared" si="8"/>
        <v/>
      </c>
      <c r="H194" s="57" t="str">
        <f t="shared" si="9"/>
        <v/>
      </c>
      <c r="I194" s="58" t="str">
        <f t="shared" si="10"/>
        <v/>
      </c>
      <c r="J194" s="55" t="str">
        <f t="shared" si="11"/>
        <v/>
      </c>
      <c r="K194" s="59" t="str">
        <f t="shared" si="12"/>
        <v/>
      </c>
      <c r="L194" s="59" t="str">
        <f>IF(NOT(ISERROR(VLOOKUP(B194,Deflatores!G$42:H$64,2,FALSE))),VLOOKUP(B194,Deflatores!G$42:H$64,2,FALSE),IF(OR(ISBLANK(C194),ISBLANK(B194)),"",VLOOKUP(C194,Deflatores!G$4:H$38,2,FALSE)*H194+VLOOKUP(C194,Deflatores!G$4:I$38,3,FALSE)))</f>
        <v/>
      </c>
      <c r="M194" s="60"/>
      <c r="N194" s="60"/>
      <c r="O194" s="61"/>
    </row>
    <row r="195" ht="12.0" customHeight="1">
      <c r="A195" s="53"/>
      <c r="B195" s="54"/>
      <c r="C195" s="54"/>
      <c r="D195" s="55"/>
      <c r="E195" s="55"/>
      <c r="F195" s="56" t="str">
        <f t="shared" si="7"/>
        <v/>
      </c>
      <c r="G195" s="55" t="str">
        <f t="shared" si="8"/>
        <v/>
      </c>
      <c r="H195" s="57" t="str">
        <f t="shared" si="9"/>
        <v/>
      </c>
      <c r="I195" s="58" t="str">
        <f t="shared" si="10"/>
        <v/>
      </c>
      <c r="J195" s="55" t="str">
        <f t="shared" si="11"/>
        <v/>
      </c>
      <c r="K195" s="59" t="str">
        <f t="shared" si="12"/>
        <v/>
      </c>
      <c r="L195" s="59" t="str">
        <f>IF(NOT(ISERROR(VLOOKUP(B195,Deflatores!G$42:H$64,2,FALSE))),VLOOKUP(B195,Deflatores!G$42:H$64,2,FALSE),IF(OR(ISBLANK(C195),ISBLANK(B195)),"",VLOOKUP(C195,Deflatores!G$4:H$38,2,FALSE)*H195+VLOOKUP(C195,Deflatores!G$4:I$38,3,FALSE)))</f>
        <v/>
      </c>
      <c r="M195" s="60"/>
      <c r="N195" s="60"/>
      <c r="O195" s="61"/>
    </row>
    <row r="196" ht="15.0" customHeight="1">
      <c r="A196" s="53"/>
      <c r="B196" s="54"/>
      <c r="C196" s="54"/>
      <c r="D196" s="55"/>
      <c r="E196" s="55"/>
      <c r="F196" s="56" t="str">
        <f t="shared" si="7"/>
        <v/>
      </c>
      <c r="G196" s="55" t="str">
        <f t="shared" si="8"/>
        <v/>
      </c>
      <c r="H196" s="57" t="str">
        <f t="shared" si="9"/>
        <v/>
      </c>
      <c r="I196" s="58" t="str">
        <f t="shared" si="10"/>
        <v/>
      </c>
      <c r="J196" s="55" t="str">
        <f t="shared" si="11"/>
        <v/>
      </c>
      <c r="K196" s="59" t="str">
        <f t="shared" si="12"/>
        <v/>
      </c>
      <c r="L196" s="59" t="str">
        <f>IF(NOT(ISERROR(VLOOKUP(B196,Deflatores!G$42:H$64,2,FALSE))),VLOOKUP(B196,Deflatores!G$42:H$64,2,FALSE),IF(OR(ISBLANK(C196),ISBLANK(B196)),"",VLOOKUP(C196,Deflatores!G$4:H$38,2,FALSE)*H196+VLOOKUP(C196,Deflatores!G$4:I$38,3,FALSE)))</f>
        <v/>
      </c>
      <c r="M196" s="60"/>
      <c r="N196" s="60"/>
      <c r="O196" s="61"/>
    </row>
    <row r="197" ht="12.0" customHeight="1">
      <c r="A197" s="53"/>
      <c r="B197" s="54"/>
      <c r="C197" s="54"/>
      <c r="D197" s="55"/>
      <c r="E197" s="55"/>
      <c r="F197" s="56" t="str">
        <f t="shared" si="7"/>
        <v/>
      </c>
      <c r="G197" s="55" t="str">
        <f t="shared" si="8"/>
        <v/>
      </c>
      <c r="H197" s="57" t="str">
        <f t="shared" si="9"/>
        <v/>
      </c>
      <c r="I197" s="58" t="str">
        <f t="shared" si="10"/>
        <v/>
      </c>
      <c r="J197" s="55" t="str">
        <f t="shared" si="11"/>
        <v/>
      </c>
      <c r="K197" s="59" t="str">
        <f t="shared" si="12"/>
        <v/>
      </c>
      <c r="L197" s="59" t="str">
        <f>IF(NOT(ISERROR(VLOOKUP(B197,Deflatores!G$42:H$64,2,FALSE))),VLOOKUP(B197,Deflatores!G$42:H$64,2,FALSE),IF(OR(ISBLANK(C197),ISBLANK(B197)),"",VLOOKUP(C197,Deflatores!G$4:H$38,2,FALSE)*H197+VLOOKUP(C197,Deflatores!G$4:I$38,3,FALSE)))</f>
        <v/>
      </c>
      <c r="M197" s="60"/>
      <c r="N197" s="60"/>
      <c r="O197" s="61"/>
    </row>
    <row r="198" ht="12.0" customHeight="1">
      <c r="A198" s="53"/>
      <c r="B198" s="54"/>
      <c r="C198" s="54"/>
      <c r="D198" s="55"/>
      <c r="E198" s="55"/>
      <c r="F198" s="56" t="str">
        <f t="shared" si="7"/>
        <v/>
      </c>
      <c r="G198" s="55" t="str">
        <f t="shared" si="8"/>
        <v/>
      </c>
      <c r="H198" s="57" t="str">
        <f t="shared" si="9"/>
        <v/>
      </c>
      <c r="I198" s="58" t="str">
        <f t="shared" si="10"/>
        <v/>
      </c>
      <c r="J198" s="55" t="str">
        <f t="shared" si="11"/>
        <v/>
      </c>
      <c r="K198" s="59" t="str">
        <f t="shared" si="12"/>
        <v/>
      </c>
      <c r="L198" s="59" t="str">
        <f>IF(NOT(ISERROR(VLOOKUP(B198,Deflatores!G$42:H$64,2,FALSE))),VLOOKUP(B198,Deflatores!G$42:H$64,2,FALSE),IF(OR(ISBLANK(C198),ISBLANK(B198)),"",VLOOKUP(C198,Deflatores!G$4:H$38,2,FALSE)*H198+VLOOKUP(C198,Deflatores!G$4:I$38,3,FALSE)))</f>
        <v/>
      </c>
      <c r="M198" s="60"/>
      <c r="N198" s="60"/>
      <c r="O198" s="61"/>
    </row>
    <row r="199" ht="12.0" customHeight="1">
      <c r="A199" s="53"/>
      <c r="B199" s="54"/>
      <c r="C199" s="54"/>
      <c r="D199" s="55"/>
      <c r="E199" s="55"/>
      <c r="F199" s="56" t="str">
        <f t="shared" si="7"/>
        <v/>
      </c>
      <c r="G199" s="55" t="str">
        <f t="shared" si="8"/>
        <v/>
      </c>
      <c r="H199" s="57" t="str">
        <f t="shared" si="9"/>
        <v/>
      </c>
      <c r="I199" s="58" t="str">
        <f t="shared" si="10"/>
        <v/>
      </c>
      <c r="J199" s="55" t="str">
        <f t="shared" si="11"/>
        <v/>
      </c>
      <c r="K199" s="59" t="str">
        <f t="shared" si="12"/>
        <v/>
      </c>
      <c r="L199" s="59" t="str">
        <f>IF(NOT(ISERROR(VLOOKUP(B199,Deflatores!G$42:H$64,2,FALSE))),VLOOKUP(B199,Deflatores!G$42:H$64,2,FALSE),IF(OR(ISBLANK(C199),ISBLANK(B199)),"",VLOOKUP(C199,Deflatores!G$4:H$38,2,FALSE)*H199+VLOOKUP(C199,Deflatores!G$4:I$38,3,FALSE)))</f>
        <v/>
      </c>
      <c r="M199" s="60"/>
      <c r="N199" s="60"/>
      <c r="O199" s="61"/>
    </row>
    <row r="200" ht="12.0" customHeight="1">
      <c r="A200" s="53"/>
      <c r="B200" s="54"/>
      <c r="C200" s="54"/>
      <c r="D200" s="55"/>
      <c r="E200" s="55"/>
      <c r="F200" s="56" t="str">
        <f t="shared" si="7"/>
        <v/>
      </c>
      <c r="G200" s="55" t="str">
        <f t="shared" si="8"/>
        <v/>
      </c>
      <c r="H200" s="57" t="str">
        <f t="shared" si="9"/>
        <v/>
      </c>
      <c r="I200" s="58" t="str">
        <f t="shared" si="10"/>
        <v/>
      </c>
      <c r="J200" s="55" t="str">
        <f t="shared" si="11"/>
        <v/>
      </c>
      <c r="K200" s="59" t="str">
        <f t="shared" si="12"/>
        <v/>
      </c>
      <c r="L200" s="59" t="str">
        <f>IF(NOT(ISERROR(VLOOKUP(B200,Deflatores!G$42:H$64,2,FALSE))),VLOOKUP(B200,Deflatores!G$42:H$64,2,FALSE),IF(OR(ISBLANK(C200),ISBLANK(B200)),"",VLOOKUP(C200,Deflatores!G$4:H$38,2,FALSE)*H200+VLOOKUP(C200,Deflatores!G$4:I$38,3,FALSE)))</f>
        <v/>
      </c>
      <c r="M200" s="60"/>
      <c r="N200" s="60"/>
      <c r="O200" s="61"/>
    </row>
    <row r="201" ht="12.75" customHeight="1">
      <c r="A201" s="53"/>
      <c r="B201" s="54"/>
      <c r="C201" s="54"/>
      <c r="D201" s="55"/>
      <c r="E201" s="55"/>
      <c r="F201" s="56" t="str">
        <f t="shared" si="7"/>
        <v/>
      </c>
      <c r="G201" s="55" t="str">
        <f t="shared" si="8"/>
        <v/>
      </c>
      <c r="H201" s="57" t="str">
        <f t="shared" si="9"/>
        <v/>
      </c>
      <c r="I201" s="58" t="str">
        <f t="shared" si="10"/>
        <v/>
      </c>
      <c r="J201" s="55" t="str">
        <f t="shared" si="11"/>
        <v/>
      </c>
      <c r="K201" s="59" t="str">
        <f t="shared" si="12"/>
        <v/>
      </c>
      <c r="L201" s="59" t="str">
        <f>IF(NOT(ISERROR(VLOOKUP(B201,Deflatores!G$42:H$64,2,FALSE))),VLOOKUP(B201,Deflatores!G$42:H$64,2,FALSE),IF(OR(ISBLANK(C201),ISBLANK(B201)),"",VLOOKUP(C201,Deflatores!G$4:H$38,2,FALSE)*H201+VLOOKUP(C201,Deflatores!G$4:I$38,3,FALSE)))</f>
        <v/>
      </c>
      <c r="M201" s="60"/>
      <c r="N201" s="60"/>
      <c r="O201" s="61"/>
    </row>
    <row r="202" ht="12.0" customHeight="1">
      <c r="A202" s="53"/>
      <c r="B202" s="54"/>
      <c r="C202" s="54"/>
      <c r="D202" s="55"/>
      <c r="E202" s="55"/>
      <c r="F202" s="56" t="str">
        <f t="shared" si="7"/>
        <v/>
      </c>
      <c r="G202" s="55" t="str">
        <f t="shared" si="8"/>
        <v/>
      </c>
      <c r="H202" s="57" t="str">
        <f t="shared" si="9"/>
        <v/>
      </c>
      <c r="I202" s="58" t="str">
        <f t="shared" si="10"/>
        <v/>
      </c>
      <c r="J202" s="55" t="str">
        <f t="shared" si="11"/>
        <v/>
      </c>
      <c r="K202" s="59" t="str">
        <f t="shared" si="12"/>
        <v/>
      </c>
      <c r="L202" s="59" t="str">
        <f>IF(NOT(ISERROR(VLOOKUP(B202,Deflatores!G$42:H$64,2,FALSE))),VLOOKUP(B202,Deflatores!G$42:H$64,2,FALSE),IF(OR(ISBLANK(C202),ISBLANK(B202)),"",VLOOKUP(C202,Deflatores!G$4:H$38,2,FALSE)*H202+VLOOKUP(C202,Deflatores!G$4:I$38,3,FALSE)))</f>
        <v/>
      </c>
      <c r="M202" s="60"/>
      <c r="N202" s="60"/>
      <c r="O202" s="61"/>
    </row>
    <row r="203" ht="12.0" customHeight="1">
      <c r="A203" s="53"/>
      <c r="B203" s="54"/>
      <c r="C203" s="54"/>
      <c r="D203" s="55"/>
      <c r="E203" s="55"/>
      <c r="F203" s="56" t="str">
        <f t="shared" si="7"/>
        <v/>
      </c>
      <c r="G203" s="55" t="str">
        <f t="shared" si="8"/>
        <v/>
      </c>
      <c r="H203" s="57" t="str">
        <f t="shared" si="9"/>
        <v/>
      </c>
      <c r="I203" s="58" t="str">
        <f t="shared" si="10"/>
        <v/>
      </c>
      <c r="J203" s="55" t="str">
        <f t="shared" si="11"/>
        <v/>
      </c>
      <c r="K203" s="59" t="str">
        <f t="shared" si="12"/>
        <v/>
      </c>
      <c r="L203" s="59" t="str">
        <f>IF(NOT(ISERROR(VLOOKUP(B203,Deflatores!G$42:H$64,2,FALSE))),VLOOKUP(B203,Deflatores!G$42:H$64,2,FALSE),IF(OR(ISBLANK(C203),ISBLANK(B203)),"",VLOOKUP(C203,Deflatores!G$4:H$38,2,FALSE)*H203+VLOOKUP(C203,Deflatores!G$4:I$38,3,FALSE)))</f>
        <v/>
      </c>
      <c r="M203" s="60"/>
      <c r="N203" s="60"/>
      <c r="O203" s="61"/>
    </row>
    <row r="204" ht="12.0" customHeight="1">
      <c r="A204" s="53"/>
      <c r="B204" s="54"/>
      <c r="C204" s="54"/>
      <c r="D204" s="55"/>
      <c r="E204" s="55"/>
      <c r="F204" s="56" t="str">
        <f t="shared" si="7"/>
        <v/>
      </c>
      <c r="G204" s="55" t="str">
        <f t="shared" si="8"/>
        <v/>
      </c>
      <c r="H204" s="57" t="str">
        <f t="shared" si="9"/>
        <v/>
      </c>
      <c r="I204" s="58" t="str">
        <f t="shared" si="10"/>
        <v/>
      </c>
      <c r="J204" s="55" t="str">
        <f t="shared" si="11"/>
        <v/>
      </c>
      <c r="K204" s="59" t="str">
        <f t="shared" si="12"/>
        <v/>
      </c>
      <c r="L204" s="59" t="str">
        <f>IF(NOT(ISERROR(VLOOKUP(B204,Deflatores!G$42:H$64,2,FALSE))),VLOOKUP(B204,Deflatores!G$42:H$64,2,FALSE),IF(OR(ISBLANK(C204),ISBLANK(B204)),"",VLOOKUP(C204,Deflatores!G$4:H$38,2,FALSE)*H204+VLOOKUP(C204,Deflatores!G$4:I$38,3,FALSE)))</f>
        <v/>
      </c>
      <c r="M204" s="60"/>
      <c r="N204" s="60"/>
      <c r="O204" s="61"/>
    </row>
    <row r="205" ht="12.0" customHeight="1">
      <c r="A205" s="53"/>
      <c r="B205" s="54"/>
      <c r="C205" s="54"/>
      <c r="D205" s="55"/>
      <c r="E205" s="55"/>
      <c r="F205" s="56" t="str">
        <f t="shared" si="7"/>
        <v/>
      </c>
      <c r="G205" s="55" t="str">
        <f t="shared" si="8"/>
        <v/>
      </c>
      <c r="H205" s="57" t="str">
        <f t="shared" si="9"/>
        <v/>
      </c>
      <c r="I205" s="58" t="str">
        <f t="shared" si="10"/>
        <v/>
      </c>
      <c r="J205" s="55" t="str">
        <f t="shared" si="11"/>
        <v/>
      </c>
      <c r="K205" s="59" t="str">
        <f t="shared" si="12"/>
        <v/>
      </c>
      <c r="L205" s="59" t="str">
        <f>IF(NOT(ISERROR(VLOOKUP(B205,Deflatores!G$42:H$64,2,FALSE))),VLOOKUP(B205,Deflatores!G$42:H$64,2,FALSE),IF(OR(ISBLANK(C205),ISBLANK(B205)),"",VLOOKUP(C205,Deflatores!G$4:H$38,2,FALSE)*H205+VLOOKUP(C205,Deflatores!G$4:I$38,3,FALSE)))</f>
        <v/>
      </c>
      <c r="M205" s="60"/>
      <c r="N205" s="60"/>
      <c r="O205" s="61"/>
    </row>
    <row r="206" ht="12.0" customHeight="1">
      <c r="A206" s="53"/>
      <c r="B206" s="54"/>
      <c r="C206" s="54"/>
      <c r="D206" s="55"/>
      <c r="E206" s="55"/>
      <c r="F206" s="56" t="str">
        <f t="shared" si="7"/>
        <v/>
      </c>
      <c r="G206" s="55" t="str">
        <f t="shared" si="8"/>
        <v/>
      </c>
      <c r="H206" s="57" t="str">
        <f t="shared" si="9"/>
        <v/>
      </c>
      <c r="I206" s="58" t="str">
        <f t="shared" si="10"/>
        <v/>
      </c>
      <c r="J206" s="55" t="str">
        <f t="shared" si="11"/>
        <v/>
      </c>
      <c r="K206" s="59" t="str">
        <f t="shared" si="12"/>
        <v/>
      </c>
      <c r="L206" s="59" t="str">
        <f>IF(NOT(ISERROR(VLOOKUP(B206,Deflatores!G$42:H$64,2,FALSE))),VLOOKUP(B206,Deflatores!G$42:H$64,2,FALSE),IF(OR(ISBLANK(C206),ISBLANK(B206)),"",VLOOKUP(C206,Deflatores!G$4:H$38,2,FALSE)*H206+VLOOKUP(C206,Deflatores!G$4:I$38,3,FALSE)))</f>
        <v/>
      </c>
      <c r="M206" s="60"/>
      <c r="N206" s="60"/>
      <c r="O206" s="61"/>
    </row>
    <row r="207" ht="12.0" customHeight="1">
      <c r="A207" s="53"/>
      <c r="B207" s="54"/>
      <c r="C207" s="54"/>
      <c r="D207" s="55"/>
      <c r="E207" s="55"/>
      <c r="F207" s="56" t="str">
        <f t="shared" si="7"/>
        <v/>
      </c>
      <c r="G207" s="55" t="str">
        <f t="shared" si="8"/>
        <v/>
      </c>
      <c r="H207" s="57" t="str">
        <f t="shared" si="9"/>
        <v/>
      </c>
      <c r="I207" s="58" t="str">
        <f t="shared" si="10"/>
        <v/>
      </c>
      <c r="J207" s="55" t="str">
        <f t="shared" si="11"/>
        <v/>
      </c>
      <c r="K207" s="59" t="str">
        <f t="shared" si="12"/>
        <v/>
      </c>
      <c r="L207" s="59" t="str">
        <f>IF(NOT(ISERROR(VLOOKUP(B207,Deflatores!G$42:H$64,2,FALSE))),VLOOKUP(B207,Deflatores!G$42:H$64,2,FALSE),IF(OR(ISBLANK(C207),ISBLANK(B207)),"",VLOOKUP(C207,Deflatores!G$4:H$38,2,FALSE)*H207+VLOOKUP(C207,Deflatores!G$4:I$38,3,FALSE)))</f>
        <v/>
      </c>
      <c r="M207" s="60"/>
      <c r="N207" s="60"/>
      <c r="O207" s="61"/>
    </row>
    <row r="208" ht="12.0" customHeight="1">
      <c r="A208" s="53"/>
      <c r="B208" s="54"/>
      <c r="C208" s="54"/>
      <c r="D208" s="55"/>
      <c r="E208" s="55"/>
      <c r="F208" s="56" t="str">
        <f t="shared" si="7"/>
        <v/>
      </c>
      <c r="G208" s="55" t="str">
        <f t="shared" si="8"/>
        <v/>
      </c>
      <c r="H208" s="57" t="str">
        <f t="shared" si="9"/>
        <v/>
      </c>
      <c r="I208" s="58" t="str">
        <f t="shared" si="10"/>
        <v/>
      </c>
      <c r="J208" s="55" t="str">
        <f t="shared" si="11"/>
        <v/>
      </c>
      <c r="K208" s="59" t="str">
        <f t="shared" si="12"/>
        <v/>
      </c>
      <c r="L208" s="59" t="str">
        <f>IF(NOT(ISERROR(VLOOKUP(B208,Deflatores!G$42:H$64,2,FALSE))),VLOOKUP(B208,Deflatores!G$42:H$64,2,FALSE),IF(OR(ISBLANK(C208),ISBLANK(B208)),"",VLOOKUP(C208,Deflatores!G$4:H$38,2,FALSE)*H208+VLOOKUP(C208,Deflatores!G$4:I$38,3,FALSE)))</f>
        <v/>
      </c>
      <c r="M208" s="60"/>
      <c r="N208" s="60"/>
      <c r="O208" s="61"/>
    </row>
    <row r="209" ht="12.0" customHeight="1">
      <c r="A209" s="62"/>
      <c r="B209" s="54"/>
      <c r="C209" s="54"/>
      <c r="D209" s="55"/>
      <c r="E209" s="55"/>
      <c r="F209" s="56" t="str">
        <f t="shared" si="7"/>
        <v/>
      </c>
      <c r="G209" s="55" t="str">
        <f t="shared" si="8"/>
        <v/>
      </c>
      <c r="H209" s="57" t="str">
        <f t="shared" si="9"/>
        <v/>
      </c>
      <c r="I209" s="58" t="str">
        <f t="shared" si="10"/>
        <v/>
      </c>
      <c r="J209" s="55" t="str">
        <f t="shared" si="11"/>
        <v/>
      </c>
      <c r="K209" s="59" t="str">
        <f t="shared" si="12"/>
        <v/>
      </c>
      <c r="L209" s="59" t="str">
        <f>IF(NOT(ISERROR(VLOOKUP(B209,Deflatores!G$42:H$64,2,FALSE))),VLOOKUP(B209,Deflatores!G$42:H$64,2,FALSE),IF(OR(ISBLANK(C209),ISBLANK(B209)),"",VLOOKUP(C209,Deflatores!G$4:H$38,2,FALSE)*H209+VLOOKUP(C209,Deflatores!G$4:I$38,3,FALSE)))</f>
        <v/>
      </c>
      <c r="M209" s="60"/>
      <c r="N209" s="60"/>
      <c r="O209" s="61" t="s">
        <v>148</v>
      </c>
    </row>
    <row r="210" ht="12.0" customHeight="1">
      <c r="A210" s="53"/>
      <c r="B210" s="54"/>
      <c r="C210" s="54"/>
      <c r="D210" s="55"/>
      <c r="E210" s="55"/>
      <c r="F210" s="56" t="str">
        <f t="shared" si="7"/>
        <v/>
      </c>
      <c r="G210" s="55" t="str">
        <f t="shared" si="8"/>
        <v/>
      </c>
      <c r="H210" s="57" t="str">
        <f t="shared" si="9"/>
        <v/>
      </c>
      <c r="I210" s="58" t="str">
        <f t="shared" si="10"/>
        <v/>
      </c>
      <c r="J210" s="55" t="str">
        <f t="shared" si="11"/>
        <v/>
      </c>
      <c r="K210" s="59" t="str">
        <f t="shared" si="12"/>
        <v/>
      </c>
      <c r="L210" s="59" t="str">
        <f>IF(NOT(ISERROR(VLOOKUP(B210,Deflatores!G$42:H$64,2,FALSE))),VLOOKUP(B210,Deflatores!G$42:H$64,2,FALSE),IF(OR(ISBLANK(C210),ISBLANK(B210)),"",VLOOKUP(C210,Deflatores!G$4:H$38,2,FALSE)*H210+VLOOKUP(C210,Deflatores!G$4:I$38,3,FALSE)))</f>
        <v/>
      </c>
      <c r="M210" s="60"/>
      <c r="N210" s="60"/>
      <c r="O210" s="61"/>
    </row>
    <row r="211" ht="12.0" customHeight="1">
      <c r="A211" s="53"/>
      <c r="B211" s="54"/>
      <c r="C211" s="54"/>
      <c r="D211" s="55"/>
      <c r="E211" s="55"/>
      <c r="F211" s="56" t="str">
        <f t="shared" si="7"/>
        <v/>
      </c>
      <c r="G211" s="55" t="str">
        <f t="shared" si="8"/>
        <v/>
      </c>
      <c r="H211" s="57" t="str">
        <f t="shared" si="9"/>
        <v/>
      </c>
      <c r="I211" s="58" t="str">
        <f t="shared" si="10"/>
        <v/>
      </c>
      <c r="J211" s="55" t="str">
        <f t="shared" si="11"/>
        <v/>
      </c>
      <c r="K211" s="59" t="str">
        <f t="shared" si="12"/>
        <v/>
      </c>
      <c r="L211" s="59" t="str">
        <f>IF(NOT(ISERROR(VLOOKUP(B211,Deflatores!G$42:H$64,2,FALSE))),VLOOKUP(B211,Deflatores!G$42:H$64,2,FALSE),IF(OR(ISBLANK(C211),ISBLANK(B211)),"",VLOOKUP(C211,Deflatores!G$4:H$38,2,FALSE)*H211+VLOOKUP(C211,Deflatores!G$4:I$38,3,FALSE)))</f>
        <v/>
      </c>
      <c r="M211" s="60"/>
      <c r="N211" s="60"/>
      <c r="O211" s="61"/>
    </row>
    <row r="212" ht="12.0" customHeight="1">
      <c r="A212" s="53"/>
      <c r="B212" s="54"/>
      <c r="C212" s="54"/>
      <c r="D212" s="55"/>
      <c r="E212" s="55"/>
      <c r="F212" s="56" t="str">
        <f t="shared" si="7"/>
        <v/>
      </c>
      <c r="G212" s="55" t="str">
        <f t="shared" si="8"/>
        <v/>
      </c>
      <c r="H212" s="57" t="str">
        <f t="shared" si="9"/>
        <v/>
      </c>
      <c r="I212" s="58" t="str">
        <f t="shared" si="10"/>
        <v/>
      </c>
      <c r="J212" s="55" t="str">
        <f t="shared" si="11"/>
        <v/>
      </c>
      <c r="K212" s="59" t="str">
        <f t="shared" si="12"/>
        <v/>
      </c>
      <c r="L212" s="59" t="str">
        <f>IF(NOT(ISERROR(VLOOKUP(B212,Deflatores!G$42:H$64,2,FALSE))),VLOOKUP(B212,Deflatores!G$42:H$64,2,FALSE),IF(OR(ISBLANK(C212),ISBLANK(B212)),"",VLOOKUP(C212,Deflatores!G$4:H$38,2,FALSE)*H212+VLOOKUP(C212,Deflatores!G$4:I$38,3,FALSE)))</f>
        <v/>
      </c>
      <c r="M212" s="60"/>
      <c r="N212" s="60"/>
      <c r="O212" s="61"/>
    </row>
    <row r="213" ht="15.0" customHeight="1">
      <c r="A213" s="53"/>
      <c r="B213" s="54"/>
      <c r="C213" s="54"/>
      <c r="D213" s="55"/>
      <c r="E213" s="55"/>
      <c r="F213" s="56" t="str">
        <f t="shared" si="7"/>
        <v/>
      </c>
      <c r="G213" s="55" t="str">
        <f t="shared" si="8"/>
        <v/>
      </c>
      <c r="H213" s="57" t="str">
        <f t="shared" si="9"/>
        <v/>
      </c>
      <c r="I213" s="58" t="str">
        <f t="shared" si="10"/>
        <v/>
      </c>
      <c r="J213" s="55" t="str">
        <f t="shared" si="11"/>
        <v/>
      </c>
      <c r="K213" s="59" t="str">
        <f t="shared" si="12"/>
        <v/>
      </c>
      <c r="L213" s="59" t="str">
        <f>IF(NOT(ISERROR(VLOOKUP(B213,Deflatores!G$42:H$64,2,FALSE))),VLOOKUP(B213,Deflatores!G$42:H$64,2,FALSE),IF(OR(ISBLANK(C213),ISBLANK(B213)),"",VLOOKUP(C213,Deflatores!G$4:H$38,2,FALSE)*H213+VLOOKUP(C213,Deflatores!G$4:I$38,3,FALSE)))</f>
        <v/>
      </c>
      <c r="M213" s="60"/>
      <c r="N213" s="60"/>
      <c r="O213" s="61"/>
    </row>
    <row r="214" ht="14.25" customHeight="1">
      <c r="A214" s="68"/>
      <c r="B214" s="54"/>
      <c r="C214" s="54"/>
      <c r="D214" s="55"/>
      <c r="E214" s="55"/>
      <c r="F214" s="56" t="str">
        <f t="shared" si="7"/>
        <v/>
      </c>
      <c r="G214" s="55" t="str">
        <f t="shared" si="8"/>
        <v/>
      </c>
      <c r="H214" s="57" t="str">
        <f t="shared" si="9"/>
        <v/>
      </c>
      <c r="I214" s="58" t="str">
        <f t="shared" si="10"/>
        <v/>
      </c>
      <c r="J214" s="55" t="str">
        <f t="shared" si="11"/>
        <v/>
      </c>
      <c r="K214" s="59" t="str">
        <f t="shared" si="12"/>
        <v/>
      </c>
      <c r="L214" s="59" t="str">
        <f>IF(NOT(ISERROR(VLOOKUP(B214,Deflatores!G$42:H$64,2,FALSE))),VLOOKUP(B214,Deflatores!G$42:H$64,2,FALSE),IF(OR(ISBLANK(C214),ISBLANK(B214)),"",VLOOKUP(C214,Deflatores!G$4:H$38,2,FALSE)*H214+VLOOKUP(C214,Deflatores!G$4:I$38,3,FALSE)))</f>
        <v/>
      </c>
      <c r="M214" s="60"/>
      <c r="N214" s="60"/>
      <c r="O214" s="61"/>
    </row>
    <row r="215" ht="15.75" customHeight="1">
      <c r="A215" s="53"/>
      <c r="B215" s="54"/>
      <c r="C215" s="54"/>
      <c r="D215" s="55"/>
      <c r="E215" s="55"/>
      <c r="F215" s="56" t="str">
        <f t="shared" si="7"/>
        <v/>
      </c>
      <c r="G215" s="55" t="str">
        <f t="shared" si="8"/>
        <v/>
      </c>
      <c r="H215" s="57" t="str">
        <f t="shared" si="9"/>
        <v/>
      </c>
      <c r="I215" s="58" t="str">
        <f t="shared" si="10"/>
        <v/>
      </c>
      <c r="J215" s="55" t="str">
        <f t="shared" si="11"/>
        <v/>
      </c>
      <c r="K215" s="59" t="str">
        <f t="shared" si="12"/>
        <v/>
      </c>
      <c r="L215" s="59" t="str">
        <f>IF(NOT(ISERROR(VLOOKUP(B215,Deflatores!G$42:H$64,2,FALSE))),VLOOKUP(B215,Deflatores!G$42:H$64,2,FALSE),IF(OR(ISBLANK(C215),ISBLANK(B215)),"",VLOOKUP(C215,Deflatores!G$4:H$38,2,FALSE)*H215+VLOOKUP(C215,Deflatores!G$4:I$38,3,FALSE)))</f>
        <v/>
      </c>
      <c r="M215" s="60"/>
      <c r="N215" s="60"/>
      <c r="O215" s="61"/>
    </row>
    <row r="216" ht="15.75" customHeight="1">
      <c r="A216" s="53"/>
      <c r="B216" s="54"/>
      <c r="C216" s="54"/>
      <c r="D216" s="55"/>
      <c r="E216" s="55"/>
      <c r="F216" s="56" t="str">
        <f t="shared" si="7"/>
        <v/>
      </c>
      <c r="G216" s="55" t="str">
        <f t="shared" si="8"/>
        <v/>
      </c>
      <c r="H216" s="57" t="str">
        <f t="shared" si="9"/>
        <v/>
      </c>
      <c r="I216" s="58" t="str">
        <f t="shared" si="10"/>
        <v/>
      </c>
      <c r="J216" s="55" t="str">
        <f t="shared" si="11"/>
        <v/>
      </c>
      <c r="K216" s="59" t="str">
        <f t="shared" si="12"/>
        <v/>
      </c>
      <c r="L216" s="59" t="str">
        <f>IF(NOT(ISERROR(VLOOKUP(B216,Deflatores!G$42:H$64,2,FALSE))),VLOOKUP(B216,Deflatores!G$42:H$64,2,FALSE),IF(OR(ISBLANK(C216),ISBLANK(B216)),"",VLOOKUP(C216,Deflatores!G$4:H$38,2,FALSE)*H216+VLOOKUP(C216,Deflatores!G$4:I$38,3,FALSE)))</f>
        <v/>
      </c>
      <c r="M216" s="60"/>
      <c r="N216" s="60"/>
      <c r="O216" s="61"/>
    </row>
    <row r="217" ht="15.75" customHeight="1">
      <c r="A217" s="53"/>
      <c r="B217" s="54"/>
      <c r="C217" s="54"/>
      <c r="D217" s="55"/>
      <c r="E217" s="55"/>
      <c r="F217" s="56" t="str">
        <f t="shared" si="7"/>
        <v/>
      </c>
      <c r="G217" s="55" t="str">
        <f t="shared" si="8"/>
        <v/>
      </c>
      <c r="H217" s="57" t="str">
        <f t="shared" si="9"/>
        <v/>
      </c>
      <c r="I217" s="58" t="str">
        <f t="shared" si="10"/>
        <v/>
      </c>
      <c r="J217" s="55" t="str">
        <f t="shared" si="11"/>
        <v/>
      </c>
      <c r="K217" s="59" t="str">
        <f t="shared" si="12"/>
        <v/>
      </c>
      <c r="L217" s="59" t="str">
        <f>IF(NOT(ISERROR(VLOOKUP(B217,Deflatores!G$42:H$64,2,FALSE))),VLOOKUP(B217,Deflatores!G$42:H$64,2,FALSE),IF(OR(ISBLANK(C217),ISBLANK(B217)),"",VLOOKUP(C217,Deflatores!G$4:H$38,2,FALSE)*H217+VLOOKUP(C217,Deflatores!G$4:I$38,3,FALSE)))</f>
        <v/>
      </c>
      <c r="M217" s="60"/>
      <c r="N217" s="60"/>
      <c r="O217" s="61"/>
    </row>
    <row r="218" ht="13.5" customHeight="1">
      <c r="A218" s="53"/>
      <c r="B218" s="54"/>
      <c r="C218" s="54"/>
      <c r="D218" s="55"/>
      <c r="E218" s="55"/>
      <c r="F218" s="56" t="str">
        <f t="shared" si="7"/>
        <v/>
      </c>
      <c r="G218" s="55" t="str">
        <f t="shared" si="8"/>
        <v/>
      </c>
      <c r="H218" s="57" t="str">
        <f t="shared" si="9"/>
        <v/>
      </c>
      <c r="I218" s="58" t="str">
        <f t="shared" si="10"/>
        <v/>
      </c>
      <c r="J218" s="55" t="str">
        <f t="shared" si="11"/>
        <v/>
      </c>
      <c r="K218" s="59" t="str">
        <f t="shared" si="12"/>
        <v/>
      </c>
      <c r="L218" s="59" t="str">
        <f>IF(NOT(ISERROR(VLOOKUP(B218,Deflatores!G$42:H$64,2,FALSE))),VLOOKUP(B218,Deflatores!G$42:H$64,2,FALSE),IF(OR(ISBLANK(C218),ISBLANK(B218)),"",VLOOKUP(C218,Deflatores!G$4:H$38,2,FALSE)*H218+VLOOKUP(C218,Deflatores!G$4:I$38,3,FALSE)))</f>
        <v/>
      </c>
      <c r="M218" s="60"/>
      <c r="N218" s="60"/>
      <c r="O218" s="61"/>
    </row>
    <row r="219" ht="13.5" customHeight="1">
      <c r="A219" s="53"/>
      <c r="B219" s="54"/>
      <c r="C219" s="54"/>
      <c r="D219" s="55"/>
      <c r="E219" s="55"/>
      <c r="F219" s="56" t="str">
        <f t="shared" si="7"/>
        <v/>
      </c>
      <c r="G219" s="55" t="str">
        <f t="shared" si="8"/>
        <v/>
      </c>
      <c r="H219" s="57" t="str">
        <f t="shared" si="9"/>
        <v/>
      </c>
      <c r="I219" s="58" t="str">
        <f t="shared" si="10"/>
        <v/>
      </c>
      <c r="J219" s="55" t="str">
        <f t="shared" si="11"/>
        <v/>
      </c>
      <c r="K219" s="59" t="str">
        <f t="shared" si="12"/>
        <v/>
      </c>
      <c r="L219" s="59" t="str">
        <f>IF(NOT(ISERROR(VLOOKUP(B219,Deflatores!G$42:H$64,2,FALSE))),VLOOKUP(B219,Deflatores!G$42:H$64,2,FALSE),IF(OR(ISBLANK(C219),ISBLANK(B219)),"",VLOOKUP(C219,Deflatores!G$4:H$38,2,FALSE)*H219+VLOOKUP(C219,Deflatores!G$4:I$38,3,FALSE)))</f>
        <v/>
      </c>
      <c r="M219" s="60"/>
      <c r="N219" s="60"/>
      <c r="O219" s="61"/>
    </row>
    <row r="220" ht="12.0" customHeight="1">
      <c r="A220" s="53"/>
      <c r="B220" s="54"/>
      <c r="C220" s="54"/>
      <c r="D220" s="55"/>
      <c r="E220" s="55"/>
      <c r="F220" s="56" t="str">
        <f t="shared" si="7"/>
        <v/>
      </c>
      <c r="G220" s="55" t="str">
        <f t="shared" si="8"/>
        <v/>
      </c>
      <c r="H220" s="57" t="str">
        <f t="shared" si="9"/>
        <v/>
      </c>
      <c r="I220" s="58" t="str">
        <f t="shared" si="10"/>
        <v/>
      </c>
      <c r="J220" s="55" t="str">
        <f t="shared" si="11"/>
        <v/>
      </c>
      <c r="K220" s="59" t="str">
        <f t="shared" si="12"/>
        <v/>
      </c>
      <c r="L220" s="59" t="str">
        <f>IF(NOT(ISERROR(VLOOKUP(B220,Deflatores!G$42:H$64,2,FALSE))),VLOOKUP(B220,Deflatores!G$42:H$64,2,FALSE),IF(OR(ISBLANK(C220),ISBLANK(B220)),"",VLOOKUP(C220,Deflatores!G$4:H$38,2,FALSE)*H220+VLOOKUP(C220,Deflatores!G$4:I$38,3,FALSE)))</f>
        <v/>
      </c>
      <c r="M220" s="60"/>
      <c r="N220" s="60"/>
      <c r="O220" s="61"/>
    </row>
    <row r="221" ht="12.0" customHeight="1">
      <c r="A221" s="53"/>
      <c r="B221" s="54"/>
      <c r="C221" s="54"/>
      <c r="D221" s="55"/>
      <c r="E221" s="55"/>
      <c r="F221" s="56" t="str">
        <f t="shared" si="7"/>
        <v/>
      </c>
      <c r="G221" s="55" t="str">
        <f t="shared" si="8"/>
        <v/>
      </c>
      <c r="H221" s="57" t="str">
        <f t="shared" si="9"/>
        <v/>
      </c>
      <c r="I221" s="58" t="str">
        <f t="shared" si="10"/>
        <v/>
      </c>
      <c r="J221" s="55" t="str">
        <f t="shared" si="11"/>
        <v/>
      </c>
      <c r="K221" s="59" t="str">
        <f t="shared" si="12"/>
        <v/>
      </c>
      <c r="L221" s="59" t="str">
        <f>IF(NOT(ISERROR(VLOOKUP(B221,Deflatores!G$42:H$64,2,FALSE))),VLOOKUP(B221,Deflatores!G$42:H$64,2,FALSE),IF(OR(ISBLANK(C221),ISBLANK(B221)),"",VLOOKUP(C221,Deflatores!G$4:H$38,2,FALSE)*H221+VLOOKUP(C221,Deflatores!G$4:I$38,3,FALSE)))</f>
        <v/>
      </c>
      <c r="M221" s="60"/>
      <c r="N221" s="60"/>
      <c r="O221" s="61"/>
    </row>
    <row r="222" ht="12.0" customHeight="1">
      <c r="A222" s="53"/>
      <c r="B222" s="54"/>
      <c r="C222" s="54"/>
      <c r="D222" s="55"/>
      <c r="E222" s="55"/>
      <c r="F222" s="56" t="str">
        <f t="shared" si="7"/>
        <v/>
      </c>
      <c r="G222" s="55" t="str">
        <f t="shared" si="8"/>
        <v/>
      </c>
      <c r="H222" s="57" t="str">
        <f t="shared" si="9"/>
        <v/>
      </c>
      <c r="I222" s="58" t="str">
        <f t="shared" si="10"/>
        <v/>
      </c>
      <c r="J222" s="55" t="str">
        <f t="shared" si="11"/>
        <v/>
      </c>
      <c r="K222" s="59" t="str">
        <f t="shared" si="12"/>
        <v/>
      </c>
      <c r="L222" s="59" t="str">
        <f>IF(NOT(ISERROR(VLOOKUP(B222,Deflatores!G$42:H$64,2,FALSE))),VLOOKUP(B222,Deflatores!G$42:H$64,2,FALSE),IF(OR(ISBLANK(C222),ISBLANK(B222)),"",VLOOKUP(C222,Deflatores!G$4:H$38,2,FALSE)*H222+VLOOKUP(C222,Deflatores!G$4:I$38,3,FALSE)))</f>
        <v/>
      </c>
      <c r="M222" s="60"/>
      <c r="N222" s="60"/>
      <c r="O222" s="61"/>
    </row>
    <row r="223" ht="12.0" customHeight="1">
      <c r="A223" s="53"/>
      <c r="B223" s="54"/>
      <c r="C223" s="54"/>
      <c r="D223" s="55"/>
      <c r="E223" s="55"/>
      <c r="F223" s="56" t="str">
        <f t="shared" si="7"/>
        <v/>
      </c>
      <c r="G223" s="55" t="str">
        <f t="shared" si="8"/>
        <v/>
      </c>
      <c r="H223" s="57" t="str">
        <f t="shared" si="9"/>
        <v/>
      </c>
      <c r="I223" s="58" t="str">
        <f t="shared" si="10"/>
        <v/>
      </c>
      <c r="J223" s="55" t="str">
        <f t="shared" si="11"/>
        <v/>
      </c>
      <c r="K223" s="59" t="str">
        <f t="shared" si="12"/>
        <v/>
      </c>
      <c r="L223" s="59" t="str">
        <f>IF(NOT(ISERROR(VLOOKUP(B223,Deflatores!G$42:H$64,2,FALSE))),VLOOKUP(B223,Deflatores!G$42:H$64,2,FALSE),IF(OR(ISBLANK(C223),ISBLANK(B223)),"",VLOOKUP(C223,Deflatores!G$4:H$38,2,FALSE)*H223+VLOOKUP(C223,Deflatores!G$4:I$38,3,FALSE)))</f>
        <v/>
      </c>
      <c r="M223" s="60"/>
      <c r="N223" s="60"/>
      <c r="O223" s="61"/>
    </row>
    <row r="224" ht="12.0" customHeight="1">
      <c r="A224" s="53"/>
      <c r="B224" s="54"/>
      <c r="C224" s="54"/>
      <c r="D224" s="55"/>
      <c r="E224" s="55"/>
      <c r="F224" s="56" t="str">
        <f t="shared" si="7"/>
        <v/>
      </c>
      <c r="G224" s="55" t="str">
        <f t="shared" si="8"/>
        <v/>
      </c>
      <c r="H224" s="57" t="str">
        <f t="shared" si="9"/>
        <v/>
      </c>
      <c r="I224" s="58" t="str">
        <f t="shared" si="10"/>
        <v/>
      </c>
      <c r="J224" s="55" t="str">
        <f t="shared" si="11"/>
        <v/>
      </c>
      <c r="K224" s="59" t="str">
        <f t="shared" si="12"/>
        <v/>
      </c>
      <c r="L224" s="59" t="str">
        <f>IF(NOT(ISERROR(VLOOKUP(B224,Deflatores!G$42:H$64,2,FALSE))),VLOOKUP(B224,Deflatores!G$42:H$64,2,FALSE),IF(OR(ISBLANK(C224),ISBLANK(B224)),"",VLOOKUP(C224,Deflatores!G$4:H$38,2,FALSE)*H224+VLOOKUP(C224,Deflatores!G$4:I$38,3,FALSE)))</f>
        <v/>
      </c>
      <c r="M224" s="60"/>
      <c r="N224" s="60"/>
      <c r="O224" s="61"/>
    </row>
    <row r="225" ht="12.0" customHeight="1">
      <c r="A225" s="53"/>
      <c r="B225" s="54"/>
      <c r="C225" s="54"/>
      <c r="D225" s="55"/>
      <c r="E225" s="55"/>
      <c r="F225" s="56" t="str">
        <f t="shared" si="7"/>
        <v/>
      </c>
      <c r="G225" s="55" t="str">
        <f t="shared" si="8"/>
        <v/>
      </c>
      <c r="H225" s="57" t="str">
        <f t="shared" si="9"/>
        <v/>
      </c>
      <c r="I225" s="58" t="str">
        <f t="shared" si="10"/>
        <v/>
      </c>
      <c r="J225" s="55" t="str">
        <f t="shared" si="11"/>
        <v/>
      </c>
      <c r="K225" s="59" t="str">
        <f t="shared" si="12"/>
        <v/>
      </c>
      <c r="L225" s="59" t="str">
        <f>IF(NOT(ISERROR(VLOOKUP(B225,Deflatores!G$42:H$64,2,FALSE))),VLOOKUP(B225,Deflatores!G$42:H$64,2,FALSE),IF(OR(ISBLANK(C225),ISBLANK(B225)),"",VLOOKUP(C225,Deflatores!G$4:H$38,2,FALSE)*H225+VLOOKUP(C225,Deflatores!G$4:I$38,3,FALSE)))</f>
        <v/>
      </c>
      <c r="M225" s="60"/>
      <c r="N225" s="60"/>
      <c r="O225" s="61"/>
    </row>
    <row r="226" ht="12.0" customHeight="1">
      <c r="A226" s="53"/>
      <c r="B226" s="54"/>
      <c r="C226" s="54"/>
      <c r="D226" s="55"/>
      <c r="E226" s="55"/>
      <c r="F226" s="56" t="str">
        <f t="shared" si="7"/>
        <v/>
      </c>
      <c r="G226" s="55" t="str">
        <f t="shared" si="8"/>
        <v/>
      </c>
      <c r="H226" s="57" t="str">
        <f t="shared" si="9"/>
        <v/>
      </c>
      <c r="I226" s="58" t="str">
        <f t="shared" si="10"/>
        <v/>
      </c>
      <c r="J226" s="55" t="str">
        <f t="shared" si="11"/>
        <v/>
      </c>
      <c r="K226" s="59" t="str">
        <f t="shared" si="12"/>
        <v/>
      </c>
      <c r="L226" s="59" t="str">
        <f>IF(NOT(ISERROR(VLOOKUP(B226,Deflatores!G$42:H$64,2,FALSE))),VLOOKUP(B226,Deflatores!G$42:H$64,2,FALSE),IF(OR(ISBLANK(C226),ISBLANK(B226)),"",VLOOKUP(C226,Deflatores!G$4:H$38,2,FALSE)*H226+VLOOKUP(C226,Deflatores!G$4:I$38,3,FALSE)))</f>
        <v/>
      </c>
      <c r="M226" s="60"/>
      <c r="N226" s="60"/>
      <c r="O226" s="61"/>
    </row>
    <row r="227" ht="12.0" customHeight="1">
      <c r="A227" s="53"/>
      <c r="B227" s="54"/>
      <c r="C227" s="54"/>
      <c r="D227" s="55"/>
      <c r="E227" s="55"/>
      <c r="F227" s="56" t="str">
        <f t="shared" si="7"/>
        <v/>
      </c>
      <c r="G227" s="55" t="str">
        <f t="shared" si="8"/>
        <v/>
      </c>
      <c r="H227" s="57" t="str">
        <f t="shared" si="9"/>
        <v/>
      </c>
      <c r="I227" s="58" t="str">
        <f t="shared" si="10"/>
        <v/>
      </c>
      <c r="J227" s="55" t="str">
        <f t="shared" si="11"/>
        <v/>
      </c>
      <c r="K227" s="59" t="str">
        <f t="shared" si="12"/>
        <v/>
      </c>
      <c r="L227" s="59" t="str">
        <f>IF(NOT(ISERROR(VLOOKUP(B227,Deflatores!G$42:H$64,2,FALSE))),VLOOKUP(B227,Deflatores!G$42:H$64,2,FALSE),IF(OR(ISBLANK(C227),ISBLANK(B227)),"",VLOOKUP(C227,Deflatores!G$4:H$38,2,FALSE)*H227+VLOOKUP(C227,Deflatores!G$4:I$38,3,FALSE)))</f>
        <v/>
      </c>
      <c r="M227" s="60"/>
      <c r="N227" s="60"/>
      <c r="O227" s="61"/>
    </row>
    <row r="228" ht="12.0" customHeight="1">
      <c r="A228" s="53"/>
      <c r="B228" s="54"/>
      <c r="C228" s="54"/>
      <c r="D228" s="55"/>
      <c r="E228" s="55"/>
      <c r="F228" s="56" t="str">
        <f t="shared" si="7"/>
        <v/>
      </c>
      <c r="G228" s="55" t="str">
        <f t="shared" si="8"/>
        <v/>
      </c>
      <c r="H228" s="57" t="str">
        <f t="shared" si="9"/>
        <v/>
      </c>
      <c r="I228" s="58" t="str">
        <f t="shared" si="10"/>
        <v/>
      </c>
      <c r="J228" s="55" t="str">
        <f t="shared" si="11"/>
        <v/>
      </c>
      <c r="K228" s="59" t="str">
        <f t="shared" si="12"/>
        <v/>
      </c>
      <c r="L228" s="59" t="str">
        <f>IF(NOT(ISERROR(VLOOKUP(B228,Deflatores!G$42:H$64,2,FALSE))),VLOOKUP(B228,Deflatores!G$42:H$64,2,FALSE),IF(OR(ISBLANK(C228),ISBLANK(B228)),"",VLOOKUP(C228,Deflatores!G$4:H$38,2,FALSE)*H228+VLOOKUP(C228,Deflatores!G$4:I$38,3,FALSE)))</f>
        <v/>
      </c>
      <c r="M228" s="60"/>
      <c r="N228" s="60"/>
      <c r="O228" s="61"/>
    </row>
    <row r="229" ht="12.0" customHeight="1">
      <c r="A229" s="53"/>
      <c r="B229" s="54"/>
      <c r="C229" s="54"/>
      <c r="D229" s="55"/>
      <c r="E229" s="55"/>
      <c r="F229" s="56" t="str">
        <f t="shared" si="7"/>
        <v/>
      </c>
      <c r="G229" s="55" t="str">
        <f t="shared" si="8"/>
        <v/>
      </c>
      <c r="H229" s="57" t="str">
        <f t="shared" si="9"/>
        <v/>
      </c>
      <c r="I229" s="58" t="str">
        <f t="shared" si="10"/>
        <v/>
      </c>
      <c r="J229" s="55" t="str">
        <f t="shared" si="11"/>
        <v/>
      </c>
      <c r="K229" s="59" t="str">
        <f t="shared" si="12"/>
        <v/>
      </c>
      <c r="L229" s="59" t="str">
        <f>IF(NOT(ISERROR(VLOOKUP(B229,Deflatores!G$42:H$64,2,FALSE))),VLOOKUP(B229,Deflatores!G$42:H$64,2,FALSE),IF(OR(ISBLANK(C229),ISBLANK(B229)),"",VLOOKUP(C229,Deflatores!G$4:H$38,2,FALSE)*H229+VLOOKUP(C229,Deflatores!G$4:I$38,3,FALSE)))</f>
        <v/>
      </c>
      <c r="M229" s="60"/>
      <c r="N229" s="60"/>
      <c r="O229" s="61"/>
    </row>
    <row r="230" ht="12.0" customHeight="1">
      <c r="A230" s="53"/>
      <c r="B230" s="54"/>
      <c r="C230" s="54"/>
      <c r="D230" s="55"/>
      <c r="E230" s="55"/>
      <c r="F230" s="56" t="str">
        <f t="shared" si="7"/>
        <v/>
      </c>
      <c r="G230" s="55" t="str">
        <f t="shared" si="8"/>
        <v/>
      </c>
      <c r="H230" s="57" t="str">
        <f t="shared" si="9"/>
        <v/>
      </c>
      <c r="I230" s="58" t="str">
        <f t="shared" si="10"/>
        <v/>
      </c>
      <c r="J230" s="55" t="str">
        <f t="shared" si="11"/>
        <v/>
      </c>
      <c r="K230" s="59" t="str">
        <f t="shared" si="12"/>
        <v/>
      </c>
      <c r="L230" s="59" t="str">
        <f>IF(NOT(ISERROR(VLOOKUP(B230,Deflatores!G$42:H$64,2,FALSE))),VLOOKUP(B230,Deflatores!G$42:H$64,2,FALSE),IF(OR(ISBLANK(C230),ISBLANK(B230)),"",VLOOKUP(C230,Deflatores!G$4:H$38,2,FALSE)*H230+VLOOKUP(C230,Deflatores!G$4:I$38,3,FALSE)))</f>
        <v/>
      </c>
      <c r="M230" s="60"/>
      <c r="N230" s="60"/>
      <c r="O230" s="61"/>
    </row>
    <row r="231" ht="15.75" customHeight="1">
      <c r="A231" s="53"/>
      <c r="B231" s="54"/>
      <c r="C231" s="54"/>
      <c r="D231" s="55"/>
      <c r="E231" s="55"/>
      <c r="F231" s="56" t="str">
        <f t="shared" si="7"/>
        <v/>
      </c>
      <c r="G231" s="55" t="str">
        <f t="shared" si="8"/>
        <v/>
      </c>
      <c r="H231" s="57" t="str">
        <f t="shared" si="9"/>
        <v/>
      </c>
      <c r="I231" s="58" t="str">
        <f t="shared" si="10"/>
        <v/>
      </c>
      <c r="J231" s="55" t="str">
        <f t="shared" si="11"/>
        <v/>
      </c>
      <c r="K231" s="59" t="str">
        <f t="shared" si="12"/>
        <v/>
      </c>
      <c r="L231" s="59" t="str">
        <f>IF(NOT(ISERROR(VLOOKUP(B231,Deflatores!G$42:H$64,2,FALSE))),VLOOKUP(B231,Deflatores!G$42:H$64,2,FALSE),IF(OR(ISBLANK(C231),ISBLANK(B231)),"",VLOOKUP(C231,Deflatores!G$4:H$38,2,FALSE)*H231+VLOOKUP(C231,Deflatores!G$4:I$38,3,FALSE)))</f>
        <v/>
      </c>
      <c r="M231" s="60"/>
      <c r="N231" s="60"/>
      <c r="O231" s="61"/>
    </row>
    <row r="232" ht="12.0" customHeight="1">
      <c r="A232" s="68"/>
      <c r="B232" s="54"/>
      <c r="C232" s="54"/>
      <c r="D232" s="55"/>
      <c r="E232" s="55"/>
      <c r="F232" s="56" t="str">
        <f t="shared" si="7"/>
        <v/>
      </c>
      <c r="G232" s="55" t="str">
        <f t="shared" si="8"/>
        <v/>
      </c>
      <c r="H232" s="57" t="str">
        <f t="shared" si="9"/>
        <v/>
      </c>
      <c r="I232" s="58" t="str">
        <f t="shared" si="10"/>
        <v/>
      </c>
      <c r="J232" s="55" t="str">
        <f t="shared" si="11"/>
        <v/>
      </c>
      <c r="K232" s="59" t="str">
        <f t="shared" si="12"/>
        <v/>
      </c>
      <c r="L232" s="59" t="str">
        <f>IF(NOT(ISERROR(VLOOKUP(B232,Deflatores!G$42:H$64,2,FALSE))),VLOOKUP(B232,Deflatores!G$42:H$64,2,FALSE),IF(OR(ISBLANK(C232),ISBLANK(B232)),"",VLOOKUP(C232,Deflatores!G$4:H$38,2,FALSE)*H232+VLOOKUP(C232,Deflatores!G$4:I$38,3,FALSE)))</f>
        <v/>
      </c>
      <c r="M232" s="60"/>
      <c r="N232" s="60"/>
      <c r="O232" s="61"/>
    </row>
    <row r="233" ht="12.0" customHeight="1">
      <c r="A233" s="68"/>
      <c r="B233" s="54"/>
      <c r="C233" s="54"/>
      <c r="D233" s="55"/>
      <c r="E233" s="55"/>
      <c r="F233" s="56" t="str">
        <f t="shared" si="7"/>
        <v/>
      </c>
      <c r="G233" s="55" t="str">
        <f t="shared" si="8"/>
        <v/>
      </c>
      <c r="H233" s="57" t="str">
        <f t="shared" si="9"/>
        <v/>
      </c>
      <c r="I233" s="58" t="str">
        <f t="shared" si="10"/>
        <v/>
      </c>
      <c r="J233" s="55" t="str">
        <f t="shared" si="11"/>
        <v/>
      </c>
      <c r="K233" s="59" t="str">
        <f t="shared" si="12"/>
        <v/>
      </c>
      <c r="L233" s="59" t="str">
        <f>IF(NOT(ISERROR(VLOOKUP(B233,Deflatores!G$42:H$64,2,FALSE))),VLOOKUP(B233,Deflatores!G$42:H$64,2,FALSE),IF(OR(ISBLANK(C233),ISBLANK(B233)),"",VLOOKUP(C233,Deflatores!G$4:H$38,2,FALSE)*H233+VLOOKUP(C233,Deflatores!G$4:I$38,3,FALSE)))</f>
        <v/>
      </c>
      <c r="M233" s="60"/>
      <c r="N233" s="60"/>
      <c r="O233" s="61"/>
    </row>
    <row r="234" ht="12.0" customHeight="1">
      <c r="A234" s="53"/>
      <c r="B234" s="54"/>
      <c r="C234" s="54"/>
      <c r="D234" s="55"/>
      <c r="E234" s="55"/>
      <c r="F234" s="56" t="str">
        <f t="shared" si="7"/>
        <v/>
      </c>
      <c r="G234" s="55" t="str">
        <f t="shared" si="8"/>
        <v/>
      </c>
      <c r="H234" s="57" t="str">
        <f t="shared" si="9"/>
        <v/>
      </c>
      <c r="I234" s="58" t="str">
        <f t="shared" si="10"/>
        <v/>
      </c>
      <c r="J234" s="55" t="str">
        <f t="shared" si="11"/>
        <v/>
      </c>
      <c r="K234" s="59" t="str">
        <f t="shared" si="12"/>
        <v/>
      </c>
      <c r="L234" s="59" t="str">
        <f>IF(NOT(ISERROR(VLOOKUP(B234,Deflatores!G$42:H$64,2,FALSE))),VLOOKUP(B234,Deflatores!G$42:H$64,2,FALSE),IF(OR(ISBLANK(C234),ISBLANK(B234)),"",VLOOKUP(C234,Deflatores!G$4:H$38,2,FALSE)*H234+VLOOKUP(C234,Deflatores!G$4:I$38,3,FALSE)))</f>
        <v/>
      </c>
      <c r="M234" s="60"/>
      <c r="N234" s="60"/>
      <c r="O234" s="61"/>
    </row>
    <row r="235" ht="12.0" customHeight="1">
      <c r="A235" s="53"/>
      <c r="B235" s="54"/>
      <c r="C235" s="54"/>
      <c r="D235" s="55"/>
      <c r="E235" s="55"/>
      <c r="F235" s="56" t="str">
        <f t="shared" si="7"/>
        <v/>
      </c>
      <c r="G235" s="55" t="str">
        <f t="shared" si="8"/>
        <v/>
      </c>
      <c r="H235" s="57" t="str">
        <f t="shared" si="9"/>
        <v/>
      </c>
      <c r="I235" s="58" t="str">
        <f t="shared" si="10"/>
        <v/>
      </c>
      <c r="J235" s="55" t="str">
        <f t="shared" si="11"/>
        <v/>
      </c>
      <c r="K235" s="59" t="str">
        <f t="shared" si="12"/>
        <v/>
      </c>
      <c r="L235" s="59" t="str">
        <f>IF(NOT(ISERROR(VLOOKUP(B235,Deflatores!G$42:H$64,2,FALSE))),VLOOKUP(B235,Deflatores!G$42:H$64,2,FALSE),IF(OR(ISBLANK(C235),ISBLANK(B235)),"",VLOOKUP(C235,Deflatores!G$4:H$38,2,FALSE)*H235+VLOOKUP(C235,Deflatores!G$4:I$38,3,FALSE)))</f>
        <v/>
      </c>
      <c r="M235" s="60"/>
      <c r="N235" s="60"/>
      <c r="O235" s="61"/>
    </row>
    <row r="236" ht="12.0" customHeight="1">
      <c r="A236" s="53"/>
      <c r="B236" s="54"/>
      <c r="C236" s="54"/>
      <c r="D236" s="55"/>
      <c r="E236" s="55"/>
      <c r="F236" s="56" t="str">
        <f t="shared" si="7"/>
        <v/>
      </c>
      <c r="G236" s="55" t="str">
        <f t="shared" si="8"/>
        <v/>
      </c>
      <c r="H236" s="57" t="str">
        <f t="shared" si="9"/>
        <v/>
      </c>
      <c r="I236" s="58" t="str">
        <f t="shared" si="10"/>
        <v/>
      </c>
      <c r="J236" s="55" t="str">
        <f t="shared" si="11"/>
        <v/>
      </c>
      <c r="K236" s="59" t="str">
        <f t="shared" si="12"/>
        <v/>
      </c>
      <c r="L236" s="59" t="str">
        <f>IF(NOT(ISERROR(VLOOKUP(B236,Deflatores!G$42:H$64,2,FALSE))),VLOOKUP(B236,Deflatores!G$42:H$64,2,FALSE),IF(OR(ISBLANK(C236),ISBLANK(B236)),"",VLOOKUP(C236,Deflatores!G$4:H$38,2,FALSE)*H236+VLOOKUP(C236,Deflatores!G$4:I$38,3,FALSE)))</f>
        <v/>
      </c>
      <c r="M236" s="60"/>
      <c r="N236" s="60"/>
      <c r="O236" s="61"/>
    </row>
    <row r="237" ht="12.0" customHeight="1">
      <c r="A237" s="53"/>
      <c r="B237" s="54"/>
      <c r="C237" s="54"/>
      <c r="D237" s="55"/>
      <c r="E237" s="55"/>
      <c r="F237" s="56" t="str">
        <f t="shared" si="7"/>
        <v/>
      </c>
      <c r="G237" s="55" t="str">
        <f t="shared" si="8"/>
        <v/>
      </c>
      <c r="H237" s="57" t="str">
        <f t="shared" si="9"/>
        <v/>
      </c>
      <c r="I237" s="58" t="str">
        <f t="shared" si="10"/>
        <v/>
      </c>
      <c r="J237" s="55" t="str">
        <f t="shared" si="11"/>
        <v/>
      </c>
      <c r="K237" s="59" t="str">
        <f t="shared" si="12"/>
        <v/>
      </c>
      <c r="L237" s="59" t="str">
        <f>IF(NOT(ISERROR(VLOOKUP(B237,Deflatores!G$42:H$64,2,FALSE))),VLOOKUP(B237,Deflatores!G$42:H$64,2,FALSE),IF(OR(ISBLANK(C237),ISBLANK(B237)),"",VLOOKUP(C237,Deflatores!G$4:H$38,2,FALSE)*H237+VLOOKUP(C237,Deflatores!G$4:I$38,3,FALSE)))</f>
        <v/>
      </c>
      <c r="M237" s="60"/>
      <c r="N237" s="60"/>
      <c r="O237" s="61"/>
    </row>
    <row r="238" ht="12.0" customHeight="1">
      <c r="A238" s="53"/>
      <c r="B238" s="54"/>
      <c r="C238" s="54"/>
      <c r="D238" s="55"/>
      <c r="E238" s="55"/>
      <c r="F238" s="56" t="str">
        <f t="shared" si="7"/>
        <v/>
      </c>
      <c r="G238" s="55" t="str">
        <f t="shared" si="8"/>
        <v/>
      </c>
      <c r="H238" s="57" t="str">
        <f t="shared" si="9"/>
        <v/>
      </c>
      <c r="I238" s="58" t="str">
        <f t="shared" si="10"/>
        <v/>
      </c>
      <c r="J238" s="55" t="str">
        <f t="shared" si="11"/>
        <v/>
      </c>
      <c r="K238" s="59" t="str">
        <f t="shared" si="12"/>
        <v/>
      </c>
      <c r="L238" s="59" t="str">
        <f>IF(NOT(ISERROR(VLOOKUP(B238,Deflatores!G$42:H$64,2,FALSE))),VLOOKUP(B238,Deflatores!G$42:H$64,2,FALSE),IF(OR(ISBLANK(C238),ISBLANK(B238)),"",VLOOKUP(C238,Deflatores!G$4:H$38,2,FALSE)*H238+VLOOKUP(C238,Deflatores!G$4:I$38,3,FALSE)))</f>
        <v/>
      </c>
      <c r="M238" s="60"/>
      <c r="N238" s="60"/>
      <c r="O238" s="61"/>
    </row>
    <row r="239" ht="12.0" customHeight="1">
      <c r="A239" s="62"/>
      <c r="B239" s="54"/>
      <c r="C239" s="54"/>
      <c r="D239" s="55"/>
      <c r="E239" s="55"/>
      <c r="F239" s="56" t="str">
        <f t="shared" si="7"/>
        <v/>
      </c>
      <c r="G239" s="55" t="str">
        <f t="shared" si="8"/>
        <v/>
      </c>
      <c r="H239" s="57" t="str">
        <f t="shared" si="9"/>
        <v/>
      </c>
      <c r="I239" s="58" t="str">
        <f t="shared" si="10"/>
        <v/>
      </c>
      <c r="J239" s="55" t="str">
        <f t="shared" si="11"/>
        <v/>
      </c>
      <c r="K239" s="59" t="str">
        <f t="shared" si="12"/>
        <v/>
      </c>
      <c r="L239" s="59" t="str">
        <f>IF(NOT(ISERROR(VLOOKUP(B239,Deflatores!G$42:H$64,2,FALSE))),VLOOKUP(B239,Deflatores!G$42:H$64,2,FALSE),IF(OR(ISBLANK(C239),ISBLANK(B239)),"",VLOOKUP(C239,Deflatores!G$4:H$38,2,FALSE)*H239+VLOOKUP(C239,Deflatores!G$4:I$38,3,FALSE)))</f>
        <v/>
      </c>
      <c r="M239" s="60"/>
      <c r="N239" s="60"/>
      <c r="O239" s="61"/>
    </row>
    <row r="240" ht="12.0" customHeight="1">
      <c r="A240" s="68"/>
      <c r="B240" s="54"/>
      <c r="C240" s="54"/>
      <c r="D240" s="55"/>
      <c r="E240" s="55"/>
      <c r="F240" s="56" t="str">
        <f t="shared" si="7"/>
        <v/>
      </c>
      <c r="G240" s="55" t="str">
        <f t="shared" si="8"/>
        <v/>
      </c>
      <c r="H240" s="57" t="str">
        <f t="shared" si="9"/>
        <v/>
      </c>
      <c r="I240" s="58" t="str">
        <f t="shared" si="10"/>
        <v/>
      </c>
      <c r="J240" s="55" t="str">
        <f t="shared" si="11"/>
        <v/>
      </c>
      <c r="K240" s="59" t="str">
        <f t="shared" si="12"/>
        <v/>
      </c>
      <c r="L240" s="59" t="str">
        <f>IF(NOT(ISERROR(VLOOKUP(B240,Deflatores!G$42:H$64,2,FALSE))),VLOOKUP(B240,Deflatores!G$42:H$64,2,FALSE),IF(OR(ISBLANK(C240),ISBLANK(B240)),"",VLOOKUP(C240,Deflatores!G$4:H$38,2,FALSE)*H240+VLOOKUP(C240,Deflatores!G$4:I$38,3,FALSE)))</f>
        <v/>
      </c>
      <c r="M240" s="60"/>
      <c r="N240" s="60"/>
      <c r="O240" s="61"/>
    </row>
    <row r="241" ht="15.0" customHeight="1">
      <c r="A241" s="53"/>
      <c r="B241" s="54"/>
      <c r="C241" s="54"/>
      <c r="D241" s="55"/>
      <c r="E241" s="55"/>
      <c r="F241" s="56" t="str">
        <f t="shared" si="7"/>
        <v/>
      </c>
      <c r="G241" s="55" t="str">
        <f t="shared" si="8"/>
        <v/>
      </c>
      <c r="H241" s="57" t="str">
        <f t="shared" si="9"/>
        <v/>
      </c>
      <c r="I241" s="58" t="str">
        <f t="shared" si="10"/>
        <v/>
      </c>
      <c r="J241" s="55" t="str">
        <f t="shared" si="11"/>
        <v/>
      </c>
      <c r="K241" s="59" t="str">
        <f t="shared" si="12"/>
        <v/>
      </c>
      <c r="L241" s="59" t="str">
        <f>IF(NOT(ISERROR(VLOOKUP(B241,Deflatores!G$42:H$64,2,FALSE))),VLOOKUP(B241,Deflatores!G$42:H$64,2,FALSE),IF(OR(ISBLANK(C241),ISBLANK(B241)),"",VLOOKUP(C241,Deflatores!G$4:H$38,2,FALSE)*H241+VLOOKUP(C241,Deflatores!G$4:I$38,3,FALSE)))</f>
        <v/>
      </c>
      <c r="M241" s="60"/>
      <c r="N241" s="60"/>
      <c r="O241" s="61"/>
    </row>
    <row r="242" ht="15.0" customHeight="1">
      <c r="A242" s="53"/>
      <c r="B242" s="54"/>
      <c r="C242" s="54"/>
      <c r="D242" s="55"/>
      <c r="E242" s="55"/>
      <c r="F242" s="56" t="str">
        <f t="shared" si="7"/>
        <v/>
      </c>
      <c r="G242" s="55" t="str">
        <f t="shared" si="8"/>
        <v/>
      </c>
      <c r="H242" s="57" t="str">
        <f t="shared" si="9"/>
        <v/>
      </c>
      <c r="I242" s="58" t="str">
        <f t="shared" si="10"/>
        <v/>
      </c>
      <c r="J242" s="55" t="str">
        <f t="shared" si="11"/>
        <v/>
      </c>
      <c r="K242" s="59" t="str">
        <f t="shared" si="12"/>
        <v/>
      </c>
      <c r="L242" s="59" t="str">
        <f>IF(NOT(ISERROR(VLOOKUP(B242,Deflatores!G$42:H$64,2,FALSE))),VLOOKUP(B242,Deflatores!G$42:H$64,2,FALSE),IF(OR(ISBLANK(C242),ISBLANK(B242)),"",VLOOKUP(C242,Deflatores!G$4:H$38,2,FALSE)*H242+VLOOKUP(C242,Deflatores!G$4:I$38,3,FALSE)))</f>
        <v/>
      </c>
      <c r="M242" s="60"/>
      <c r="N242" s="60"/>
      <c r="O242" s="61"/>
    </row>
    <row r="243" ht="12.0" customHeight="1">
      <c r="A243" s="53"/>
      <c r="B243" s="54"/>
      <c r="C243" s="54"/>
      <c r="D243" s="55"/>
      <c r="E243" s="55"/>
      <c r="F243" s="56" t="str">
        <f t="shared" si="7"/>
        <v/>
      </c>
      <c r="G243" s="55" t="str">
        <f t="shared" si="8"/>
        <v/>
      </c>
      <c r="H243" s="57" t="str">
        <f t="shared" si="9"/>
        <v/>
      </c>
      <c r="I243" s="58" t="str">
        <f t="shared" si="10"/>
        <v/>
      </c>
      <c r="J243" s="55" t="str">
        <f t="shared" si="11"/>
        <v/>
      </c>
      <c r="K243" s="59" t="str">
        <f t="shared" si="12"/>
        <v/>
      </c>
      <c r="L243" s="59" t="str">
        <f>IF(NOT(ISERROR(VLOOKUP(B243,Deflatores!G$42:H$64,2,FALSE))),VLOOKUP(B243,Deflatores!G$42:H$64,2,FALSE),IF(OR(ISBLANK(C243),ISBLANK(B243)),"",VLOOKUP(C243,Deflatores!G$4:H$38,2,FALSE)*H243+VLOOKUP(C243,Deflatores!G$4:I$38,3,FALSE)))</f>
        <v/>
      </c>
      <c r="M243" s="60"/>
      <c r="N243" s="60"/>
      <c r="O243" s="61"/>
    </row>
    <row r="244" ht="12.0" customHeight="1">
      <c r="A244" s="68"/>
      <c r="B244" s="54"/>
      <c r="C244" s="54"/>
      <c r="D244" s="55"/>
      <c r="E244" s="55"/>
      <c r="F244" s="56" t="str">
        <f t="shared" si="7"/>
        <v/>
      </c>
      <c r="G244" s="55" t="str">
        <f t="shared" si="8"/>
        <v/>
      </c>
      <c r="H244" s="57" t="str">
        <f t="shared" si="9"/>
        <v/>
      </c>
      <c r="I244" s="58" t="str">
        <f t="shared" si="10"/>
        <v/>
      </c>
      <c r="J244" s="55" t="str">
        <f t="shared" si="11"/>
        <v/>
      </c>
      <c r="K244" s="59" t="str">
        <f t="shared" si="12"/>
        <v/>
      </c>
      <c r="L244" s="59" t="str">
        <f>IF(NOT(ISERROR(VLOOKUP(B244,Deflatores!G$42:H$64,2,FALSE))),VLOOKUP(B244,Deflatores!G$42:H$64,2,FALSE),IF(OR(ISBLANK(C244),ISBLANK(B244)),"",VLOOKUP(C244,Deflatores!G$4:H$38,2,FALSE)*H244+VLOOKUP(C244,Deflatores!G$4:I$38,3,FALSE)))</f>
        <v/>
      </c>
      <c r="M244" s="60"/>
      <c r="N244" s="60"/>
      <c r="O244" s="61"/>
    </row>
    <row r="245" ht="12.0" customHeight="1">
      <c r="A245" s="53"/>
      <c r="B245" s="54"/>
      <c r="C245" s="54"/>
      <c r="D245" s="55"/>
      <c r="E245" s="55"/>
      <c r="F245" s="56" t="str">
        <f t="shared" si="7"/>
        <v/>
      </c>
      <c r="G245" s="55" t="str">
        <f t="shared" si="8"/>
        <v/>
      </c>
      <c r="H245" s="57" t="str">
        <f t="shared" si="9"/>
        <v/>
      </c>
      <c r="I245" s="58" t="str">
        <f t="shared" si="10"/>
        <v/>
      </c>
      <c r="J245" s="55" t="str">
        <f t="shared" si="11"/>
        <v/>
      </c>
      <c r="K245" s="59" t="str">
        <f t="shared" si="12"/>
        <v/>
      </c>
      <c r="L245" s="59" t="str">
        <f>IF(NOT(ISERROR(VLOOKUP(B245,Deflatores!G$42:H$64,2,FALSE))),VLOOKUP(B245,Deflatores!G$42:H$64,2,FALSE),IF(OR(ISBLANK(C245),ISBLANK(B245)),"",VLOOKUP(C245,Deflatores!G$4:H$38,2,FALSE)*H245+VLOOKUP(C245,Deflatores!G$4:I$38,3,FALSE)))</f>
        <v/>
      </c>
      <c r="M245" s="60"/>
      <c r="N245" s="60"/>
      <c r="O245" s="61"/>
    </row>
    <row r="246" ht="12.0" customHeight="1">
      <c r="A246" s="53"/>
      <c r="B246" s="54"/>
      <c r="C246" s="54"/>
      <c r="D246" s="55"/>
      <c r="E246" s="55"/>
      <c r="F246" s="56" t="str">
        <f t="shared" si="7"/>
        <v/>
      </c>
      <c r="G246" s="55" t="str">
        <f t="shared" si="8"/>
        <v/>
      </c>
      <c r="H246" s="57" t="str">
        <f t="shared" si="9"/>
        <v/>
      </c>
      <c r="I246" s="58" t="str">
        <f t="shared" si="10"/>
        <v/>
      </c>
      <c r="J246" s="55" t="str">
        <f t="shared" si="11"/>
        <v/>
      </c>
      <c r="K246" s="59" t="str">
        <f t="shared" si="12"/>
        <v/>
      </c>
      <c r="L246" s="59" t="str">
        <f>IF(NOT(ISERROR(VLOOKUP(B246,Deflatores!G$42:H$64,2,FALSE))),VLOOKUP(B246,Deflatores!G$42:H$64,2,FALSE),IF(OR(ISBLANK(C246),ISBLANK(B246)),"",VLOOKUP(C246,Deflatores!G$4:H$38,2,FALSE)*H246+VLOOKUP(C246,Deflatores!G$4:I$38,3,FALSE)))</f>
        <v/>
      </c>
      <c r="M246" s="60"/>
      <c r="N246" s="60"/>
      <c r="O246" s="61"/>
    </row>
    <row r="247" ht="12.0" customHeight="1">
      <c r="A247" s="53"/>
      <c r="B247" s="54"/>
      <c r="C247" s="54"/>
      <c r="D247" s="55"/>
      <c r="E247" s="55"/>
      <c r="F247" s="56" t="str">
        <f t="shared" si="7"/>
        <v/>
      </c>
      <c r="G247" s="55" t="str">
        <f t="shared" si="8"/>
        <v/>
      </c>
      <c r="H247" s="57" t="str">
        <f t="shared" si="9"/>
        <v/>
      </c>
      <c r="I247" s="58" t="str">
        <f t="shared" si="10"/>
        <v/>
      </c>
      <c r="J247" s="55" t="str">
        <f t="shared" si="11"/>
        <v/>
      </c>
      <c r="K247" s="59" t="str">
        <f t="shared" si="12"/>
        <v/>
      </c>
      <c r="L247" s="59" t="str">
        <f>IF(NOT(ISERROR(VLOOKUP(B247,Deflatores!G$42:H$64,2,FALSE))),VLOOKUP(B247,Deflatores!G$42:H$64,2,FALSE),IF(OR(ISBLANK(C247),ISBLANK(B247)),"",VLOOKUP(C247,Deflatores!G$4:H$38,2,FALSE)*H247+VLOOKUP(C247,Deflatores!G$4:I$38,3,FALSE)))</f>
        <v/>
      </c>
      <c r="M247" s="60"/>
      <c r="N247" s="60"/>
      <c r="O247" s="61"/>
    </row>
    <row r="248" ht="12.0" customHeight="1">
      <c r="A248" s="53"/>
      <c r="B248" s="54"/>
      <c r="C248" s="54"/>
      <c r="D248" s="55"/>
      <c r="E248" s="55"/>
      <c r="F248" s="56" t="str">
        <f t="shared" si="7"/>
        <v/>
      </c>
      <c r="G248" s="55" t="str">
        <f t="shared" si="8"/>
        <v/>
      </c>
      <c r="H248" s="57" t="str">
        <f t="shared" si="9"/>
        <v/>
      </c>
      <c r="I248" s="58" t="str">
        <f t="shared" si="10"/>
        <v/>
      </c>
      <c r="J248" s="55" t="str">
        <f t="shared" si="11"/>
        <v/>
      </c>
      <c r="K248" s="59" t="str">
        <f t="shared" si="12"/>
        <v/>
      </c>
      <c r="L248" s="59" t="str">
        <f>IF(NOT(ISERROR(VLOOKUP(B248,Deflatores!G$42:H$64,2,FALSE))),VLOOKUP(B248,Deflatores!G$42:H$64,2,FALSE),IF(OR(ISBLANK(C248),ISBLANK(B248)),"",VLOOKUP(C248,Deflatores!G$4:H$38,2,FALSE)*H248+VLOOKUP(C248,Deflatores!G$4:I$38,3,FALSE)))</f>
        <v/>
      </c>
      <c r="M248" s="60"/>
      <c r="N248" s="60"/>
      <c r="O248" s="61"/>
    </row>
    <row r="249" ht="12.0" customHeight="1">
      <c r="A249" s="53"/>
      <c r="B249" s="54"/>
      <c r="C249" s="54"/>
      <c r="D249" s="55"/>
      <c r="E249" s="55"/>
      <c r="F249" s="56" t="str">
        <f t="shared" si="7"/>
        <v/>
      </c>
      <c r="G249" s="55" t="str">
        <f t="shared" si="8"/>
        <v/>
      </c>
      <c r="H249" s="57" t="str">
        <f t="shared" si="9"/>
        <v/>
      </c>
      <c r="I249" s="58" t="str">
        <f t="shared" si="10"/>
        <v/>
      </c>
      <c r="J249" s="55" t="str">
        <f t="shared" si="11"/>
        <v/>
      </c>
      <c r="K249" s="59" t="str">
        <f t="shared" si="12"/>
        <v/>
      </c>
      <c r="L249" s="59" t="str">
        <f>IF(NOT(ISERROR(VLOOKUP(B249,Deflatores!G$42:H$64,2,FALSE))),VLOOKUP(B249,Deflatores!G$42:H$64,2,FALSE),IF(OR(ISBLANK(C249),ISBLANK(B249)),"",VLOOKUP(C249,Deflatores!G$4:H$38,2,FALSE)*H249+VLOOKUP(C249,Deflatores!G$4:I$38,3,FALSE)))</f>
        <v/>
      </c>
      <c r="M249" s="60"/>
      <c r="N249" s="60"/>
      <c r="O249" s="61"/>
    </row>
    <row r="250" ht="12.0" customHeight="1">
      <c r="A250" s="53"/>
      <c r="B250" s="54"/>
      <c r="C250" s="54"/>
      <c r="D250" s="55"/>
      <c r="E250" s="55"/>
      <c r="F250" s="56" t="str">
        <f t="shared" si="7"/>
        <v/>
      </c>
      <c r="G250" s="55" t="str">
        <f t="shared" si="8"/>
        <v/>
      </c>
      <c r="H250" s="57" t="str">
        <f t="shared" si="9"/>
        <v/>
      </c>
      <c r="I250" s="58" t="str">
        <f t="shared" si="10"/>
        <v/>
      </c>
      <c r="J250" s="55" t="str">
        <f t="shared" si="11"/>
        <v/>
      </c>
      <c r="K250" s="59" t="str">
        <f t="shared" si="12"/>
        <v/>
      </c>
      <c r="L250" s="59" t="str">
        <f>IF(NOT(ISERROR(VLOOKUP(B250,Deflatores!G$42:H$64,2,FALSE))),VLOOKUP(B250,Deflatores!G$42:H$64,2,FALSE),IF(OR(ISBLANK(C250),ISBLANK(B250)),"",VLOOKUP(C250,Deflatores!G$4:H$38,2,FALSE)*H250+VLOOKUP(C250,Deflatores!G$4:I$38,3,FALSE)))</f>
        <v/>
      </c>
      <c r="M250" s="60"/>
      <c r="N250" s="60"/>
      <c r="O250" s="61"/>
    </row>
    <row r="251" ht="12.0" customHeight="1">
      <c r="A251" s="53"/>
      <c r="B251" s="54"/>
      <c r="C251" s="54"/>
      <c r="D251" s="55"/>
      <c r="E251" s="55"/>
      <c r="F251" s="56" t="str">
        <f t="shared" si="7"/>
        <v/>
      </c>
      <c r="G251" s="55" t="str">
        <f t="shared" si="8"/>
        <v/>
      </c>
      <c r="H251" s="57" t="str">
        <f t="shared" si="9"/>
        <v/>
      </c>
      <c r="I251" s="58" t="str">
        <f t="shared" si="10"/>
        <v/>
      </c>
      <c r="J251" s="55" t="str">
        <f t="shared" si="11"/>
        <v/>
      </c>
      <c r="K251" s="59" t="str">
        <f t="shared" si="12"/>
        <v/>
      </c>
      <c r="L251" s="59" t="str">
        <f>IF(NOT(ISERROR(VLOOKUP(B251,Deflatores!G$42:H$64,2,FALSE))),VLOOKUP(B251,Deflatores!G$42:H$64,2,FALSE),IF(OR(ISBLANK(C251),ISBLANK(B251)),"",VLOOKUP(C251,Deflatores!G$4:H$38,2,FALSE)*H251+VLOOKUP(C251,Deflatores!G$4:I$38,3,FALSE)))</f>
        <v/>
      </c>
      <c r="M251" s="60"/>
      <c r="N251" s="60"/>
      <c r="O251" s="61"/>
    </row>
    <row r="252" ht="12.0" customHeight="1">
      <c r="A252" s="53"/>
      <c r="B252" s="54"/>
      <c r="C252" s="54"/>
      <c r="D252" s="55"/>
      <c r="E252" s="55"/>
      <c r="F252" s="56" t="str">
        <f t="shared" si="7"/>
        <v/>
      </c>
      <c r="G252" s="55" t="str">
        <f t="shared" si="8"/>
        <v/>
      </c>
      <c r="H252" s="57" t="str">
        <f t="shared" si="9"/>
        <v/>
      </c>
      <c r="I252" s="58" t="str">
        <f t="shared" si="10"/>
        <v/>
      </c>
      <c r="J252" s="55" t="str">
        <f t="shared" si="11"/>
        <v/>
      </c>
      <c r="K252" s="59" t="str">
        <f t="shared" si="12"/>
        <v/>
      </c>
      <c r="L252" s="59" t="str">
        <f>IF(NOT(ISERROR(VLOOKUP(B252,Deflatores!G$42:H$64,2,FALSE))),VLOOKUP(B252,Deflatores!G$42:H$64,2,FALSE),IF(OR(ISBLANK(C252),ISBLANK(B252)),"",VLOOKUP(C252,Deflatores!G$4:H$38,2,FALSE)*H252+VLOOKUP(C252,Deflatores!G$4:I$38,3,FALSE)))</f>
        <v/>
      </c>
      <c r="M252" s="60"/>
      <c r="N252" s="60"/>
      <c r="O252" s="61"/>
    </row>
    <row r="253" ht="12.0" customHeight="1">
      <c r="A253" s="62"/>
      <c r="B253" s="54"/>
      <c r="C253" s="54"/>
      <c r="D253" s="55"/>
      <c r="E253" s="55"/>
      <c r="F253" s="56" t="str">
        <f t="shared" si="7"/>
        <v/>
      </c>
      <c r="G253" s="55" t="str">
        <f t="shared" si="8"/>
        <v/>
      </c>
      <c r="H253" s="57" t="str">
        <f t="shared" si="9"/>
        <v/>
      </c>
      <c r="I253" s="58" t="str">
        <f t="shared" si="10"/>
        <v/>
      </c>
      <c r="J253" s="55" t="str">
        <f t="shared" si="11"/>
        <v/>
      </c>
      <c r="K253" s="59" t="str">
        <f t="shared" si="12"/>
        <v/>
      </c>
      <c r="L253" s="59" t="str">
        <f>IF(NOT(ISERROR(VLOOKUP(B253,Deflatores!G$42:H$64,2,FALSE))),VLOOKUP(B253,Deflatores!G$42:H$64,2,FALSE),IF(OR(ISBLANK(C253),ISBLANK(B253)),"",VLOOKUP(C253,Deflatores!G$4:H$38,2,FALSE)*H253+VLOOKUP(C253,Deflatores!G$4:I$38,3,FALSE)))</f>
        <v/>
      </c>
      <c r="M253" s="60"/>
      <c r="N253" s="60"/>
      <c r="O253" s="61"/>
    </row>
    <row r="254" ht="12.0" customHeight="1">
      <c r="A254" s="68"/>
      <c r="B254" s="54"/>
      <c r="C254" s="54"/>
      <c r="D254" s="55"/>
      <c r="E254" s="55"/>
      <c r="F254" s="56" t="str">
        <f t="shared" si="7"/>
        <v/>
      </c>
      <c r="G254" s="55" t="str">
        <f t="shared" si="8"/>
        <v/>
      </c>
      <c r="H254" s="57" t="str">
        <f t="shared" si="9"/>
        <v/>
      </c>
      <c r="I254" s="58" t="str">
        <f t="shared" si="10"/>
        <v/>
      </c>
      <c r="J254" s="55" t="str">
        <f t="shared" si="11"/>
        <v/>
      </c>
      <c r="K254" s="59" t="str">
        <f t="shared" si="12"/>
        <v/>
      </c>
      <c r="L254" s="59" t="str">
        <f>IF(NOT(ISERROR(VLOOKUP(B254,Deflatores!G$42:H$64,2,FALSE))),VLOOKUP(B254,Deflatores!G$42:H$64,2,FALSE),IF(OR(ISBLANK(C254),ISBLANK(B254)),"",VLOOKUP(C254,Deflatores!G$4:H$38,2,FALSE)*H254+VLOOKUP(C254,Deflatores!G$4:I$38,3,FALSE)))</f>
        <v/>
      </c>
      <c r="M254" s="60"/>
      <c r="N254" s="60"/>
      <c r="O254" s="61"/>
    </row>
    <row r="255" ht="12.0" customHeight="1">
      <c r="A255" s="53"/>
      <c r="B255" s="54"/>
      <c r="C255" s="54"/>
      <c r="D255" s="55"/>
      <c r="E255" s="55"/>
      <c r="F255" s="56" t="str">
        <f t="shared" si="7"/>
        <v/>
      </c>
      <c r="G255" s="55" t="str">
        <f t="shared" si="8"/>
        <v/>
      </c>
      <c r="H255" s="57" t="str">
        <f t="shared" si="9"/>
        <v/>
      </c>
      <c r="I255" s="58" t="str">
        <f t="shared" si="10"/>
        <v/>
      </c>
      <c r="J255" s="55" t="str">
        <f t="shared" si="11"/>
        <v/>
      </c>
      <c r="K255" s="59" t="str">
        <f t="shared" si="12"/>
        <v/>
      </c>
      <c r="L255" s="59" t="str">
        <f>IF(NOT(ISERROR(VLOOKUP(B255,Deflatores!G$42:H$64,2,FALSE))),VLOOKUP(B255,Deflatores!G$42:H$64,2,FALSE),IF(OR(ISBLANK(C255),ISBLANK(B255)),"",VLOOKUP(C255,Deflatores!G$4:H$38,2,FALSE)*H255+VLOOKUP(C255,Deflatores!G$4:I$38,3,FALSE)))</f>
        <v/>
      </c>
      <c r="M255" s="60"/>
      <c r="N255" s="60"/>
      <c r="O255" s="61"/>
    </row>
    <row r="256" ht="12.0" customHeight="1">
      <c r="A256" s="53"/>
      <c r="B256" s="54"/>
      <c r="C256" s="54"/>
      <c r="D256" s="55"/>
      <c r="E256" s="55"/>
      <c r="F256" s="56" t="str">
        <f t="shared" si="7"/>
        <v/>
      </c>
      <c r="G256" s="55" t="str">
        <f t="shared" si="8"/>
        <v/>
      </c>
      <c r="H256" s="57" t="str">
        <f t="shared" si="9"/>
        <v/>
      </c>
      <c r="I256" s="58" t="str">
        <f t="shared" si="10"/>
        <v/>
      </c>
      <c r="J256" s="55" t="str">
        <f t="shared" si="11"/>
        <v/>
      </c>
      <c r="K256" s="59" t="str">
        <f t="shared" si="12"/>
        <v/>
      </c>
      <c r="L256" s="59" t="str">
        <f>IF(NOT(ISERROR(VLOOKUP(B256,Deflatores!G$42:H$64,2,FALSE))),VLOOKUP(B256,Deflatores!G$42:H$64,2,FALSE),IF(OR(ISBLANK(C256),ISBLANK(B256)),"",VLOOKUP(C256,Deflatores!G$4:H$38,2,FALSE)*H256+VLOOKUP(C256,Deflatores!G$4:I$38,3,FALSE)))</f>
        <v/>
      </c>
      <c r="M256" s="60"/>
      <c r="N256" s="60"/>
      <c r="O256" s="61"/>
    </row>
    <row r="257" ht="12.0" customHeight="1">
      <c r="A257" s="53"/>
      <c r="B257" s="54"/>
      <c r="C257" s="54"/>
      <c r="D257" s="55"/>
      <c r="E257" s="55"/>
      <c r="F257" s="56" t="str">
        <f t="shared" si="7"/>
        <v/>
      </c>
      <c r="G257" s="55" t="str">
        <f t="shared" si="8"/>
        <v/>
      </c>
      <c r="H257" s="57" t="str">
        <f t="shared" si="9"/>
        <v/>
      </c>
      <c r="I257" s="58" t="str">
        <f t="shared" si="10"/>
        <v/>
      </c>
      <c r="J257" s="55" t="str">
        <f t="shared" si="11"/>
        <v/>
      </c>
      <c r="K257" s="59" t="str">
        <f t="shared" si="12"/>
        <v/>
      </c>
      <c r="L257" s="59" t="str">
        <f>IF(NOT(ISERROR(VLOOKUP(B257,Deflatores!G$42:H$64,2,FALSE))),VLOOKUP(B257,Deflatores!G$42:H$64,2,FALSE),IF(OR(ISBLANK(C257),ISBLANK(B257)),"",VLOOKUP(C257,Deflatores!G$4:H$38,2,FALSE)*H257+VLOOKUP(C257,Deflatores!G$4:I$38,3,FALSE)))</f>
        <v/>
      </c>
      <c r="M257" s="60"/>
      <c r="N257" s="60"/>
      <c r="O257" s="61"/>
    </row>
    <row r="258" ht="12.0" customHeight="1">
      <c r="A258" s="53"/>
      <c r="B258" s="54"/>
      <c r="C258" s="54"/>
      <c r="D258" s="55"/>
      <c r="E258" s="55"/>
      <c r="F258" s="56" t="str">
        <f t="shared" si="7"/>
        <v/>
      </c>
      <c r="G258" s="55" t="str">
        <f t="shared" si="8"/>
        <v/>
      </c>
      <c r="H258" s="57" t="str">
        <f t="shared" si="9"/>
        <v/>
      </c>
      <c r="I258" s="58" t="str">
        <f t="shared" si="10"/>
        <v/>
      </c>
      <c r="J258" s="55" t="str">
        <f t="shared" si="11"/>
        <v/>
      </c>
      <c r="K258" s="59" t="str">
        <f t="shared" si="12"/>
        <v/>
      </c>
      <c r="L258" s="59" t="str">
        <f>IF(NOT(ISERROR(VLOOKUP(B258,Deflatores!G$42:H$64,2,FALSE))),VLOOKUP(B258,Deflatores!G$42:H$64,2,FALSE),IF(OR(ISBLANK(C258),ISBLANK(B258)),"",VLOOKUP(C258,Deflatores!G$4:H$38,2,FALSE)*H258+VLOOKUP(C258,Deflatores!G$4:I$38,3,FALSE)))</f>
        <v/>
      </c>
      <c r="M258" s="60"/>
      <c r="N258" s="60"/>
      <c r="O258" s="61"/>
    </row>
    <row r="259" ht="12.0" customHeight="1">
      <c r="A259" s="53"/>
      <c r="B259" s="54"/>
      <c r="C259" s="54"/>
      <c r="D259" s="55"/>
      <c r="E259" s="55"/>
      <c r="F259" s="56" t="str">
        <f t="shared" si="7"/>
        <v/>
      </c>
      <c r="G259" s="55" t="str">
        <f t="shared" si="8"/>
        <v/>
      </c>
      <c r="H259" s="57" t="str">
        <f t="shared" si="9"/>
        <v/>
      </c>
      <c r="I259" s="58" t="str">
        <f t="shared" si="10"/>
        <v/>
      </c>
      <c r="J259" s="55" t="str">
        <f t="shared" si="11"/>
        <v/>
      </c>
      <c r="K259" s="59" t="str">
        <f t="shared" si="12"/>
        <v/>
      </c>
      <c r="L259" s="59" t="str">
        <f>IF(NOT(ISERROR(VLOOKUP(B259,Deflatores!G$42:H$64,2,FALSE))),VLOOKUP(B259,Deflatores!G$42:H$64,2,FALSE),IF(OR(ISBLANK(C259),ISBLANK(B259)),"",VLOOKUP(C259,Deflatores!G$4:H$38,2,FALSE)*H259+VLOOKUP(C259,Deflatores!G$4:I$38,3,FALSE)))</f>
        <v/>
      </c>
      <c r="M259" s="60"/>
      <c r="N259" s="60"/>
      <c r="O259" s="61"/>
    </row>
    <row r="260" ht="12.0" customHeight="1">
      <c r="A260" s="53"/>
      <c r="B260" s="54"/>
      <c r="C260" s="54"/>
      <c r="D260" s="55"/>
      <c r="E260" s="55"/>
      <c r="F260" s="56" t="str">
        <f t="shared" si="7"/>
        <v/>
      </c>
      <c r="G260" s="55" t="str">
        <f t="shared" si="8"/>
        <v/>
      </c>
      <c r="H260" s="57" t="str">
        <f t="shared" si="9"/>
        <v/>
      </c>
      <c r="I260" s="58" t="str">
        <f t="shared" si="10"/>
        <v/>
      </c>
      <c r="J260" s="55" t="str">
        <f t="shared" si="11"/>
        <v/>
      </c>
      <c r="K260" s="59" t="str">
        <f t="shared" si="12"/>
        <v/>
      </c>
      <c r="L260" s="59" t="str">
        <f>IF(NOT(ISERROR(VLOOKUP(B260,Deflatores!G$42:H$64,2,FALSE))),VLOOKUP(B260,Deflatores!G$42:H$64,2,FALSE),IF(OR(ISBLANK(C260),ISBLANK(B260)),"",VLOOKUP(C260,Deflatores!G$4:H$38,2,FALSE)*H260+VLOOKUP(C260,Deflatores!G$4:I$38,3,FALSE)))</f>
        <v/>
      </c>
      <c r="M260" s="60"/>
      <c r="N260" s="60"/>
      <c r="O260" s="61"/>
    </row>
    <row r="261" ht="12.0" customHeight="1">
      <c r="A261" s="53"/>
      <c r="B261" s="54"/>
      <c r="C261" s="54"/>
      <c r="D261" s="55"/>
      <c r="E261" s="55"/>
      <c r="F261" s="56" t="str">
        <f t="shared" si="7"/>
        <v/>
      </c>
      <c r="G261" s="55" t="str">
        <f t="shared" si="8"/>
        <v/>
      </c>
      <c r="H261" s="57" t="str">
        <f t="shared" si="9"/>
        <v/>
      </c>
      <c r="I261" s="58" t="str">
        <f t="shared" si="10"/>
        <v/>
      </c>
      <c r="J261" s="55" t="str">
        <f t="shared" si="11"/>
        <v/>
      </c>
      <c r="K261" s="59" t="str">
        <f t="shared" si="12"/>
        <v/>
      </c>
      <c r="L261" s="59" t="str">
        <f>IF(NOT(ISERROR(VLOOKUP(B261,Deflatores!G$42:H$64,2,FALSE))),VLOOKUP(B261,Deflatores!G$42:H$64,2,FALSE),IF(OR(ISBLANK(C261),ISBLANK(B261)),"",VLOOKUP(C261,Deflatores!G$4:H$38,2,FALSE)*H261+VLOOKUP(C261,Deflatores!G$4:I$38,3,FALSE)))</f>
        <v/>
      </c>
      <c r="M261" s="60"/>
      <c r="N261" s="60"/>
      <c r="O261" s="61"/>
    </row>
    <row r="262" ht="12.0" customHeight="1">
      <c r="A262" s="53"/>
      <c r="B262" s="54"/>
      <c r="C262" s="54"/>
      <c r="D262" s="55"/>
      <c r="E262" s="55"/>
      <c r="F262" s="56" t="str">
        <f t="shared" si="7"/>
        <v/>
      </c>
      <c r="G262" s="55" t="str">
        <f t="shared" si="8"/>
        <v/>
      </c>
      <c r="H262" s="57" t="str">
        <f t="shared" si="9"/>
        <v/>
      </c>
      <c r="I262" s="58" t="str">
        <f t="shared" si="10"/>
        <v/>
      </c>
      <c r="J262" s="55" t="str">
        <f t="shared" si="11"/>
        <v/>
      </c>
      <c r="K262" s="59" t="str">
        <f t="shared" si="12"/>
        <v/>
      </c>
      <c r="L262" s="59" t="str">
        <f>IF(NOT(ISERROR(VLOOKUP(B262,Deflatores!G$42:H$64,2,FALSE))),VLOOKUP(B262,Deflatores!G$42:H$64,2,FALSE),IF(OR(ISBLANK(C262),ISBLANK(B262)),"",VLOOKUP(C262,Deflatores!G$4:H$38,2,FALSE)*H262+VLOOKUP(C262,Deflatores!G$4:I$38,3,FALSE)))</f>
        <v/>
      </c>
      <c r="M262" s="60"/>
      <c r="N262" s="60"/>
      <c r="O262" s="61"/>
    </row>
    <row r="263" ht="12.0" customHeight="1">
      <c r="A263" s="53"/>
      <c r="B263" s="54"/>
      <c r="C263" s="54"/>
      <c r="D263" s="55"/>
      <c r="E263" s="55"/>
      <c r="F263" s="56" t="str">
        <f t="shared" si="7"/>
        <v/>
      </c>
      <c r="G263" s="55" t="str">
        <f t="shared" si="8"/>
        <v/>
      </c>
      <c r="H263" s="57" t="str">
        <f t="shared" si="9"/>
        <v/>
      </c>
      <c r="I263" s="58" t="str">
        <f t="shared" si="10"/>
        <v/>
      </c>
      <c r="J263" s="55" t="str">
        <f t="shared" si="11"/>
        <v/>
      </c>
      <c r="K263" s="59" t="str">
        <f t="shared" si="12"/>
        <v/>
      </c>
      <c r="L263" s="59" t="str">
        <f>IF(NOT(ISERROR(VLOOKUP(B263,Deflatores!G$42:H$64,2,FALSE))),VLOOKUP(B263,Deflatores!G$42:H$64,2,FALSE),IF(OR(ISBLANK(C263),ISBLANK(B263)),"",VLOOKUP(C263,Deflatores!G$4:H$38,2,FALSE)*H263+VLOOKUP(C263,Deflatores!G$4:I$38,3,FALSE)))</f>
        <v/>
      </c>
      <c r="M263" s="60"/>
      <c r="N263" s="60"/>
      <c r="O263" s="61"/>
    </row>
    <row r="264" ht="12.0" customHeight="1">
      <c r="A264" s="53"/>
      <c r="B264" s="54"/>
      <c r="C264" s="54"/>
      <c r="D264" s="55"/>
      <c r="E264" s="55"/>
      <c r="F264" s="56" t="str">
        <f t="shared" si="7"/>
        <v/>
      </c>
      <c r="G264" s="55" t="str">
        <f t="shared" si="8"/>
        <v/>
      </c>
      <c r="H264" s="57" t="str">
        <f t="shared" si="9"/>
        <v/>
      </c>
      <c r="I264" s="58" t="str">
        <f t="shared" si="10"/>
        <v/>
      </c>
      <c r="J264" s="55" t="str">
        <f t="shared" si="11"/>
        <v/>
      </c>
      <c r="K264" s="59" t="str">
        <f t="shared" si="12"/>
        <v/>
      </c>
      <c r="L264" s="59" t="str">
        <f>IF(NOT(ISERROR(VLOOKUP(B264,Deflatores!G$42:H$64,2,FALSE))),VLOOKUP(B264,Deflatores!G$42:H$64,2,FALSE),IF(OR(ISBLANK(C264),ISBLANK(B264)),"",VLOOKUP(C264,Deflatores!G$4:H$38,2,FALSE)*H264+VLOOKUP(C264,Deflatores!G$4:I$38,3,FALSE)))</f>
        <v/>
      </c>
      <c r="M264" s="60"/>
      <c r="N264" s="60"/>
      <c r="O264" s="61"/>
    </row>
    <row r="265" ht="12.0" customHeight="1">
      <c r="A265" s="53"/>
      <c r="B265" s="54"/>
      <c r="C265" s="54"/>
      <c r="D265" s="55"/>
      <c r="E265" s="55"/>
      <c r="F265" s="56" t="str">
        <f t="shared" si="7"/>
        <v/>
      </c>
      <c r="G265" s="55" t="str">
        <f t="shared" si="8"/>
        <v/>
      </c>
      <c r="H265" s="57" t="str">
        <f t="shared" si="9"/>
        <v/>
      </c>
      <c r="I265" s="58" t="str">
        <f t="shared" si="10"/>
        <v/>
      </c>
      <c r="J265" s="55" t="str">
        <f t="shared" si="11"/>
        <v/>
      </c>
      <c r="K265" s="59" t="str">
        <f t="shared" si="12"/>
        <v/>
      </c>
      <c r="L265" s="59" t="str">
        <f>IF(NOT(ISERROR(VLOOKUP(B265,Deflatores!G$42:H$64,2,FALSE))),VLOOKUP(B265,Deflatores!G$42:H$64,2,FALSE),IF(OR(ISBLANK(C265),ISBLANK(B265)),"",VLOOKUP(C265,Deflatores!G$4:H$38,2,FALSE)*H265+VLOOKUP(C265,Deflatores!G$4:I$38,3,FALSE)))</f>
        <v/>
      </c>
      <c r="M265" s="60"/>
      <c r="N265" s="60"/>
      <c r="O265" s="61"/>
    </row>
    <row r="266" ht="12.0" customHeight="1">
      <c r="A266" s="53"/>
      <c r="B266" s="54"/>
      <c r="C266" s="54"/>
      <c r="D266" s="55"/>
      <c r="E266" s="55"/>
      <c r="F266" s="56" t="str">
        <f t="shared" si="7"/>
        <v/>
      </c>
      <c r="G266" s="55" t="str">
        <f t="shared" si="8"/>
        <v/>
      </c>
      <c r="H266" s="57" t="str">
        <f t="shared" si="9"/>
        <v/>
      </c>
      <c r="I266" s="58" t="str">
        <f t="shared" si="10"/>
        <v/>
      </c>
      <c r="J266" s="55" t="str">
        <f t="shared" si="11"/>
        <v/>
      </c>
      <c r="K266" s="59" t="str">
        <f t="shared" si="12"/>
        <v/>
      </c>
      <c r="L266" s="59" t="str">
        <f>IF(NOT(ISERROR(VLOOKUP(B266,Deflatores!G$42:H$64,2,FALSE))),VLOOKUP(B266,Deflatores!G$42:H$64,2,FALSE),IF(OR(ISBLANK(C266),ISBLANK(B266)),"",VLOOKUP(C266,Deflatores!G$4:H$38,2,FALSE)*H266+VLOOKUP(C266,Deflatores!G$4:I$38,3,FALSE)))</f>
        <v/>
      </c>
      <c r="M266" s="60"/>
      <c r="N266" s="60"/>
      <c r="O266" s="61"/>
    </row>
    <row r="267" ht="12.0" customHeight="1">
      <c r="A267" s="53"/>
      <c r="B267" s="54"/>
      <c r="C267" s="54"/>
      <c r="D267" s="55"/>
      <c r="E267" s="55"/>
      <c r="F267" s="56" t="str">
        <f t="shared" si="7"/>
        <v/>
      </c>
      <c r="G267" s="55" t="str">
        <f t="shared" si="8"/>
        <v/>
      </c>
      <c r="H267" s="57" t="str">
        <f t="shared" si="9"/>
        <v/>
      </c>
      <c r="I267" s="58" t="str">
        <f t="shared" si="10"/>
        <v/>
      </c>
      <c r="J267" s="55" t="str">
        <f t="shared" si="11"/>
        <v/>
      </c>
      <c r="K267" s="59" t="str">
        <f t="shared" si="12"/>
        <v/>
      </c>
      <c r="L267" s="59" t="str">
        <f>IF(NOT(ISERROR(VLOOKUP(B267,Deflatores!G$42:H$64,2,FALSE))),VLOOKUP(B267,Deflatores!G$42:H$64,2,FALSE),IF(OR(ISBLANK(C267),ISBLANK(B267)),"",VLOOKUP(C267,Deflatores!G$4:H$38,2,FALSE)*H267+VLOOKUP(C267,Deflatores!G$4:I$38,3,FALSE)))</f>
        <v/>
      </c>
      <c r="M267" s="60"/>
      <c r="N267" s="60"/>
      <c r="O267" s="61"/>
    </row>
    <row r="268" ht="12.0" customHeight="1">
      <c r="A268" s="62"/>
      <c r="B268" s="54"/>
      <c r="C268" s="54"/>
      <c r="D268" s="55"/>
      <c r="E268" s="55"/>
      <c r="F268" s="56" t="str">
        <f t="shared" si="7"/>
        <v/>
      </c>
      <c r="G268" s="55" t="str">
        <f t="shared" si="8"/>
        <v/>
      </c>
      <c r="H268" s="57" t="str">
        <f t="shared" si="9"/>
        <v/>
      </c>
      <c r="I268" s="58" t="str">
        <f t="shared" si="10"/>
        <v/>
      </c>
      <c r="J268" s="55" t="str">
        <f t="shared" si="11"/>
        <v/>
      </c>
      <c r="K268" s="59" t="str">
        <f t="shared" si="12"/>
        <v/>
      </c>
      <c r="L268" s="59" t="str">
        <f>IF(NOT(ISERROR(VLOOKUP(B268,Deflatores!G$42:H$64,2,FALSE))),VLOOKUP(B268,Deflatores!G$42:H$64,2,FALSE),IF(OR(ISBLANK(C268),ISBLANK(B268)),"",VLOOKUP(C268,Deflatores!G$4:H$38,2,FALSE)*H268+VLOOKUP(C268,Deflatores!G$4:I$38,3,FALSE)))</f>
        <v/>
      </c>
      <c r="M268" s="60"/>
      <c r="N268" s="60"/>
      <c r="O268" s="61"/>
    </row>
    <row r="269" ht="12.0" customHeight="1">
      <c r="A269" s="53"/>
      <c r="B269" s="54"/>
      <c r="C269" s="54"/>
      <c r="D269" s="55"/>
      <c r="E269" s="55"/>
      <c r="F269" s="56" t="str">
        <f t="shared" si="7"/>
        <v/>
      </c>
      <c r="G269" s="55" t="str">
        <f t="shared" si="8"/>
        <v/>
      </c>
      <c r="H269" s="57" t="str">
        <f t="shared" si="9"/>
        <v/>
      </c>
      <c r="I269" s="58" t="str">
        <f t="shared" si="10"/>
        <v/>
      </c>
      <c r="J269" s="55" t="str">
        <f t="shared" si="11"/>
        <v/>
      </c>
      <c r="K269" s="59" t="str">
        <f t="shared" si="12"/>
        <v/>
      </c>
      <c r="L269" s="59" t="str">
        <f>IF(NOT(ISERROR(VLOOKUP(B269,Deflatores!G$42:H$64,2,FALSE))),VLOOKUP(B269,Deflatores!G$42:H$64,2,FALSE),IF(OR(ISBLANK(C269),ISBLANK(B269)),"",VLOOKUP(C269,Deflatores!G$4:H$38,2,FALSE)*H269+VLOOKUP(C269,Deflatores!G$4:I$38,3,FALSE)))</f>
        <v/>
      </c>
      <c r="M269" s="60"/>
      <c r="N269" s="60"/>
      <c r="O269" s="61"/>
    </row>
    <row r="270" ht="12.0" customHeight="1">
      <c r="A270" s="53"/>
      <c r="B270" s="54"/>
      <c r="C270" s="54"/>
      <c r="D270" s="55"/>
      <c r="E270" s="55"/>
      <c r="F270" s="56" t="str">
        <f t="shared" si="7"/>
        <v/>
      </c>
      <c r="G270" s="55" t="str">
        <f t="shared" si="8"/>
        <v/>
      </c>
      <c r="H270" s="57" t="str">
        <f t="shared" si="9"/>
        <v/>
      </c>
      <c r="I270" s="58" t="str">
        <f t="shared" si="10"/>
        <v/>
      </c>
      <c r="J270" s="55" t="str">
        <f t="shared" si="11"/>
        <v/>
      </c>
      <c r="K270" s="59" t="str">
        <f t="shared" si="12"/>
        <v/>
      </c>
      <c r="L270" s="59" t="str">
        <f>IF(NOT(ISERROR(VLOOKUP(B270,Deflatores!G$42:H$64,2,FALSE))),VLOOKUP(B270,Deflatores!G$42:H$64,2,FALSE),IF(OR(ISBLANK(C270),ISBLANK(B270)),"",VLOOKUP(C270,Deflatores!G$4:H$38,2,FALSE)*H270+VLOOKUP(C270,Deflatores!G$4:I$38,3,FALSE)))</f>
        <v/>
      </c>
      <c r="M270" s="60"/>
      <c r="N270" s="60"/>
      <c r="O270" s="61"/>
    </row>
    <row r="271" ht="12.0" customHeight="1">
      <c r="A271" s="53"/>
      <c r="B271" s="54"/>
      <c r="C271" s="54"/>
      <c r="D271" s="55"/>
      <c r="E271" s="55"/>
      <c r="F271" s="56" t="str">
        <f t="shared" si="7"/>
        <v/>
      </c>
      <c r="G271" s="55" t="str">
        <f t="shared" si="8"/>
        <v/>
      </c>
      <c r="H271" s="57" t="str">
        <f t="shared" si="9"/>
        <v/>
      </c>
      <c r="I271" s="58" t="str">
        <f t="shared" si="10"/>
        <v/>
      </c>
      <c r="J271" s="55" t="str">
        <f t="shared" si="11"/>
        <v/>
      </c>
      <c r="K271" s="59" t="str">
        <f t="shared" si="12"/>
        <v/>
      </c>
      <c r="L271" s="59" t="str">
        <f>IF(NOT(ISERROR(VLOOKUP(B271,Deflatores!G$42:H$64,2,FALSE))),VLOOKUP(B271,Deflatores!G$42:H$64,2,FALSE),IF(OR(ISBLANK(C271),ISBLANK(B271)),"",VLOOKUP(C271,Deflatores!G$4:H$38,2,FALSE)*H271+VLOOKUP(C271,Deflatores!G$4:I$38,3,FALSE)))</f>
        <v/>
      </c>
      <c r="M271" s="60"/>
      <c r="N271" s="60"/>
      <c r="O271" s="61"/>
    </row>
    <row r="272" ht="12.0" customHeight="1">
      <c r="A272" s="53"/>
      <c r="B272" s="54"/>
      <c r="C272" s="54"/>
      <c r="D272" s="55"/>
      <c r="E272" s="55"/>
      <c r="F272" s="56" t="str">
        <f t="shared" si="7"/>
        <v/>
      </c>
      <c r="G272" s="55" t="str">
        <f t="shared" si="8"/>
        <v/>
      </c>
      <c r="H272" s="57" t="str">
        <f t="shared" si="9"/>
        <v/>
      </c>
      <c r="I272" s="58" t="str">
        <f t="shared" si="10"/>
        <v/>
      </c>
      <c r="J272" s="55" t="str">
        <f t="shared" si="11"/>
        <v/>
      </c>
      <c r="K272" s="59" t="str">
        <f t="shared" si="12"/>
        <v/>
      </c>
      <c r="L272" s="59" t="str">
        <f>IF(NOT(ISERROR(VLOOKUP(B272,Deflatores!G$42:H$64,2,FALSE))),VLOOKUP(B272,Deflatores!G$42:H$64,2,FALSE),IF(OR(ISBLANK(C272),ISBLANK(B272)),"",VLOOKUP(C272,Deflatores!G$4:H$38,2,FALSE)*H272+VLOOKUP(C272,Deflatores!G$4:I$38,3,FALSE)))</f>
        <v/>
      </c>
      <c r="M272" s="60"/>
      <c r="N272" s="60"/>
      <c r="O272" s="61"/>
    </row>
    <row r="273" ht="12.0" customHeight="1">
      <c r="A273" s="53"/>
      <c r="B273" s="54"/>
      <c r="C273" s="54"/>
      <c r="D273" s="55"/>
      <c r="E273" s="55"/>
      <c r="F273" s="56" t="str">
        <f t="shared" si="7"/>
        <v/>
      </c>
      <c r="G273" s="55" t="str">
        <f t="shared" si="8"/>
        <v/>
      </c>
      <c r="H273" s="57" t="str">
        <f t="shared" si="9"/>
        <v/>
      </c>
      <c r="I273" s="58" t="str">
        <f t="shared" si="10"/>
        <v/>
      </c>
      <c r="J273" s="55" t="str">
        <f t="shared" si="11"/>
        <v/>
      </c>
      <c r="K273" s="59" t="str">
        <f t="shared" si="12"/>
        <v/>
      </c>
      <c r="L273" s="59" t="str">
        <f>IF(NOT(ISERROR(VLOOKUP(B273,Deflatores!G$42:H$64,2,FALSE))),VLOOKUP(B273,Deflatores!G$42:H$64,2,FALSE),IF(OR(ISBLANK(C273),ISBLANK(B273)),"",VLOOKUP(C273,Deflatores!G$4:H$38,2,FALSE)*H273+VLOOKUP(C273,Deflatores!G$4:I$38,3,FALSE)))</f>
        <v/>
      </c>
      <c r="M273" s="60"/>
      <c r="N273" s="60"/>
      <c r="O273" s="61"/>
    </row>
    <row r="274" ht="12.0" customHeight="1">
      <c r="A274" s="53"/>
      <c r="B274" s="54"/>
      <c r="C274" s="54"/>
      <c r="D274" s="55"/>
      <c r="E274" s="55"/>
      <c r="F274" s="56" t="str">
        <f t="shared" si="7"/>
        <v/>
      </c>
      <c r="G274" s="55" t="str">
        <f t="shared" si="8"/>
        <v/>
      </c>
      <c r="H274" s="57" t="str">
        <f t="shared" si="9"/>
        <v/>
      </c>
      <c r="I274" s="58" t="str">
        <f t="shared" si="10"/>
        <v/>
      </c>
      <c r="J274" s="55" t="str">
        <f t="shared" si="11"/>
        <v/>
      </c>
      <c r="K274" s="59" t="str">
        <f t="shared" si="12"/>
        <v/>
      </c>
      <c r="L274" s="59" t="str">
        <f>IF(NOT(ISERROR(VLOOKUP(B274,Deflatores!G$42:H$64,2,FALSE))),VLOOKUP(B274,Deflatores!G$42:H$64,2,FALSE),IF(OR(ISBLANK(C274),ISBLANK(B274)),"",VLOOKUP(C274,Deflatores!G$4:H$38,2,FALSE)*H274+VLOOKUP(C274,Deflatores!G$4:I$38,3,FALSE)))</f>
        <v/>
      </c>
      <c r="M274" s="60"/>
      <c r="N274" s="60"/>
      <c r="O274" s="61"/>
    </row>
    <row r="275" ht="12.0" customHeight="1">
      <c r="A275" s="62"/>
      <c r="B275" s="54"/>
      <c r="C275" s="54"/>
      <c r="D275" s="55"/>
      <c r="E275" s="55"/>
      <c r="F275" s="56" t="str">
        <f t="shared" si="7"/>
        <v/>
      </c>
      <c r="G275" s="55" t="str">
        <f t="shared" si="8"/>
        <v/>
      </c>
      <c r="H275" s="57" t="str">
        <f t="shared" si="9"/>
        <v/>
      </c>
      <c r="I275" s="58" t="str">
        <f t="shared" si="10"/>
        <v/>
      </c>
      <c r="J275" s="55" t="str">
        <f t="shared" si="11"/>
        <v/>
      </c>
      <c r="K275" s="59" t="str">
        <f t="shared" si="12"/>
        <v/>
      </c>
      <c r="L275" s="59" t="str">
        <f>IF(NOT(ISERROR(VLOOKUP(B275,Deflatores!G$42:H$64,2,FALSE))),VLOOKUP(B275,Deflatores!G$42:H$64,2,FALSE),IF(OR(ISBLANK(C275),ISBLANK(B275)),"",VLOOKUP(C275,Deflatores!G$4:H$38,2,FALSE)*H275+VLOOKUP(C275,Deflatores!G$4:I$38,3,FALSE)))</f>
        <v/>
      </c>
      <c r="M275" s="60"/>
      <c r="N275" s="60"/>
      <c r="O275" s="61"/>
    </row>
    <row r="276" ht="12.0" customHeight="1">
      <c r="A276" s="53"/>
      <c r="B276" s="54"/>
      <c r="C276" s="54"/>
      <c r="D276" s="55"/>
      <c r="E276" s="55"/>
      <c r="F276" s="56" t="str">
        <f t="shared" si="7"/>
        <v/>
      </c>
      <c r="G276" s="55" t="str">
        <f t="shared" si="8"/>
        <v/>
      </c>
      <c r="H276" s="57" t="str">
        <f t="shared" si="9"/>
        <v/>
      </c>
      <c r="I276" s="58" t="str">
        <f t="shared" si="10"/>
        <v/>
      </c>
      <c r="J276" s="55" t="str">
        <f t="shared" si="11"/>
        <v/>
      </c>
      <c r="K276" s="59" t="str">
        <f t="shared" si="12"/>
        <v/>
      </c>
      <c r="L276" s="59" t="str">
        <f>IF(NOT(ISERROR(VLOOKUP(B276,Deflatores!G$42:H$64,2,FALSE))),VLOOKUP(B276,Deflatores!G$42:H$64,2,FALSE),IF(OR(ISBLANK(C276),ISBLANK(B276)),"",VLOOKUP(C276,Deflatores!G$4:H$38,2,FALSE)*H276+VLOOKUP(C276,Deflatores!G$4:I$38,3,FALSE)))</f>
        <v/>
      </c>
      <c r="M276" s="60"/>
      <c r="N276" s="60"/>
      <c r="O276" s="61"/>
    </row>
    <row r="277" ht="12.0" customHeight="1">
      <c r="A277" s="53"/>
      <c r="B277" s="54"/>
      <c r="C277" s="54"/>
      <c r="D277" s="55"/>
      <c r="E277" s="55"/>
      <c r="F277" s="56" t="str">
        <f t="shared" si="7"/>
        <v/>
      </c>
      <c r="G277" s="55" t="str">
        <f t="shared" si="8"/>
        <v/>
      </c>
      <c r="H277" s="57" t="str">
        <f t="shared" si="9"/>
        <v/>
      </c>
      <c r="I277" s="58" t="str">
        <f t="shared" si="10"/>
        <v/>
      </c>
      <c r="J277" s="55" t="str">
        <f t="shared" si="11"/>
        <v/>
      </c>
      <c r="K277" s="59" t="str">
        <f t="shared" si="12"/>
        <v/>
      </c>
      <c r="L277" s="59" t="str">
        <f>IF(NOT(ISERROR(VLOOKUP(B277,Deflatores!G$42:H$64,2,FALSE))),VLOOKUP(B277,Deflatores!G$42:H$64,2,FALSE),IF(OR(ISBLANK(C277),ISBLANK(B277)),"",VLOOKUP(C277,Deflatores!G$4:H$38,2,FALSE)*H277+VLOOKUP(C277,Deflatores!G$4:I$38,3,FALSE)))</f>
        <v/>
      </c>
      <c r="M277" s="60"/>
      <c r="N277" s="60"/>
      <c r="O277" s="61"/>
    </row>
    <row r="278" ht="12.0" customHeight="1">
      <c r="A278" s="53"/>
      <c r="B278" s="54"/>
      <c r="C278" s="54"/>
      <c r="D278" s="55"/>
      <c r="E278" s="55"/>
      <c r="F278" s="56" t="str">
        <f t="shared" si="7"/>
        <v/>
      </c>
      <c r="G278" s="55" t="str">
        <f t="shared" si="8"/>
        <v/>
      </c>
      <c r="H278" s="57" t="str">
        <f t="shared" si="9"/>
        <v/>
      </c>
      <c r="I278" s="58" t="str">
        <f t="shared" si="10"/>
        <v/>
      </c>
      <c r="J278" s="55" t="str">
        <f t="shared" si="11"/>
        <v/>
      </c>
      <c r="K278" s="59" t="str">
        <f t="shared" si="12"/>
        <v/>
      </c>
      <c r="L278" s="59" t="str">
        <f>IF(NOT(ISERROR(VLOOKUP(B278,Deflatores!G$42:H$64,2,FALSE))),VLOOKUP(B278,Deflatores!G$42:H$64,2,FALSE),IF(OR(ISBLANK(C278),ISBLANK(B278)),"",VLOOKUP(C278,Deflatores!G$4:H$38,2,FALSE)*H278+VLOOKUP(C278,Deflatores!G$4:I$38,3,FALSE)))</f>
        <v/>
      </c>
      <c r="M278" s="60"/>
      <c r="N278" s="60"/>
      <c r="O278" s="61"/>
    </row>
    <row r="279" ht="12.0" customHeight="1">
      <c r="A279" s="53"/>
      <c r="B279" s="54"/>
      <c r="C279" s="54"/>
      <c r="D279" s="55"/>
      <c r="E279" s="55"/>
      <c r="F279" s="56" t="str">
        <f t="shared" si="7"/>
        <v/>
      </c>
      <c r="G279" s="55" t="str">
        <f t="shared" si="8"/>
        <v/>
      </c>
      <c r="H279" s="57" t="str">
        <f t="shared" si="9"/>
        <v/>
      </c>
      <c r="I279" s="58" t="str">
        <f t="shared" si="10"/>
        <v/>
      </c>
      <c r="J279" s="55" t="str">
        <f t="shared" si="11"/>
        <v/>
      </c>
      <c r="K279" s="59" t="str">
        <f t="shared" si="12"/>
        <v/>
      </c>
      <c r="L279" s="59" t="str">
        <f>IF(NOT(ISERROR(VLOOKUP(B279,Deflatores!G$42:H$64,2,FALSE))),VLOOKUP(B279,Deflatores!G$42:H$64,2,FALSE),IF(OR(ISBLANK(C279),ISBLANK(B279)),"",VLOOKUP(C279,Deflatores!G$4:H$38,2,FALSE)*H279+VLOOKUP(C279,Deflatores!G$4:I$38,3,FALSE)))</f>
        <v/>
      </c>
      <c r="M279" s="60"/>
      <c r="N279" s="60"/>
      <c r="O279" s="61"/>
    </row>
    <row r="280" ht="12.0" customHeight="1">
      <c r="A280" s="53"/>
      <c r="B280" s="54"/>
      <c r="C280" s="54"/>
      <c r="D280" s="55"/>
      <c r="E280" s="55"/>
      <c r="F280" s="56" t="str">
        <f t="shared" si="7"/>
        <v/>
      </c>
      <c r="G280" s="55" t="str">
        <f t="shared" si="8"/>
        <v/>
      </c>
      <c r="H280" s="57" t="str">
        <f t="shared" si="9"/>
        <v/>
      </c>
      <c r="I280" s="58" t="str">
        <f t="shared" si="10"/>
        <v/>
      </c>
      <c r="J280" s="55" t="str">
        <f t="shared" si="11"/>
        <v/>
      </c>
      <c r="K280" s="59" t="str">
        <f t="shared" si="12"/>
        <v/>
      </c>
      <c r="L280" s="59" t="str">
        <f>IF(NOT(ISERROR(VLOOKUP(B280,Deflatores!G$42:H$64,2,FALSE))),VLOOKUP(B280,Deflatores!G$42:H$64,2,FALSE),IF(OR(ISBLANK(C280),ISBLANK(B280)),"",VLOOKUP(C280,Deflatores!G$4:H$38,2,FALSE)*H280+VLOOKUP(C280,Deflatores!G$4:I$38,3,FALSE)))</f>
        <v/>
      </c>
      <c r="M280" s="60"/>
      <c r="N280" s="60"/>
      <c r="O280" s="61"/>
    </row>
    <row r="281" ht="12.0" customHeight="1">
      <c r="A281" s="62"/>
      <c r="B281" s="54"/>
      <c r="C281" s="54"/>
      <c r="D281" s="55"/>
      <c r="E281" s="55"/>
      <c r="F281" s="56" t="str">
        <f t="shared" si="7"/>
        <v/>
      </c>
      <c r="G281" s="55" t="str">
        <f t="shared" si="8"/>
        <v/>
      </c>
      <c r="H281" s="57" t="str">
        <f t="shared" si="9"/>
        <v/>
      </c>
      <c r="I281" s="58" t="str">
        <f t="shared" si="10"/>
        <v/>
      </c>
      <c r="J281" s="55" t="str">
        <f t="shared" si="11"/>
        <v/>
      </c>
      <c r="K281" s="59" t="str">
        <f t="shared" si="12"/>
        <v/>
      </c>
      <c r="L281" s="59" t="str">
        <f>IF(NOT(ISERROR(VLOOKUP(B281,Deflatores!G$42:H$64,2,FALSE))),VLOOKUP(B281,Deflatores!G$42:H$64,2,FALSE),IF(OR(ISBLANK(C281),ISBLANK(B281)),"",VLOOKUP(C281,Deflatores!G$4:H$38,2,FALSE)*H281+VLOOKUP(C281,Deflatores!G$4:I$38,3,FALSE)))</f>
        <v/>
      </c>
      <c r="M281" s="60"/>
      <c r="N281" s="60"/>
      <c r="O281" s="61"/>
    </row>
    <row r="282" ht="12.0" customHeight="1">
      <c r="A282" s="53"/>
      <c r="B282" s="54"/>
      <c r="C282" s="54"/>
      <c r="D282" s="55"/>
      <c r="E282" s="55"/>
      <c r="F282" s="56" t="str">
        <f t="shared" si="7"/>
        <v/>
      </c>
      <c r="G282" s="55" t="str">
        <f t="shared" si="8"/>
        <v/>
      </c>
      <c r="H282" s="57" t="str">
        <f t="shared" si="9"/>
        <v/>
      </c>
      <c r="I282" s="58" t="str">
        <f t="shared" si="10"/>
        <v/>
      </c>
      <c r="J282" s="55" t="str">
        <f t="shared" si="11"/>
        <v/>
      </c>
      <c r="K282" s="59" t="str">
        <f t="shared" si="12"/>
        <v/>
      </c>
      <c r="L282" s="59" t="str">
        <f>IF(NOT(ISERROR(VLOOKUP(B282,Deflatores!G$42:H$64,2,FALSE))),VLOOKUP(B282,Deflatores!G$42:H$64,2,FALSE),IF(OR(ISBLANK(C282),ISBLANK(B282)),"",VLOOKUP(C282,Deflatores!G$4:H$38,2,FALSE)*H282+VLOOKUP(C282,Deflatores!G$4:I$38,3,FALSE)))</f>
        <v/>
      </c>
      <c r="M282" s="60"/>
      <c r="N282" s="60"/>
      <c r="O282" s="61"/>
    </row>
    <row r="283" ht="12.0" customHeight="1">
      <c r="A283" s="53"/>
      <c r="B283" s="54"/>
      <c r="C283" s="54"/>
      <c r="D283" s="55"/>
      <c r="E283" s="55"/>
      <c r="F283" s="56" t="str">
        <f t="shared" si="7"/>
        <v/>
      </c>
      <c r="G283" s="55" t="str">
        <f t="shared" si="8"/>
        <v/>
      </c>
      <c r="H283" s="57" t="str">
        <f t="shared" si="9"/>
        <v/>
      </c>
      <c r="I283" s="58" t="str">
        <f t="shared" si="10"/>
        <v/>
      </c>
      <c r="J283" s="55" t="str">
        <f t="shared" si="11"/>
        <v/>
      </c>
      <c r="K283" s="59" t="str">
        <f t="shared" si="12"/>
        <v/>
      </c>
      <c r="L283" s="59" t="str">
        <f>IF(NOT(ISERROR(VLOOKUP(B283,Deflatores!G$42:H$64,2,FALSE))),VLOOKUP(B283,Deflatores!G$42:H$64,2,FALSE),IF(OR(ISBLANK(C283),ISBLANK(B283)),"",VLOOKUP(C283,Deflatores!G$4:H$38,2,FALSE)*H283+VLOOKUP(C283,Deflatores!G$4:I$38,3,FALSE)))</f>
        <v/>
      </c>
      <c r="M283" s="60"/>
      <c r="N283" s="60"/>
      <c r="O283" s="61"/>
    </row>
    <row r="284" ht="12.0" customHeight="1">
      <c r="A284" s="62"/>
      <c r="B284" s="54"/>
      <c r="C284" s="54"/>
      <c r="D284" s="55"/>
      <c r="E284" s="55"/>
      <c r="F284" s="56" t="str">
        <f t="shared" si="7"/>
        <v/>
      </c>
      <c r="G284" s="55" t="str">
        <f t="shared" si="8"/>
        <v/>
      </c>
      <c r="H284" s="57" t="str">
        <f t="shared" si="9"/>
        <v/>
      </c>
      <c r="I284" s="58" t="str">
        <f t="shared" si="10"/>
        <v/>
      </c>
      <c r="J284" s="55" t="str">
        <f t="shared" si="11"/>
        <v/>
      </c>
      <c r="K284" s="59" t="str">
        <f t="shared" si="12"/>
        <v/>
      </c>
      <c r="L284" s="59" t="str">
        <f>IF(NOT(ISERROR(VLOOKUP(B284,Deflatores!G$42:H$64,2,FALSE))),VLOOKUP(B284,Deflatores!G$42:H$64,2,FALSE),IF(OR(ISBLANK(C284),ISBLANK(B284)),"",VLOOKUP(C284,Deflatores!G$4:H$38,2,FALSE)*H284+VLOOKUP(C284,Deflatores!G$4:I$38,3,FALSE)))</f>
        <v/>
      </c>
      <c r="M284" s="60"/>
      <c r="N284" s="60"/>
      <c r="O284" s="61"/>
    </row>
    <row r="285" ht="12.0" customHeight="1">
      <c r="A285" s="62"/>
      <c r="B285" s="54"/>
      <c r="C285" s="54"/>
      <c r="D285" s="55"/>
      <c r="E285" s="55"/>
      <c r="F285" s="56" t="str">
        <f t="shared" si="7"/>
        <v/>
      </c>
      <c r="G285" s="55" t="str">
        <f t="shared" si="8"/>
        <v/>
      </c>
      <c r="H285" s="57" t="str">
        <f t="shared" si="9"/>
        <v/>
      </c>
      <c r="I285" s="58" t="str">
        <f t="shared" si="10"/>
        <v/>
      </c>
      <c r="J285" s="55" t="str">
        <f t="shared" si="11"/>
        <v/>
      </c>
      <c r="K285" s="59" t="str">
        <f t="shared" si="12"/>
        <v/>
      </c>
      <c r="L285" s="59" t="str">
        <f>IF(NOT(ISERROR(VLOOKUP(B285,Deflatores!G$42:H$64,2,FALSE))),VLOOKUP(B285,Deflatores!G$42:H$64,2,FALSE),IF(OR(ISBLANK(C285),ISBLANK(B285)),"",VLOOKUP(C285,Deflatores!G$4:H$38,2,FALSE)*H285+VLOOKUP(C285,Deflatores!G$4:I$38,3,FALSE)))</f>
        <v/>
      </c>
      <c r="M285" s="60"/>
      <c r="N285" s="60"/>
      <c r="O285" s="61"/>
    </row>
    <row r="286" ht="12.0" customHeight="1">
      <c r="A286" s="53"/>
      <c r="B286" s="54"/>
      <c r="C286" s="54"/>
      <c r="D286" s="55"/>
      <c r="E286" s="55"/>
      <c r="F286" s="56" t="str">
        <f t="shared" si="7"/>
        <v/>
      </c>
      <c r="G286" s="55" t="str">
        <f t="shared" si="8"/>
        <v/>
      </c>
      <c r="H286" s="57" t="str">
        <f t="shared" si="9"/>
        <v/>
      </c>
      <c r="I286" s="58" t="str">
        <f t="shared" si="10"/>
        <v/>
      </c>
      <c r="J286" s="55" t="str">
        <f t="shared" si="11"/>
        <v/>
      </c>
      <c r="K286" s="59" t="str">
        <f t="shared" si="12"/>
        <v/>
      </c>
      <c r="L286" s="59" t="str">
        <f>IF(NOT(ISERROR(VLOOKUP(B286,Deflatores!G$42:H$64,2,FALSE))),VLOOKUP(B286,Deflatores!G$42:H$64,2,FALSE),IF(OR(ISBLANK(C286),ISBLANK(B286)),"",VLOOKUP(C286,Deflatores!G$4:H$38,2,FALSE)*H286+VLOOKUP(C286,Deflatores!G$4:I$38,3,FALSE)))</f>
        <v/>
      </c>
      <c r="M286" s="60"/>
      <c r="N286" s="60"/>
      <c r="O286" s="61"/>
    </row>
    <row r="287" ht="12.0" customHeight="1">
      <c r="A287" s="53"/>
      <c r="B287" s="54"/>
      <c r="C287" s="54"/>
      <c r="D287" s="55"/>
      <c r="E287" s="55"/>
      <c r="F287" s="56" t="str">
        <f t="shared" si="7"/>
        <v/>
      </c>
      <c r="G287" s="55" t="str">
        <f t="shared" si="8"/>
        <v/>
      </c>
      <c r="H287" s="57" t="str">
        <f t="shared" si="9"/>
        <v/>
      </c>
      <c r="I287" s="58" t="str">
        <f t="shared" si="10"/>
        <v/>
      </c>
      <c r="J287" s="55" t="str">
        <f t="shared" si="11"/>
        <v/>
      </c>
      <c r="K287" s="59" t="str">
        <f t="shared" si="12"/>
        <v/>
      </c>
      <c r="L287" s="59" t="str">
        <f>IF(NOT(ISERROR(VLOOKUP(B287,Deflatores!G$42:H$64,2,FALSE))),VLOOKUP(B287,Deflatores!G$42:H$64,2,FALSE),IF(OR(ISBLANK(C287),ISBLANK(B287)),"",VLOOKUP(C287,Deflatores!G$4:H$38,2,FALSE)*H287+VLOOKUP(C287,Deflatores!G$4:I$38,3,FALSE)))</f>
        <v/>
      </c>
      <c r="M287" s="60"/>
      <c r="N287" s="60"/>
      <c r="O287" s="61"/>
    </row>
    <row r="288" ht="12.0" customHeight="1">
      <c r="A288" s="53"/>
      <c r="B288" s="54"/>
      <c r="C288" s="54"/>
      <c r="D288" s="55"/>
      <c r="E288" s="55"/>
      <c r="F288" s="56" t="str">
        <f t="shared" si="7"/>
        <v/>
      </c>
      <c r="G288" s="55" t="str">
        <f t="shared" si="8"/>
        <v/>
      </c>
      <c r="H288" s="57" t="str">
        <f t="shared" si="9"/>
        <v/>
      </c>
      <c r="I288" s="58" t="str">
        <f t="shared" si="10"/>
        <v/>
      </c>
      <c r="J288" s="55" t="str">
        <f t="shared" si="11"/>
        <v/>
      </c>
      <c r="K288" s="59" t="str">
        <f t="shared" si="12"/>
        <v/>
      </c>
      <c r="L288" s="59" t="str">
        <f>IF(NOT(ISERROR(VLOOKUP(B288,Deflatores!G$42:H$64,2,FALSE))),VLOOKUP(B288,Deflatores!G$42:H$64,2,FALSE),IF(OR(ISBLANK(C288),ISBLANK(B288)),"",VLOOKUP(C288,Deflatores!G$4:H$38,2,FALSE)*H288+VLOOKUP(C288,Deflatores!G$4:I$38,3,FALSE)))</f>
        <v/>
      </c>
      <c r="M288" s="60"/>
      <c r="N288" s="60"/>
      <c r="O288" s="61"/>
    </row>
    <row r="289" ht="12.0" customHeight="1">
      <c r="A289" s="53"/>
      <c r="B289" s="54"/>
      <c r="C289" s="54"/>
      <c r="D289" s="55"/>
      <c r="E289" s="55"/>
      <c r="F289" s="56" t="str">
        <f t="shared" si="7"/>
        <v/>
      </c>
      <c r="G289" s="55" t="str">
        <f t="shared" si="8"/>
        <v/>
      </c>
      <c r="H289" s="57" t="str">
        <f t="shared" si="9"/>
        <v/>
      </c>
      <c r="I289" s="58" t="str">
        <f t="shared" si="10"/>
        <v/>
      </c>
      <c r="J289" s="55" t="str">
        <f t="shared" si="11"/>
        <v/>
      </c>
      <c r="K289" s="59" t="str">
        <f t="shared" si="12"/>
        <v/>
      </c>
      <c r="L289" s="59" t="str">
        <f>IF(NOT(ISERROR(VLOOKUP(B289,Deflatores!G$42:H$64,2,FALSE))),VLOOKUP(B289,Deflatores!G$42:H$64,2,FALSE),IF(OR(ISBLANK(C289),ISBLANK(B289)),"",VLOOKUP(C289,Deflatores!G$4:H$38,2,FALSE)*H289+VLOOKUP(C289,Deflatores!G$4:I$38,3,FALSE)))</f>
        <v/>
      </c>
      <c r="M289" s="60"/>
      <c r="N289" s="60"/>
      <c r="O289" s="61"/>
    </row>
    <row r="290" ht="12.0" customHeight="1">
      <c r="A290" s="53"/>
      <c r="B290" s="54"/>
      <c r="C290" s="54"/>
      <c r="D290" s="55"/>
      <c r="E290" s="55"/>
      <c r="F290" s="56" t="str">
        <f t="shared" si="7"/>
        <v/>
      </c>
      <c r="G290" s="55" t="str">
        <f t="shared" si="8"/>
        <v/>
      </c>
      <c r="H290" s="57" t="str">
        <f t="shared" si="9"/>
        <v/>
      </c>
      <c r="I290" s="58" t="str">
        <f t="shared" si="10"/>
        <v/>
      </c>
      <c r="J290" s="55" t="str">
        <f t="shared" si="11"/>
        <v/>
      </c>
      <c r="K290" s="59" t="str">
        <f t="shared" si="12"/>
        <v/>
      </c>
      <c r="L290" s="59" t="str">
        <f>IF(NOT(ISERROR(VLOOKUP(B290,Deflatores!G$42:H$64,2,FALSE))),VLOOKUP(B290,Deflatores!G$42:H$64,2,FALSE),IF(OR(ISBLANK(C290),ISBLANK(B290)),"",VLOOKUP(C290,Deflatores!G$4:H$38,2,FALSE)*H290+VLOOKUP(C290,Deflatores!G$4:I$38,3,FALSE)))</f>
        <v/>
      </c>
      <c r="M290" s="60"/>
      <c r="N290" s="60"/>
      <c r="O290" s="61"/>
    </row>
    <row r="291" ht="12.0" customHeight="1">
      <c r="A291" s="53"/>
      <c r="B291" s="54"/>
      <c r="C291" s="54"/>
      <c r="D291" s="55"/>
      <c r="E291" s="55"/>
      <c r="F291" s="56" t="str">
        <f t="shared" si="7"/>
        <v/>
      </c>
      <c r="G291" s="55" t="str">
        <f t="shared" si="8"/>
        <v/>
      </c>
      <c r="H291" s="57" t="str">
        <f t="shared" si="9"/>
        <v/>
      </c>
      <c r="I291" s="58" t="str">
        <f t="shared" si="10"/>
        <v/>
      </c>
      <c r="J291" s="55" t="str">
        <f t="shared" si="11"/>
        <v/>
      </c>
      <c r="K291" s="59" t="str">
        <f t="shared" si="12"/>
        <v/>
      </c>
      <c r="L291" s="59" t="str">
        <f>IF(NOT(ISERROR(VLOOKUP(B291,Deflatores!G$42:H$64,2,FALSE))),VLOOKUP(B291,Deflatores!G$42:H$64,2,FALSE),IF(OR(ISBLANK(C291),ISBLANK(B291)),"",VLOOKUP(C291,Deflatores!G$4:H$38,2,FALSE)*H291+VLOOKUP(C291,Deflatores!G$4:I$38,3,FALSE)))</f>
        <v/>
      </c>
      <c r="M291" s="60"/>
      <c r="N291" s="60"/>
      <c r="O291" s="61"/>
    </row>
    <row r="292" ht="12.0" customHeight="1">
      <c r="A292" s="53"/>
      <c r="B292" s="54"/>
      <c r="C292" s="54"/>
      <c r="D292" s="55"/>
      <c r="E292" s="55"/>
      <c r="F292" s="56" t="str">
        <f t="shared" si="7"/>
        <v/>
      </c>
      <c r="G292" s="55" t="str">
        <f t="shared" si="8"/>
        <v/>
      </c>
      <c r="H292" s="57" t="str">
        <f t="shared" si="9"/>
        <v/>
      </c>
      <c r="I292" s="58" t="str">
        <f t="shared" si="10"/>
        <v/>
      </c>
      <c r="J292" s="55" t="str">
        <f t="shared" si="11"/>
        <v/>
      </c>
      <c r="K292" s="59" t="str">
        <f t="shared" si="12"/>
        <v/>
      </c>
      <c r="L292" s="59" t="str">
        <f>IF(NOT(ISERROR(VLOOKUP(B292,Deflatores!G$42:H$64,2,FALSE))),VLOOKUP(B292,Deflatores!G$42:H$64,2,FALSE),IF(OR(ISBLANK(C292),ISBLANK(B292)),"",VLOOKUP(C292,Deflatores!G$4:H$38,2,FALSE)*H292+VLOOKUP(C292,Deflatores!G$4:I$38,3,FALSE)))</f>
        <v/>
      </c>
      <c r="M292" s="60"/>
      <c r="N292" s="60"/>
      <c r="O292" s="61"/>
    </row>
    <row r="293" ht="12.0" customHeight="1">
      <c r="A293" s="53"/>
      <c r="B293" s="54"/>
      <c r="C293" s="54"/>
      <c r="D293" s="55"/>
      <c r="E293" s="55"/>
      <c r="F293" s="56" t="str">
        <f t="shared" si="7"/>
        <v/>
      </c>
      <c r="G293" s="55" t="str">
        <f t="shared" si="8"/>
        <v/>
      </c>
      <c r="H293" s="57" t="str">
        <f t="shared" si="9"/>
        <v/>
      </c>
      <c r="I293" s="58" t="str">
        <f t="shared" si="10"/>
        <v/>
      </c>
      <c r="J293" s="55" t="str">
        <f t="shared" si="11"/>
        <v/>
      </c>
      <c r="K293" s="59" t="str">
        <f t="shared" si="12"/>
        <v/>
      </c>
      <c r="L293" s="59" t="str">
        <f>IF(NOT(ISERROR(VLOOKUP(B293,Deflatores!G$42:H$64,2,FALSE))),VLOOKUP(B293,Deflatores!G$42:H$64,2,FALSE),IF(OR(ISBLANK(C293),ISBLANK(B293)),"",VLOOKUP(C293,Deflatores!G$4:H$38,2,FALSE)*H293+VLOOKUP(C293,Deflatores!G$4:I$38,3,FALSE)))</f>
        <v/>
      </c>
      <c r="M293" s="60"/>
      <c r="N293" s="60"/>
      <c r="O293" s="61"/>
    </row>
    <row r="294" ht="12.0" customHeight="1">
      <c r="A294" s="53"/>
      <c r="B294" s="54"/>
      <c r="C294" s="54"/>
      <c r="D294" s="55"/>
      <c r="E294" s="55"/>
      <c r="F294" s="56" t="str">
        <f t="shared" si="7"/>
        <v/>
      </c>
      <c r="G294" s="55" t="str">
        <f t="shared" si="8"/>
        <v/>
      </c>
      <c r="H294" s="57" t="str">
        <f t="shared" si="9"/>
        <v/>
      </c>
      <c r="I294" s="58" t="str">
        <f t="shared" si="10"/>
        <v/>
      </c>
      <c r="J294" s="55" t="str">
        <f t="shared" si="11"/>
        <v/>
      </c>
      <c r="K294" s="59" t="str">
        <f t="shared" si="12"/>
        <v/>
      </c>
      <c r="L294" s="59" t="str">
        <f>IF(NOT(ISERROR(VLOOKUP(B294,Deflatores!G$42:H$64,2,FALSE))),VLOOKUP(B294,Deflatores!G$42:H$64,2,FALSE),IF(OR(ISBLANK(C294),ISBLANK(B294)),"",VLOOKUP(C294,Deflatores!G$4:H$38,2,FALSE)*H294+VLOOKUP(C294,Deflatores!G$4:I$38,3,FALSE)))</f>
        <v/>
      </c>
      <c r="M294" s="60"/>
      <c r="N294" s="60"/>
      <c r="O294" s="61"/>
    </row>
    <row r="295" ht="12.0" customHeight="1">
      <c r="A295" s="53"/>
      <c r="B295" s="54"/>
      <c r="C295" s="54"/>
      <c r="D295" s="55"/>
      <c r="E295" s="55"/>
      <c r="F295" s="56" t="str">
        <f t="shared" si="7"/>
        <v/>
      </c>
      <c r="G295" s="55" t="str">
        <f t="shared" si="8"/>
        <v/>
      </c>
      <c r="H295" s="57" t="str">
        <f t="shared" si="9"/>
        <v/>
      </c>
      <c r="I295" s="58" t="str">
        <f t="shared" si="10"/>
        <v/>
      </c>
      <c r="J295" s="55" t="str">
        <f t="shared" si="11"/>
        <v/>
      </c>
      <c r="K295" s="59" t="str">
        <f t="shared" si="12"/>
        <v/>
      </c>
      <c r="L295" s="59" t="str">
        <f>IF(NOT(ISERROR(VLOOKUP(B295,Deflatores!G$42:H$64,2,FALSE))),VLOOKUP(B295,Deflatores!G$42:H$64,2,FALSE),IF(OR(ISBLANK(C295),ISBLANK(B295)),"",VLOOKUP(C295,Deflatores!G$4:H$38,2,FALSE)*H295+VLOOKUP(C295,Deflatores!G$4:I$38,3,FALSE)))</f>
        <v/>
      </c>
      <c r="M295" s="60"/>
      <c r="N295" s="60"/>
      <c r="O295" s="61"/>
    </row>
    <row r="296" ht="12.0" customHeight="1">
      <c r="A296" s="68"/>
      <c r="B296" s="54"/>
      <c r="C296" s="54"/>
      <c r="D296" s="55"/>
      <c r="E296" s="55"/>
      <c r="F296" s="56" t="str">
        <f t="shared" si="7"/>
        <v/>
      </c>
      <c r="G296" s="55" t="str">
        <f t="shared" si="8"/>
        <v/>
      </c>
      <c r="H296" s="57" t="str">
        <f t="shared" si="9"/>
        <v/>
      </c>
      <c r="I296" s="58" t="str">
        <f t="shared" si="10"/>
        <v/>
      </c>
      <c r="J296" s="55" t="str">
        <f t="shared" si="11"/>
        <v/>
      </c>
      <c r="K296" s="59" t="str">
        <f t="shared" si="12"/>
        <v/>
      </c>
      <c r="L296" s="59" t="str">
        <f>IF(NOT(ISERROR(VLOOKUP(B296,Deflatores!G$42:H$64,2,FALSE))),VLOOKUP(B296,Deflatores!G$42:H$64,2,FALSE),IF(OR(ISBLANK(C296),ISBLANK(B296)),"",VLOOKUP(C296,Deflatores!G$4:H$38,2,FALSE)*H296+VLOOKUP(C296,Deflatores!G$4:I$38,3,FALSE)))</f>
        <v/>
      </c>
      <c r="M296" s="60"/>
      <c r="N296" s="60"/>
      <c r="O296" s="61"/>
    </row>
    <row r="297" ht="12.0" customHeight="1">
      <c r="A297" s="53"/>
      <c r="B297" s="54"/>
      <c r="C297" s="54"/>
      <c r="D297" s="55"/>
      <c r="E297" s="55"/>
      <c r="F297" s="56" t="str">
        <f t="shared" si="7"/>
        <v/>
      </c>
      <c r="G297" s="55" t="str">
        <f t="shared" si="8"/>
        <v/>
      </c>
      <c r="H297" s="57" t="str">
        <f t="shared" si="9"/>
        <v/>
      </c>
      <c r="I297" s="58" t="str">
        <f t="shared" si="10"/>
        <v/>
      </c>
      <c r="J297" s="55" t="str">
        <f t="shared" si="11"/>
        <v/>
      </c>
      <c r="K297" s="59" t="str">
        <f t="shared" si="12"/>
        <v/>
      </c>
      <c r="L297" s="59" t="str">
        <f>IF(NOT(ISERROR(VLOOKUP(B297,Deflatores!G$42:H$64,2,FALSE))),VLOOKUP(B297,Deflatores!G$42:H$64,2,FALSE),IF(OR(ISBLANK(C297),ISBLANK(B297)),"",VLOOKUP(C297,Deflatores!G$4:H$38,2,FALSE)*H297+VLOOKUP(C297,Deflatores!G$4:I$38,3,FALSE)))</f>
        <v/>
      </c>
      <c r="M297" s="60"/>
      <c r="N297" s="60"/>
      <c r="O297" s="61"/>
    </row>
    <row r="298" ht="12.0" customHeight="1">
      <c r="A298" s="53"/>
      <c r="B298" s="54"/>
      <c r="C298" s="54"/>
      <c r="D298" s="55"/>
      <c r="E298" s="55"/>
      <c r="F298" s="56" t="str">
        <f t="shared" si="7"/>
        <v/>
      </c>
      <c r="G298" s="55" t="str">
        <f t="shared" si="8"/>
        <v/>
      </c>
      <c r="H298" s="57" t="str">
        <f t="shared" si="9"/>
        <v/>
      </c>
      <c r="I298" s="58" t="str">
        <f t="shared" si="10"/>
        <v/>
      </c>
      <c r="J298" s="55" t="str">
        <f t="shared" si="11"/>
        <v/>
      </c>
      <c r="K298" s="59" t="str">
        <f t="shared" si="12"/>
        <v/>
      </c>
      <c r="L298" s="59" t="str">
        <f>IF(NOT(ISERROR(VLOOKUP(B298,Deflatores!G$42:H$64,2,FALSE))),VLOOKUP(B298,Deflatores!G$42:H$64,2,FALSE),IF(OR(ISBLANK(C298),ISBLANK(B298)),"",VLOOKUP(C298,Deflatores!G$4:H$38,2,FALSE)*H298+VLOOKUP(C298,Deflatores!G$4:I$38,3,FALSE)))</f>
        <v/>
      </c>
      <c r="M298" s="60"/>
      <c r="N298" s="60"/>
      <c r="O298" s="61"/>
    </row>
    <row r="299" ht="12.0" customHeight="1">
      <c r="A299" s="53"/>
      <c r="B299" s="54"/>
      <c r="C299" s="54"/>
      <c r="D299" s="55"/>
      <c r="E299" s="55"/>
      <c r="F299" s="56" t="str">
        <f t="shared" si="7"/>
        <v/>
      </c>
      <c r="G299" s="55" t="str">
        <f t="shared" si="8"/>
        <v/>
      </c>
      <c r="H299" s="57" t="str">
        <f t="shared" si="9"/>
        <v/>
      </c>
      <c r="I299" s="58" t="str">
        <f t="shared" si="10"/>
        <v/>
      </c>
      <c r="J299" s="55" t="str">
        <f t="shared" si="11"/>
        <v/>
      </c>
      <c r="K299" s="59" t="str">
        <f t="shared" si="12"/>
        <v/>
      </c>
      <c r="L299" s="59" t="str">
        <f>IF(NOT(ISERROR(VLOOKUP(B299,Deflatores!G$42:H$64,2,FALSE))),VLOOKUP(B299,Deflatores!G$42:H$64,2,FALSE),IF(OR(ISBLANK(C299),ISBLANK(B299)),"",VLOOKUP(C299,Deflatores!G$4:H$38,2,FALSE)*H299+VLOOKUP(C299,Deflatores!G$4:I$38,3,FALSE)))</f>
        <v/>
      </c>
      <c r="M299" s="60"/>
      <c r="N299" s="60"/>
      <c r="O299" s="61"/>
    </row>
    <row r="300" ht="12.0" customHeight="1">
      <c r="A300" s="53"/>
      <c r="B300" s="54"/>
      <c r="C300" s="54"/>
      <c r="D300" s="55"/>
      <c r="E300" s="55"/>
      <c r="F300" s="56" t="str">
        <f t="shared" si="7"/>
        <v/>
      </c>
      <c r="G300" s="55" t="str">
        <f t="shared" si="8"/>
        <v/>
      </c>
      <c r="H300" s="57" t="str">
        <f t="shared" si="9"/>
        <v/>
      </c>
      <c r="I300" s="58" t="str">
        <f t="shared" si="10"/>
        <v/>
      </c>
      <c r="J300" s="55" t="str">
        <f t="shared" si="11"/>
        <v/>
      </c>
      <c r="K300" s="59" t="str">
        <f t="shared" si="12"/>
        <v/>
      </c>
      <c r="L300" s="59" t="str">
        <f>IF(NOT(ISERROR(VLOOKUP(B300,Deflatores!G$42:H$64,2,FALSE))),VLOOKUP(B300,Deflatores!G$42:H$64,2,FALSE),IF(OR(ISBLANK(C300),ISBLANK(B300)),"",VLOOKUP(C300,Deflatores!G$4:H$38,2,FALSE)*H300+VLOOKUP(C300,Deflatores!G$4:I$38,3,FALSE)))</f>
        <v/>
      </c>
      <c r="M300" s="60"/>
      <c r="N300" s="60"/>
      <c r="O300" s="61"/>
    </row>
    <row r="301" ht="12.0" customHeight="1">
      <c r="A301" s="53"/>
      <c r="B301" s="54"/>
      <c r="C301" s="54"/>
      <c r="D301" s="55"/>
      <c r="E301" s="55"/>
      <c r="F301" s="56" t="str">
        <f t="shared" si="7"/>
        <v/>
      </c>
      <c r="G301" s="55" t="str">
        <f t="shared" si="8"/>
        <v/>
      </c>
      <c r="H301" s="57" t="str">
        <f t="shared" si="9"/>
        <v/>
      </c>
      <c r="I301" s="58" t="str">
        <f t="shared" si="10"/>
        <v/>
      </c>
      <c r="J301" s="55" t="str">
        <f t="shared" si="11"/>
        <v/>
      </c>
      <c r="K301" s="59" t="str">
        <f t="shared" si="12"/>
        <v/>
      </c>
      <c r="L301" s="59" t="str">
        <f>IF(NOT(ISERROR(VLOOKUP(B301,Deflatores!G$42:H$64,2,FALSE))),VLOOKUP(B301,Deflatores!G$42:H$64,2,FALSE),IF(OR(ISBLANK(C301),ISBLANK(B301)),"",VLOOKUP(C301,Deflatores!G$4:H$38,2,FALSE)*H301+VLOOKUP(C301,Deflatores!G$4:I$38,3,FALSE)))</f>
        <v/>
      </c>
      <c r="M301" s="60"/>
      <c r="N301" s="60"/>
      <c r="O301" s="61"/>
    </row>
    <row r="302" ht="12.0" customHeight="1">
      <c r="A302" s="53"/>
      <c r="B302" s="54"/>
      <c r="C302" s="54"/>
      <c r="D302" s="55"/>
      <c r="E302" s="55"/>
      <c r="F302" s="56" t="str">
        <f t="shared" si="7"/>
        <v/>
      </c>
      <c r="G302" s="55" t="str">
        <f t="shared" si="8"/>
        <v/>
      </c>
      <c r="H302" s="57" t="str">
        <f t="shared" si="9"/>
        <v/>
      </c>
      <c r="I302" s="58" t="str">
        <f t="shared" si="10"/>
        <v/>
      </c>
      <c r="J302" s="55" t="str">
        <f t="shared" si="11"/>
        <v/>
      </c>
      <c r="K302" s="59" t="str">
        <f t="shared" si="12"/>
        <v/>
      </c>
      <c r="L302" s="59" t="str">
        <f>IF(NOT(ISERROR(VLOOKUP(B302,Deflatores!G$42:H$64,2,FALSE))),VLOOKUP(B302,Deflatores!G$42:H$64,2,FALSE),IF(OR(ISBLANK(C302),ISBLANK(B302)),"",VLOOKUP(C302,Deflatores!G$4:H$38,2,FALSE)*H302+VLOOKUP(C302,Deflatores!G$4:I$38,3,FALSE)))</f>
        <v/>
      </c>
      <c r="M302" s="60"/>
      <c r="N302" s="60"/>
      <c r="O302" s="61"/>
    </row>
    <row r="303" ht="12.0" customHeight="1">
      <c r="A303" s="53"/>
      <c r="B303" s="54"/>
      <c r="C303" s="54"/>
      <c r="D303" s="55"/>
      <c r="E303" s="55"/>
      <c r="F303" s="56" t="str">
        <f t="shared" si="7"/>
        <v/>
      </c>
      <c r="G303" s="55" t="str">
        <f t="shared" si="8"/>
        <v/>
      </c>
      <c r="H303" s="57" t="str">
        <f t="shared" si="9"/>
        <v/>
      </c>
      <c r="I303" s="58" t="str">
        <f t="shared" si="10"/>
        <v/>
      </c>
      <c r="J303" s="55" t="str">
        <f t="shared" si="11"/>
        <v/>
      </c>
      <c r="K303" s="59" t="str">
        <f t="shared" si="12"/>
        <v/>
      </c>
      <c r="L303" s="59" t="str">
        <f>IF(NOT(ISERROR(VLOOKUP(B303,Deflatores!G$42:H$64,2,FALSE))),VLOOKUP(B303,Deflatores!G$42:H$64,2,FALSE),IF(OR(ISBLANK(C303),ISBLANK(B303)),"",VLOOKUP(C303,Deflatores!G$4:H$38,2,FALSE)*H303+VLOOKUP(C303,Deflatores!G$4:I$38,3,FALSE)))</f>
        <v/>
      </c>
      <c r="M303" s="60"/>
      <c r="N303" s="60"/>
      <c r="O303" s="61"/>
    </row>
    <row r="304" ht="12.0" customHeight="1">
      <c r="A304" s="53"/>
      <c r="B304" s="54"/>
      <c r="C304" s="54"/>
      <c r="D304" s="55"/>
      <c r="E304" s="55"/>
      <c r="F304" s="56" t="str">
        <f t="shared" si="7"/>
        <v/>
      </c>
      <c r="G304" s="55" t="str">
        <f t="shared" si="8"/>
        <v/>
      </c>
      <c r="H304" s="57" t="str">
        <f t="shared" si="9"/>
        <v/>
      </c>
      <c r="I304" s="58" t="str">
        <f t="shared" si="10"/>
        <v/>
      </c>
      <c r="J304" s="55" t="str">
        <f t="shared" si="11"/>
        <v/>
      </c>
      <c r="K304" s="59" t="str">
        <f t="shared" si="12"/>
        <v/>
      </c>
      <c r="L304" s="59" t="str">
        <f>IF(NOT(ISERROR(VLOOKUP(B304,Deflatores!G$42:H$64,2,FALSE))),VLOOKUP(B304,Deflatores!G$42:H$64,2,FALSE),IF(OR(ISBLANK(C304),ISBLANK(B304)),"",VLOOKUP(C304,Deflatores!G$4:H$38,2,FALSE)*H304+VLOOKUP(C304,Deflatores!G$4:I$38,3,FALSE)))</f>
        <v/>
      </c>
      <c r="M304" s="60"/>
      <c r="N304" s="60"/>
      <c r="O304" s="61"/>
    </row>
    <row r="305" ht="12.0" customHeight="1">
      <c r="A305" s="53"/>
      <c r="B305" s="54"/>
      <c r="C305" s="54"/>
      <c r="D305" s="55"/>
      <c r="E305" s="55"/>
      <c r="F305" s="56" t="str">
        <f t="shared" si="7"/>
        <v/>
      </c>
      <c r="G305" s="55" t="str">
        <f t="shared" si="8"/>
        <v/>
      </c>
      <c r="H305" s="57" t="str">
        <f t="shared" si="9"/>
        <v/>
      </c>
      <c r="I305" s="58" t="str">
        <f t="shared" si="10"/>
        <v/>
      </c>
      <c r="J305" s="55" t="str">
        <f t="shared" si="11"/>
        <v/>
      </c>
      <c r="K305" s="59" t="str">
        <f t="shared" si="12"/>
        <v/>
      </c>
      <c r="L305" s="59" t="str">
        <f>IF(NOT(ISERROR(VLOOKUP(B305,Deflatores!G$42:H$64,2,FALSE))),VLOOKUP(B305,Deflatores!G$42:H$64,2,FALSE),IF(OR(ISBLANK(C305),ISBLANK(B305)),"",VLOOKUP(C305,Deflatores!G$4:H$38,2,FALSE)*H305+VLOOKUP(C305,Deflatores!G$4:I$38,3,FALSE)))</f>
        <v/>
      </c>
      <c r="M305" s="60"/>
      <c r="N305" s="60"/>
      <c r="O305" s="61"/>
    </row>
    <row r="306" ht="12.0" customHeight="1">
      <c r="A306" s="68"/>
      <c r="B306" s="54"/>
      <c r="C306" s="54"/>
      <c r="D306" s="55"/>
      <c r="E306" s="55"/>
      <c r="F306" s="56" t="str">
        <f t="shared" si="7"/>
        <v/>
      </c>
      <c r="G306" s="55" t="str">
        <f t="shared" si="8"/>
        <v/>
      </c>
      <c r="H306" s="57" t="str">
        <f t="shared" si="9"/>
        <v/>
      </c>
      <c r="I306" s="58" t="str">
        <f t="shared" si="10"/>
        <v/>
      </c>
      <c r="J306" s="55" t="str">
        <f t="shared" si="11"/>
        <v/>
      </c>
      <c r="K306" s="59" t="str">
        <f t="shared" si="12"/>
        <v/>
      </c>
      <c r="L306" s="59" t="str">
        <f>IF(NOT(ISERROR(VLOOKUP(B306,Deflatores!G$42:H$64,2,FALSE))),VLOOKUP(B306,Deflatores!G$42:H$64,2,FALSE),IF(OR(ISBLANK(C306),ISBLANK(B306)),"",VLOOKUP(C306,Deflatores!G$4:H$38,2,FALSE)*H306+VLOOKUP(C306,Deflatores!G$4:I$38,3,FALSE)))</f>
        <v/>
      </c>
      <c r="M306" s="60"/>
      <c r="N306" s="60"/>
      <c r="O306" s="61"/>
    </row>
    <row r="307" ht="12.0" customHeight="1">
      <c r="A307" s="53"/>
      <c r="B307" s="54"/>
      <c r="C307" s="54"/>
      <c r="D307" s="55"/>
      <c r="E307" s="55"/>
      <c r="F307" s="56" t="str">
        <f t="shared" si="7"/>
        <v/>
      </c>
      <c r="G307" s="55" t="str">
        <f t="shared" si="8"/>
        <v/>
      </c>
      <c r="H307" s="57" t="str">
        <f t="shared" si="9"/>
        <v/>
      </c>
      <c r="I307" s="58" t="str">
        <f t="shared" si="10"/>
        <v/>
      </c>
      <c r="J307" s="55" t="str">
        <f t="shared" si="11"/>
        <v/>
      </c>
      <c r="K307" s="59" t="str">
        <f t="shared" si="12"/>
        <v/>
      </c>
      <c r="L307" s="59" t="str">
        <f>IF(NOT(ISERROR(VLOOKUP(B307,Deflatores!G$42:H$64,2,FALSE))),VLOOKUP(B307,Deflatores!G$42:H$64,2,FALSE),IF(OR(ISBLANK(C307),ISBLANK(B307)),"",VLOOKUP(C307,Deflatores!G$4:H$38,2,FALSE)*H307+VLOOKUP(C307,Deflatores!G$4:I$38,3,FALSE)))</f>
        <v/>
      </c>
      <c r="M307" s="60"/>
      <c r="N307" s="60"/>
      <c r="O307" s="61"/>
    </row>
    <row r="308" ht="12.0" customHeight="1">
      <c r="A308" s="53"/>
      <c r="B308" s="54"/>
      <c r="C308" s="54"/>
      <c r="D308" s="55"/>
      <c r="E308" s="55"/>
      <c r="F308" s="56" t="str">
        <f t="shared" si="7"/>
        <v/>
      </c>
      <c r="G308" s="55" t="str">
        <f t="shared" si="8"/>
        <v/>
      </c>
      <c r="H308" s="57" t="str">
        <f t="shared" si="9"/>
        <v/>
      </c>
      <c r="I308" s="58" t="str">
        <f t="shared" si="10"/>
        <v/>
      </c>
      <c r="J308" s="55" t="str">
        <f t="shared" si="11"/>
        <v/>
      </c>
      <c r="K308" s="59" t="str">
        <f t="shared" si="12"/>
        <v/>
      </c>
      <c r="L308" s="59" t="str">
        <f>IF(NOT(ISERROR(VLOOKUP(B308,Deflatores!G$42:H$64,2,FALSE))),VLOOKUP(B308,Deflatores!G$42:H$64,2,FALSE),IF(OR(ISBLANK(C308),ISBLANK(B308)),"",VLOOKUP(C308,Deflatores!G$4:H$38,2,FALSE)*H308+VLOOKUP(C308,Deflatores!G$4:I$38,3,FALSE)))</f>
        <v/>
      </c>
      <c r="M308" s="60"/>
      <c r="N308" s="60"/>
      <c r="O308" s="61"/>
    </row>
    <row r="309" ht="12.0" customHeight="1">
      <c r="A309" s="53"/>
      <c r="B309" s="54"/>
      <c r="C309" s="54"/>
      <c r="D309" s="55"/>
      <c r="E309" s="55"/>
      <c r="F309" s="56" t="str">
        <f t="shared" si="7"/>
        <v/>
      </c>
      <c r="G309" s="55" t="str">
        <f t="shared" si="8"/>
        <v/>
      </c>
      <c r="H309" s="57" t="str">
        <f t="shared" si="9"/>
        <v/>
      </c>
      <c r="I309" s="58" t="str">
        <f t="shared" si="10"/>
        <v/>
      </c>
      <c r="J309" s="55" t="str">
        <f t="shared" si="11"/>
        <v/>
      </c>
      <c r="K309" s="59" t="str">
        <f t="shared" si="12"/>
        <v/>
      </c>
      <c r="L309" s="59" t="str">
        <f>IF(NOT(ISERROR(VLOOKUP(B309,Deflatores!G$42:H$64,2,FALSE))),VLOOKUP(B309,Deflatores!G$42:H$64,2,FALSE),IF(OR(ISBLANK(C309),ISBLANK(B309)),"",VLOOKUP(C309,Deflatores!G$4:H$38,2,FALSE)*H309+VLOOKUP(C309,Deflatores!G$4:I$38,3,FALSE)))</f>
        <v/>
      </c>
      <c r="M309" s="60"/>
      <c r="N309" s="60"/>
      <c r="O309" s="61"/>
    </row>
    <row r="310" ht="12.0" customHeight="1">
      <c r="A310" s="53"/>
      <c r="B310" s="54"/>
      <c r="C310" s="54"/>
      <c r="D310" s="55"/>
      <c r="E310" s="55"/>
      <c r="F310" s="56" t="str">
        <f t="shared" si="7"/>
        <v/>
      </c>
      <c r="G310" s="55" t="str">
        <f t="shared" si="8"/>
        <v/>
      </c>
      <c r="H310" s="57" t="str">
        <f t="shared" si="9"/>
        <v/>
      </c>
      <c r="I310" s="58" t="str">
        <f t="shared" si="10"/>
        <v/>
      </c>
      <c r="J310" s="55" t="str">
        <f t="shared" si="11"/>
        <v/>
      </c>
      <c r="K310" s="59" t="str">
        <f t="shared" si="12"/>
        <v/>
      </c>
      <c r="L310" s="59" t="str">
        <f>IF(NOT(ISERROR(VLOOKUP(B310,Deflatores!G$42:H$64,2,FALSE))),VLOOKUP(B310,Deflatores!G$42:H$64,2,FALSE),IF(OR(ISBLANK(C310),ISBLANK(B310)),"",VLOOKUP(C310,Deflatores!G$4:H$38,2,FALSE)*H310+VLOOKUP(C310,Deflatores!G$4:I$38,3,FALSE)))</f>
        <v/>
      </c>
      <c r="M310" s="60"/>
      <c r="N310" s="60"/>
      <c r="O310" s="61"/>
    </row>
    <row r="311" ht="12.0" customHeight="1">
      <c r="A311" s="53"/>
      <c r="B311" s="54"/>
      <c r="C311" s="54"/>
      <c r="D311" s="55"/>
      <c r="E311" s="55"/>
      <c r="F311" s="56" t="str">
        <f t="shared" si="7"/>
        <v/>
      </c>
      <c r="G311" s="55" t="str">
        <f t="shared" si="8"/>
        <v/>
      </c>
      <c r="H311" s="57" t="str">
        <f t="shared" si="9"/>
        <v/>
      </c>
      <c r="I311" s="58" t="str">
        <f t="shared" si="10"/>
        <v/>
      </c>
      <c r="J311" s="55" t="str">
        <f t="shared" si="11"/>
        <v/>
      </c>
      <c r="K311" s="59" t="str">
        <f t="shared" si="12"/>
        <v/>
      </c>
      <c r="L311" s="59" t="str">
        <f>IF(NOT(ISERROR(VLOOKUP(B311,Deflatores!G$42:H$64,2,FALSE))),VLOOKUP(B311,Deflatores!G$42:H$64,2,FALSE),IF(OR(ISBLANK(C311),ISBLANK(B311)),"",VLOOKUP(C311,Deflatores!G$4:H$38,2,FALSE)*H311+VLOOKUP(C311,Deflatores!G$4:I$38,3,FALSE)))</f>
        <v/>
      </c>
      <c r="M311" s="60"/>
      <c r="N311" s="60"/>
      <c r="O311" s="61"/>
    </row>
    <row r="312" ht="12.0" customHeight="1">
      <c r="A312" s="53"/>
      <c r="B312" s="54"/>
      <c r="C312" s="54"/>
      <c r="D312" s="55"/>
      <c r="E312" s="55"/>
      <c r="F312" s="56" t="str">
        <f t="shared" si="7"/>
        <v/>
      </c>
      <c r="G312" s="55" t="str">
        <f t="shared" si="8"/>
        <v/>
      </c>
      <c r="H312" s="57" t="str">
        <f t="shared" si="9"/>
        <v/>
      </c>
      <c r="I312" s="58" t="str">
        <f t="shared" si="10"/>
        <v/>
      </c>
      <c r="J312" s="55" t="str">
        <f t="shared" si="11"/>
        <v/>
      </c>
      <c r="K312" s="59" t="str">
        <f t="shared" si="12"/>
        <v/>
      </c>
      <c r="L312" s="59" t="str">
        <f>IF(NOT(ISERROR(VLOOKUP(B312,Deflatores!G$42:H$64,2,FALSE))),VLOOKUP(B312,Deflatores!G$42:H$64,2,FALSE),IF(OR(ISBLANK(C312),ISBLANK(B312)),"",VLOOKUP(C312,Deflatores!G$4:H$38,2,FALSE)*H312+VLOOKUP(C312,Deflatores!G$4:I$38,3,FALSE)))</f>
        <v/>
      </c>
      <c r="M312" s="60"/>
      <c r="N312" s="60"/>
      <c r="O312" s="61"/>
    </row>
    <row r="313" ht="12.0" customHeight="1">
      <c r="A313" s="53"/>
      <c r="B313" s="54"/>
      <c r="C313" s="54"/>
      <c r="D313" s="55"/>
      <c r="E313" s="55"/>
      <c r="F313" s="56" t="str">
        <f t="shared" si="7"/>
        <v/>
      </c>
      <c r="G313" s="55" t="str">
        <f t="shared" si="8"/>
        <v/>
      </c>
      <c r="H313" s="57" t="str">
        <f t="shared" si="9"/>
        <v/>
      </c>
      <c r="I313" s="58" t="str">
        <f t="shared" si="10"/>
        <v/>
      </c>
      <c r="J313" s="55" t="str">
        <f t="shared" si="11"/>
        <v/>
      </c>
      <c r="K313" s="59" t="str">
        <f t="shared" si="12"/>
        <v/>
      </c>
      <c r="L313" s="59" t="str">
        <f>IF(NOT(ISERROR(VLOOKUP(B313,Deflatores!G$42:H$64,2,FALSE))),VLOOKUP(B313,Deflatores!G$42:H$64,2,FALSE),IF(OR(ISBLANK(C313),ISBLANK(B313)),"",VLOOKUP(C313,Deflatores!G$4:H$38,2,FALSE)*H313+VLOOKUP(C313,Deflatores!G$4:I$38,3,FALSE)))</f>
        <v/>
      </c>
      <c r="M313" s="60"/>
      <c r="N313" s="60"/>
      <c r="O313" s="61"/>
    </row>
    <row r="314" ht="12.0" customHeight="1">
      <c r="A314" s="68"/>
      <c r="B314" s="54"/>
      <c r="C314" s="54"/>
      <c r="D314" s="55"/>
      <c r="E314" s="55"/>
      <c r="F314" s="56" t="str">
        <f t="shared" si="7"/>
        <v/>
      </c>
      <c r="G314" s="55" t="str">
        <f t="shared" si="8"/>
        <v/>
      </c>
      <c r="H314" s="57" t="str">
        <f t="shared" si="9"/>
        <v/>
      </c>
      <c r="I314" s="58" t="str">
        <f t="shared" si="10"/>
        <v/>
      </c>
      <c r="J314" s="55" t="str">
        <f t="shared" si="11"/>
        <v/>
      </c>
      <c r="K314" s="59" t="str">
        <f t="shared" si="12"/>
        <v/>
      </c>
      <c r="L314" s="59" t="str">
        <f>IF(NOT(ISERROR(VLOOKUP(B314,Deflatores!G$42:H$64,2,FALSE))),VLOOKUP(B314,Deflatores!G$42:H$64,2,FALSE),IF(OR(ISBLANK(C314),ISBLANK(B314)),"",VLOOKUP(C314,Deflatores!G$4:H$38,2,FALSE)*H314+VLOOKUP(C314,Deflatores!G$4:I$38,3,FALSE)))</f>
        <v/>
      </c>
      <c r="M314" s="60"/>
      <c r="N314" s="60"/>
      <c r="O314" s="61"/>
    </row>
    <row r="315" ht="12.0" customHeight="1">
      <c r="A315" s="53"/>
      <c r="B315" s="54"/>
      <c r="C315" s="54"/>
      <c r="D315" s="55"/>
      <c r="E315" s="55"/>
      <c r="F315" s="56" t="str">
        <f t="shared" si="7"/>
        <v/>
      </c>
      <c r="G315" s="55" t="str">
        <f t="shared" si="8"/>
        <v/>
      </c>
      <c r="H315" s="57" t="str">
        <f t="shared" si="9"/>
        <v/>
      </c>
      <c r="I315" s="58" t="str">
        <f t="shared" si="10"/>
        <v/>
      </c>
      <c r="J315" s="55" t="str">
        <f t="shared" si="11"/>
        <v/>
      </c>
      <c r="K315" s="59" t="str">
        <f t="shared" si="12"/>
        <v/>
      </c>
      <c r="L315" s="59" t="str">
        <f>IF(NOT(ISERROR(VLOOKUP(B315,Deflatores!G$42:H$64,2,FALSE))),VLOOKUP(B315,Deflatores!G$42:H$64,2,FALSE),IF(OR(ISBLANK(C315),ISBLANK(B315)),"",VLOOKUP(C315,Deflatores!G$4:H$38,2,FALSE)*H315+VLOOKUP(C315,Deflatores!G$4:I$38,3,FALSE)))</f>
        <v/>
      </c>
      <c r="M315" s="60"/>
      <c r="N315" s="60"/>
      <c r="O315" s="61"/>
    </row>
    <row r="316" ht="12.0" customHeight="1">
      <c r="A316" s="53"/>
      <c r="B316" s="54"/>
      <c r="C316" s="54"/>
      <c r="D316" s="55"/>
      <c r="E316" s="55"/>
      <c r="F316" s="56" t="str">
        <f t="shared" si="7"/>
        <v/>
      </c>
      <c r="G316" s="55" t="str">
        <f t="shared" si="8"/>
        <v/>
      </c>
      <c r="H316" s="57" t="str">
        <f t="shared" si="9"/>
        <v/>
      </c>
      <c r="I316" s="58" t="str">
        <f t="shared" si="10"/>
        <v/>
      </c>
      <c r="J316" s="55" t="str">
        <f t="shared" si="11"/>
        <v/>
      </c>
      <c r="K316" s="59" t="str">
        <f t="shared" si="12"/>
        <v/>
      </c>
      <c r="L316" s="59" t="str">
        <f>IF(NOT(ISERROR(VLOOKUP(B316,Deflatores!G$42:H$64,2,FALSE))),VLOOKUP(B316,Deflatores!G$42:H$64,2,FALSE),IF(OR(ISBLANK(C316),ISBLANK(B316)),"",VLOOKUP(C316,Deflatores!G$4:H$38,2,FALSE)*H316+VLOOKUP(C316,Deflatores!G$4:I$38,3,FALSE)))</f>
        <v/>
      </c>
      <c r="M316" s="60"/>
      <c r="N316" s="60"/>
      <c r="O316" s="61"/>
    </row>
    <row r="317" ht="12.0" customHeight="1">
      <c r="A317" s="53"/>
      <c r="B317" s="54"/>
      <c r="C317" s="54"/>
      <c r="D317" s="55"/>
      <c r="E317" s="55"/>
      <c r="F317" s="56" t="str">
        <f t="shared" si="7"/>
        <v/>
      </c>
      <c r="G317" s="55" t="str">
        <f t="shared" si="8"/>
        <v/>
      </c>
      <c r="H317" s="57" t="str">
        <f t="shared" si="9"/>
        <v/>
      </c>
      <c r="I317" s="58" t="str">
        <f t="shared" si="10"/>
        <v/>
      </c>
      <c r="J317" s="55" t="str">
        <f t="shared" si="11"/>
        <v/>
      </c>
      <c r="K317" s="59" t="str">
        <f t="shared" si="12"/>
        <v/>
      </c>
      <c r="L317" s="59" t="str">
        <f>IF(NOT(ISERROR(VLOOKUP(B317,Deflatores!G$42:H$64,2,FALSE))),VLOOKUP(B317,Deflatores!G$42:H$64,2,FALSE),IF(OR(ISBLANK(C317),ISBLANK(B317)),"",VLOOKUP(C317,Deflatores!G$4:H$38,2,FALSE)*H317+VLOOKUP(C317,Deflatores!G$4:I$38,3,FALSE)))</f>
        <v/>
      </c>
      <c r="M317" s="60"/>
      <c r="N317" s="60"/>
      <c r="O317" s="61"/>
    </row>
    <row r="318" ht="12.0" customHeight="1">
      <c r="A318" s="53"/>
      <c r="B318" s="54"/>
      <c r="C318" s="54"/>
      <c r="D318" s="55"/>
      <c r="E318" s="55"/>
      <c r="F318" s="56" t="str">
        <f t="shared" si="7"/>
        <v/>
      </c>
      <c r="G318" s="55" t="str">
        <f t="shared" si="8"/>
        <v/>
      </c>
      <c r="H318" s="57" t="str">
        <f t="shared" si="9"/>
        <v/>
      </c>
      <c r="I318" s="58" t="str">
        <f t="shared" si="10"/>
        <v/>
      </c>
      <c r="J318" s="55" t="str">
        <f t="shared" si="11"/>
        <v/>
      </c>
      <c r="K318" s="59" t="str">
        <f t="shared" si="12"/>
        <v/>
      </c>
      <c r="L318" s="59" t="str">
        <f>IF(NOT(ISERROR(VLOOKUP(B318,Deflatores!G$42:H$64,2,FALSE))),VLOOKUP(B318,Deflatores!G$42:H$64,2,FALSE),IF(OR(ISBLANK(C318),ISBLANK(B318)),"",VLOOKUP(C318,Deflatores!G$4:H$38,2,FALSE)*H318+VLOOKUP(C318,Deflatores!G$4:I$38,3,FALSE)))</f>
        <v/>
      </c>
      <c r="M318" s="60"/>
      <c r="N318" s="60"/>
      <c r="O318" s="61"/>
    </row>
    <row r="319" ht="12.0" customHeight="1">
      <c r="A319" s="53"/>
      <c r="B319" s="54"/>
      <c r="C319" s="54"/>
      <c r="D319" s="55"/>
      <c r="E319" s="55"/>
      <c r="F319" s="56" t="str">
        <f t="shared" si="7"/>
        <v/>
      </c>
      <c r="G319" s="55" t="str">
        <f t="shared" si="8"/>
        <v/>
      </c>
      <c r="H319" s="57" t="str">
        <f t="shared" si="9"/>
        <v/>
      </c>
      <c r="I319" s="58" t="str">
        <f t="shared" si="10"/>
        <v/>
      </c>
      <c r="J319" s="55" t="str">
        <f t="shared" si="11"/>
        <v/>
      </c>
      <c r="K319" s="59" t="str">
        <f t="shared" si="12"/>
        <v/>
      </c>
      <c r="L319" s="59" t="str">
        <f>IF(NOT(ISERROR(VLOOKUP(B319,Deflatores!G$42:H$64,2,FALSE))),VLOOKUP(B319,Deflatores!G$42:H$64,2,FALSE),IF(OR(ISBLANK(C319),ISBLANK(B319)),"",VLOOKUP(C319,Deflatores!G$4:H$38,2,FALSE)*H319+VLOOKUP(C319,Deflatores!G$4:I$38,3,FALSE)))</f>
        <v/>
      </c>
      <c r="M319" s="60"/>
      <c r="N319" s="60"/>
      <c r="O319" s="61"/>
    </row>
    <row r="320" ht="12.0" customHeight="1">
      <c r="A320" s="53"/>
      <c r="B320" s="54"/>
      <c r="C320" s="54"/>
      <c r="D320" s="55"/>
      <c r="E320" s="55"/>
      <c r="F320" s="56" t="str">
        <f t="shared" si="7"/>
        <v/>
      </c>
      <c r="G320" s="55" t="str">
        <f t="shared" si="8"/>
        <v/>
      </c>
      <c r="H320" s="57" t="str">
        <f t="shared" si="9"/>
        <v/>
      </c>
      <c r="I320" s="58" t="str">
        <f t="shared" si="10"/>
        <v/>
      </c>
      <c r="J320" s="55" t="str">
        <f t="shared" si="11"/>
        <v/>
      </c>
      <c r="K320" s="59" t="str">
        <f t="shared" si="12"/>
        <v/>
      </c>
      <c r="L320" s="59" t="str">
        <f>IF(NOT(ISERROR(VLOOKUP(B320,Deflatores!G$42:H$64,2,FALSE))),VLOOKUP(B320,Deflatores!G$42:H$64,2,FALSE),IF(OR(ISBLANK(C320),ISBLANK(B320)),"",VLOOKUP(C320,Deflatores!G$4:H$38,2,FALSE)*H320+VLOOKUP(C320,Deflatores!G$4:I$38,3,FALSE)))</f>
        <v/>
      </c>
      <c r="M320" s="60"/>
      <c r="N320" s="60"/>
      <c r="O320" s="61"/>
    </row>
    <row r="321" ht="12.0" customHeight="1">
      <c r="A321" s="53"/>
      <c r="B321" s="54"/>
      <c r="C321" s="54"/>
      <c r="D321" s="55"/>
      <c r="E321" s="55"/>
      <c r="F321" s="56" t="str">
        <f t="shared" si="7"/>
        <v/>
      </c>
      <c r="G321" s="55" t="str">
        <f t="shared" si="8"/>
        <v/>
      </c>
      <c r="H321" s="57" t="str">
        <f t="shared" si="9"/>
        <v/>
      </c>
      <c r="I321" s="58" t="str">
        <f t="shared" si="10"/>
        <v/>
      </c>
      <c r="J321" s="55" t="str">
        <f t="shared" si="11"/>
        <v/>
      </c>
      <c r="K321" s="59" t="str">
        <f t="shared" si="12"/>
        <v/>
      </c>
      <c r="L321" s="59" t="str">
        <f>IF(NOT(ISERROR(VLOOKUP(B321,Deflatores!G$42:H$64,2,FALSE))),VLOOKUP(B321,Deflatores!G$42:H$64,2,FALSE),IF(OR(ISBLANK(C321),ISBLANK(B321)),"",VLOOKUP(C321,Deflatores!G$4:H$38,2,FALSE)*H321+VLOOKUP(C321,Deflatores!G$4:I$38,3,FALSE)))</f>
        <v/>
      </c>
      <c r="M321" s="60"/>
      <c r="N321" s="60"/>
      <c r="O321" s="61"/>
    </row>
    <row r="322" ht="12.0" customHeight="1">
      <c r="A322" s="68"/>
      <c r="B322" s="54"/>
      <c r="C322" s="54"/>
      <c r="D322" s="55"/>
      <c r="E322" s="55"/>
      <c r="F322" s="56" t="str">
        <f t="shared" si="7"/>
        <v/>
      </c>
      <c r="G322" s="55" t="str">
        <f t="shared" si="8"/>
        <v/>
      </c>
      <c r="H322" s="57" t="str">
        <f t="shared" si="9"/>
        <v/>
      </c>
      <c r="I322" s="58" t="str">
        <f t="shared" si="10"/>
        <v/>
      </c>
      <c r="J322" s="55" t="str">
        <f t="shared" si="11"/>
        <v/>
      </c>
      <c r="K322" s="59" t="str">
        <f t="shared" si="12"/>
        <v/>
      </c>
      <c r="L322" s="59" t="str">
        <f>IF(NOT(ISERROR(VLOOKUP(B322,Deflatores!G$42:H$64,2,FALSE))),VLOOKUP(B322,Deflatores!G$42:H$64,2,FALSE),IF(OR(ISBLANK(C322),ISBLANK(B322)),"",VLOOKUP(C322,Deflatores!G$4:H$38,2,FALSE)*H322+VLOOKUP(C322,Deflatores!G$4:I$38,3,FALSE)))</f>
        <v/>
      </c>
      <c r="M322" s="60"/>
      <c r="N322" s="60"/>
      <c r="O322" s="61"/>
    </row>
    <row r="323" ht="12.0" customHeight="1">
      <c r="A323" s="53"/>
      <c r="B323" s="54"/>
      <c r="C323" s="54"/>
      <c r="D323" s="55"/>
      <c r="E323" s="55"/>
      <c r="F323" s="56" t="str">
        <f t="shared" si="7"/>
        <v/>
      </c>
      <c r="G323" s="55" t="str">
        <f t="shared" si="8"/>
        <v/>
      </c>
      <c r="H323" s="57" t="str">
        <f t="shared" si="9"/>
        <v/>
      </c>
      <c r="I323" s="58" t="str">
        <f t="shared" si="10"/>
        <v/>
      </c>
      <c r="J323" s="55" t="str">
        <f t="shared" si="11"/>
        <v/>
      </c>
      <c r="K323" s="59" t="str">
        <f t="shared" si="12"/>
        <v/>
      </c>
      <c r="L323" s="59" t="str">
        <f>IF(NOT(ISERROR(VLOOKUP(B323,Deflatores!G$42:H$64,2,FALSE))),VLOOKUP(B323,Deflatores!G$42:H$64,2,FALSE),IF(OR(ISBLANK(C323),ISBLANK(B323)),"",VLOOKUP(C323,Deflatores!G$4:H$38,2,FALSE)*H323+VLOOKUP(C323,Deflatores!G$4:I$38,3,FALSE)))</f>
        <v/>
      </c>
      <c r="M323" s="60"/>
      <c r="N323" s="60"/>
      <c r="O323" s="61"/>
    </row>
    <row r="324" ht="12.0" customHeight="1">
      <c r="A324" s="53"/>
      <c r="B324" s="54"/>
      <c r="C324" s="54"/>
      <c r="D324" s="55"/>
      <c r="E324" s="55"/>
      <c r="F324" s="56" t="str">
        <f t="shared" si="7"/>
        <v/>
      </c>
      <c r="G324" s="55" t="str">
        <f t="shared" si="8"/>
        <v/>
      </c>
      <c r="H324" s="57" t="str">
        <f t="shared" si="9"/>
        <v/>
      </c>
      <c r="I324" s="58" t="str">
        <f t="shared" si="10"/>
        <v/>
      </c>
      <c r="J324" s="55" t="str">
        <f t="shared" si="11"/>
        <v/>
      </c>
      <c r="K324" s="59" t="str">
        <f t="shared" si="12"/>
        <v/>
      </c>
      <c r="L324" s="59" t="str">
        <f>IF(NOT(ISERROR(VLOOKUP(B324,Deflatores!G$42:H$64,2,FALSE))),VLOOKUP(B324,Deflatores!G$42:H$64,2,FALSE),IF(OR(ISBLANK(C324),ISBLANK(B324)),"",VLOOKUP(C324,Deflatores!G$4:H$38,2,FALSE)*H324+VLOOKUP(C324,Deflatores!G$4:I$38,3,FALSE)))</f>
        <v/>
      </c>
      <c r="M324" s="60"/>
      <c r="N324" s="60"/>
      <c r="O324" s="61"/>
    </row>
    <row r="325" ht="12.0" customHeight="1">
      <c r="A325" s="53"/>
      <c r="B325" s="54"/>
      <c r="C325" s="54"/>
      <c r="D325" s="55"/>
      <c r="E325" s="55"/>
      <c r="F325" s="56" t="str">
        <f t="shared" si="7"/>
        <v/>
      </c>
      <c r="G325" s="55" t="str">
        <f t="shared" si="8"/>
        <v/>
      </c>
      <c r="H325" s="57" t="str">
        <f t="shared" si="9"/>
        <v/>
      </c>
      <c r="I325" s="58" t="str">
        <f t="shared" si="10"/>
        <v/>
      </c>
      <c r="J325" s="55" t="str">
        <f t="shared" si="11"/>
        <v/>
      </c>
      <c r="K325" s="59" t="str">
        <f t="shared" si="12"/>
        <v/>
      </c>
      <c r="L325" s="59" t="str">
        <f>IF(NOT(ISERROR(VLOOKUP(B325,Deflatores!G$42:H$64,2,FALSE))),VLOOKUP(B325,Deflatores!G$42:H$64,2,FALSE),IF(OR(ISBLANK(C325),ISBLANK(B325)),"",VLOOKUP(C325,Deflatores!G$4:H$38,2,FALSE)*H325+VLOOKUP(C325,Deflatores!G$4:I$38,3,FALSE)))</f>
        <v/>
      </c>
      <c r="M325" s="60"/>
      <c r="N325" s="60"/>
      <c r="O325" s="61"/>
    </row>
    <row r="326" ht="12.0" customHeight="1">
      <c r="A326" s="53"/>
      <c r="B326" s="54"/>
      <c r="C326" s="54"/>
      <c r="D326" s="55"/>
      <c r="E326" s="55"/>
      <c r="F326" s="56" t="str">
        <f t="shared" si="7"/>
        <v/>
      </c>
      <c r="G326" s="55" t="str">
        <f t="shared" si="8"/>
        <v/>
      </c>
      <c r="H326" s="57" t="str">
        <f t="shared" si="9"/>
        <v/>
      </c>
      <c r="I326" s="58" t="str">
        <f t="shared" si="10"/>
        <v/>
      </c>
      <c r="J326" s="55" t="str">
        <f t="shared" si="11"/>
        <v/>
      </c>
      <c r="K326" s="59" t="str">
        <f t="shared" si="12"/>
        <v/>
      </c>
      <c r="L326" s="59" t="str">
        <f>IF(NOT(ISERROR(VLOOKUP(B326,Deflatores!G$42:H$64,2,FALSE))),VLOOKUP(B326,Deflatores!G$42:H$64,2,FALSE),IF(OR(ISBLANK(C326),ISBLANK(B326)),"",VLOOKUP(C326,Deflatores!G$4:H$38,2,FALSE)*H326+VLOOKUP(C326,Deflatores!G$4:I$38,3,FALSE)))</f>
        <v/>
      </c>
      <c r="M326" s="60"/>
      <c r="N326" s="60"/>
      <c r="O326" s="61"/>
    </row>
    <row r="327" ht="12.0" customHeight="1">
      <c r="A327" s="53"/>
      <c r="B327" s="54"/>
      <c r="C327" s="54"/>
      <c r="D327" s="55"/>
      <c r="E327" s="55"/>
      <c r="F327" s="56" t="str">
        <f t="shared" si="7"/>
        <v/>
      </c>
      <c r="G327" s="55" t="str">
        <f t="shared" si="8"/>
        <v/>
      </c>
      <c r="H327" s="57" t="str">
        <f t="shared" si="9"/>
        <v/>
      </c>
      <c r="I327" s="58" t="str">
        <f t="shared" si="10"/>
        <v/>
      </c>
      <c r="J327" s="55" t="str">
        <f t="shared" si="11"/>
        <v/>
      </c>
      <c r="K327" s="59" t="str">
        <f t="shared" si="12"/>
        <v/>
      </c>
      <c r="L327" s="59" t="str">
        <f>IF(NOT(ISERROR(VLOOKUP(B327,Deflatores!G$42:H$64,2,FALSE))),VLOOKUP(B327,Deflatores!G$42:H$64,2,FALSE),IF(OR(ISBLANK(C327),ISBLANK(B327)),"",VLOOKUP(C327,Deflatores!G$4:H$38,2,FALSE)*H327+VLOOKUP(C327,Deflatores!G$4:I$38,3,FALSE)))</f>
        <v/>
      </c>
      <c r="M327" s="60"/>
      <c r="N327" s="60"/>
      <c r="O327" s="61"/>
    </row>
    <row r="328" ht="12.0" customHeight="1">
      <c r="A328" s="53"/>
      <c r="B328" s="54"/>
      <c r="C328" s="54"/>
      <c r="D328" s="55"/>
      <c r="E328" s="55"/>
      <c r="F328" s="56" t="str">
        <f t="shared" si="7"/>
        <v/>
      </c>
      <c r="G328" s="55" t="str">
        <f t="shared" si="8"/>
        <v/>
      </c>
      <c r="H328" s="57" t="str">
        <f t="shared" si="9"/>
        <v/>
      </c>
      <c r="I328" s="58" t="str">
        <f t="shared" si="10"/>
        <v/>
      </c>
      <c r="J328" s="55" t="str">
        <f t="shared" si="11"/>
        <v/>
      </c>
      <c r="K328" s="59" t="str">
        <f t="shared" si="12"/>
        <v/>
      </c>
      <c r="L328" s="59" t="str">
        <f>IF(NOT(ISERROR(VLOOKUP(B328,Deflatores!G$42:H$64,2,FALSE))),VLOOKUP(B328,Deflatores!G$42:H$64,2,FALSE),IF(OR(ISBLANK(C328),ISBLANK(B328)),"",VLOOKUP(C328,Deflatores!G$4:H$38,2,FALSE)*H328+VLOOKUP(C328,Deflatores!G$4:I$38,3,FALSE)))</f>
        <v/>
      </c>
      <c r="M328" s="60"/>
      <c r="N328" s="60"/>
      <c r="O328" s="61"/>
    </row>
    <row r="329" ht="12.0" customHeight="1">
      <c r="A329" s="53"/>
      <c r="B329" s="54"/>
      <c r="C329" s="54"/>
      <c r="D329" s="55"/>
      <c r="E329" s="55"/>
      <c r="F329" s="56" t="str">
        <f t="shared" si="7"/>
        <v/>
      </c>
      <c r="G329" s="55" t="str">
        <f t="shared" si="8"/>
        <v/>
      </c>
      <c r="H329" s="57" t="str">
        <f t="shared" si="9"/>
        <v/>
      </c>
      <c r="I329" s="58" t="str">
        <f t="shared" si="10"/>
        <v/>
      </c>
      <c r="J329" s="55" t="str">
        <f t="shared" si="11"/>
        <v/>
      </c>
      <c r="K329" s="59" t="str">
        <f t="shared" si="12"/>
        <v/>
      </c>
      <c r="L329" s="59" t="str">
        <f>IF(NOT(ISERROR(VLOOKUP(B329,Deflatores!G$42:H$64,2,FALSE))),VLOOKUP(B329,Deflatores!G$42:H$64,2,FALSE),IF(OR(ISBLANK(C329),ISBLANK(B329)),"",VLOOKUP(C329,Deflatores!G$4:H$38,2,FALSE)*H329+VLOOKUP(C329,Deflatores!G$4:I$38,3,FALSE)))</f>
        <v/>
      </c>
      <c r="M329" s="60"/>
      <c r="N329" s="60"/>
      <c r="O329" s="61"/>
    </row>
    <row r="330" ht="12.0" customHeight="1">
      <c r="A330" s="68"/>
      <c r="B330" s="54"/>
      <c r="C330" s="54"/>
      <c r="D330" s="55"/>
      <c r="E330" s="55"/>
      <c r="F330" s="56" t="str">
        <f t="shared" si="7"/>
        <v/>
      </c>
      <c r="G330" s="55" t="str">
        <f t="shared" si="8"/>
        <v/>
      </c>
      <c r="H330" s="57" t="str">
        <f t="shared" si="9"/>
        <v/>
      </c>
      <c r="I330" s="58" t="str">
        <f t="shared" si="10"/>
        <v/>
      </c>
      <c r="J330" s="55" t="str">
        <f t="shared" si="11"/>
        <v/>
      </c>
      <c r="K330" s="59" t="str">
        <f t="shared" si="12"/>
        <v/>
      </c>
      <c r="L330" s="59" t="str">
        <f>IF(NOT(ISERROR(VLOOKUP(B330,Deflatores!G$42:H$64,2,FALSE))),VLOOKUP(B330,Deflatores!G$42:H$64,2,FALSE),IF(OR(ISBLANK(C330),ISBLANK(B330)),"",VLOOKUP(C330,Deflatores!G$4:H$38,2,FALSE)*H330+VLOOKUP(C330,Deflatores!G$4:I$38,3,FALSE)))</f>
        <v/>
      </c>
      <c r="M330" s="60"/>
      <c r="N330" s="60"/>
      <c r="O330" s="61"/>
    </row>
    <row r="331" ht="12.0" customHeight="1">
      <c r="A331" s="53"/>
      <c r="B331" s="54"/>
      <c r="C331" s="54"/>
      <c r="D331" s="55"/>
      <c r="E331" s="55"/>
      <c r="F331" s="56" t="str">
        <f t="shared" si="7"/>
        <v/>
      </c>
      <c r="G331" s="55" t="str">
        <f t="shared" si="8"/>
        <v/>
      </c>
      <c r="H331" s="57" t="str">
        <f t="shared" si="9"/>
        <v/>
      </c>
      <c r="I331" s="58" t="str">
        <f t="shared" si="10"/>
        <v/>
      </c>
      <c r="J331" s="55" t="str">
        <f t="shared" si="11"/>
        <v/>
      </c>
      <c r="K331" s="59" t="str">
        <f t="shared" si="12"/>
        <v/>
      </c>
      <c r="L331" s="59" t="str">
        <f>IF(NOT(ISERROR(VLOOKUP(B331,Deflatores!G$42:H$64,2,FALSE))),VLOOKUP(B331,Deflatores!G$42:H$64,2,FALSE),IF(OR(ISBLANK(C331),ISBLANK(B331)),"",VLOOKUP(C331,Deflatores!G$4:H$38,2,FALSE)*H331+VLOOKUP(C331,Deflatores!G$4:I$38,3,FALSE)))</f>
        <v/>
      </c>
      <c r="M331" s="60"/>
      <c r="N331" s="60"/>
      <c r="O331" s="61"/>
    </row>
    <row r="332" ht="12.0" customHeight="1">
      <c r="A332" s="53"/>
      <c r="B332" s="54"/>
      <c r="C332" s="54"/>
      <c r="D332" s="55"/>
      <c r="E332" s="55"/>
      <c r="F332" s="56" t="str">
        <f t="shared" si="7"/>
        <v/>
      </c>
      <c r="G332" s="55" t="str">
        <f t="shared" si="8"/>
        <v/>
      </c>
      <c r="H332" s="57" t="str">
        <f t="shared" si="9"/>
        <v/>
      </c>
      <c r="I332" s="58" t="str">
        <f t="shared" si="10"/>
        <v/>
      </c>
      <c r="J332" s="55" t="str">
        <f t="shared" si="11"/>
        <v/>
      </c>
      <c r="K332" s="59" t="str">
        <f t="shared" si="12"/>
        <v/>
      </c>
      <c r="L332" s="59" t="str">
        <f>IF(NOT(ISERROR(VLOOKUP(B332,Deflatores!G$42:H$64,2,FALSE))),VLOOKUP(B332,Deflatores!G$42:H$64,2,FALSE),IF(OR(ISBLANK(C332),ISBLANK(B332)),"",VLOOKUP(C332,Deflatores!G$4:H$38,2,FALSE)*H332+VLOOKUP(C332,Deflatores!G$4:I$38,3,FALSE)))</f>
        <v/>
      </c>
      <c r="M332" s="60"/>
      <c r="N332" s="60"/>
      <c r="O332" s="61"/>
    </row>
    <row r="333" ht="12.0" customHeight="1">
      <c r="A333" s="53"/>
      <c r="B333" s="54"/>
      <c r="C333" s="54"/>
      <c r="D333" s="55"/>
      <c r="E333" s="55"/>
      <c r="F333" s="56" t="str">
        <f t="shared" si="7"/>
        <v/>
      </c>
      <c r="G333" s="55" t="str">
        <f t="shared" si="8"/>
        <v/>
      </c>
      <c r="H333" s="57" t="str">
        <f t="shared" si="9"/>
        <v/>
      </c>
      <c r="I333" s="58" t="str">
        <f t="shared" si="10"/>
        <v/>
      </c>
      <c r="J333" s="55" t="str">
        <f t="shared" si="11"/>
        <v/>
      </c>
      <c r="K333" s="59" t="str">
        <f t="shared" si="12"/>
        <v/>
      </c>
      <c r="L333" s="59" t="str">
        <f>IF(NOT(ISERROR(VLOOKUP(B333,Deflatores!G$42:H$64,2,FALSE))),VLOOKUP(B333,Deflatores!G$42:H$64,2,FALSE),IF(OR(ISBLANK(C333),ISBLANK(B333)),"",VLOOKUP(C333,Deflatores!G$4:H$38,2,FALSE)*H333+VLOOKUP(C333,Deflatores!G$4:I$38,3,FALSE)))</f>
        <v/>
      </c>
      <c r="M333" s="60"/>
      <c r="N333" s="60"/>
      <c r="O333" s="61"/>
    </row>
    <row r="334" ht="12.0" customHeight="1">
      <c r="A334" s="53"/>
      <c r="B334" s="54"/>
      <c r="C334" s="54"/>
      <c r="D334" s="55"/>
      <c r="E334" s="55"/>
      <c r="F334" s="56" t="str">
        <f t="shared" si="7"/>
        <v/>
      </c>
      <c r="G334" s="55" t="str">
        <f t="shared" si="8"/>
        <v/>
      </c>
      <c r="H334" s="57" t="str">
        <f t="shared" si="9"/>
        <v/>
      </c>
      <c r="I334" s="58" t="str">
        <f t="shared" si="10"/>
        <v/>
      </c>
      <c r="J334" s="55" t="str">
        <f t="shared" si="11"/>
        <v/>
      </c>
      <c r="K334" s="59" t="str">
        <f t="shared" si="12"/>
        <v/>
      </c>
      <c r="L334" s="59" t="str">
        <f>IF(NOT(ISERROR(VLOOKUP(B334,Deflatores!G$42:H$64,2,FALSE))),VLOOKUP(B334,Deflatores!G$42:H$64,2,FALSE),IF(OR(ISBLANK(C334),ISBLANK(B334)),"",VLOOKUP(C334,Deflatores!G$4:H$38,2,FALSE)*H334+VLOOKUP(C334,Deflatores!G$4:I$38,3,FALSE)))</f>
        <v/>
      </c>
      <c r="M334" s="60"/>
      <c r="N334" s="60"/>
      <c r="O334" s="61"/>
    </row>
    <row r="335" ht="12.0" customHeight="1">
      <c r="A335" s="53"/>
      <c r="B335" s="54"/>
      <c r="C335" s="54"/>
      <c r="D335" s="55"/>
      <c r="E335" s="55"/>
      <c r="F335" s="56" t="str">
        <f t="shared" si="7"/>
        <v/>
      </c>
      <c r="G335" s="55" t="str">
        <f t="shared" si="8"/>
        <v/>
      </c>
      <c r="H335" s="57" t="str">
        <f t="shared" si="9"/>
        <v/>
      </c>
      <c r="I335" s="58" t="str">
        <f t="shared" si="10"/>
        <v/>
      </c>
      <c r="J335" s="55" t="str">
        <f t="shared" si="11"/>
        <v/>
      </c>
      <c r="K335" s="59" t="str">
        <f t="shared" si="12"/>
        <v/>
      </c>
      <c r="L335" s="59" t="str">
        <f>IF(NOT(ISERROR(VLOOKUP(B335,Deflatores!G$42:H$64,2,FALSE))),VLOOKUP(B335,Deflatores!G$42:H$64,2,FALSE),IF(OR(ISBLANK(C335),ISBLANK(B335)),"",VLOOKUP(C335,Deflatores!G$4:H$38,2,FALSE)*H335+VLOOKUP(C335,Deflatores!G$4:I$38,3,FALSE)))</f>
        <v/>
      </c>
      <c r="M335" s="60"/>
      <c r="N335" s="60"/>
      <c r="O335" s="61"/>
    </row>
    <row r="336" ht="12.0" customHeight="1">
      <c r="A336" s="53"/>
      <c r="B336" s="54"/>
      <c r="C336" s="54"/>
      <c r="D336" s="55"/>
      <c r="E336" s="55"/>
      <c r="F336" s="56" t="str">
        <f t="shared" si="7"/>
        <v/>
      </c>
      <c r="G336" s="55" t="str">
        <f t="shared" si="8"/>
        <v/>
      </c>
      <c r="H336" s="57" t="str">
        <f t="shared" si="9"/>
        <v/>
      </c>
      <c r="I336" s="58" t="str">
        <f t="shared" si="10"/>
        <v/>
      </c>
      <c r="J336" s="55" t="str">
        <f t="shared" si="11"/>
        <v/>
      </c>
      <c r="K336" s="59" t="str">
        <f t="shared" si="12"/>
        <v/>
      </c>
      <c r="L336" s="59" t="str">
        <f>IF(NOT(ISERROR(VLOOKUP(B336,Deflatores!G$42:H$64,2,FALSE))),VLOOKUP(B336,Deflatores!G$42:H$64,2,FALSE),IF(OR(ISBLANK(C336),ISBLANK(B336)),"",VLOOKUP(C336,Deflatores!G$4:H$38,2,FALSE)*H336+VLOOKUP(C336,Deflatores!G$4:I$38,3,FALSE)))</f>
        <v/>
      </c>
      <c r="M336" s="60"/>
      <c r="N336" s="60"/>
      <c r="O336" s="61"/>
    </row>
    <row r="337" ht="12.0" customHeight="1">
      <c r="A337" s="53"/>
      <c r="B337" s="54"/>
      <c r="C337" s="54"/>
      <c r="D337" s="55"/>
      <c r="E337" s="55"/>
      <c r="F337" s="56" t="str">
        <f t="shared" si="7"/>
        <v/>
      </c>
      <c r="G337" s="55" t="str">
        <f t="shared" si="8"/>
        <v/>
      </c>
      <c r="H337" s="57" t="str">
        <f t="shared" si="9"/>
        <v/>
      </c>
      <c r="I337" s="58" t="str">
        <f t="shared" si="10"/>
        <v/>
      </c>
      <c r="J337" s="55" t="str">
        <f t="shared" si="11"/>
        <v/>
      </c>
      <c r="K337" s="59" t="str">
        <f t="shared" si="12"/>
        <v/>
      </c>
      <c r="L337" s="59" t="str">
        <f>IF(NOT(ISERROR(VLOOKUP(B337,Deflatores!G$42:H$64,2,FALSE))),VLOOKUP(B337,Deflatores!G$42:H$64,2,FALSE),IF(OR(ISBLANK(C337),ISBLANK(B337)),"",VLOOKUP(C337,Deflatores!G$4:H$38,2,FALSE)*H337+VLOOKUP(C337,Deflatores!G$4:I$38,3,FALSE)))</f>
        <v/>
      </c>
      <c r="M337" s="60"/>
      <c r="N337" s="60"/>
      <c r="O337" s="61"/>
    </row>
    <row r="338" ht="12.0" customHeight="1">
      <c r="A338" s="68"/>
      <c r="B338" s="54"/>
      <c r="C338" s="54"/>
      <c r="D338" s="55"/>
      <c r="E338" s="55"/>
      <c r="F338" s="56" t="str">
        <f t="shared" si="7"/>
        <v/>
      </c>
      <c r="G338" s="55" t="str">
        <f t="shared" si="8"/>
        <v/>
      </c>
      <c r="H338" s="57" t="str">
        <f t="shared" si="9"/>
        <v/>
      </c>
      <c r="I338" s="58" t="str">
        <f t="shared" si="10"/>
        <v/>
      </c>
      <c r="J338" s="55" t="str">
        <f t="shared" si="11"/>
        <v/>
      </c>
      <c r="K338" s="59" t="str">
        <f t="shared" si="12"/>
        <v/>
      </c>
      <c r="L338" s="59" t="str">
        <f>IF(NOT(ISERROR(VLOOKUP(B338,Deflatores!G$42:H$64,2,FALSE))),VLOOKUP(B338,Deflatores!G$42:H$64,2,FALSE),IF(OR(ISBLANK(C338),ISBLANK(B338)),"",VLOOKUP(C338,Deflatores!G$4:H$38,2,FALSE)*H338+VLOOKUP(C338,Deflatores!G$4:I$38,3,FALSE)))</f>
        <v/>
      </c>
      <c r="M338" s="60"/>
      <c r="N338" s="60"/>
      <c r="O338" s="61"/>
    </row>
    <row r="339" ht="12.0" customHeight="1">
      <c r="A339" s="53"/>
      <c r="B339" s="54"/>
      <c r="C339" s="54"/>
      <c r="D339" s="55"/>
      <c r="E339" s="55"/>
      <c r="F339" s="56" t="str">
        <f t="shared" si="7"/>
        <v/>
      </c>
      <c r="G339" s="55" t="str">
        <f t="shared" si="8"/>
        <v/>
      </c>
      <c r="H339" s="57" t="str">
        <f t="shared" si="9"/>
        <v/>
      </c>
      <c r="I339" s="58" t="str">
        <f t="shared" si="10"/>
        <v/>
      </c>
      <c r="J339" s="55" t="str">
        <f t="shared" si="11"/>
        <v/>
      </c>
      <c r="K339" s="59" t="str">
        <f t="shared" si="12"/>
        <v/>
      </c>
      <c r="L339" s="59" t="str">
        <f>IF(NOT(ISERROR(VLOOKUP(B339,Deflatores!G$42:H$64,2,FALSE))),VLOOKUP(B339,Deflatores!G$42:H$64,2,FALSE),IF(OR(ISBLANK(C339),ISBLANK(B339)),"",VLOOKUP(C339,Deflatores!G$4:H$38,2,FALSE)*H339+VLOOKUP(C339,Deflatores!G$4:I$38,3,FALSE)))</f>
        <v/>
      </c>
      <c r="M339" s="60"/>
      <c r="N339" s="60"/>
      <c r="O339" s="61"/>
    </row>
    <row r="340" ht="12.0" customHeight="1">
      <c r="A340" s="53"/>
      <c r="B340" s="54"/>
      <c r="C340" s="54"/>
      <c r="D340" s="55"/>
      <c r="E340" s="55"/>
      <c r="F340" s="56" t="str">
        <f t="shared" si="7"/>
        <v/>
      </c>
      <c r="G340" s="55" t="str">
        <f t="shared" si="8"/>
        <v/>
      </c>
      <c r="H340" s="57" t="str">
        <f t="shared" si="9"/>
        <v/>
      </c>
      <c r="I340" s="58" t="str">
        <f t="shared" si="10"/>
        <v/>
      </c>
      <c r="J340" s="55" t="str">
        <f t="shared" si="11"/>
        <v/>
      </c>
      <c r="K340" s="59" t="str">
        <f t="shared" si="12"/>
        <v/>
      </c>
      <c r="L340" s="59" t="str">
        <f>IF(NOT(ISERROR(VLOOKUP(B340,Deflatores!G$42:H$64,2,FALSE))),VLOOKUP(B340,Deflatores!G$42:H$64,2,FALSE),IF(OR(ISBLANK(C340),ISBLANK(B340)),"",VLOOKUP(C340,Deflatores!G$4:H$38,2,FALSE)*H340+VLOOKUP(C340,Deflatores!G$4:I$38,3,FALSE)))</f>
        <v/>
      </c>
      <c r="M340" s="60"/>
      <c r="N340" s="60"/>
      <c r="O340" s="61"/>
    </row>
    <row r="341" ht="12.0" customHeight="1">
      <c r="A341" s="53"/>
      <c r="B341" s="54"/>
      <c r="C341" s="54"/>
      <c r="D341" s="55"/>
      <c r="E341" s="55"/>
      <c r="F341" s="56" t="str">
        <f t="shared" si="7"/>
        <v/>
      </c>
      <c r="G341" s="55" t="str">
        <f t="shared" si="8"/>
        <v/>
      </c>
      <c r="H341" s="57" t="str">
        <f t="shared" si="9"/>
        <v/>
      </c>
      <c r="I341" s="58" t="str">
        <f t="shared" si="10"/>
        <v/>
      </c>
      <c r="J341" s="55" t="str">
        <f t="shared" si="11"/>
        <v/>
      </c>
      <c r="K341" s="59" t="str">
        <f t="shared" si="12"/>
        <v/>
      </c>
      <c r="L341" s="59" t="str">
        <f>IF(NOT(ISERROR(VLOOKUP(B341,Deflatores!G$42:H$64,2,FALSE))),VLOOKUP(B341,Deflatores!G$42:H$64,2,FALSE),IF(OR(ISBLANK(C341),ISBLANK(B341)),"",VLOOKUP(C341,Deflatores!G$4:H$38,2,FALSE)*H341+VLOOKUP(C341,Deflatores!G$4:I$38,3,FALSE)))</f>
        <v/>
      </c>
      <c r="M341" s="60"/>
      <c r="N341" s="60"/>
      <c r="O341" s="61"/>
    </row>
    <row r="342" ht="12.0" customHeight="1">
      <c r="A342" s="53"/>
      <c r="B342" s="54"/>
      <c r="C342" s="54"/>
      <c r="D342" s="55"/>
      <c r="E342" s="55"/>
      <c r="F342" s="56" t="str">
        <f t="shared" si="7"/>
        <v/>
      </c>
      <c r="G342" s="55" t="str">
        <f t="shared" si="8"/>
        <v/>
      </c>
      <c r="H342" s="57" t="str">
        <f t="shared" si="9"/>
        <v/>
      </c>
      <c r="I342" s="58" t="str">
        <f t="shared" si="10"/>
        <v/>
      </c>
      <c r="J342" s="55" t="str">
        <f t="shared" si="11"/>
        <v/>
      </c>
      <c r="K342" s="59" t="str">
        <f t="shared" si="12"/>
        <v/>
      </c>
      <c r="L342" s="59" t="str">
        <f>IF(NOT(ISERROR(VLOOKUP(B342,Deflatores!G$42:H$64,2,FALSE))),VLOOKUP(B342,Deflatores!G$42:H$64,2,FALSE),IF(OR(ISBLANK(C342),ISBLANK(B342)),"",VLOOKUP(C342,Deflatores!G$4:H$38,2,FALSE)*H342+VLOOKUP(C342,Deflatores!G$4:I$38,3,FALSE)))</f>
        <v/>
      </c>
      <c r="M342" s="60"/>
      <c r="N342" s="60"/>
      <c r="O342" s="61"/>
    </row>
    <row r="343" ht="12.0" customHeight="1">
      <c r="A343" s="53"/>
      <c r="B343" s="54"/>
      <c r="C343" s="54"/>
      <c r="D343" s="55"/>
      <c r="E343" s="55"/>
      <c r="F343" s="56" t="str">
        <f t="shared" si="7"/>
        <v/>
      </c>
      <c r="G343" s="55" t="str">
        <f t="shared" si="8"/>
        <v/>
      </c>
      <c r="H343" s="57" t="str">
        <f t="shared" si="9"/>
        <v/>
      </c>
      <c r="I343" s="58" t="str">
        <f t="shared" si="10"/>
        <v/>
      </c>
      <c r="J343" s="55" t="str">
        <f t="shared" si="11"/>
        <v/>
      </c>
      <c r="K343" s="59" t="str">
        <f t="shared" si="12"/>
        <v/>
      </c>
      <c r="L343" s="59" t="str">
        <f>IF(NOT(ISERROR(VLOOKUP(B343,Deflatores!G$42:H$64,2,FALSE))),VLOOKUP(B343,Deflatores!G$42:H$64,2,FALSE),IF(OR(ISBLANK(C343),ISBLANK(B343)),"",VLOOKUP(C343,Deflatores!G$4:H$38,2,FALSE)*H343+VLOOKUP(C343,Deflatores!G$4:I$38,3,FALSE)))</f>
        <v/>
      </c>
      <c r="M343" s="60"/>
      <c r="N343" s="60"/>
      <c r="O343" s="61"/>
    </row>
    <row r="344" ht="12.0" customHeight="1">
      <c r="A344" s="53"/>
      <c r="B344" s="54"/>
      <c r="C344" s="54"/>
      <c r="D344" s="55"/>
      <c r="E344" s="55"/>
      <c r="F344" s="56" t="str">
        <f t="shared" si="7"/>
        <v/>
      </c>
      <c r="G344" s="55" t="str">
        <f t="shared" si="8"/>
        <v/>
      </c>
      <c r="H344" s="57" t="str">
        <f t="shared" si="9"/>
        <v/>
      </c>
      <c r="I344" s="58" t="str">
        <f t="shared" si="10"/>
        <v/>
      </c>
      <c r="J344" s="55" t="str">
        <f t="shared" si="11"/>
        <v/>
      </c>
      <c r="K344" s="59" t="str">
        <f t="shared" si="12"/>
        <v/>
      </c>
      <c r="L344" s="59" t="str">
        <f>IF(NOT(ISERROR(VLOOKUP(B344,Deflatores!G$42:H$64,2,FALSE))),VLOOKUP(B344,Deflatores!G$42:H$64,2,FALSE),IF(OR(ISBLANK(C344),ISBLANK(B344)),"",VLOOKUP(C344,Deflatores!G$4:H$38,2,FALSE)*H344+VLOOKUP(C344,Deflatores!G$4:I$38,3,FALSE)))</f>
        <v/>
      </c>
      <c r="M344" s="60"/>
      <c r="N344" s="60"/>
      <c r="O344" s="61"/>
    </row>
    <row r="345" ht="12.0" customHeight="1">
      <c r="A345" s="53"/>
      <c r="B345" s="54"/>
      <c r="C345" s="54"/>
      <c r="D345" s="55"/>
      <c r="E345" s="55"/>
      <c r="F345" s="56" t="str">
        <f t="shared" si="7"/>
        <v/>
      </c>
      <c r="G345" s="55" t="str">
        <f t="shared" si="8"/>
        <v/>
      </c>
      <c r="H345" s="57" t="str">
        <f t="shared" si="9"/>
        <v/>
      </c>
      <c r="I345" s="58" t="str">
        <f t="shared" si="10"/>
        <v/>
      </c>
      <c r="J345" s="55" t="str">
        <f t="shared" si="11"/>
        <v/>
      </c>
      <c r="K345" s="59" t="str">
        <f t="shared" si="12"/>
        <v/>
      </c>
      <c r="L345" s="59" t="str">
        <f>IF(NOT(ISERROR(VLOOKUP(B345,Deflatores!G$42:H$64,2,FALSE))),VLOOKUP(B345,Deflatores!G$42:H$64,2,FALSE),IF(OR(ISBLANK(C345),ISBLANK(B345)),"",VLOOKUP(C345,Deflatores!G$4:H$38,2,FALSE)*H345+VLOOKUP(C345,Deflatores!G$4:I$38,3,FALSE)))</f>
        <v/>
      </c>
      <c r="M345" s="60"/>
      <c r="N345" s="60"/>
      <c r="O345" s="61"/>
    </row>
    <row r="346" ht="12.0" customHeight="1">
      <c r="A346" s="53"/>
      <c r="B346" s="54"/>
      <c r="C346" s="54"/>
      <c r="D346" s="55"/>
      <c r="E346" s="55"/>
      <c r="F346" s="56" t="str">
        <f t="shared" si="7"/>
        <v/>
      </c>
      <c r="G346" s="55" t="str">
        <f t="shared" si="8"/>
        <v/>
      </c>
      <c r="H346" s="57" t="str">
        <f t="shared" si="9"/>
        <v/>
      </c>
      <c r="I346" s="58" t="str">
        <f t="shared" si="10"/>
        <v/>
      </c>
      <c r="J346" s="55" t="str">
        <f t="shared" si="11"/>
        <v/>
      </c>
      <c r="K346" s="59" t="str">
        <f t="shared" si="12"/>
        <v/>
      </c>
      <c r="L346" s="59" t="str">
        <f>IF(NOT(ISERROR(VLOOKUP(B346,Deflatores!G$42:H$64,2,FALSE))),VLOOKUP(B346,Deflatores!G$42:H$64,2,FALSE),IF(OR(ISBLANK(C346),ISBLANK(B346)),"",VLOOKUP(C346,Deflatores!G$4:H$38,2,FALSE)*H346+VLOOKUP(C346,Deflatores!G$4:I$38,3,FALSE)))</f>
        <v/>
      </c>
      <c r="M346" s="60"/>
      <c r="N346" s="60"/>
      <c r="O346" s="61"/>
    </row>
    <row r="347" ht="12.0" customHeight="1">
      <c r="A347" s="53"/>
      <c r="B347" s="54"/>
      <c r="C347" s="54"/>
      <c r="D347" s="55"/>
      <c r="E347" s="55"/>
      <c r="F347" s="56" t="str">
        <f t="shared" si="7"/>
        <v/>
      </c>
      <c r="G347" s="55" t="str">
        <f t="shared" si="8"/>
        <v/>
      </c>
      <c r="H347" s="57" t="str">
        <f t="shared" si="9"/>
        <v/>
      </c>
      <c r="I347" s="58" t="str">
        <f t="shared" si="10"/>
        <v/>
      </c>
      <c r="J347" s="55" t="str">
        <f t="shared" si="11"/>
        <v/>
      </c>
      <c r="K347" s="59" t="str">
        <f t="shared" si="12"/>
        <v/>
      </c>
      <c r="L347" s="59" t="str">
        <f>IF(NOT(ISERROR(VLOOKUP(B347,Deflatores!G$42:H$64,2,FALSE))),VLOOKUP(B347,Deflatores!G$42:H$64,2,FALSE),IF(OR(ISBLANK(C347),ISBLANK(B347)),"",VLOOKUP(C347,Deflatores!G$4:H$38,2,FALSE)*H347+VLOOKUP(C347,Deflatores!G$4:I$38,3,FALSE)))</f>
        <v/>
      </c>
      <c r="M347" s="60"/>
      <c r="N347" s="60"/>
      <c r="O347" s="61"/>
    </row>
    <row r="348" ht="12.0" customHeight="1">
      <c r="A348" s="68"/>
      <c r="B348" s="54"/>
      <c r="C348" s="54"/>
      <c r="D348" s="55"/>
      <c r="E348" s="55"/>
      <c r="F348" s="56" t="str">
        <f t="shared" si="7"/>
        <v/>
      </c>
      <c r="G348" s="55" t="str">
        <f t="shared" si="8"/>
        <v/>
      </c>
      <c r="H348" s="57" t="str">
        <f t="shared" si="9"/>
        <v/>
      </c>
      <c r="I348" s="58" t="str">
        <f t="shared" si="10"/>
        <v/>
      </c>
      <c r="J348" s="55" t="str">
        <f t="shared" si="11"/>
        <v/>
      </c>
      <c r="K348" s="59" t="str">
        <f t="shared" si="12"/>
        <v/>
      </c>
      <c r="L348" s="59" t="str">
        <f>IF(NOT(ISERROR(VLOOKUP(B348,Deflatores!G$42:H$64,2,FALSE))),VLOOKUP(B348,Deflatores!G$42:H$64,2,FALSE),IF(OR(ISBLANK(C348),ISBLANK(B348)),"",VLOOKUP(C348,Deflatores!G$4:H$38,2,FALSE)*H348+VLOOKUP(C348,Deflatores!G$4:I$38,3,FALSE)))</f>
        <v/>
      </c>
      <c r="M348" s="60"/>
      <c r="N348" s="60"/>
      <c r="O348" s="61"/>
    </row>
    <row r="349" ht="12.0" customHeight="1">
      <c r="A349" s="53"/>
      <c r="B349" s="54"/>
      <c r="C349" s="54"/>
      <c r="D349" s="55"/>
      <c r="E349" s="55"/>
      <c r="F349" s="56" t="str">
        <f t="shared" si="7"/>
        <v/>
      </c>
      <c r="G349" s="55" t="str">
        <f t="shared" si="8"/>
        <v/>
      </c>
      <c r="H349" s="57" t="str">
        <f t="shared" si="9"/>
        <v/>
      </c>
      <c r="I349" s="58" t="str">
        <f t="shared" si="10"/>
        <v/>
      </c>
      <c r="J349" s="55" t="str">
        <f t="shared" si="11"/>
        <v/>
      </c>
      <c r="K349" s="59" t="str">
        <f t="shared" si="12"/>
        <v/>
      </c>
      <c r="L349" s="59" t="str">
        <f>IF(NOT(ISERROR(VLOOKUP(B349,Deflatores!G$42:H$64,2,FALSE))),VLOOKUP(B349,Deflatores!G$42:H$64,2,FALSE),IF(OR(ISBLANK(C349),ISBLANK(B349)),"",VLOOKUP(C349,Deflatores!G$4:H$38,2,FALSE)*H349+VLOOKUP(C349,Deflatores!G$4:I$38,3,FALSE)))</f>
        <v/>
      </c>
      <c r="M349" s="60"/>
      <c r="N349" s="60"/>
      <c r="O349" s="61"/>
    </row>
    <row r="350" ht="12.0" customHeight="1">
      <c r="A350" s="53"/>
      <c r="B350" s="54"/>
      <c r="C350" s="54"/>
      <c r="D350" s="55"/>
      <c r="E350" s="55"/>
      <c r="F350" s="56" t="str">
        <f t="shared" si="7"/>
        <v/>
      </c>
      <c r="G350" s="55" t="str">
        <f t="shared" si="8"/>
        <v/>
      </c>
      <c r="H350" s="57" t="str">
        <f t="shared" si="9"/>
        <v/>
      </c>
      <c r="I350" s="58" t="str">
        <f t="shared" si="10"/>
        <v/>
      </c>
      <c r="J350" s="55" t="str">
        <f t="shared" si="11"/>
        <v/>
      </c>
      <c r="K350" s="59" t="str">
        <f t="shared" si="12"/>
        <v/>
      </c>
      <c r="L350" s="59" t="str">
        <f>IF(NOT(ISERROR(VLOOKUP(B350,Deflatores!G$42:H$64,2,FALSE))),VLOOKUP(B350,Deflatores!G$42:H$64,2,FALSE),IF(OR(ISBLANK(C350),ISBLANK(B350)),"",VLOOKUP(C350,Deflatores!G$4:H$38,2,FALSE)*H350+VLOOKUP(C350,Deflatores!G$4:I$38,3,FALSE)))</f>
        <v/>
      </c>
      <c r="M350" s="60"/>
      <c r="N350" s="60"/>
      <c r="O350" s="61"/>
    </row>
    <row r="351" ht="12.0" customHeight="1">
      <c r="A351" s="53"/>
      <c r="B351" s="54"/>
      <c r="C351" s="54"/>
      <c r="D351" s="55"/>
      <c r="E351" s="55"/>
      <c r="F351" s="56" t="str">
        <f t="shared" si="7"/>
        <v/>
      </c>
      <c r="G351" s="55" t="str">
        <f t="shared" si="8"/>
        <v/>
      </c>
      <c r="H351" s="57" t="str">
        <f t="shared" si="9"/>
        <v/>
      </c>
      <c r="I351" s="58" t="str">
        <f t="shared" si="10"/>
        <v/>
      </c>
      <c r="J351" s="55" t="str">
        <f t="shared" si="11"/>
        <v/>
      </c>
      <c r="K351" s="59" t="str">
        <f t="shared" si="12"/>
        <v/>
      </c>
      <c r="L351" s="59" t="str">
        <f>IF(NOT(ISERROR(VLOOKUP(B351,Deflatores!G$42:H$64,2,FALSE))),VLOOKUP(B351,Deflatores!G$42:H$64,2,FALSE),IF(OR(ISBLANK(C351),ISBLANK(B351)),"",VLOOKUP(C351,Deflatores!G$4:H$38,2,FALSE)*H351+VLOOKUP(C351,Deflatores!G$4:I$38,3,FALSE)))</f>
        <v/>
      </c>
      <c r="M351" s="60"/>
      <c r="N351" s="60"/>
      <c r="O351" s="61"/>
    </row>
    <row r="352" ht="12.0" customHeight="1">
      <c r="A352" s="68"/>
      <c r="B352" s="54"/>
      <c r="C352" s="54"/>
      <c r="D352" s="55"/>
      <c r="E352" s="55"/>
      <c r="F352" s="56" t="str">
        <f t="shared" si="7"/>
        <v/>
      </c>
      <c r="G352" s="55" t="str">
        <f t="shared" si="8"/>
        <v/>
      </c>
      <c r="H352" s="57" t="str">
        <f t="shared" si="9"/>
        <v/>
      </c>
      <c r="I352" s="58" t="str">
        <f t="shared" si="10"/>
        <v/>
      </c>
      <c r="J352" s="55" t="str">
        <f t="shared" si="11"/>
        <v/>
      </c>
      <c r="K352" s="59" t="str">
        <f t="shared" si="12"/>
        <v/>
      </c>
      <c r="L352" s="59" t="str">
        <f>IF(NOT(ISERROR(VLOOKUP(B352,Deflatores!G$42:H$64,2,FALSE))),VLOOKUP(B352,Deflatores!G$42:H$64,2,FALSE),IF(OR(ISBLANK(C352),ISBLANK(B352)),"",VLOOKUP(C352,Deflatores!G$4:H$38,2,FALSE)*H352+VLOOKUP(C352,Deflatores!G$4:I$38,3,FALSE)))</f>
        <v/>
      </c>
      <c r="M352" s="60"/>
      <c r="N352" s="60"/>
      <c r="O352" s="61"/>
    </row>
    <row r="353" ht="12.0" customHeight="1">
      <c r="A353" s="53"/>
      <c r="B353" s="54"/>
      <c r="C353" s="54"/>
      <c r="D353" s="55"/>
      <c r="E353" s="55"/>
      <c r="F353" s="56" t="str">
        <f t="shared" si="7"/>
        <v/>
      </c>
      <c r="G353" s="55" t="str">
        <f t="shared" si="8"/>
        <v/>
      </c>
      <c r="H353" s="57" t="str">
        <f t="shared" si="9"/>
        <v/>
      </c>
      <c r="I353" s="58" t="str">
        <f t="shared" si="10"/>
        <v/>
      </c>
      <c r="J353" s="55" t="str">
        <f t="shared" si="11"/>
        <v/>
      </c>
      <c r="K353" s="59" t="str">
        <f t="shared" si="12"/>
        <v/>
      </c>
      <c r="L353" s="59" t="str">
        <f>IF(NOT(ISERROR(VLOOKUP(B353,Deflatores!G$42:H$64,2,FALSE))),VLOOKUP(B353,Deflatores!G$42:H$64,2,FALSE),IF(OR(ISBLANK(C353),ISBLANK(B353)),"",VLOOKUP(C353,Deflatores!G$4:H$38,2,FALSE)*H353+VLOOKUP(C353,Deflatores!G$4:I$38,3,FALSE)))</f>
        <v/>
      </c>
      <c r="M353" s="60"/>
      <c r="N353" s="60"/>
      <c r="O353" s="61"/>
    </row>
    <row r="354" ht="12.0" customHeight="1">
      <c r="A354" s="53"/>
      <c r="B354" s="54"/>
      <c r="C354" s="54"/>
      <c r="D354" s="55"/>
      <c r="E354" s="55"/>
      <c r="F354" s="56" t="str">
        <f t="shared" si="7"/>
        <v/>
      </c>
      <c r="G354" s="55" t="str">
        <f t="shared" si="8"/>
        <v/>
      </c>
      <c r="H354" s="57" t="str">
        <f t="shared" si="9"/>
        <v/>
      </c>
      <c r="I354" s="58" t="str">
        <f t="shared" si="10"/>
        <v/>
      </c>
      <c r="J354" s="55" t="str">
        <f t="shared" si="11"/>
        <v/>
      </c>
      <c r="K354" s="59" t="str">
        <f t="shared" si="12"/>
        <v/>
      </c>
      <c r="L354" s="59" t="str">
        <f>IF(NOT(ISERROR(VLOOKUP(B354,Deflatores!G$42:H$64,2,FALSE))),VLOOKUP(B354,Deflatores!G$42:H$64,2,FALSE),IF(OR(ISBLANK(C354),ISBLANK(B354)),"",VLOOKUP(C354,Deflatores!G$4:H$38,2,FALSE)*H354+VLOOKUP(C354,Deflatores!G$4:I$38,3,FALSE)))</f>
        <v/>
      </c>
      <c r="M354" s="60"/>
      <c r="N354" s="60"/>
      <c r="O354" s="61"/>
    </row>
    <row r="355" ht="14.25" customHeight="1">
      <c r="A355" s="53"/>
      <c r="B355" s="54"/>
      <c r="C355" s="54"/>
      <c r="D355" s="55"/>
      <c r="E355" s="55"/>
      <c r="F355" s="56" t="str">
        <f t="shared" si="7"/>
        <v/>
      </c>
      <c r="G355" s="55" t="str">
        <f t="shared" si="8"/>
        <v/>
      </c>
      <c r="H355" s="57" t="str">
        <f t="shared" si="9"/>
        <v/>
      </c>
      <c r="I355" s="58" t="str">
        <f t="shared" si="10"/>
        <v/>
      </c>
      <c r="J355" s="55" t="str">
        <f t="shared" si="11"/>
        <v/>
      </c>
      <c r="K355" s="59" t="str">
        <f t="shared" si="12"/>
        <v/>
      </c>
      <c r="L355" s="59" t="str">
        <f>IF(NOT(ISERROR(VLOOKUP(B355,Deflatores!G$42:H$64,2,FALSE))),VLOOKUP(B355,Deflatores!G$42:H$64,2,FALSE),IF(OR(ISBLANK(C355),ISBLANK(B355)),"",VLOOKUP(C355,Deflatores!G$4:H$38,2,FALSE)*H355+VLOOKUP(C355,Deflatores!G$4:I$38,3,FALSE)))</f>
        <v/>
      </c>
      <c r="M355" s="60"/>
      <c r="N355" s="60"/>
      <c r="O355" s="61"/>
    </row>
    <row r="356" ht="12.0" customHeight="1">
      <c r="A356" s="53"/>
      <c r="B356" s="54"/>
      <c r="C356" s="54"/>
      <c r="D356" s="55"/>
      <c r="E356" s="55"/>
      <c r="F356" s="56" t="str">
        <f t="shared" si="7"/>
        <v/>
      </c>
      <c r="G356" s="55" t="str">
        <f t="shared" si="8"/>
        <v/>
      </c>
      <c r="H356" s="57" t="str">
        <f t="shared" si="9"/>
        <v/>
      </c>
      <c r="I356" s="58" t="str">
        <f t="shared" si="10"/>
        <v/>
      </c>
      <c r="J356" s="55" t="str">
        <f t="shared" si="11"/>
        <v/>
      </c>
      <c r="K356" s="59" t="str">
        <f t="shared" si="12"/>
        <v/>
      </c>
      <c r="L356" s="59" t="str">
        <f>IF(NOT(ISERROR(VLOOKUP(B356,Deflatores!G$42:H$64,2,FALSE))),VLOOKUP(B356,Deflatores!G$42:H$64,2,FALSE),IF(OR(ISBLANK(C356),ISBLANK(B356)),"",VLOOKUP(C356,Deflatores!G$4:H$38,2,FALSE)*H356+VLOOKUP(C356,Deflatores!G$4:I$38,3,FALSE)))</f>
        <v/>
      </c>
      <c r="M356" s="60"/>
      <c r="N356" s="60"/>
      <c r="O356" s="61"/>
    </row>
    <row r="357" ht="12.0" customHeight="1">
      <c r="A357" s="53"/>
      <c r="B357" s="54"/>
      <c r="C357" s="54"/>
      <c r="D357" s="55"/>
      <c r="E357" s="55"/>
      <c r="F357" s="56" t="str">
        <f t="shared" si="7"/>
        <v/>
      </c>
      <c r="G357" s="55" t="str">
        <f t="shared" si="8"/>
        <v/>
      </c>
      <c r="H357" s="57" t="str">
        <f t="shared" si="9"/>
        <v/>
      </c>
      <c r="I357" s="58" t="str">
        <f t="shared" si="10"/>
        <v/>
      </c>
      <c r="J357" s="55" t="str">
        <f t="shared" si="11"/>
        <v/>
      </c>
      <c r="K357" s="59" t="str">
        <f t="shared" si="12"/>
        <v/>
      </c>
      <c r="L357" s="59" t="str">
        <f>IF(NOT(ISERROR(VLOOKUP(B357,Deflatores!G$42:H$64,2,FALSE))),VLOOKUP(B357,Deflatores!G$42:H$64,2,FALSE),IF(OR(ISBLANK(C357),ISBLANK(B357)),"",VLOOKUP(C357,Deflatores!G$4:H$38,2,FALSE)*H357+VLOOKUP(C357,Deflatores!G$4:I$38,3,FALSE)))</f>
        <v/>
      </c>
      <c r="M357" s="60"/>
      <c r="N357" s="60"/>
      <c r="O357" s="61"/>
    </row>
    <row r="358" ht="12.0" customHeight="1">
      <c r="A358" s="53"/>
      <c r="B358" s="54"/>
      <c r="C358" s="54"/>
      <c r="D358" s="55"/>
      <c r="E358" s="55"/>
      <c r="F358" s="56" t="str">
        <f t="shared" si="7"/>
        <v/>
      </c>
      <c r="G358" s="55" t="str">
        <f t="shared" si="8"/>
        <v/>
      </c>
      <c r="H358" s="57" t="str">
        <f t="shared" si="9"/>
        <v/>
      </c>
      <c r="I358" s="58" t="str">
        <f t="shared" si="10"/>
        <v/>
      </c>
      <c r="J358" s="55" t="str">
        <f t="shared" si="11"/>
        <v/>
      </c>
      <c r="K358" s="59" t="str">
        <f t="shared" si="12"/>
        <v/>
      </c>
      <c r="L358" s="59" t="str">
        <f>IF(NOT(ISERROR(VLOOKUP(B358,Deflatores!G$42:H$64,2,FALSE))),VLOOKUP(B358,Deflatores!G$42:H$64,2,FALSE),IF(OR(ISBLANK(C358),ISBLANK(B358)),"",VLOOKUP(C358,Deflatores!G$4:H$38,2,FALSE)*H358+VLOOKUP(C358,Deflatores!G$4:I$38,3,FALSE)))</f>
        <v/>
      </c>
      <c r="M358" s="60"/>
      <c r="N358" s="60"/>
      <c r="O358" s="61"/>
    </row>
    <row r="359" ht="12.0" customHeight="1">
      <c r="A359" s="53"/>
      <c r="B359" s="54"/>
      <c r="C359" s="54"/>
      <c r="D359" s="55"/>
      <c r="E359" s="55"/>
      <c r="F359" s="56" t="str">
        <f t="shared" si="7"/>
        <v/>
      </c>
      <c r="G359" s="55" t="str">
        <f t="shared" si="8"/>
        <v/>
      </c>
      <c r="H359" s="57" t="str">
        <f t="shared" si="9"/>
        <v/>
      </c>
      <c r="I359" s="58" t="str">
        <f t="shared" si="10"/>
        <v/>
      </c>
      <c r="J359" s="55" t="str">
        <f t="shared" si="11"/>
        <v/>
      </c>
      <c r="K359" s="59" t="str">
        <f t="shared" si="12"/>
        <v/>
      </c>
      <c r="L359" s="59" t="str">
        <f>IF(NOT(ISERROR(VLOOKUP(B359,Deflatores!G$42:H$64,2,FALSE))),VLOOKUP(B359,Deflatores!G$42:H$64,2,FALSE),IF(OR(ISBLANK(C359),ISBLANK(B359)),"",VLOOKUP(C359,Deflatores!G$4:H$38,2,FALSE)*H359+VLOOKUP(C359,Deflatores!G$4:I$38,3,FALSE)))</f>
        <v/>
      </c>
      <c r="M359" s="60"/>
      <c r="N359" s="60"/>
      <c r="O359" s="61"/>
    </row>
    <row r="360" ht="12.0" customHeight="1">
      <c r="A360" s="53"/>
      <c r="B360" s="54"/>
      <c r="C360" s="54"/>
      <c r="D360" s="55"/>
      <c r="E360" s="55"/>
      <c r="F360" s="56" t="str">
        <f t="shared" si="7"/>
        <v/>
      </c>
      <c r="G360" s="55" t="str">
        <f t="shared" si="8"/>
        <v/>
      </c>
      <c r="H360" s="57" t="str">
        <f t="shared" si="9"/>
        <v/>
      </c>
      <c r="I360" s="58" t="str">
        <f t="shared" si="10"/>
        <v/>
      </c>
      <c r="J360" s="55" t="str">
        <f t="shared" si="11"/>
        <v/>
      </c>
      <c r="K360" s="59" t="str">
        <f t="shared" si="12"/>
        <v/>
      </c>
      <c r="L360" s="59" t="str">
        <f>IF(NOT(ISERROR(VLOOKUP(B360,Deflatores!G$42:H$64,2,FALSE))),VLOOKUP(B360,Deflatores!G$42:H$64,2,FALSE),IF(OR(ISBLANK(C360),ISBLANK(B360)),"",VLOOKUP(C360,Deflatores!G$4:H$38,2,FALSE)*H360+VLOOKUP(C360,Deflatores!G$4:I$38,3,FALSE)))</f>
        <v/>
      </c>
      <c r="M360" s="60"/>
      <c r="N360" s="60"/>
      <c r="O360" s="61"/>
    </row>
    <row r="361" ht="14.25" customHeight="1">
      <c r="A361" s="53"/>
      <c r="B361" s="54"/>
      <c r="C361" s="54"/>
      <c r="D361" s="55"/>
      <c r="E361" s="55"/>
      <c r="F361" s="56" t="str">
        <f t="shared" si="7"/>
        <v/>
      </c>
      <c r="G361" s="55" t="str">
        <f t="shared" si="8"/>
        <v/>
      </c>
      <c r="H361" s="57" t="str">
        <f t="shared" si="9"/>
        <v/>
      </c>
      <c r="I361" s="58" t="str">
        <f t="shared" si="10"/>
        <v/>
      </c>
      <c r="J361" s="55" t="str">
        <f t="shared" si="11"/>
        <v/>
      </c>
      <c r="K361" s="59" t="str">
        <f t="shared" si="12"/>
        <v/>
      </c>
      <c r="L361" s="59" t="str">
        <f>IF(NOT(ISERROR(VLOOKUP(B361,Deflatores!G$42:H$64,2,FALSE))),VLOOKUP(B361,Deflatores!G$42:H$64,2,FALSE),IF(OR(ISBLANK(C361),ISBLANK(B361)),"",VLOOKUP(C361,Deflatores!G$4:H$38,2,FALSE)*H361+VLOOKUP(C361,Deflatores!G$4:I$38,3,FALSE)))</f>
        <v/>
      </c>
      <c r="M361" s="60"/>
      <c r="N361" s="60"/>
      <c r="O361" s="61"/>
    </row>
    <row r="362" ht="14.25" customHeight="1">
      <c r="A362" s="53"/>
      <c r="B362" s="54"/>
      <c r="C362" s="54"/>
      <c r="D362" s="55"/>
      <c r="E362" s="55"/>
      <c r="F362" s="56" t="str">
        <f t="shared" si="7"/>
        <v/>
      </c>
      <c r="G362" s="55" t="str">
        <f t="shared" si="8"/>
        <v/>
      </c>
      <c r="H362" s="57" t="str">
        <f t="shared" si="9"/>
        <v/>
      </c>
      <c r="I362" s="58" t="str">
        <f t="shared" si="10"/>
        <v/>
      </c>
      <c r="J362" s="55" t="str">
        <f t="shared" si="11"/>
        <v/>
      </c>
      <c r="K362" s="59" t="str">
        <f t="shared" si="12"/>
        <v/>
      </c>
      <c r="L362" s="59" t="str">
        <f>IF(NOT(ISERROR(VLOOKUP(B362,Deflatores!G$42:H$64,2,FALSE))),VLOOKUP(B362,Deflatores!G$42:H$64,2,FALSE),IF(OR(ISBLANK(C362),ISBLANK(B362)),"",VLOOKUP(C362,Deflatores!G$4:H$38,2,FALSE)*H362+VLOOKUP(C362,Deflatores!G$4:I$38,3,FALSE)))</f>
        <v/>
      </c>
      <c r="M362" s="60"/>
      <c r="N362" s="60"/>
      <c r="O362" s="61"/>
    </row>
    <row r="363" ht="14.25" customHeight="1">
      <c r="A363" s="53"/>
      <c r="B363" s="54"/>
      <c r="C363" s="54"/>
      <c r="D363" s="55"/>
      <c r="E363" s="55"/>
      <c r="F363" s="56" t="str">
        <f t="shared" si="7"/>
        <v/>
      </c>
      <c r="G363" s="55" t="str">
        <f t="shared" si="8"/>
        <v/>
      </c>
      <c r="H363" s="57" t="str">
        <f t="shared" si="9"/>
        <v/>
      </c>
      <c r="I363" s="58" t="str">
        <f t="shared" si="10"/>
        <v/>
      </c>
      <c r="J363" s="55" t="str">
        <f t="shared" si="11"/>
        <v/>
      </c>
      <c r="K363" s="59" t="str">
        <f t="shared" si="12"/>
        <v/>
      </c>
      <c r="L363" s="59" t="str">
        <f>IF(NOT(ISERROR(VLOOKUP(B363,Deflatores!G$42:H$64,2,FALSE))),VLOOKUP(B363,Deflatores!G$42:H$64,2,FALSE),IF(OR(ISBLANK(C363),ISBLANK(B363)),"",VLOOKUP(C363,Deflatores!G$4:H$38,2,FALSE)*H363+VLOOKUP(C363,Deflatores!G$4:I$38,3,FALSE)))</f>
        <v/>
      </c>
      <c r="M363" s="60"/>
      <c r="N363" s="60"/>
      <c r="O363" s="61"/>
    </row>
    <row r="364" ht="14.25" customHeight="1">
      <c r="A364" s="53"/>
      <c r="B364" s="54"/>
      <c r="C364" s="54"/>
      <c r="D364" s="55"/>
      <c r="E364" s="55"/>
      <c r="F364" s="56" t="str">
        <f t="shared" si="7"/>
        <v/>
      </c>
      <c r="G364" s="55" t="str">
        <f t="shared" si="8"/>
        <v/>
      </c>
      <c r="H364" s="57" t="str">
        <f t="shared" si="9"/>
        <v/>
      </c>
      <c r="I364" s="58" t="str">
        <f t="shared" si="10"/>
        <v/>
      </c>
      <c r="J364" s="55" t="str">
        <f t="shared" si="11"/>
        <v/>
      </c>
      <c r="K364" s="59" t="str">
        <f t="shared" si="12"/>
        <v/>
      </c>
      <c r="L364" s="59" t="str">
        <f>IF(NOT(ISERROR(VLOOKUP(B364,Deflatores!G$42:H$64,2,FALSE))),VLOOKUP(B364,Deflatores!G$42:H$64,2,FALSE),IF(OR(ISBLANK(C364),ISBLANK(B364)),"",VLOOKUP(C364,Deflatores!G$4:H$38,2,FALSE)*H364+VLOOKUP(C364,Deflatores!G$4:I$38,3,FALSE)))</f>
        <v/>
      </c>
      <c r="M364" s="60"/>
      <c r="N364" s="60"/>
      <c r="O364" s="61"/>
    </row>
    <row r="365" ht="14.25" customHeight="1">
      <c r="A365" s="53"/>
      <c r="B365" s="54"/>
      <c r="C365" s="54"/>
      <c r="D365" s="55"/>
      <c r="E365" s="55"/>
      <c r="F365" s="56" t="str">
        <f t="shared" si="7"/>
        <v/>
      </c>
      <c r="G365" s="55" t="str">
        <f t="shared" si="8"/>
        <v/>
      </c>
      <c r="H365" s="57" t="str">
        <f t="shared" si="9"/>
        <v/>
      </c>
      <c r="I365" s="58" t="str">
        <f t="shared" si="10"/>
        <v/>
      </c>
      <c r="J365" s="55" t="str">
        <f t="shared" si="11"/>
        <v/>
      </c>
      <c r="K365" s="59" t="str">
        <f t="shared" si="12"/>
        <v/>
      </c>
      <c r="L365" s="59" t="str">
        <f>IF(NOT(ISERROR(VLOOKUP(B365,Deflatores!G$42:H$64,2,FALSE))),VLOOKUP(B365,Deflatores!G$42:H$64,2,FALSE),IF(OR(ISBLANK(C365),ISBLANK(B365)),"",VLOOKUP(C365,Deflatores!G$4:H$38,2,FALSE)*H365+VLOOKUP(C365,Deflatores!G$4:I$38,3,FALSE)))</f>
        <v/>
      </c>
      <c r="M365" s="60"/>
      <c r="N365" s="60"/>
      <c r="O365" s="61"/>
    </row>
    <row r="366" ht="14.25" customHeight="1">
      <c r="A366" s="53"/>
      <c r="B366" s="54"/>
      <c r="C366" s="54"/>
      <c r="D366" s="55"/>
      <c r="E366" s="55"/>
      <c r="F366" s="56" t="str">
        <f t="shared" si="7"/>
        <v/>
      </c>
      <c r="G366" s="55" t="str">
        <f t="shared" si="8"/>
        <v/>
      </c>
      <c r="H366" s="57" t="str">
        <f t="shared" si="9"/>
        <v/>
      </c>
      <c r="I366" s="58" t="str">
        <f t="shared" si="10"/>
        <v/>
      </c>
      <c r="J366" s="55" t="str">
        <f t="shared" si="11"/>
        <v/>
      </c>
      <c r="K366" s="59" t="str">
        <f t="shared" si="12"/>
        <v/>
      </c>
      <c r="L366" s="59" t="str">
        <f>IF(NOT(ISERROR(VLOOKUP(B366,Deflatores!G$42:H$64,2,FALSE))),VLOOKUP(B366,Deflatores!G$42:H$64,2,FALSE),IF(OR(ISBLANK(C366),ISBLANK(B366)),"",VLOOKUP(C366,Deflatores!G$4:H$38,2,FALSE)*H366+VLOOKUP(C366,Deflatores!G$4:I$38,3,FALSE)))</f>
        <v/>
      </c>
      <c r="M366" s="60"/>
      <c r="N366" s="60"/>
      <c r="O366" s="61"/>
    </row>
    <row r="367" ht="14.25" customHeight="1">
      <c r="A367" s="53"/>
      <c r="B367" s="54"/>
      <c r="C367" s="54"/>
      <c r="D367" s="55"/>
      <c r="E367" s="55"/>
      <c r="F367" s="56" t="str">
        <f t="shared" si="7"/>
        <v/>
      </c>
      <c r="G367" s="55" t="str">
        <f t="shared" si="8"/>
        <v/>
      </c>
      <c r="H367" s="57" t="str">
        <f t="shared" si="9"/>
        <v/>
      </c>
      <c r="I367" s="58" t="str">
        <f t="shared" si="10"/>
        <v/>
      </c>
      <c r="J367" s="55" t="str">
        <f t="shared" si="11"/>
        <v/>
      </c>
      <c r="K367" s="59" t="str">
        <f t="shared" si="12"/>
        <v/>
      </c>
      <c r="L367" s="59" t="str">
        <f>IF(NOT(ISERROR(VLOOKUP(B367,Deflatores!G$42:H$64,2,FALSE))),VLOOKUP(B367,Deflatores!G$42:H$64,2,FALSE),IF(OR(ISBLANK(C367),ISBLANK(B367)),"",VLOOKUP(C367,Deflatores!G$4:H$38,2,FALSE)*H367+VLOOKUP(C367,Deflatores!G$4:I$38,3,FALSE)))</f>
        <v/>
      </c>
      <c r="M367" s="60"/>
      <c r="N367" s="60"/>
      <c r="O367" s="61"/>
    </row>
    <row r="368" ht="14.25" customHeight="1">
      <c r="A368" s="53"/>
      <c r="B368" s="54"/>
      <c r="C368" s="54"/>
      <c r="D368" s="55"/>
      <c r="E368" s="55"/>
      <c r="F368" s="56" t="str">
        <f t="shared" si="7"/>
        <v/>
      </c>
      <c r="G368" s="55" t="str">
        <f t="shared" si="8"/>
        <v/>
      </c>
      <c r="H368" s="57" t="str">
        <f t="shared" si="9"/>
        <v/>
      </c>
      <c r="I368" s="58" t="str">
        <f t="shared" si="10"/>
        <v/>
      </c>
      <c r="J368" s="55" t="str">
        <f t="shared" si="11"/>
        <v/>
      </c>
      <c r="K368" s="59" t="str">
        <f t="shared" si="12"/>
        <v/>
      </c>
      <c r="L368" s="59" t="str">
        <f>IF(NOT(ISERROR(VLOOKUP(B368,Deflatores!G$42:H$64,2,FALSE))),VLOOKUP(B368,Deflatores!G$42:H$64,2,FALSE),IF(OR(ISBLANK(C368),ISBLANK(B368)),"",VLOOKUP(C368,Deflatores!G$4:H$38,2,FALSE)*H368+VLOOKUP(C368,Deflatores!G$4:I$38,3,FALSE)))</f>
        <v/>
      </c>
      <c r="M368" s="60"/>
      <c r="N368" s="60"/>
      <c r="O368" s="61"/>
    </row>
    <row r="369" ht="14.25" customHeight="1">
      <c r="A369" s="53"/>
      <c r="B369" s="54"/>
      <c r="C369" s="54"/>
      <c r="D369" s="55"/>
      <c r="E369" s="55"/>
      <c r="F369" s="56" t="str">
        <f t="shared" si="7"/>
        <v/>
      </c>
      <c r="G369" s="55" t="str">
        <f t="shared" si="8"/>
        <v/>
      </c>
      <c r="H369" s="57" t="str">
        <f t="shared" si="9"/>
        <v/>
      </c>
      <c r="I369" s="58" t="str">
        <f t="shared" si="10"/>
        <v/>
      </c>
      <c r="J369" s="55" t="str">
        <f t="shared" si="11"/>
        <v/>
      </c>
      <c r="K369" s="59" t="str">
        <f t="shared" si="12"/>
        <v/>
      </c>
      <c r="L369" s="59" t="str">
        <f>IF(NOT(ISERROR(VLOOKUP(B369,Deflatores!G$42:H$64,2,FALSE))),VLOOKUP(B369,Deflatores!G$42:H$64,2,FALSE),IF(OR(ISBLANK(C369),ISBLANK(B369)),"",VLOOKUP(C369,Deflatores!G$4:H$38,2,FALSE)*H369+VLOOKUP(C369,Deflatores!G$4:I$38,3,FALSE)))</f>
        <v/>
      </c>
      <c r="M369" s="60"/>
      <c r="N369" s="60"/>
      <c r="O369" s="61"/>
    </row>
    <row r="370" ht="14.25" customHeight="1">
      <c r="A370" s="53"/>
      <c r="B370" s="54"/>
      <c r="C370" s="54"/>
      <c r="D370" s="55"/>
      <c r="E370" s="55"/>
      <c r="F370" s="56" t="str">
        <f t="shared" si="7"/>
        <v/>
      </c>
      <c r="G370" s="55" t="str">
        <f t="shared" si="8"/>
        <v/>
      </c>
      <c r="H370" s="57" t="str">
        <f t="shared" si="9"/>
        <v/>
      </c>
      <c r="I370" s="58" t="str">
        <f t="shared" si="10"/>
        <v/>
      </c>
      <c r="J370" s="55" t="str">
        <f t="shared" si="11"/>
        <v/>
      </c>
      <c r="K370" s="59" t="str">
        <f t="shared" si="12"/>
        <v/>
      </c>
      <c r="L370" s="59" t="str">
        <f>IF(NOT(ISERROR(VLOOKUP(B370,Deflatores!G$42:H$64,2,FALSE))),VLOOKUP(B370,Deflatores!G$42:H$64,2,FALSE),IF(OR(ISBLANK(C370),ISBLANK(B370)),"",VLOOKUP(C370,Deflatores!G$4:H$38,2,FALSE)*H370+VLOOKUP(C370,Deflatores!G$4:I$38,3,FALSE)))</f>
        <v/>
      </c>
      <c r="M370" s="60"/>
      <c r="N370" s="60"/>
      <c r="O370" s="61"/>
    </row>
    <row r="371" ht="14.25" customHeight="1">
      <c r="A371" s="53"/>
      <c r="B371" s="54"/>
      <c r="C371" s="54"/>
      <c r="D371" s="55"/>
      <c r="E371" s="55"/>
      <c r="F371" s="56" t="str">
        <f t="shared" si="7"/>
        <v/>
      </c>
      <c r="G371" s="55" t="str">
        <f t="shared" si="8"/>
        <v/>
      </c>
      <c r="H371" s="57" t="str">
        <f t="shared" si="9"/>
        <v/>
      </c>
      <c r="I371" s="58" t="str">
        <f t="shared" si="10"/>
        <v/>
      </c>
      <c r="J371" s="55" t="str">
        <f t="shared" si="11"/>
        <v/>
      </c>
      <c r="K371" s="59" t="str">
        <f t="shared" si="12"/>
        <v/>
      </c>
      <c r="L371" s="59" t="str">
        <f>IF(NOT(ISERROR(VLOOKUP(B371,Deflatores!G$42:H$64,2,FALSE))),VLOOKUP(B371,Deflatores!G$42:H$64,2,FALSE),IF(OR(ISBLANK(C371),ISBLANK(B371)),"",VLOOKUP(C371,Deflatores!G$4:H$38,2,FALSE)*H371+VLOOKUP(C371,Deflatores!G$4:I$38,3,FALSE)))</f>
        <v/>
      </c>
      <c r="M371" s="60"/>
      <c r="N371" s="60"/>
      <c r="O371" s="61"/>
    </row>
    <row r="372" ht="14.25" customHeight="1">
      <c r="A372" s="68"/>
      <c r="B372" s="54"/>
      <c r="C372" s="54"/>
      <c r="D372" s="55"/>
      <c r="E372" s="55"/>
      <c r="F372" s="56" t="str">
        <f t="shared" si="7"/>
        <v/>
      </c>
      <c r="G372" s="55" t="str">
        <f t="shared" si="8"/>
        <v/>
      </c>
      <c r="H372" s="57" t="str">
        <f t="shared" si="9"/>
        <v/>
      </c>
      <c r="I372" s="58" t="str">
        <f t="shared" si="10"/>
        <v/>
      </c>
      <c r="J372" s="55" t="str">
        <f t="shared" si="11"/>
        <v/>
      </c>
      <c r="K372" s="59" t="str">
        <f t="shared" si="12"/>
        <v/>
      </c>
      <c r="L372" s="59" t="str">
        <f>IF(NOT(ISERROR(VLOOKUP(B372,Deflatores!G$42:H$64,2,FALSE))),VLOOKUP(B372,Deflatores!G$42:H$64,2,FALSE),IF(OR(ISBLANK(C372),ISBLANK(B372)),"",VLOOKUP(C372,Deflatores!G$4:H$38,2,FALSE)*H372+VLOOKUP(C372,Deflatores!G$4:I$38,3,FALSE)))</f>
        <v/>
      </c>
      <c r="M372" s="60"/>
      <c r="N372" s="60"/>
      <c r="O372" s="61"/>
    </row>
    <row r="373" ht="12.0" customHeight="1">
      <c r="A373" s="68"/>
      <c r="B373" s="54"/>
      <c r="C373" s="54"/>
      <c r="D373" s="55"/>
      <c r="E373" s="55"/>
      <c r="F373" s="56" t="str">
        <f t="shared" si="7"/>
        <v/>
      </c>
      <c r="G373" s="55" t="str">
        <f t="shared" si="8"/>
        <v/>
      </c>
      <c r="H373" s="57" t="str">
        <f t="shared" si="9"/>
        <v/>
      </c>
      <c r="I373" s="58" t="str">
        <f t="shared" si="10"/>
        <v/>
      </c>
      <c r="J373" s="55" t="str">
        <f t="shared" si="11"/>
        <v/>
      </c>
      <c r="K373" s="59" t="str">
        <f t="shared" si="12"/>
        <v/>
      </c>
      <c r="L373" s="59" t="str">
        <f>IF(NOT(ISERROR(VLOOKUP(B373,Deflatores!G$42:H$64,2,FALSE))),VLOOKUP(B373,Deflatores!G$42:H$64,2,FALSE),IF(OR(ISBLANK(C373),ISBLANK(B373)),"",VLOOKUP(C373,Deflatores!G$4:H$38,2,FALSE)*H373+VLOOKUP(C373,Deflatores!G$4:I$38,3,FALSE)))</f>
        <v/>
      </c>
      <c r="M373" s="60"/>
      <c r="N373" s="60"/>
      <c r="O373" s="61"/>
    </row>
    <row r="374" ht="12.0" customHeight="1">
      <c r="A374" s="53"/>
      <c r="B374" s="54"/>
      <c r="C374" s="54"/>
      <c r="D374" s="55"/>
      <c r="E374" s="55"/>
      <c r="F374" s="56" t="str">
        <f t="shared" si="7"/>
        <v/>
      </c>
      <c r="G374" s="55" t="str">
        <f t="shared" si="8"/>
        <v/>
      </c>
      <c r="H374" s="57" t="str">
        <f t="shared" si="9"/>
        <v/>
      </c>
      <c r="I374" s="58" t="str">
        <f t="shared" si="10"/>
        <v/>
      </c>
      <c r="J374" s="55" t="str">
        <f t="shared" si="11"/>
        <v/>
      </c>
      <c r="K374" s="59" t="str">
        <f t="shared" si="12"/>
        <v/>
      </c>
      <c r="L374" s="59" t="str">
        <f>IF(NOT(ISERROR(VLOOKUP(B374,Deflatores!G$42:H$64,2,FALSE))),VLOOKUP(B374,Deflatores!G$42:H$64,2,FALSE),IF(OR(ISBLANK(C374),ISBLANK(B374)),"",VLOOKUP(C374,Deflatores!G$4:H$38,2,FALSE)*H374+VLOOKUP(C374,Deflatores!G$4:I$38,3,FALSE)))</f>
        <v/>
      </c>
      <c r="M374" s="60"/>
      <c r="N374" s="60"/>
      <c r="O374" s="61"/>
    </row>
    <row r="375" ht="12.0" customHeight="1">
      <c r="A375" s="53"/>
      <c r="B375" s="54"/>
      <c r="C375" s="54"/>
      <c r="D375" s="55"/>
      <c r="E375" s="55"/>
      <c r="F375" s="56" t="str">
        <f t="shared" si="7"/>
        <v/>
      </c>
      <c r="G375" s="55" t="str">
        <f t="shared" si="8"/>
        <v/>
      </c>
      <c r="H375" s="57" t="str">
        <f t="shared" si="9"/>
        <v/>
      </c>
      <c r="I375" s="58" t="str">
        <f t="shared" si="10"/>
        <v/>
      </c>
      <c r="J375" s="55" t="str">
        <f t="shared" si="11"/>
        <v/>
      </c>
      <c r="K375" s="59" t="str">
        <f t="shared" si="12"/>
        <v/>
      </c>
      <c r="L375" s="59" t="str">
        <f>IF(NOT(ISERROR(VLOOKUP(B375,Deflatores!G$42:H$64,2,FALSE))),VLOOKUP(B375,Deflatores!G$42:H$64,2,FALSE),IF(OR(ISBLANK(C375),ISBLANK(B375)),"",VLOOKUP(C375,Deflatores!G$4:H$38,2,FALSE)*H375+VLOOKUP(C375,Deflatores!G$4:I$38,3,FALSE)))</f>
        <v/>
      </c>
      <c r="M375" s="60"/>
      <c r="N375" s="60"/>
      <c r="O375" s="61"/>
    </row>
    <row r="376" ht="12.0" customHeight="1">
      <c r="A376" s="53"/>
      <c r="B376" s="54"/>
      <c r="C376" s="54"/>
      <c r="D376" s="55"/>
      <c r="E376" s="55"/>
      <c r="F376" s="56" t="str">
        <f t="shared" si="7"/>
        <v/>
      </c>
      <c r="G376" s="55" t="str">
        <f t="shared" si="8"/>
        <v/>
      </c>
      <c r="H376" s="57" t="str">
        <f t="shared" si="9"/>
        <v/>
      </c>
      <c r="I376" s="58" t="str">
        <f t="shared" si="10"/>
        <v/>
      </c>
      <c r="J376" s="55" t="str">
        <f t="shared" si="11"/>
        <v/>
      </c>
      <c r="K376" s="59" t="str">
        <f t="shared" si="12"/>
        <v/>
      </c>
      <c r="L376" s="59" t="str">
        <f>IF(NOT(ISERROR(VLOOKUP(B376,Deflatores!G$42:H$64,2,FALSE))),VLOOKUP(B376,Deflatores!G$42:H$64,2,FALSE),IF(OR(ISBLANK(C376),ISBLANK(B376)),"",VLOOKUP(C376,Deflatores!G$4:H$38,2,FALSE)*H376+VLOOKUP(C376,Deflatores!G$4:I$38,3,FALSE)))</f>
        <v/>
      </c>
      <c r="M376" s="60"/>
      <c r="N376" s="60"/>
      <c r="O376" s="61"/>
    </row>
    <row r="377" ht="14.25" customHeight="1">
      <c r="A377" s="53"/>
      <c r="B377" s="54"/>
      <c r="C377" s="54"/>
      <c r="D377" s="55"/>
      <c r="E377" s="55"/>
      <c r="F377" s="56" t="str">
        <f t="shared" si="7"/>
        <v/>
      </c>
      <c r="G377" s="55" t="str">
        <f t="shared" si="8"/>
        <v/>
      </c>
      <c r="H377" s="57" t="str">
        <f t="shared" si="9"/>
        <v/>
      </c>
      <c r="I377" s="58" t="str">
        <f t="shared" si="10"/>
        <v/>
      </c>
      <c r="J377" s="55" t="str">
        <f t="shared" si="11"/>
        <v/>
      </c>
      <c r="K377" s="59" t="str">
        <f t="shared" si="12"/>
        <v/>
      </c>
      <c r="L377" s="59" t="str">
        <f>IF(NOT(ISERROR(VLOOKUP(B377,Deflatores!G$42:H$64,2,FALSE))),VLOOKUP(B377,Deflatores!G$42:H$64,2,FALSE),IF(OR(ISBLANK(C377),ISBLANK(B377)),"",VLOOKUP(C377,Deflatores!G$4:H$38,2,FALSE)*H377+VLOOKUP(C377,Deflatores!G$4:I$38,3,FALSE)))</f>
        <v/>
      </c>
      <c r="M377" s="60"/>
      <c r="N377" s="60"/>
      <c r="O377" s="61"/>
    </row>
    <row r="378" ht="12.0" customHeight="1">
      <c r="A378" s="53"/>
      <c r="B378" s="54"/>
      <c r="C378" s="54"/>
      <c r="D378" s="55"/>
      <c r="E378" s="55"/>
      <c r="F378" s="56" t="str">
        <f t="shared" si="7"/>
        <v/>
      </c>
      <c r="G378" s="55" t="str">
        <f t="shared" si="8"/>
        <v/>
      </c>
      <c r="H378" s="57" t="str">
        <f t="shared" si="9"/>
        <v/>
      </c>
      <c r="I378" s="58" t="str">
        <f t="shared" si="10"/>
        <v/>
      </c>
      <c r="J378" s="55" t="str">
        <f t="shared" si="11"/>
        <v/>
      </c>
      <c r="K378" s="59" t="str">
        <f t="shared" si="12"/>
        <v/>
      </c>
      <c r="L378" s="59" t="str">
        <f>IF(NOT(ISERROR(VLOOKUP(B378,Deflatores!G$42:H$64,2,FALSE))),VLOOKUP(B378,Deflatores!G$42:H$64,2,FALSE),IF(OR(ISBLANK(C378),ISBLANK(B378)),"",VLOOKUP(C378,Deflatores!G$4:H$38,2,FALSE)*H378+VLOOKUP(C378,Deflatores!G$4:I$38,3,FALSE)))</f>
        <v/>
      </c>
      <c r="M378" s="60"/>
      <c r="N378" s="60"/>
      <c r="O378" s="61"/>
    </row>
    <row r="379" ht="12.0" customHeight="1">
      <c r="A379" s="68"/>
      <c r="B379" s="54"/>
      <c r="C379" s="54"/>
      <c r="D379" s="55"/>
      <c r="E379" s="55"/>
      <c r="F379" s="56" t="str">
        <f t="shared" si="7"/>
        <v/>
      </c>
      <c r="G379" s="55" t="str">
        <f t="shared" si="8"/>
        <v/>
      </c>
      <c r="H379" s="57" t="str">
        <f t="shared" si="9"/>
        <v/>
      </c>
      <c r="I379" s="58" t="str">
        <f t="shared" si="10"/>
        <v/>
      </c>
      <c r="J379" s="55" t="str">
        <f t="shared" si="11"/>
        <v/>
      </c>
      <c r="K379" s="59" t="str">
        <f t="shared" si="12"/>
        <v/>
      </c>
      <c r="L379" s="59" t="str">
        <f>IF(NOT(ISERROR(VLOOKUP(B379,Deflatores!G$42:H$64,2,FALSE))),VLOOKUP(B379,Deflatores!G$42:H$64,2,FALSE),IF(OR(ISBLANK(C379),ISBLANK(B379)),"",VLOOKUP(C379,Deflatores!G$4:H$38,2,FALSE)*H379+VLOOKUP(C379,Deflatores!G$4:I$38,3,FALSE)))</f>
        <v/>
      </c>
      <c r="M379" s="60"/>
      <c r="N379" s="60"/>
      <c r="O379" s="61"/>
    </row>
    <row r="380" ht="12.0" customHeight="1">
      <c r="A380" s="53"/>
      <c r="B380" s="54"/>
      <c r="C380" s="54"/>
      <c r="D380" s="55"/>
      <c r="E380" s="55"/>
      <c r="F380" s="56" t="str">
        <f t="shared" si="7"/>
        <v/>
      </c>
      <c r="G380" s="55" t="str">
        <f t="shared" si="8"/>
        <v/>
      </c>
      <c r="H380" s="57" t="str">
        <f t="shared" si="9"/>
        <v/>
      </c>
      <c r="I380" s="58" t="str">
        <f t="shared" si="10"/>
        <v/>
      </c>
      <c r="J380" s="55" t="str">
        <f t="shared" si="11"/>
        <v/>
      </c>
      <c r="K380" s="59" t="str">
        <f t="shared" si="12"/>
        <v/>
      </c>
      <c r="L380" s="59" t="str">
        <f>IF(NOT(ISERROR(VLOOKUP(B380,Deflatores!G$42:H$64,2,FALSE))),VLOOKUP(B380,Deflatores!G$42:H$64,2,FALSE),IF(OR(ISBLANK(C380),ISBLANK(B380)),"",VLOOKUP(C380,Deflatores!G$4:H$38,2,FALSE)*H380+VLOOKUP(C380,Deflatores!G$4:I$38,3,FALSE)))</f>
        <v/>
      </c>
      <c r="M380" s="60"/>
      <c r="N380" s="60"/>
      <c r="O380" s="61"/>
    </row>
    <row r="381" ht="12.0" customHeight="1">
      <c r="A381" s="53"/>
      <c r="B381" s="54"/>
      <c r="C381" s="54"/>
      <c r="D381" s="55"/>
      <c r="E381" s="55"/>
      <c r="F381" s="56" t="str">
        <f t="shared" si="7"/>
        <v/>
      </c>
      <c r="G381" s="55" t="str">
        <f t="shared" si="8"/>
        <v/>
      </c>
      <c r="H381" s="57" t="str">
        <f t="shared" si="9"/>
        <v/>
      </c>
      <c r="I381" s="58" t="str">
        <f t="shared" si="10"/>
        <v/>
      </c>
      <c r="J381" s="55" t="str">
        <f t="shared" si="11"/>
        <v/>
      </c>
      <c r="K381" s="59" t="str">
        <f t="shared" si="12"/>
        <v/>
      </c>
      <c r="L381" s="59" t="str">
        <f>IF(NOT(ISERROR(VLOOKUP(B381,Deflatores!G$42:H$64,2,FALSE))),VLOOKUP(B381,Deflatores!G$42:H$64,2,FALSE),IF(OR(ISBLANK(C381),ISBLANK(B381)),"",VLOOKUP(C381,Deflatores!G$4:H$38,2,FALSE)*H381+VLOOKUP(C381,Deflatores!G$4:I$38,3,FALSE)))</f>
        <v/>
      </c>
      <c r="M381" s="60"/>
      <c r="N381" s="60"/>
      <c r="O381" s="61"/>
    </row>
    <row r="382" ht="12.0" customHeight="1">
      <c r="A382" s="53"/>
      <c r="B382" s="54"/>
      <c r="C382" s="54"/>
      <c r="D382" s="55"/>
      <c r="E382" s="55"/>
      <c r="F382" s="56" t="str">
        <f t="shared" si="7"/>
        <v/>
      </c>
      <c r="G382" s="55" t="str">
        <f t="shared" si="8"/>
        <v/>
      </c>
      <c r="H382" s="57" t="str">
        <f t="shared" si="9"/>
        <v/>
      </c>
      <c r="I382" s="58" t="str">
        <f t="shared" si="10"/>
        <v/>
      </c>
      <c r="J382" s="55" t="str">
        <f t="shared" si="11"/>
        <v/>
      </c>
      <c r="K382" s="59" t="str">
        <f t="shared" si="12"/>
        <v/>
      </c>
      <c r="L382" s="59" t="str">
        <f>IF(NOT(ISERROR(VLOOKUP(B382,Deflatores!G$42:H$64,2,FALSE))),VLOOKUP(B382,Deflatores!G$42:H$64,2,FALSE),IF(OR(ISBLANK(C382),ISBLANK(B382)),"",VLOOKUP(C382,Deflatores!G$4:H$38,2,FALSE)*H382+VLOOKUP(C382,Deflatores!G$4:I$38,3,FALSE)))</f>
        <v/>
      </c>
      <c r="M382" s="60"/>
      <c r="N382" s="60"/>
      <c r="O382" s="61"/>
    </row>
    <row r="383" ht="12.0" customHeight="1">
      <c r="A383" s="53"/>
      <c r="B383" s="54"/>
      <c r="C383" s="54"/>
      <c r="D383" s="55"/>
      <c r="E383" s="55"/>
      <c r="F383" s="56" t="str">
        <f t="shared" si="7"/>
        <v/>
      </c>
      <c r="G383" s="55" t="str">
        <f t="shared" si="8"/>
        <v/>
      </c>
      <c r="H383" s="57" t="str">
        <f t="shared" si="9"/>
        <v/>
      </c>
      <c r="I383" s="58" t="str">
        <f t="shared" si="10"/>
        <v/>
      </c>
      <c r="J383" s="55" t="str">
        <f t="shared" si="11"/>
        <v/>
      </c>
      <c r="K383" s="59" t="str">
        <f t="shared" si="12"/>
        <v/>
      </c>
      <c r="L383" s="59" t="str">
        <f>IF(NOT(ISERROR(VLOOKUP(B383,Deflatores!G$42:H$64,2,FALSE))),VLOOKUP(B383,Deflatores!G$42:H$64,2,FALSE),IF(OR(ISBLANK(C383),ISBLANK(B383)),"",VLOOKUP(C383,Deflatores!G$4:H$38,2,FALSE)*H383+VLOOKUP(C383,Deflatores!G$4:I$38,3,FALSE)))</f>
        <v/>
      </c>
      <c r="M383" s="60"/>
      <c r="N383" s="60"/>
      <c r="O383" s="61"/>
    </row>
    <row r="384" ht="12.0" customHeight="1">
      <c r="A384" s="53"/>
      <c r="B384" s="54"/>
      <c r="C384" s="54"/>
      <c r="D384" s="55"/>
      <c r="E384" s="55"/>
      <c r="F384" s="56" t="str">
        <f t="shared" si="7"/>
        <v/>
      </c>
      <c r="G384" s="55" t="str">
        <f t="shared" si="8"/>
        <v/>
      </c>
      <c r="H384" s="57" t="str">
        <f t="shared" si="9"/>
        <v/>
      </c>
      <c r="I384" s="58" t="str">
        <f t="shared" si="10"/>
        <v/>
      </c>
      <c r="J384" s="55" t="str">
        <f t="shared" si="11"/>
        <v/>
      </c>
      <c r="K384" s="59" t="str">
        <f t="shared" si="12"/>
        <v/>
      </c>
      <c r="L384" s="59" t="str">
        <f>IF(NOT(ISERROR(VLOOKUP(B384,Deflatores!G$42:H$64,2,FALSE))),VLOOKUP(B384,Deflatores!G$42:H$64,2,FALSE),IF(OR(ISBLANK(C384),ISBLANK(B384)),"",VLOOKUP(C384,Deflatores!G$4:H$38,2,FALSE)*H384+VLOOKUP(C384,Deflatores!G$4:I$38,3,FALSE)))</f>
        <v/>
      </c>
      <c r="M384" s="60"/>
      <c r="N384" s="60"/>
      <c r="O384" s="61"/>
    </row>
    <row r="385" ht="12.0" customHeight="1">
      <c r="A385" s="68"/>
      <c r="B385" s="54"/>
      <c r="C385" s="54"/>
      <c r="D385" s="55"/>
      <c r="E385" s="55"/>
      <c r="F385" s="56" t="str">
        <f t="shared" si="7"/>
        <v/>
      </c>
      <c r="G385" s="55" t="str">
        <f t="shared" si="8"/>
        <v/>
      </c>
      <c r="H385" s="57" t="str">
        <f t="shared" si="9"/>
        <v/>
      </c>
      <c r="I385" s="58" t="str">
        <f t="shared" si="10"/>
        <v/>
      </c>
      <c r="J385" s="55" t="str">
        <f t="shared" si="11"/>
        <v/>
      </c>
      <c r="K385" s="59" t="str">
        <f t="shared" si="12"/>
        <v/>
      </c>
      <c r="L385" s="59" t="str">
        <f>IF(NOT(ISERROR(VLOOKUP(B385,Deflatores!G$42:H$64,2,FALSE))),VLOOKUP(B385,Deflatores!G$42:H$64,2,FALSE),IF(OR(ISBLANK(C385),ISBLANK(B385)),"",VLOOKUP(C385,Deflatores!G$4:H$38,2,FALSE)*H385+VLOOKUP(C385,Deflatores!G$4:I$38,3,FALSE)))</f>
        <v/>
      </c>
      <c r="M385" s="60"/>
      <c r="N385" s="60"/>
      <c r="O385" s="61"/>
    </row>
    <row r="386" ht="12.0" customHeight="1">
      <c r="A386" s="53"/>
      <c r="B386" s="54"/>
      <c r="C386" s="54"/>
      <c r="D386" s="55"/>
      <c r="E386" s="55"/>
      <c r="F386" s="56" t="str">
        <f t="shared" si="7"/>
        <v/>
      </c>
      <c r="G386" s="55" t="str">
        <f t="shared" si="8"/>
        <v/>
      </c>
      <c r="H386" s="57" t="str">
        <f t="shared" si="9"/>
        <v/>
      </c>
      <c r="I386" s="58" t="str">
        <f t="shared" si="10"/>
        <v/>
      </c>
      <c r="J386" s="55" t="str">
        <f t="shared" si="11"/>
        <v/>
      </c>
      <c r="K386" s="59" t="str">
        <f t="shared" si="12"/>
        <v/>
      </c>
      <c r="L386" s="59" t="str">
        <f>IF(NOT(ISERROR(VLOOKUP(B386,Deflatores!G$42:H$64,2,FALSE))),VLOOKUP(B386,Deflatores!G$42:H$64,2,FALSE),IF(OR(ISBLANK(C386),ISBLANK(B386)),"",VLOOKUP(C386,Deflatores!G$4:H$38,2,FALSE)*H386+VLOOKUP(C386,Deflatores!G$4:I$38,3,FALSE)))</f>
        <v/>
      </c>
      <c r="M386" s="60"/>
      <c r="N386" s="60"/>
      <c r="O386" s="61"/>
    </row>
    <row r="387" ht="12.0" customHeight="1">
      <c r="A387" s="53"/>
      <c r="B387" s="54"/>
      <c r="C387" s="54"/>
      <c r="D387" s="55"/>
      <c r="E387" s="55"/>
      <c r="F387" s="56" t="str">
        <f t="shared" si="7"/>
        <v/>
      </c>
      <c r="G387" s="55" t="str">
        <f t="shared" si="8"/>
        <v/>
      </c>
      <c r="H387" s="57" t="str">
        <f t="shared" si="9"/>
        <v/>
      </c>
      <c r="I387" s="58" t="str">
        <f t="shared" si="10"/>
        <v/>
      </c>
      <c r="J387" s="55" t="str">
        <f t="shared" si="11"/>
        <v/>
      </c>
      <c r="K387" s="59" t="str">
        <f t="shared" si="12"/>
        <v/>
      </c>
      <c r="L387" s="59" t="str">
        <f>IF(NOT(ISERROR(VLOOKUP(B387,Deflatores!G$42:H$64,2,FALSE))),VLOOKUP(B387,Deflatores!G$42:H$64,2,FALSE),IF(OR(ISBLANK(C387),ISBLANK(B387)),"",VLOOKUP(C387,Deflatores!G$4:H$38,2,FALSE)*H387+VLOOKUP(C387,Deflatores!G$4:I$38,3,FALSE)))</f>
        <v/>
      </c>
      <c r="M387" s="60"/>
      <c r="N387" s="60"/>
      <c r="O387" s="61"/>
    </row>
    <row r="388" ht="12.0" customHeight="1">
      <c r="A388" s="53"/>
      <c r="B388" s="54"/>
      <c r="C388" s="54"/>
      <c r="D388" s="55"/>
      <c r="E388" s="55"/>
      <c r="F388" s="56" t="str">
        <f t="shared" si="7"/>
        <v/>
      </c>
      <c r="G388" s="55" t="str">
        <f t="shared" si="8"/>
        <v/>
      </c>
      <c r="H388" s="57" t="str">
        <f t="shared" si="9"/>
        <v/>
      </c>
      <c r="I388" s="58" t="str">
        <f t="shared" si="10"/>
        <v/>
      </c>
      <c r="J388" s="55" t="str">
        <f t="shared" si="11"/>
        <v/>
      </c>
      <c r="K388" s="59" t="str">
        <f t="shared" si="12"/>
        <v/>
      </c>
      <c r="L388" s="59" t="str">
        <f>IF(NOT(ISERROR(VLOOKUP(B388,Deflatores!G$42:H$64,2,FALSE))),VLOOKUP(B388,Deflatores!G$42:H$64,2,FALSE),IF(OR(ISBLANK(C388),ISBLANK(B388)),"",VLOOKUP(C388,Deflatores!G$4:H$38,2,FALSE)*H388+VLOOKUP(C388,Deflatores!G$4:I$38,3,FALSE)))</f>
        <v/>
      </c>
      <c r="M388" s="60"/>
      <c r="N388" s="60"/>
      <c r="O388" s="61"/>
    </row>
    <row r="389" ht="12.0" customHeight="1">
      <c r="A389" s="53"/>
      <c r="B389" s="54"/>
      <c r="C389" s="54"/>
      <c r="D389" s="55"/>
      <c r="E389" s="55"/>
      <c r="F389" s="56" t="str">
        <f t="shared" si="7"/>
        <v/>
      </c>
      <c r="G389" s="55" t="str">
        <f t="shared" si="8"/>
        <v/>
      </c>
      <c r="H389" s="57" t="str">
        <f t="shared" si="9"/>
        <v/>
      </c>
      <c r="I389" s="58" t="str">
        <f t="shared" si="10"/>
        <v/>
      </c>
      <c r="J389" s="55" t="str">
        <f t="shared" si="11"/>
        <v/>
      </c>
      <c r="K389" s="59" t="str">
        <f t="shared" si="12"/>
        <v/>
      </c>
      <c r="L389" s="59" t="str">
        <f>IF(NOT(ISERROR(VLOOKUP(B389,Deflatores!G$42:H$64,2,FALSE))),VLOOKUP(B389,Deflatores!G$42:H$64,2,FALSE),IF(OR(ISBLANK(C389),ISBLANK(B389)),"",VLOOKUP(C389,Deflatores!G$4:H$38,2,FALSE)*H389+VLOOKUP(C389,Deflatores!G$4:I$38,3,FALSE)))</f>
        <v/>
      </c>
      <c r="M389" s="60"/>
      <c r="N389" s="60"/>
      <c r="O389" s="61"/>
    </row>
    <row r="390" ht="12.0" customHeight="1">
      <c r="A390" s="53"/>
      <c r="B390" s="54"/>
      <c r="C390" s="54"/>
      <c r="D390" s="55"/>
      <c r="E390" s="55"/>
      <c r="F390" s="56" t="str">
        <f t="shared" si="7"/>
        <v/>
      </c>
      <c r="G390" s="55" t="str">
        <f t="shared" si="8"/>
        <v/>
      </c>
      <c r="H390" s="57" t="str">
        <f t="shared" si="9"/>
        <v/>
      </c>
      <c r="I390" s="58" t="str">
        <f t="shared" si="10"/>
        <v/>
      </c>
      <c r="J390" s="55" t="str">
        <f t="shared" si="11"/>
        <v/>
      </c>
      <c r="K390" s="59" t="str">
        <f t="shared" si="12"/>
        <v/>
      </c>
      <c r="L390" s="59" t="str">
        <f>IF(NOT(ISERROR(VLOOKUP(B390,Deflatores!G$42:H$64,2,FALSE))),VLOOKUP(B390,Deflatores!G$42:H$64,2,FALSE),IF(OR(ISBLANK(C390),ISBLANK(B390)),"",VLOOKUP(C390,Deflatores!G$4:H$38,2,FALSE)*H390+VLOOKUP(C390,Deflatores!G$4:I$38,3,FALSE)))</f>
        <v/>
      </c>
      <c r="M390" s="60"/>
      <c r="N390" s="60"/>
      <c r="O390" s="61"/>
    </row>
    <row r="391" ht="13.5" customHeight="1">
      <c r="A391" s="53"/>
      <c r="B391" s="54"/>
      <c r="C391" s="54"/>
      <c r="D391" s="55"/>
      <c r="E391" s="55"/>
      <c r="F391" s="56" t="str">
        <f t="shared" si="7"/>
        <v/>
      </c>
      <c r="G391" s="55" t="str">
        <f t="shared" si="8"/>
        <v/>
      </c>
      <c r="H391" s="57" t="str">
        <f t="shared" si="9"/>
        <v/>
      </c>
      <c r="I391" s="58" t="str">
        <f t="shared" si="10"/>
        <v/>
      </c>
      <c r="J391" s="55" t="str">
        <f t="shared" si="11"/>
        <v/>
      </c>
      <c r="K391" s="59" t="str">
        <f t="shared" si="12"/>
        <v/>
      </c>
      <c r="L391" s="59" t="str">
        <f>IF(NOT(ISERROR(VLOOKUP(B391,Deflatores!G$42:H$64,2,FALSE))),VLOOKUP(B391,Deflatores!G$42:H$64,2,FALSE),IF(OR(ISBLANK(C391),ISBLANK(B391)),"",VLOOKUP(C391,Deflatores!G$4:H$38,2,FALSE)*H391+VLOOKUP(C391,Deflatores!G$4:I$38,3,FALSE)))</f>
        <v/>
      </c>
      <c r="M391" s="60"/>
      <c r="N391" s="60"/>
      <c r="O391" s="61"/>
    </row>
    <row r="392" ht="14.25" customHeight="1">
      <c r="A392" s="53"/>
      <c r="B392" s="54"/>
      <c r="C392" s="54"/>
      <c r="D392" s="55"/>
      <c r="E392" s="55"/>
      <c r="F392" s="56" t="str">
        <f t="shared" si="7"/>
        <v/>
      </c>
      <c r="G392" s="55" t="str">
        <f t="shared" si="8"/>
        <v/>
      </c>
      <c r="H392" s="57" t="str">
        <f t="shared" si="9"/>
        <v/>
      </c>
      <c r="I392" s="58" t="str">
        <f t="shared" si="10"/>
        <v/>
      </c>
      <c r="J392" s="55" t="str">
        <f t="shared" si="11"/>
        <v/>
      </c>
      <c r="K392" s="59" t="str">
        <f t="shared" si="12"/>
        <v/>
      </c>
      <c r="L392" s="59" t="str">
        <f>IF(NOT(ISERROR(VLOOKUP(B392,Deflatores!G$42:H$64,2,FALSE))),VLOOKUP(B392,Deflatores!G$42:H$64,2,FALSE),IF(OR(ISBLANK(C392),ISBLANK(B392)),"",VLOOKUP(C392,Deflatores!G$4:H$38,2,FALSE)*H392+VLOOKUP(C392,Deflatores!G$4:I$38,3,FALSE)))</f>
        <v/>
      </c>
      <c r="M392" s="60"/>
      <c r="N392" s="60"/>
      <c r="O392" s="61"/>
    </row>
    <row r="393" ht="15.0" customHeight="1">
      <c r="A393" s="53"/>
      <c r="B393" s="54"/>
      <c r="C393" s="54"/>
      <c r="D393" s="55"/>
      <c r="E393" s="55"/>
      <c r="F393" s="56" t="str">
        <f t="shared" si="7"/>
        <v/>
      </c>
      <c r="G393" s="55" t="str">
        <f t="shared" si="8"/>
        <v/>
      </c>
      <c r="H393" s="57" t="str">
        <f t="shared" si="9"/>
        <v/>
      </c>
      <c r="I393" s="58" t="str">
        <f t="shared" si="10"/>
        <v/>
      </c>
      <c r="J393" s="55" t="str">
        <f t="shared" si="11"/>
        <v/>
      </c>
      <c r="K393" s="59" t="str">
        <f t="shared" si="12"/>
        <v/>
      </c>
      <c r="L393" s="59" t="str">
        <f>IF(NOT(ISERROR(VLOOKUP(B393,Deflatores!G$42:H$64,2,FALSE))),VLOOKUP(B393,Deflatores!G$42:H$64,2,FALSE),IF(OR(ISBLANK(C393),ISBLANK(B393)),"",VLOOKUP(C393,Deflatores!G$4:H$38,2,FALSE)*H393+VLOOKUP(C393,Deflatores!G$4:I$38,3,FALSE)))</f>
        <v/>
      </c>
      <c r="M393" s="60"/>
      <c r="N393" s="60"/>
      <c r="O393" s="61"/>
    </row>
    <row r="394" ht="12.0" customHeight="1">
      <c r="A394" s="53"/>
      <c r="B394" s="54"/>
      <c r="C394" s="54"/>
      <c r="D394" s="55"/>
      <c r="E394" s="55"/>
      <c r="F394" s="56" t="str">
        <f t="shared" si="7"/>
        <v/>
      </c>
      <c r="G394" s="55" t="str">
        <f t="shared" si="8"/>
        <v/>
      </c>
      <c r="H394" s="57" t="str">
        <f t="shared" si="9"/>
        <v/>
      </c>
      <c r="I394" s="58" t="str">
        <f t="shared" si="10"/>
        <v/>
      </c>
      <c r="J394" s="55" t="str">
        <f t="shared" si="11"/>
        <v/>
      </c>
      <c r="K394" s="59" t="str">
        <f t="shared" si="12"/>
        <v/>
      </c>
      <c r="L394" s="59" t="str">
        <f>IF(NOT(ISERROR(VLOOKUP(B394,Deflatores!G$42:H$64,2,FALSE))),VLOOKUP(B394,Deflatores!G$42:H$64,2,FALSE),IF(OR(ISBLANK(C394),ISBLANK(B394)),"",VLOOKUP(C394,Deflatores!G$4:H$38,2,FALSE)*H394+VLOOKUP(C394,Deflatores!G$4:I$38,3,FALSE)))</f>
        <v/>
      </c>
      <c r="M394" s="60"/>
      <c r="N394" s="60"/>
      <c r="O394" s="61"/>
    </row>
    <row r="395" ht="12.0" customHeight="1">
      <c r="A395" s="53"/>
      <c r="B395" s="54"/>
      <c r="C395" s="54"/>
      <c r="D395" s="55"/>
      <c r="E395" s="55"/>
      <c r="F395" s="56" t="str">
        <f t="shared" si="7"/>
        <v/>
      </c>
      <c r="G395" s="55" t="str">
        <f t="shared" si="8"/>
        <v/>
      </c>
      <c r="H395" s="57" t="str">
        <f t="shared" si="9"/>
        <v/>
      </c>
      <c r="I395" s="58" t="str">
        <f t="shared" si="10"/>
        <v/>
      </c>
      <c r="J395" s="55" t="str">
        <f t="shared" si="11"/>
        <v/>
      </c>
      <c r="K395" s="59" t="str">
        <f t="shared" si="12"/>
        <v/>
      </c>
      <c r="L395" s="59" t="str">
        <f>IF(NOT(ISERROR(VLOOKUP(B395,Deflatores!G$42:H$64,2,FALSE))),VLOOKUP(B395,Deflatores!G$42:H$64,2,FALSE),IF(OR(ISBLANK(C395),ISBLANK(B395)),"",VLOOKUP(C395,Deflatores!G$4:H$38,2,FALSE)*H395+VLOOKUP(C395,Deflatores!G$4:I$38,3,FALSE)))</f>
        <v/>
      </c>
      <c r="M395" s="60"/>
      <c r="N395" s="60"/>
      <c r="O395" s="61"/>
    </row>
    <row r="396" ht="12.0" customHeight="1">
      <c r="A396" s="53"/>
      <c r="B396" s="54"/>
      <c r="C396" s="54"/>
      <c r="D396" s="55"/>
      <c r="E396" s="55"/>
      <c r="F396" s="56" t="str">
        <f t="shared" si="7"/>
        <v/>
      </c>
      <c r="G396" s="55" t="str">
        <f t="shared" si="8"/>
        <v/>
      </c>
      <c r="H396" s="57" t="str">
        <f t="shared" si="9"/>
        <v/>
      </c>
      <c r="I396" s="58" t="str">
        <f t="shared" si="10"/>
        <v/>
      </c>
      <c r="J396" s="55" t="str">
        <f t="shared" si="11"/>
        <v/>
      </c>
      <c r="K396" s="59" t="str">
        <f t="shared" si="12"/>
        <v/>
      </c>
      <c r="L396" s="59" t="str">
        <f>IF(NOT(ISERROR(VLOOKUP(B396,Deflatores!G$42:H$64,2,FALSE))),VLOOKUP(B396,Deflatores!G$42:H$64,2,FALSE),IF(OR(ISBLANK(C396),ISBLANK(B396)),"",VLOOKUP(C396,Deflatores!G$4:H$38,2,FALSE)*H396+VLOOKUP(C396,Deflatores!G$4:I$38,3,FALSE)))</f>
        <v/>
      </c>
      <c r="M396" s="60"/>
      <c r="N396" s="60"/>
      <c r="O396" s="61"/>
    </row>
    <row r="397" ht="12.0" customHeight="1">
      <c r="A397" s="53"/>
      <c r="B397" s="54"/>
      <c r="C397" s="54"/>
      <c r="D397" s="55"/>
      <c r="E397" s="55"/>
      <c r="F397" s="56" t="str">
        <f t="shared" si="7"/>
        <v/>
      </c>
      <c r="G397" s="55" t="str">
        <f t="shared" si="8"/>
        <v/>
      </c>
      <c r="H397" s="57" t="str">
        <f t="shared" si="9"/>
        <v/>
      </c>
      <c r="I397" s="58" t="str">
        <f t="shared" si="10"/>
        <v/>
      </c>
      <c r="J397" s="55" t="str">
        <f t="shared" si="11"/>
        <v/>
      </c>
      <c r="K397" s="59" t="str">
        <f t="shared" si="12"/>
        <v/>
      </c>
      <c r="L397" s="59" t="str">
        <f>IF(NOT(ISERROR(VLOOKUP(B397,Deflatores!G$42:H$64,2,FALSE))),VLOOKUP(B397,Deflatores!G$42:H$64,2,FALSE),IF(OR(ISBLANK(C397),ISBLANK(B397)),"",VLOOKUP(C397,Deflatores!G$4:H$38,2,FALSE)*H397+VLOOKUP(C397,Deflatores!G$4:I$38,3,FALSE)))</f>
        <v/>
      </c>
      <c r="M397" s="60"/>
      <c r="N397" s="60"/>
      <c r="O397" s="61"/>
    </row>
    <row r="398" ht="12.0" customHeight="1">
      <c r="A398" s="53"/>
      <c r="B398" s="54"/>
      <c r="C398" s="54"/>
      <c r="D398" s="55"/>
      <c r="E398" s="55"/>
      <c r="F398" s="56" t="str">
        <f t="shared" si="7"/>
        <v/>
      </c>
      <c r="G398" s="55" t="str">
        <f t="shared" si="8"/>
        <v/>
      </c>
      <c r="H398" s="57" t="str">
        <f t="shared" si="9"/>
        <v/>
      </c>
      <c r="I398" s="58" t="str">
        <f t="shared" si="10"/>
        <v/>
      </c>
      <c r="J398" s="55" t="str">
        <f t="shared" si="11"/>
        <v/>
      </c>
      <c r="K398" s="59" t="str">
        <f t="shared" si="12"/>
        <v/>
      </c>
      <c r="L398" s="59" t="str">
        <f>IF(NOT(ISERROR(VLOOKUP(B398,Deflatores!G$42:H$64,2,FALSE))),VLOOKUP(B398,Deflatores!G$42:H$64,2,FALSE),IF(OR(ISBLANK(C398),ISBLANK(B398)),"",VLOOKUP(C398,Deflatores!G$4:H$38,2,FALSE)*H398+VLOOKUP(C398,Deflatores!G$4:I$38,3,FALSE)))</f>
        <v/>
      </c>
      <c r="M398" s="60"/>
      <c r="N398" s="60"/>
      <c r="O398" s="61"/>
    </row>
    <row r="399" ht="12.0" customHeight="1">
      <c r="A399" s="53"/>
      <c r="B399" s="54"/>
      <c r="C399" s="54"/>
      <c r="D399" s="55"/>
      <c r="E399" s="55"/>
      <c r="F399" s="56" t="str">
        <f t="shared" si="7"/>
        <v/>
      </c>
      <c r="G399" s="55" t="str">
        <f t="shared" si="8"/>
        <v/>
      </c>
      <c r="H399" s="57" t="str">
        <f t="shared" si="9"/>
        <v/>
      </c>
      <c r="I399" s="58" t="str">
        <f t="shared" si="10"/>
        <v/>
      </c>
      <c r="J399" s="55" t="str">
        <f t="shared" si="11"/>
        <v/>
      </c>
      <c r="K399" s="59" t="str">
        <f t="shared" si="12"/>
        <v/>
      </c>
      <c r="L399" s="59" t="str">
        <f>IF(NOT(ISERROR(VLOOKUP(B399,Deflatores!G$42:H$64,2,FALSE))),VLOOKUP(B399,Deflatores!G$42:H$64,2,FALSE),IF(OR(ISBLANK(C399),ISBLANK(B399)),"",VLOOKUP(C399,Deflatores!G$4:H$38,2,FALSE)*H399+VLOOKUP(C399,Deflatores!G$4:I$38,3,FALSE)))</f>
        <v/>
      </c>
      <c r="M399" s="60"/>
      <c r="N399" s="60"/>
      <c r="O399" s="61"/>
    </row>
    <row r="400" ht="12.0" customHeight="1">
      <c r="A400" s="53"/>
      <c r="B400" s="54"/>
      <c r="C400" s="54"/>
      <c r="D400" s="55"/>
      <c r="E400" s="55"/>
      <c r="F400" s="56" t="str">
        <f t="shared" si="7"/>
        <v/>
      </c>
      <c r="G400" s="55" t="str">
        <f t="shared" si="8"/>
        <v/>
      </c>
      <c r="H400" s="57" t="str">
        <f t="shared" si="9"/>
        <v/>
      </c>
      <c r="I400" s="58" t="str">
        <f t="shared" si="10"/>
        <v/>
      </c>
      <c r="J400" s="55" t="str">
        <f t="shared" si="11"/>
        <v/>
      </c>
      <c r="K400" s="59" t="str">
        <f t="shared" si="12"/>
        <v/>
      </c>
      <c r="L400" s="59" t="str">
        <f>IF(NOT(ISERROR(VLOOKUP(B400,Deflatores!G$42:H$64,2,FALSE))),VLOOKUP(B400,Deflatores!G$42:H$64,2,FALSE),IF(OR(ISBLANK(C400),ISBLANK(B400)),"",VLOOKUP(C400,Deflatores!G$4:H$38,2,FALSE)*H400+VLOOKUP(C400,Deflatores!G$4:I$38,3,FALSE)))</f>
        <v/>
      </c>
      <c r="M400" s="60"/>
      <c r="N400" s="60"/>
      <c r="O400" s="61"/>
    </row>
    <row r="401" ht="12.0" customHeight="1">
      <c r="A401" s="53"/>
      <c r="B401" s="54"/>
      <c r="C401" s="54"/>
      <c r="D401" s="55"/>
      <c r="E401" s="55"/>
      <c r="F401" s="56" t="str">
        <f t="shared" si="7"/>
        <v/>
      </c>
      <c r="G401" s="55" t="str">
        <f t="shared" si="8"/>
        <v/>
      </c>
      <c r="H401" s="57" t="str">
        <f t="shared" si="9"/>
        <v/>
      </c>
      <c r="I401" s="58" t="str">
        <f t="shared" si="10"/>
        <v/>
      </c>
      <c r="J401" s="55" t="str">
        <f t="shared" si="11"/>
        <v/>
      </c>
      <c r="K401" s="59" t="str">
        <f t="shared" si="12"/>
        <v/>
      </c>
      <c r="L401" s="59" t="str">
        <f>IF(NOT(ISERROR(VLOOKUP(B401,Deflatores!G$42:H$64,2,FALSE))),VLOOKUP(B401,Deflatores!G$42:H$64,2,FALSE),IF(OR(ISBLANK(C401),ISBLANK(B401)),"",VLOOKUP(C401,Deflatores!G$4:H$38,2,FALSE)*H401+VLOOKUP(C401,Deflatores!G$4:I$38,3,FALSE)))</f>
        <v/>
      </c>
      <c r="M401" s="60"/>
      <c r="N401" s="60"/>
      <c r="O401" s="61"/>
    </row>
    <row r="402" ht="12.0" customHeight="1">
      <c r="A402" s="62"/>
      <c r="B402" s="54"/>
      <c r="C402" s="54"/>
      <c r="D402" s="55"/>
      <c r="E402" s="55"/>
      <c r="F402" s="56" t="str">
        <f t="shared" si="7"/>
        <v/>
      </c>
      <c r="G402" s="55" t="str">
        <f t="shared" si="8"/>
        <v/>
      </c>
      <c r="H402" s="57" t="str">
        <f t="shared" si="9"/>
        <v/>
      </c>
      <c r="I402" s="58" t="str">
        <f t="shared" si="10"/>
        <v/>
      </c>
      <c r="J402" s="55" t="str">
        <f t="shared" si="11"/>
        <v/>
      </c>
      <c r="K402" s="59" t="str">
        <f t="shared" si="12"/>
        <v/>
      </c>
      <c r="L402" s="59" t="str">
        <f>IF(NOT(ISERROR(VLOOKUP(B402,Deflatores!G$42:H$64,2,FALSE))),VLOOKUP(B402,Deflatores!G$42:H$64,2,FALSE),IF(OR(ISBLANK(C402),ISBLANK(B402)),"",VLOOKUP(C402,Deflatores!G$4:H$38,2,FALSE)*H402+VLOOKUP(C402,Deflatores!G$4:I$38,3,FALSE)))</f>
        <v/>
      </c>
      <c r="M402" s="60"/>
      <c r="N402" s="60"/>
      <c r="O402" s="61"/>
    </row>
    <row r="403" ht="12.0" customHeight="1">
      <c r="A403" s="68"/>
      <c r="B403" s="54"/>
      <c r="C403" s="54"/>
      <c r="D403" s="55"/>
      <c r="E403" s="55"/>
      <c r="F403" s="56" t="str">
        <f t="shared" si="7"/>
        <v/>
      </c>
      <c r="G403" s="55" t="str">
        <f t="shared" si="8"/>
        <v/>
      </c>
      <c r="H403" s="57" t="str">
        <f t="shared" si="9"/>
        <v/>
      </c>
      <c r="I403" s="58" t="str">
        <f t="shared" si="10"/>
        <v/>
      </c>
      <c r="J403" s="55" t="str">
        <f t="shared" si="11"/>
        <v/>
      </c>
      <c r="K403" s="59" t="str">
        <f t="shared" si="12"/>
        <v/>
      </c>
      <c r="L403" s="59" t="str">
        <f>IF(NOT(ISERROR(VLOOKUP(B403,Deflatores!G$42:H$64,2,FALSE))),VLOOKUP(B403,Deflatores!G$42:H$64,2,FALSE),IF(OR(ISBLANK(C403),ISBLANK(B403)),"",VLOOKUP(C403,Deflatores!G$4:H$38,2,FALSE)*H403+VLOOKUP(C403,Deflatores!G$4:I$38,3,FALSE)))</f>
        <v/>
      </c>
      <c r="M403" s="60"/>
      <c r="N403" s="60"/>
      <c r="O403" s="61"/>
    </row>
    <row r="404" ht="12.0" customHeight="1">
      <c r="A404" s="53"/>
      <c r="B404" s="54"/>
      <c r="C404" s="54"/>
      <c r="D404" s="55"/>
      <c r="E404" s="55"/>
      <c r="F404" s="56" t="str">
        <f t="shared" si="7"/>
        <v/>
      </c>
      <c r="G404" s="55" t="str">
        <f t="shared" si="8"/>
        <v/>
      </c>
      <c r="H404" s="57" t="str">
        <f t="shared" si="9"/>
        <v/>
      </c>
      <c r="I404" s="58" t="str">
        <f t="shared" si="10"/>
        <v/>
      </c>
      <c r="J404" s="55" t="str">
        <f t="shared" si="11"/>
        <v/>
      </c>
      <c r="K404" s="59" t="str">
        <f t="shared" si="12"/>
        <v/>
      </c>
      <c r="L404" s="59" t="str">
        <f>IF(NOT(ISERROR(VLOOKUP(B404,Deflatores!G$42:H$64,2,FALSE))),VLOOKUP(B404,Deflatores!G$42:H$64,2,FALSE),IF(OR(ISBLANK(C404),ISBLANK(B404)),"",VLOOKUP(C404,Deflatores!G$4:H$38,2,FALSE)*H404+VLOOKUP(C404,Deflatores!G$4:I$38,3,FALSE)))</f>
        <v/>
      </c>
      <c r="M404" s="60"/>
      <c r="N404" s="60"/>
      <c r="O404" s="61"/>
    </row>
    <row r="405" ht="12.0" customHeight="1">
      <c r="A405" s="53"/>
      <c r="B405" s="54"/>
      <c r="C405" s="54"/>
      <c r="D405" s="55"/>
      <c r="E405" s="55"/>
      <c r="F405" s="56" t="str">
        <f t="shared" si="7"/>
        <v/>
      </c>
      <c r="G405" s="55" t="str">
        <f t="shared" si="8"/>
        <v/>
      </c>
      <c r="H405" s="57" t="str">
        <f t="shared" si="9"/>
        <v/>
      </c>
      <c r="I405" s="58" t="str">
        <f t="shared" si="10"/>
        <v/>
      </c>
      <c r="J405" s="55" t="str">
        <f t="shared" si="11"/>
        <v/>
      </c>
      <c r="K405" s="59" t="str">
        <f t="shared" si="12"/>
        <v/>
      </c>
      <c r="L405" s="59" t="str">
        <f>IF(NOT(ISERROR(VLOOKUP(B405,Deflatores!G$42:H$64,2,FALSE))),VLOOKUP(B405,Deflatores!G$42:H$64,2,FALSE),IF(OR(ISBLANK(C405),ISBLANK(B405)),"",VLOOKUP(C405,Deflatores!G$4:H$38,2,FALSE)*H405+VLOOKUP(C405,Deflatores!G$4:I$38,3,FALSE)))</f>
        <v/>
      </c>
      <c r="M405" s="60"/>
      <c r="N405" s="60"/>
      <c r="O405" s="61"/>
    </row>
    <row r="406" ht="12.0" customHeight="1">
      <c r="A406" s="53"/>
      <c r="B406" s="54"/>
      <c r="C406" s="54"/>
      <c r="D406" s="55"/>
      <c r="E406" s="55"/>
      <c r="F406" s="56" t="str">
        <f t="shared" si="7"/>
        <v/>
      </c>
      <c r="G406" s="55" t="str">
        <f t="shared" si="8"/>
        <v/>
      </c>
      <c r="H406" s="57" t="str">
        <f t="shared" si="9"/>
        <v/>
      </c>
      <c r="I406" s="58" t="str">
        <f t="shared" si="10"/>
        <v/>
      </c>
      <c r="J406" s="55" t="str">
        <f t="shared" si="11"/>
        <v/>
      </c>
      <c r="K406" s="59" t="str">
        <f t="shared" si="12"/>
        <v/>
      </c>
      <c r="L406" s="59" t="str">
        <f>IF(NOT(ISERROR(VLOOKUP(B406,Deflatores!G$42:H$64,2,FALSE))),VLOOKUP(B406,Deflatores!G$42:H$64,2,FALSE),IF(OR(ISBLANK(C406),ISBLANK(B406)),"",VLOOKUP(C406,Deflatores!G$4:H$38,2,FALSE)*H406+VLOOKUP(C406,Deflatores!G$4:I$38,3,FALSE)))</f>
        <v/>
      </c>
      <c r="M406" s="60"/>
      <c r="N406" s="60"/>
      <c r="O406" s="61"/>
    </row>
    <row r="407" ht="12.0" customHeight="1">
      <c r="A407" s="68"/>
      <c r="B407" s="54"/>
      <c r="C407" s="54"/>
      <c r="D407" s="55"/>
      <c r="E407" s="55"/>
      <c r="F407" s="56" t="str">
        <f t="shared" si="7"/>
        <v/>
      </c>
      <c r="G407" s="55" t="str">
        <f t="shared" si="8"/>
        <v/>
      </c>
      <c r="H407" s="57" t="str">
        <f t="shared" si="9"/>
        <v/>
      </c>
      <c r="I407" s="58" t="str">
        <f t="shared" si="10"/>
        <v/>
      </c>
      <c r="J407" s="55" t="str">
        <f t="shared" si="11"/>
        <v/>
      </c>
      <c r="K407" s="59" t="str">
        <f t="shared" si="12"/>
        <v/>
      </c>
      <c r="L407" s="59" t="str">
        <f>IF(NOT(ISERROR(VLOOKUP(B407,Deflatores!G$42:H$64,2,FALSE))),VLOOKUP(B407,Deflatores!G$42:H$64,2,FALSE),IF(OR(ISBLANK(C407),ISBLANK(B407)),"",VLOOKUP(C407,Deflatores!G$4:H$38,2,FALSE)*H407+VLOOKUP(C407,Deflatores!G$4:I$38,3,FALSE)))</f>
        <v/>
      </c>
      <c r="M407" s="60"/>
      <c r="N407" s="60"/>
      <c r="O407" s="61"/>
    </row>
    <row r="408" ht="12.0" customHeight="1">
      <c r="A408" s="53"/>
      <c r="B408" s="54"/>
      <c r="C408" s="54"/>
      <c r="D408" s="55"/>
      <c r="E408" s="55"/>
      <c r="F408" s="56" t="str">
        <f t="shared" si="7"/>
        <v/>
      </c>
      <c r="G408" s="55" t="str">
        <f t="shared" si="8"/>
        <v/>
      </c>
      <c r="H408" s="57" t="str">
        <f t="shared" si="9"/>
        <v/>
      </c>
      <c r="I408" s="58" t="str">
        <f t="shared" si="10"/>
        <v/>
      </c>
      <c r="J408" s="55" t="str">
        <f t="shared" si="11"/>
        <v/>
      </c>
      <c r="K408" s="59" t="str">
        <f t="shared" si="12"/>
        <v/>
      </c>
      <c r="L408" s="59" t="str">
        <f>IF(NOT(ISERROR(VLOOKUP(B408,Deflatores!G$42:H$64,2,FALSE))),VLOOKUP(B408,Deflatores!G$42:H$64,2,FALSE),IF(OR(ISBLANK(C408),ISBLANK(B408)),"",VLOOKUP(C408,Deflatores!G$4:H$38,2,FALSE)*H408+VLOOKUP(C408,Deflatores!G$4:I$38,3,FALSE)))</f>
        <v/>
      </c>
      <c r="M408" s="60"/>
      <c r="N408" s="60"/>
      <c r="O408" s="61"/>
    </row>
    <row r="409" ht="12.0" customHeight="1">
      <c r="A409" s="53"/>
      <c r="B409" s="54"/>
      <c r="C409" s="54"/>
      <c r="D409" s="55"/>
      <c r="E409" s="55"/>
      <c r="F409" s="56" t="str">
        <f t="shared" si="7"/>
        <v/>
      </c>
      <c r="G409" s="55" t="str">
        <f t="shared" si="8"/>
        <v/>
      </c>
      <c r="H409" s="57" t="str">
        <f t="shared" si="9"/>
        <v/>
      </c>
      <c r="I409" s="58" t="str">
        <f t="shared" si="10"/>
        <v/>
      </c>
      <c r="J409" s="55" t="str">
        <f t="shared" si="11"/>
        <v/>
      </c>
      <c r="K409" s="59" t="str">
        <f t="shared" si="12"/>
        <v/>
      </c>
      <c r="L409" s="59" t="str">
        <f>IF(NOT(ISERROR(VLOOKUP(B409,Deflatores!G$42:H$64,2,FALSE))),VLOOKUP(B409,Deflatores!G$42:H$64,2,FALSE),IF(OR(ISBLANK(C409),ISBLANK(B409)),"",VLOOKUP(C409,Deflatores!G$4:H$38,2,FALSE)*H409+VLOOKUP(C409,Deflatores!G$4:I$38,3,FALSE)))</f>
        <v/>
      </c>
      <c r="M409" s="60"/>
      <c r="N409" s="60"/>
      <c r="O409" s="61"/>
    </row>
    <row r="410" ht="12.0" customHeight="1">
      <c r="A410" s="53"/>
      <c r="B410" s="54"/>
      <c r="C410" s="54"/>
      <c r="D410" s="55"/>
      <c r="E410" s="55"/>
      <c r="F410" s="56" t="str">
        <f t="shared" si="7"/>
        <v/>
      </c>
      <c r="G410" s="55" t="str">
        <f t="shared" si="8"/>
        <v/>
      </c>
      <c r="H410" s="57" t="str">
        <f t="shared" si="9"/>
        <v/>
      </c>
      <c r="I410" s="58" t="str">
        <f t="shared" si="10"/>
        <v/>
      </c>
      <c r="J410" s="55" t="str">
        <f t="shared" si="11"/>
        <v/>
      </c>
      <c r="K410" s="59" t="str">
        <f t="shared" si="12"/>
        <v/>
      </c>
      <c r="L410" s="59" t="str">
        <f>IF(NOT(ISERROR(VLOOKUP(B410,Deflatores!G$42:H$64,2,FALSE))),VLOOKUP(B410,Deflatores!G$42:H$64,2,FALSE),IF(OR(ISBLANK(C410),ISBLANK(B410)),"",VLOOKUP(C410,Deflatores!G$4:H$38,2,FALSE)*H410+VLOOKUP(C410,Deflatores!G$4:I$38,3,FALSE)))</f>
        <v/>
      </c>
      <c r="M410" s="60"/>
      <c r="N410" s="60"/>
      <c r="O410" s="61"/>
    </row>
    <row r="411" ht="12.0" customHeight="1">
      <c r="A411" s="53"/>
      <c r="B411" s="54"/>
      <c r="C411" s="54"/>
      <c r="D411" s="55"/>
      <c r="E411" s="55"/>
      <c r="F411" s="56" t="str">
        <f t="shared" si="7"/>
        <v/>
      </c>
      <c r="G411" s="55" t="str">
        <f t="shared" si="8"/>
        <v/>
      </c>
      <c r="H411" s="57" t="str">
        <f t="shared" si="9"/>
        <v/>
      </c>
      <c r="I411" s="58" t="str">
        <f t="shared" si="10"/>
        <v/>
      </c>
      <c r="J411" s="55" t="str">
        <f t="shared" si="11"/>
        <v/>
      </c>
      <c r="K411" s="59" t="str">
        <f t="shared" si="12"/>
        <v/>
      </c>
      <c r="L411" s="59" t="str">
        <f>IF(NOT(ISERROR(VLOOKUP(B411,Deflatores!G$42:H$64,2,FALSE))),VLOOKUP(B411,Deflatores!G$42:H$64,2,FALSE),IF(OR(ISBLANK(C411),ISBLANK(B411)),"",VLOOKUP(C411,Deflatores!G$4:H$38,2,FALSE)*H411+VLOOKUP(C411,Deflatores!G$4:I$38,3,FALSE)))</f>
        <v/>
      </c>
      <c r="M411" s="60"/>
      <c r="N411" s="60"/>
      <c r="O411" s="61"/>
    </row>
    <row r="412" ht="12.0" customHeight="1">
      <c r="A412" s="53"/>
      <c r="B412" s="54"/>
      <c r="C412" s="54"/>
      <c r="D412" s="55"/>
      <c r="E412" s="55"/>
      <c r="F412" s="56" t="str">
        <f t="shared" si="7"/>
        <v/>
      </c>
      <c r="G412" s="55" t="str">
        <f t="shared" si="8"/>
        <v/>
      </c>
      <c r="H412" s="57" t="str">
        <f t="shared" si="9"/>
        <v/>
      </c>
      <c r="I412" s="58" t="str">
        <f t="shared" si="10"/>
        <v/>
      </c>
      <c r="J412" s="55" t="str">
        <f t="shared" si="11"/>
        <v/>
      </c>
      <c r="K412" s="59" t="str">
        <f t="shared" si="12"/>
        <v/>
      </c>
      <c r="L412" s="59" t="str">
        <f>IF(NOT(ISERROR(VLOOKUP(B412,Deflatores!G$42:H$64,2,FALSE))),VLOOKUP(B412,Deflatores!G$42:H$64,2,FALSE),IF(OR(ISBLANK(C412),ISBLANK(B412)),"",VLOOKUP(C412,Deflatores!G$4:H$38,2,FALSE)*H412+VLOOKUP(C412,Deflatores!G$4:I$38,3,FALSE)))</f>
        <v/>
      </c>
      <c r="M412" s="60"/>
      <c r="N412" s="60"/>
      <c r="O412" s="61"/>
    </row>
    <row r="413" ht="12.0" customHeight="1">
      <c r="A413" s="53"/>
      <c r="B413" s="54"/>
      <c r="C413" s="54"/>
      <c r="D413" s="55"/>
      <c r="E413" s="55"/>
      <c r="F413" s="56" t="str">
        <f t="shared" si="7"/>
        <v/>
      </c>
      <c r="G413" s="55" t="str">
        <f t="shared" si="8"/>
        <v/>
      </c>
      <c r="H413" s="57" t="str">
        <f t="shared" si="9"/>
        <v/>
      </c>
      <c r="I413" s="58" t="str">
        <f t="shared" si="10"/>
        <v/>
      </c>
      <c r="J413" s="55" t="str">
        <f t="shared" si="11"/>
        <v/>
      </c>
      <c r="K413" s="59" t="str">
        <f t="shared" si="12"/>
        <v/>
      </c>
      <c r="L413" s="59" t="str">
        <f>IF(NOT(ISERROR(VLOOKUP(B413,Deflatores!G$42:H$64,2,FALSE))),VLOOKUP(B413,Deflatores!G$42:H$64,2,FALSE),IF(OR(ISBLANK(C413),ISBLANK(B413)),"",VLOOKUP(C413,Deflatores!G$4:H$38,2,FALSE)*H413+VLOOKUP(C413,Deflatores!G$4:I$38,3,FALSE)))</f>
        <v/>
      </c>
      <c r="M413" s="60"/>
      <c r="N413" s="60"/>
      <c r="O413" s="61"/>
    </row>
    <row r="414" ht="12.0" customHeight="1">
      <c r="A414" s="53"/>
      <c r="B414" s="54"/>
      <c r="C414" s="54"/>
      <c r="D414" s="55"/>
      <c r="E414" s="55"/>
      <c r="F414" s="56" t="str">
        <f t="shared" si="7"/>
        <v/>
      </c>
      <c r="G414" s="55" t="str">
        <f t="shared" si="8"/>
        <v/>
      </c>
      <c r="H414" s="57" t="str">
        <f t="shared" si="9"/>
        <v/>
      </c>
      <c r="I414" s="58" t="str">
        <f t="shared" si="10"/>
        <v/>
      </c>
      <c r="J414" s="55" t="str">
        <f t="shared" si="11"/>
        <v/>
      </c>
      <c r="K414" s="59" t="str">
        <f t="shared" si="12"/>
        <v/>
      </c>
      <c r="L414" s="59" t="str">
        <f>IF(NOT(ISERROR(VLOOKUP(B414,Deflatores!G$42:H$64,2,FALSE))),VLOOKUP(B414,Deflatores!G$42:H$64,2,FALSE),IF(OR(ISBLANK(C414),ISBLANK(B414)),"",VLOOKUP(C414,Deflatores!G$4:H$38,2,FALSE)*H414+VLOOKUP(C414,Deflatores!G$4:I$38,3,FALSE)))</f>
        <v/>
      </c>
      <c r="M414" s="60"/>
      <c r="N414" s="60"/>
      <c r="O414" s="61"/>
    </row>
    <row r="415" ht="12.0" customHeight="1">
      <c r="A415" s="53"/>
      <c r="B415" s="54"/>
      <c r="C415" s="54"/>
      <c r="D415" s="55"/>
      <c r="E415" s="55"/>
      <c r="F415" s="56" t="str">
        <f t="shared" si="7"/>
        <v/>
      </c>
      <c r="G415" s="55" t="str">
        <f t="shared" si="8"/>
        <v/>
      </c>
      <c r="H415" s="57" t="str">
        <f t="shared" si="9"/>
        <v/>
      </c>
      <c r="I415" s="58" t="str">
        <f t="shared" si="10"/>
        <v/>
      </c>
      <c r="J415" s="55" t="str">
        <f t="shared" si="11"/>
        <v/>
      </c>
      <c r="K415" s="59" t="str">
        <f t="shared" si="12"/>
        <v/>
      </c>
      <c r="L415" s="59" t="str">
        <f>IF(NOT(ISERROR(VLOOKUP(B415,Deflatores!G$42:H$64,2,FALSE))),VLOOKUP(B415,Deflatores!G$42:H$64,2,FALSE),IF(OR(ISBLANK(C415),ISBLANK(B415)),"",VLOOKUP(C415,Deflatores!G$4:H$38,2,FALSE)*H415+VLOOKUP(C415,Deflatores!G$4:I$38,3,FALSE)))</f>
        <v/>
      </c>
      <c r="M415" s="60"/>
      <c r="N415" s="60"/>
      <c r="O415" s="61"/>
    </row>
    <row r="416" ht="12.0" customHeight="1">
      <c r="A416" s="53"/>
      <c r="B416" s="54"/>
      <c r="C416" s="54"/>
      <c r="D416" s="55"/>
      <c r="E416" s="55"/>
      <c r="F416" s="56" t="str">
        <f t="shared" si="7"/>
        <v/>
      </c>
      <c r="G416" s="55" t="str">
        <f t="shared" si="8"/>
        <v/>
      </c>
      <c r="H416" s="57" t="str">
        <f t="shared" si="9"/>
        <v/>
      </c>
      <c r="I416" s="58" t="str">
        <f t="shared" si="10"/>
        <v/>
      </c>
      <c r="J416" s="55" t="str">
        <f t="shared" si="11"/>
        <v/>
      </c>
      <c r="K416" s="59" t="str">
        <f t="shared" si="12"/>
        <v/>
      </c>
      <c r="L416" s="59" t="str">
        <f>IF(NOT(ISERROR(VLOOKUP(B416,Deflatores!G$42:H$64,2,FALSE))),VLOOKUP(B416,Deflatores!G$42:H$64,2,FALSE),IF(OR(ISBLANK(C416),ISBLANK(B416)),"",VLOOKUP(C416,Deflatores!G$4:H$38,2,FALSE)*H416+VLOOKUP(C416,Deflatores!G$4:I$38,3,FALSE)))</f>
        <v/>
      </c>
      <c r="M416" s="60"/>
      <c r="N416" s="60"/>
      <c r="O416" s="61"/>
    </row>
    <row r="417" ht="12.0" customHeight="1">
      <c r="A417" s="53"/>
      <c r="B417" s="54"/>
      <c r="C417" s="54"/>
      <c r="D417" s="55"/>
      <c r="E417" s="55"/>
      <c r="F417" s="56" t="str">
        <f t="shared" si="7"/>
        <v/>
      </c>
      <c r="G417" s="55" t="str">
        <f t="shared" si="8"/>
        <v/>
      </c>
      <c r="H417" s="57" t="str">
        <f t="shared" si="9"/>
        <v/>
      </c>
      <c r="I417" s="58" t="str">
        <f t="shared" si="10"/>
        <v/>
      </c>
      <c r="J417" s="55" t="str">
        <f t="shared" si="11"/>
        <v/>
      </c>
      <c r="K417" s="59" t="str">
        <f t="shared" si="12"/>
        <v/>
      </c>
      <c r="L417" s="59" t="str">
        <f>IF(NOT(ISERROR(VLOOKUP(B417,Deflatores!G$42:H$64,2,FALSE))),VLOOKUP(B417,Deflatores!G$42:H$64,2,FALSE),IF(OR(ISBLANK(C417),ISBLANK(B417)),"",VLOOKUP(C417,Deflatores!G$4:H$38,2,FALSE)*H417+VLOOKUP(C417,Deflatores!G$4:I$38,3,FALSE)))</f>
        <v/>
      </c>
      <c r="M417" s="60"/>
      <c r="N417" s="60"/>
      <c r="O417" s="61"/>
    </row>
    <row r="418" ht="12.0" customHeight="1">
      <c r="A418" s="53"/>
      <c r="B418" s="54"/>
      <c r="C418" s="54"/>
      <c r="D418" s="55"/>
      <c r="E418" s="55"/>
      <c r="F418" s="56" t="str">
        <f t="shared" si="7"/>
        <v/>
      </c>
      <c r="G418" s="55" t="str">
        <f t="shared" si="8"/>
        <v/>
      </c>
      <c r="H418" s="57" t="str">
        <f t="shared" si="9"/>
        <v/>
      </c>
      <c r="I418" s="58" t="str">
        <f t="shared" si="10"/>
        <v/>
      </c>
      <c r="J418" s="55" t="str">
        <f t="shared" si="11"/>
        <v/>
      </c>
      <c r="K418" s="59" t="str">
        <f t="shared" si="12"/>
        <v/>
      </c>
      <c r="L418" s="59" t="str">
        <f>IF(NOT(ISERROR(VLOOKUP(B418,Deflatores!G$42:H$64,2,FALSE))),VLOOKUP(B418,Deflatores!G$42:H$64,2,FALSE),IF(OR(ISBLANK(C418),ISBLANK(B418)),"",VLOOKUP(C418,Deflatores!G$4:H$38,2,FALSE)*H418+VLOOKUP(C418,Deflatores!G$4:I$38,3,FALSE)))</f>
        <v/>
      </c>
      <c r="M418" s="60"/>
      <c r="N418" s="60"/>
      <c r="O418" s="61"/>
    </row>
    <row r="419" ht="12.0" customHeight="1">
      <c r="A419" s="53"/>
      <c r="B419" s="54"/>
      <c r="C419" s="54"/>
      <c r="D419" s="55"/>
      <c r="E419" s="55"/>
      <c r="F419" s="56" t="str">
        <f t="shared" si="7"/>
        <v/>
      </c>
      <c r="G419" s="55" t="str">
        <f t="shared" si="8"/>
        <v/>
      </c>
      <c r="H419" s="57" t="str">
        <f t="shared" si="9"/>
        <v/>
      </c>
      <c r="I419" s="58" t="str">
        <f t="shared" si="10"/>
        <v/>
      </c>
      <c r="J419" s="55" t="str">
        <f t="shared" si="11"/>
        <v/>
      </c>
      <c r="K419" s="59" t="str">
        <f t="shared" si="12"/>
        <v/>
      </c>
      <c r="L419" s="59" t="str">
        <f>IF(NOT(ISERROR(VLOOKUP(B419,Deflatores!G$42:H$64,2,FALSE))),VLOOKUP(B419,Deflatores!G$42:H$64,2,FALSE),IF(OR(ISBLANK(C419),ISBLANK(B419)),"",VLOOKUP(C419,Deflatores!G$4:H$38,2,FALSE)*H419+VLOOKUP(C419,Deflatores!G$4:I$38,3,FALSE)))</f>
        <v/>
      </c>
      <c r="M419" s="60"/>
      <c r="N419" s="60"/>
      <c r="O419" s="61"/>
    </row>
    <row r="420" ht="12.0" customHeight="1">
      <c r="A420" s="53"/>
      <c r="B420" s="54"/>
      <c r="C420" s="54"/>
      <c r="D420" s="55"/>
      <c r="E420" s="55"/>
      <c r="F420" s="56" t="str">
        <f t="shared" si="7"/>
        <v/>
      </c>
      <c r="G420" s="55" t="str">
        <f t="shared" si="8"/>
        <v/>
      </c>
      <c r="H420" s="57" t="str">
        <f t="shared" si="9"/>
        <v/>
      </c>
      <c r="I420" s="58" t="str">
        <f t="shared" si="10"/>
        <v/>
      </c>
      <c r="J420" s="55" t="str">
        <f t="shared" si="11"/>
        <v/>
      </c>
      <c r="K420" s="59" t="str">
        <f t="shared" si="12"/>
        <v/>
      </c>
      <c r="L420" s="59" t="str">
        <f>IF(NOT(ISERROR(VLOOKUP(B420,Deflatores!G$42:H$64,2,FALSE))),VLOOKUP(B420,Deflatores!G$42:H$64,2,FALSE),IF(OR(ISBLANK(C420),ISBLANK(B420)),"",VLOOKUP(C420,Deflatores!G$4:H$38,2,FALSE)*H420+VLOOKUP(C420,Deflatores!G$4:I$38,3,FALSE)))</f>
        <v/>
      </c>
      <c r="M420" s="60"/>
      <c r="N420" s="60"/>
      <c r="O420" s="61"/>
    </row>
    <row r="421" ht="12.0" customHeight="1">
      <c r="A421" s="53"/>
      <c r="B421" s="54"/>
      <c r="C421" s="54"/>
      <c r="D421" s="55"/>
      <c r="E421" s="55"/>
      <c r="F421" s="56" t="str">
        <f t="shared" si="7"/>
        <v/>
      </c>
      <c r="G421" s="55" t="str">
        <f t="shared" si="8"/>
        <v/>
      </c>
      <c r="H421" s="57" t="str">
        <f t="shared" si="9"/>
        <v/>
      </c>
      <c r="I421" s="58" t="str">
        <f t="shared" si="10"/>
        <v/>
      </c>
      <c r="J421" s="55" t="str">
        <f t="shared" si="11"/>
        <v/>
      </c>
      <c r="K421" s="59" t="str">
        <f t="shared" si="12"/>
        <v/>
      </c>
      <c r="L421" s="59" t="str">
        <f>IF(NOT(ISERROR(VLOOKUP(B421,Deflatores!G$42:H$64,2,FALSE))),VLOOKUP(B421,Deflatores!G$42:H$64,2,FALSE),IF(OR(ISBLANK(C421),ISBLANK(B421)),"",VLOOKUP(C421,Deflatores!G$4:H$38,2,FALSE)*H421+VLOOKUP(C421,Deflatores!G$4:I$38,3,FALSE)))</f>
        <v/>
      </c>
      <c r="M421" s="60"/>
      <c r="N421" s="60"/>
      <c r="O421" s="61"/>
    </row>
    <row r="422" ht="12.0" customHeight="1">
      <c r="A422" s="53"/>
      <c r="B422" s="54"/>
      <c r="C422" s="54"/>
      <c r="D422" s="55"/>
      <c r="E422" s="55"/>
      <c r="F422" s="56" t="str">
        <f t="shared" si="7"/>
        <v/>
      </c>
      <c r="G422" s="55" t="str">
        <f t="shared" si="8"/>
        <v/>
      </c>
      <c r="H422" s="57" t="str">
        <f t="shared" si="9"/>
        <v/>
      </c>
      <c r="I422" s="58" t="str">
        <f t="shared" si="10"/>
        <v/>
      </c>
      <c r="J422" s="55" t="str">
        <f t="shared" si="11"/>
        <v/>
      </c>
      <c r="K422" s="59" t="str">
        <f t="shared" si="12"/>
        <v/>
      </c>
      <c r="L422" s="59" t="str">
        <f>IF(NOT(ISERROR(VLOOKUP(B422,Deflatores!G$42:H$64,2,FALSE))),VLOOKUP(B422,Deflatores!G$42:H$64,2,FALSE),IF(OR(ISBLANK(C422),ISBLANK(B422)),"",VLOOKUP(C422,Deflatores!G$4:H$38,2,FALSE)*H422+VLOOKUP(C422,Deflatores!G$4:I$38,3,FALSE)))</f>
        <v/>
      </c>
      <c r="M422" s="60"/>
      <c r="N422" s="60"/>
      <c r="O422" s="61"/>
    </row>
    <row r="423" ht="12.0" customHeight="1">
      <c r="A423" s="53"/>
      <c r="B423" s="54"/>
      <c r="C423" s="54"/>
      <c r="D423" s="55"/>
      <c r="E423" s="55"/>
      <c r="F423" s="56" t="str">
        <f t="shared" si="7"/>
        <v/>
      </c>
      <c r="G423" s="55" t="str">
        <f t="shared" si="8"/>
        <v/>
      </c>
      <c r="H423" s="57" t="str">
        <f t="shared" si="9"/>
        <v/>
      </c>
      <c r="I423" s="58" t="str">
        <f t="shared" si="10"/>
        <v/>
      </c>
      <c r="J423" s="55" t="str">
        <f t="shared" si="11"/>
        <v/>
      </c>
      <c r="K423" s="59" t="str">
        <f t="shared" si="12"/>
        <v/>
      </c>
      <c r="L423" s="59" t="str">
        <f>IF(NOT(ISERROR(VLOOKUP(B423,Deflatores!G$42:H$64,2,FALSE))),VLOOKUP(B423,Deflatores!G$42:H$64,2,FALSE),IF(OR(ISBLANK(C423),ISBLANK(B423)),"",VLOOKUP(C423,Deflatores!G$4:H$38,2,FALSE)*H423+VLOOKUP(C423,Deflatores!G$4:I$38,3,FALSE)))</f>
        <v/>
      </c>
      <c r="M423" s="60"/>
      <c r="N423" s="60"/>
      <c r="O423" s="61"/>
    </row>
    <row r="424" ht="12.0" customHeight="1">
      <c r="A424" s="53"/>
      <c r="B424" s="54"/>
      <c r="C424" s="54"/>
      <c r="D424" s="55"/>
      <c r="E424" s="55"/>
      <c r="F424" s="56" t="str">
        <f t="shared" si="7"/>
        <v/>
      </c>
      <c r="G424" s="55" t="str">
        <f t="shared" si="8"/>
        <v/>
      </c>
      <c r="H424" s="57" t="str">
        <f t="shared" si="9"/>
        <v/>
      </c>
      <c r="I424" s="58" t="str">
        <f t="shared" si="10"/>
        <v/>
      </c>
      <c r="J424" s="55" t="str">
        <f t="shared" si="11"/>
        <v/>
      </c>
      <c r="K424" s="59" t="str">
        <f t="shared" si="12"/>
        <v/>
      </c>
      <c r="L424" s="59" t="str">
        <f>IF(NOT(ISERROR(VLOOKUP(B424,Deflatores!G$42:H$64,2,FALSE))),VLOOKUP(B424,Deflatores!G$42:H$64,2,FALSE),IF(OR(ISBLANK(C424),ISBLANK(B424)),"",VLOOKUP(C424,Deflatores!G$4:H$38,2,FALSE)*H424+VLOOKUP(C424,Deflatores!G$4:I$38,3,FALSE)))</f>
        <v/>
      </c>
      <c r="M424" s="60"/>
      <c r="N424" s="60"/>
      <c r="O424" s="61"/>
    </row>
    <row r="425" ht="12.0" customHeight="1">
      <c r="A425" s="53"/>
      <c r="B425" s="54"/>
      <c r="C425" s="54"/>
      <c r="D425" s="55"/>
      <c r="E425" s="55"/>
      <c r="F425" s="56" t="str">
        <f t="shared" si="7"/>
        <v/>
      </c>
      <c r="G425" s="55" t="str">
        <f t="shared" si="8"/>
        <v/>
      </c>
      <c r="H425" s="57" t="str">
        <f t="shared" si="9"/>
        <v/>
      </c>
      <c r="I425" s="58" t="str">
        <f t="shared" si="10"/>
        <v/>
      </c>
      <c r="J425" s="55" t="str">
        <f t="shared" si="11"/>
        <v/>
      </c>
      <c r="K425" s="59" t="str">
        <f t="shared" si="12"/>
        <v/>
      </c>
      <c r="L425" s="59" t="str">
        <f>IF(NOT(ISERROR(VLOOKUP(B425,Deflatores!G$42:H$64,2,FALSE))),VLOOKUP(B425,Deflatores!G$42:H$64,2,FALSE),IF(OR(ISBLANK(C425),ISBLANK(B425)),"",VLOOKUP(C425,Deflatores!G$4:H$38,2,FALSE)*H425+VLOOKUP(C425,Deflatores!G$4:I$38,3,FALSE)))</f>
        <v/>
      </c>
      <c r="M425" s="60"/>
      <c r="N425" s="60"/>
      <c r="O425" s="61"/>
    </row>
    <row r="426" ht="12.0" customHeight="1">
      <c r="A426" s="53"/>
      <c r="B426" s="54"/>
      <c r="C426" s="54"/>
      <c r="D426" s="55"/>
      <c r="E426" s="55"/>
      <c r="F426" s="56" t="str">
        <f t="shared" si="7"/>
        <v/>
      </c>
      <c r="G426" s="55" t="str">
        <f t="shared" si="8"/>
        <v/>
      </c>
      <c r="H426" s="57" t="str">
        <f t="shared" si="9"/>
        <v/>
      </c>
      <c r="I426" s="58" t="str">
        <f t="shared" si="10"/>
        <v/>
      </c>
      <c r="J426" s="55" t="str">
        <f t="shared" si="11"/>
        <v/>
      </c>
      <c r="K426" s="59" t="str">
        <f t="shared" si="12"/>
        <v/>
      </c>
      <c r="L426" s="59" t="str">
        <f>IF(NOT(ISERROR(VLOOKUP(B426,Deflatores!G$42:H$64,2,FALSE))),VLOOKUP(B426,Deflatores!G$42:H$64,2,FALSE),IF(OR(ISBLANK(C426),ISBLANK(B426)),"",VLOOKUP(C426,Deflatores!G$4:H$38,2,FALSE)*H426+VLOOKUP(C426,Deflatores!G$4:I$38,3,FALSE)))</f>
        <v/>
      </c>
      <c r="M426" s="60"/>
      <c r="N426" s="60"/>
      <c r="O426" s="61"/>
    </row>
    <row r="427" ht="12.0" customHeight="1">
      <c r="A427" s="53"/>
      <c r="B427" s="54"/>
      <c r="C427" s="54"/>
      <c r="D427" s="55"/>
      <c r="E427" s="55"/>
      <c r="F427" s="56" t="str">
        <f t="shared" si="7"/>
        <v/>
      </c>
      <c r="G427" s="55" t="str">
        <f t="shared" si="8"/>
        <v/>
      </c>
      <c r="H427" s="57" t="str">
        <f t="shared" si="9"/>
        <v/>
      </c>
      <c r="I427" s="58" t="str">
        <f t="shared" si="10"/>
        <v/>
      </c>
      <c r="J427" s="55" t="str">
        <f t="shared" si="11"/>
        <v/>
      </c>
      <c r="K427" s="59" t="str">
        <f t="shared" si="12"/>
        <v/>
      </c>
      <c r="L427" s="59" t="str">
        <f>IF(NOT(ISERROR(VLOOKUP(B427,Deflatores!G$42:H$64,2,FALSE))),VLOOKUP(B427,Deflatores!G$42:H$64,2,FALSE),IF(OR(ISBLANK(C427),ISBLANK(B427)),"",VLOOKUP(C427,Deflatores!G$4:H$38,2,FALSE)*H427+VLOOKUP(C427,Deflatores!G$4:I$38,3,FALSE)))</f>
        <v/>
      </c>
      <c r="M427" s="60"/>
      <c r="N427" s="60"/>
      <c r="O427" s="61"/>
    </row>
    <row r="428" ht="12.0" customHeight="1">
      <c r="A428" s="53"/>
      <c r="B428" s="54"/>
      <c r="C428" s="54"/>
      <c r="D428" s="55"/>
      <c r="E428" s="55"/>
      <c r="F428" s="56" t="str">
        <f t="shared" si="7"/>
        <v/>
      </c>
      <c r="G428" s="55" t="str">
        <f t="shared" si="8"/>
        <v/>
      </c>
      <c r="H428" s="57" t="str">
        <f t="shared" si="9"/>
        <v/>
      </c>
      <c r="I428" s="58" t="str">
        <f t="shared" si="10"/>
        <v/>
      </c>
      <c r="J428" s="55" t="str">
        <f t="shared" si="11"/>
        <v/>
      </c>
      <c r="K428" s="59" t="str">
        <f t="shared" si="12"/>
        <v/>
      </c>
      <c r="L428" s="59" t="str">
        <f>IF(NOT(ISERROR(VLOOKUP(B428,Deflatores!G$42:H$64,2,FALSE))),VLOOKUP(B428,Deflatores!G$42:H$64,2,FALSE),IF(OR(ISBLANK(C428),ISBLANK(B428)),"",VLOOKUP(C428,Deflatores!G$4:H$38,2,FALSE)*H428+VLOOKUP(C428,Deflatores!G$4:I$38,3,FALSE)))</f>
        <v/>
      </c>
      <c r="M428" s="60"/>
      <c r="N428" s="60"/>
      <c r="O428" s="61"/>
    </row>
    <row r="429" ht="12.0" customHeight="1">
      <c r="A429" s="53"/>
      <c r="B429" s="54"/>
      <c r="C429" s="54"/>
      <c r="D429" s="55"/>
      <c r="E429" s="55"/>
      <c r="F429" s="56" t="str">
        <f t="shared" si="7"/>
        <v/>
      </c>
      <c r="G429" s="55" t="str">
        <f t="shared" si="8"/>
        <v/>
      </c>
      <c r="H429" s="57" t="str">
        <f t="shared" si="9"/>
        <v/>
      </c>
      <c r="I429" s="58" t="str">
        <f t="shared" si="10"/>
        <v/>
      </c>
      <c r="J429" s="55" t="str">
        <f t="shared" si="11"/>
        <v/>
      </c>
      <c r="K429" s="59" t="str">
        <f t="shared" si="12"/>
        <v/>
      </c>
      <c r="L429" s="59" t="str">
        <f>IF(NOT(ISERROR(VLOOKUP(B429,Deflatores!G$42:H$64,2,FALSE))),VLOOKUP(B429,Deflatores!G$42:H$64,2,FALSE),IF(OR(ISBLANK(C429),ISBLANK(B429)),"",VLOOKUP(C429,Deflatores!G$4:H$38,2,FALSE)*H429+VLOOKUP(C429,Deflatores!G$4:I$38,3,FALSE)))</f>
        <v/>
      </c>
      <c r="M429" s="60"/>
      <c r="N429" s="60"/>
      <c r="O429" s="61"/>
    </row>
    <row r="430" ht="12.0" customHeight="1">
      <c r="A430" s="53"/>
      <c r="B430" s="54"/>
      <c r="C430" s="54"/>
      <c r="D430" s="55"/>
      <c r="E430" s="55"/>
      <c r="F430" s="56" t="str">
        <f t="shared" si="7"/>
        <v/>
      </c>
      <c r="G430" s="55" t="str">
        <f t="shared" si="8"/>
        <v/>
      </c>
      <c r="H430" s="57" t="str">
        <f t="shared" si="9"/>
        <v/>
      </c>
      <c r="I430" s="58" t="str">
        <f t="shared" si="10"/>
        <v/>
      </c>
      <c r="J430" s="55" t="str">
        <f t="shared" si="11"/>
        <v/>
      </c>
      <c r="K430" s="59" t="str">
        <f t="shared" si="12"/>
        <v/>
      </c>
      <c r="L430" s="59" t="str">
        <f>IF(NOT(ISERROR(VLOOKUP(B430,Deflatores!G$42:H$64,2,FALSE))),VLOOKUP(B430,Deflatores!G$42:H$64,2,FALSE),IF(OR(ISBLANK(C430),ISBLANK(B430)),"",VLOOKUP(C430,Deflatores!G$4:H$38,2,FALSE)*H430+VLOOKUP(C430,Deflatores!G$4:I$38,3,FALSE)))</f>
        <v/>
      </c>
      <c r="M430" s="60"/>
      <c r="N430" s="60"/>
      <c r="O430" s="61"/>
    </row>
    <row r="431" ht="12.0" customHeight="1">
      <c r="A431" s="53"/>
      <c r="B431" s="54"/>
      <c r="C431" s="54"/>
      <c r="D431" s="55"/>
      <c r="E431" s="55"/>
      <c r="F431" s="56" t="str">
        <f t="shared" si="7"/>
        <v/>
      </c>
      <c r="G431" s="55" t="str">
        <f t="shared" si="8"/>
        <v/>
      </c>
      <c r="H431" s="57" t="str">
        <f t="shared" si="9"/>
        <v/>
      </c>
      <c r="I431" s="58" t="str">
        <f t="shared" si="10"/>
        <v/>
      </c>
      <c r="J431" s="55" t="str">
        <f t="shared" si="11"/>
        <v/>
      </c>
      <c r="K431" s="59" t="str">
        <f t="shared" si="12"/>
        <v/>
      </c>
      <c r="L431" s="59" t="str">
        <f>IF(NOT(ISERROR(VLOOKUP(B431,Deflatores!G$42:H$64,2,FALSE))),VLOOKUP(B431,Deflatores!G$42:H$64,2,FALSE),IF(OR(ISBLANK(C431),ISBLANK(B431)),"",VLOOKUP(C431,Deflatores!G$4:H$38,2,FALSE)*H431+VLOOKUP(C431,Deflatores!G$4:I$38,3,FALSE)))</f>
        <v/>
      </c>
      <c r="M431" s="60"/>
      <c r="N431" s="60"/>
      <c r="O431" s="61"/>
    </row>
    <row r="432" ht="12.0" customHeight="1">
      <c r="A432" s="53"/>
      <c r="B432" s="54"/>
      <c r="C432" s="54"/>
      <c r="D432" s="55"/>
      <c r="E432" s="55"/>
      <c r="F432" s="56" t="str">
        <f t="shared" si="7"/>
        <v/>
      </c>
      <c r="G432" s="55" t="str">
        <f t="shared" si="8"/>
        <v/>
      </c>
      <c r="H432" s="57" t="str">
        <f t="shared" si="9"/>
        <v/>
      </c>
      <c r="I432" s="58" t="str">
        <f t="shared" si="10"/>
        <v/>
      </c>
      <c r="J432" s="55" t="str">
        <f t="shared" si="11"/>
        <v/>
      </c>
      <c r="K432" s="59" t="str">
        <f t="shared" si="12"/>
        <v/>
      </c>
      <c r="L432" s="59" t="str">
        <f>IF(NOT(ISERROR(VLOOKUP(B432,Deflatores!G$42:H$64,2,FALSE))),VLOOKUP(B432,Deflatores!G$42:H$64,2,FALSE),IF(OR(ISBLANK(C432),ISBLANK(B432)),"",VLOOKUP(C432,Deflatores!G$4:H$38,2,FALSE)*H432+VLOOKUP(C432,Deflatores!G$4:I$38,3,FALSE)))</f>
        <v/>
      </c>
      <c r="M432" s="60"/>
      <c r="N432" s="60"/>
      <c r="O432" s="61"/>
    </row>
    <row r="433" ht="12.0" customHeight="1">
      <c r="A433" s="53"/>
      <c r="B433" s="54"/>
      <c r="C433" s="54"/>
      <c r="D433" s="55"/>
      <c r="E433" s="55"/>
      <c r="F433" s="56" t="str">
        <f t="shared" si="7"/>
        <v/>
      </c>
      <c r="G433" s="55" t="str">
        <f t="shared" si="8"/>
        <v/>
      </c>
      <c r="H433" s="57" t="str">
        <f t="shared" si="9"/>
        <v/>
      </c>
      <c r="I433" s="58" t="str">
        <f t="shared" si="10"/>
        <v/>
      </c>
      <c r="J433" s="55" t="str">
        <f t="shared" si="11"/>
        <v/>
      </c>
      <c r="K433" s="59" t="str">
        <f t="shared" si="12"/>
        <v/>
      </c>
      <c r="L433" s="59" t="str">
        <f>IF(NOT(ISERROR(VLOOKUP(B433,Deflatores!G$42:H$64,2,FALSE))),VLOOKUP(B433,Deflatores!G$42:H$64,2,FALSE),IF(OR(ISBLANK(C433),ISBLANK(B433)),"",VLOOKUP(C433,Deflatores!G$4:H$38,2,FALSE)*H433+VLOOKUP(C433,Deflatores!G$4:I$38,3,FALSE)))</f>
        <v/>
      </c>
      <c r="M433" s="60"/>
      <c r="N433" s="60"/>
      <c r="O433" s="61"/>
    </row>
    <row r="434" ht="12.0" customHeight="1">
      <c r="A434" s="53"/>
      <c r="B434" s="54"/>
      <c r="C434" s="54"/>
      <c r="D434" s="55"/>
      <c r="E434" s="55"/>
      <c r="F434" s="56" t="str">
        <f t="shared" si="7"/>
        <v/>
      </c>
      <c r="G434" s="55" t="str">
        <f t="shared" si="8"/>
        <v/>
      </c>
      <c r="H434" s="57" t="str">
        <f t="shared" si="9"/>
        <v/>
      </c>
      <c r="I434" s="58" t="str">
        <f t="shared" si="10"/>
        <v/>
      </c>
      <c r="J434" s="55" t="str">
        <f t="shared" si="11"/>
        <v/>
      </c>
      <c r="K434" s="59" t="str">
        <f t="shared" si="12"/>
        <v/>
      </c>
      <c r="L434" s="59" t="str">
        <f>IF(NOT(ISERROR(VLOOKUP(B434,Deflatores!G$42:H$64,2,FALSE))),VLOOKUP(B434,Deflatores!G$42:H$64,2,FALSE),IF(OR(ISBLANK(C434),ISBLANK(B434)),"",VLOOKUP(C434,Deflatores!G$4:H$38,2,FALSE)*H434+VLOOKUP(C434,Deflatores!G$4:I$38,3,FALSE)))</f>
        <v/>
      </c>
      <c r="M434" s="60"/>
      <c r="N434" s="60"/>
      <c r="O434" s="61"/>
    </row>
    <row r="435" ht="12.0" customHeight="1">
      <c r="A435" s="53"/>
      <c r="B435" s="54"/>
      <c r="C435" s="54"/>
      <c r="D435" s="55"/>
      <c r="E435" s="55"/>
      <c r="F435" s="56" t="str">
        <f t="shared" si="7"/>
        <v/>
      </c>
      <c r="G435" s="55" t="str">
        <f t="shared" si="8"/>
        <v/>
      </c>
      <c r="H435" s="57" t="str">
        <f t="shared" si="9"/>
        <v/>
      </c>
      <c r="I435" s="58" t="str">
        <f t="shared" si="10"/>
        <v/>
      </c>
      <c r="J435" s="55" t="str">
        <f t="shared" si="11"/>
        <v/>
      </c>
      <c r="K435" s="59" t="str">
        <f t="shared" si="12"/>
        <v/>
      </c>
      <c r="L435" s="59" t="str">
        <f>IF(NOT(ISERROR(VLOOKUP(B435,Deflatores!G$42:H$64,2,FALSE))),VLOOKUP(B435,Deflatores!G$42:H$64,2,FALSE),IF(OR(ISBLANK(C435),ISBLANK(B435)),"",VLOOKUP(C435,Deflatores!G$4:H$38,2,FALSE)*H435+VLOOKUP(C435,Deflatores!G$4:I$38,3,FALSE)))</f>
        <v/>
      </c>
      <c r="M435" s="60"/>
      <c r="N435" s="60"/>
      <c r="O435" s="61"/>
    </row>
    <row r="436" ht="12.0" customHeight="1">
      <c r="A436" s="53"/>
      <c r="B436" s="54"/>
      <c r="C436" s="54"/>
      <c r="D436" s="55"/>
      <c r="E436" s="55"/>
      <c r="F436" s="56" t="str">
        <f t="shared" si="7"/>
        <v/>
      </c>
      <c r="G436" s="55" t="str">
        <f t="shared" si="8"/>
        <v/>
      </c>
      <c r="H436" s="57" t="str">
        <f t="shared" si="9"/>
        <v/>
      </c>
      <c r="I436" s="58" t="str">
        <f t="shared" si="10"/>
        <v/>
      </c>
      <c r="J436" s="55" t="str">
        <f t="shared" si="11"/>
        <v/>
      </c>
      <c r="K436" s="59" t="str">
        <f t="shared" si="12"/>
        <v/>
      </c>
      <c r="L436" s="59" t="str">
        <f>IF(NOT(ISERROR(VLOOKUP(B436,Deflatores!G$42:H$64,2,FALSE))),VLOOKUP(B436,Deflatores!G$42:H$64,2,FALSE),IF(OR(ISBLANK(C436),ISBLANK(B436)),"",VLOOKUP(C436,Deflatores!G$4:H$38,2,FALSE)*H436+VLOOKUP(C436,Deflatores!G$4:I$38,3,FALSE)))</f>
        <v/>
      </c>
      <c r="M436" s="60"/>
      <c r="N436" s="60"/>
      <c r="O436" s="61"/>
    </row>
    <row r="437" ht="12.0" customHeight="1">
      <c r="A437" s="53"/>
      <c r="B437" s="54"/>
      <c r="C437" s="54"/>
      <c r="D437" s="55"/>
      <c r="E437" s="55"/>
      <c r="F437" s="56" t="str">
        <f t="shared" si="7"/>
        <v/>
      </c>
      <c r="G437" s="55" t="str">
        <f t="shared" si="8"/>
        <v/>
      </c>
      <c r="H437" s="57" t="str">
        <f t="shared" si="9"/>
        <v/>
      </c>
      <c r="I437" s="58" t="str">
        <f t="shared" si="10"/>
        <v/>
      </c>
      <c r="J437" s="55" t="str">
        <f t="shared" si="11"/>
        <v/>
      </c>
      <c r="K437" s="59" t="str">
        <f t="shared" si="12"/>
        <v/>
      </c>
      <c r="L437" s="59" t="str">
        <f>IF(NOT(ISERROR(VLOOKUP(B437,Deflatores!G$42:H$64,2,FALSE))),VLOOKUP(B437,Deflatores!G$42:H$64,2,FALSE),IF(OR(ISBLANK(C437),ISBLANK(B437)),"",VLOOKUP(C437,Deflatores!G$4:H$38,2,FALSE)*H437+VLOOKUP(C437,Deflatores!G$4:I$38,3,FALSE)))</f>
        <v/>
      </c>
      <c r="M437" s="60"/>
      <c r="N437" s="60"/>
      <c r="O437" s="61"/>
    </row>
    <row r="438" ht="12.0" customHeight="1">
      <c r="A438" s="53"/>
      <c r="B438" s="54"/>
      <c r="C438" s="54"/>
      <c r="D438" s="55"/>
      <c r="E438" s="55"/>
      <c r="F438" s="56" t="str">
        <f t="shared" si="7"/>
        <v/>
      </c>
      <c r="G438" s="55" t="str">
        <f t="shared" si="8"/>
        <v/>
      </c>
      <c r="H438" s="57" t="str">
        <f t="shared" si="9"/>
        <v/>
      </c>
      <c r="I438" s="58" t="str">
        <f t="shared" si="10"/>
        <v/>
      </c>
      <c r="J438" s="55" t="str">
        <f t="shared" si="11"/>
        <v/>
      </c>
      <c r="K438" s="59" t="str">
        <f t="shared" si="12"/>
        <v/>
      </c>
      <c r="L438" s="59" t="str">
        <f>IF(NOT(ISERROR(VLOOKUP(B438,Deflatores!G$42:H$64,2,FALSE))),VLOOKUP(B438,Deflatores!G$42:H$64,2,FALSE),IF(OR(ISBLANK(C438),ISBLANK(B438)),"",VLOOKUP(C438,Deflatores!G$4:H$38,2,FALSE)*H438+VLOOKUP(C438,Deflatores!G$4:I$38,3,FALSE)))</f>
        <v/>
      </c>
      <c r="M438" s="60"/>
      <c r="N438" s="60"/>
      <c r="O438" s="61"/>
    </row>
    <row r="439" ht="12.0" customHeight="1">
      <c r="A439" s="53"/>
      <c r="B439" s="54"/>
      <c r="C439" s="54"/>
      <c r="D439" s="55"/>
      <c r="E439" s="55"/>
      <c r="F439" s="56" t="str">
        <f t="shared" si="7"/>
        <v/>
      </c>
      <c r="G439" s="55" t="str">
        <f t="shared" si="8"/>
        <v/>
      </c>
      <c r="H439" s="57" t="str">
        <f t="shared" si="9"/>
        <v/>
      </c>
      <c r="I439" s="58" t="str">
        <f t="shared" si="10"/>
        <v/>
      </c>
      <c r="J439" s="55" t="str">
        <f t="shared" si="11"/>
        <v/>
      </c>
      <c r="K439" s="59" t="str">
        <f t="shared" si="12"/>
        <v/>
      </c>
      <c r="L439" s="59" t="str">
        <f>IF(NOT(ISERROR(VLOOKUP(B439,Deflatores!G$42:H$64,2,FALSE))),VLOOKUP(B439,Deflatores!G$42:H$64,2,FALSE),IF(OR(ISBLANK(C439),ISBLANK(B439)),"",VLOOKUP(C439,Deflatores!G$4:H$38,2,FALSE)*H439+VLOOKUP(C439,Deflatores!G$4:I$38,3,FALSE)))</f>
        <v/>
      </c>
      <c r="M439" s="60"/>
      <c r="N439" s="60"/>
      <c r="O439" s="61"/>
    </row>
    <row r="440" ht="12.0" customHeight="1">
      <c r="A440" s="53"/>
      <c r="B440" s="54"/>
      <c r="C440" s="54"/>
      <c r="D440" s="55"/>
      <c r="E440" s="55"/>
      <c r="F440" s="56" t="str">
        <f t="shared" si="7"/>
        <v/>
      </c>
      <c r="G440" s="55" t="str">
        <f t="shared" si="8"/>
        <v/>
      </c>
      <c r="H440" s="57" t="str">
        <f t="shared" si="9"/>
        <v/>
      </c>
      <c r="I440" s="58" t="str">
        <f t="shared" si="10"/>
        <v/>
      </c>
      <c r="J440" s="55" t="str">
        <f t="shared" si="11"/>
        <v/>
      </c>
      <c r="K440" s="59" t="str">
        <f t="shared" si="12"/>
        <v/>
      </c>
      <c r="L440" s="59" t="str">
        <f>IF(NOT(ISERROR(VLOOKUP(B440,Deflatores!G$42:H$64,2,FALSE))),VLOOKUP(B440,Deflatores!G$42:H$64,2,FALSE),IF(OR(ISBLANK(C440),ISBLANK(B440)),"",VLOOKUP(C440,Deflatores!G$4:H$38,2,FALSE)*H440+VLOOKUP(C440,Deflatores!G$4:I$38,3,FALSE)))</f>
        <v/>
      </c>
      <c r="M440" s="60"/>
      <c r="N440" s="60"/>
      <c r="O440" s="61"/>
    </row>
    <row r="441" ht="12.0" customHeight="1">
      <c r="A441" s="53"/>
      <c r="B441" s="54"/>
      <c r="C441" s="54"/>
      <c r="D441" s="55"/>
      <c r="E441" s="55"/>
      <c r="F441" s="56" t="str">
        <f t="shared" si="7"/>
        <v/>
      </c>
      <c r="G441" s="55" t="str">
        <f t="shared" si="8"/>
        <v/>
      </c>
      <c r="H441" s="57" t="str">
        <f t="shared" si="9"/>
        <v/>
      </c>
      <c r="I441" s="58" t="str">
        <f t="shared" si="10"/>
        <v/>
      </c>
      <c r="J441" s="55" t="str">
        <f t="shared" si="11"/>
        <v/>
      </c>
      <c r="K441" s="59" t="str">
        <f t="shared" si="12"/>
        <v/>
      </c>
      <c r="L441" s="59" t="str">
        <f>IF(NOT(ISERROR(VLOOKUP(B441,Deflatores!G$42:H$64,2,FALSE))),VLOOKUP(B441,Deflatores!G$42:H$64,2,FALSE),IF(OR(ISBLANK(C441),ISBLANK(B441)),"",VLOOKUP(C441,Deflatores!G$4:H$38,2,FALSE)*H441+VLOOKUP(C441,Deflatores!G$4:I$38,3,FALSE)))</f>
        <v/>
      </c>
      <c r="M441" s="60"/>
      <c r="N441" s="60"/>
      <c r="O441" s="61"/>
    </row>
    <row r="442" ht="12.0" customHeight="1">
      <c r="A442" s="53"/>
      <c r="B442" s="54"/>
      <c r="C442" s="54"/>
      <c r="D442" s="55"/>
      <c r="E442" s="55"/>
      <c r="F442" s="56" t="str">
        <f t="shared" si="7"/>
        <v/>
      </c>
      <c r="G442" s="55" t="str">
        <f t="shared" si="8"/>
        <v/>
      </c>
      <c r="H442" s="57" t="str">
        <f t="shared" si="9"/>
        <v/>
      </c>
      <c r="I442" s="58" t="str">
        <f t="shared" si="10"/>
        <v/>
      </c>
      <c r="J442" s="55" t="str">
        <f t="shared" si="11"/>
        <v/>
      </c>
      <c r="K442" s="59" t="str">
        <f t="shared" si="12"/>
        <v/>
      </c>
      <c r="L442" s="59" t="str">
        <f>IF(NOT(ISERROR(VLOOKUP(B442,Deflatores!G$42:H$64,2,FALSE))),VLOOKUP(B442,Deflatores!G$42:H$64,2,FALSE),IF(OR(ISBLANK(C442),ISBLANK(B442)),"",VLOOKUP(C442,Deflatores!G$4:H$38,2,FALSE)*H442+VLOOKUP(C442,Deflatores!G$4:I$38,3,FALSE)))</f>
        <v/>
      </c>
      <c r="M442" s="60"/>
      <c r="N442" s="60"/>
      <c r="O442" s="61"/>
    </row>
    <row r="443" ht="12.0" customHeight="1">
      <c r="A443" s="53"/>
      <c r="B443" s="54"/>
      <c r="C443" s="54"/>
      <c r="D443" s="55"/>
      <c r="E443" s="55"/>
      <c r="F443" s="56" t="str">
        <f t="shared" si="7"/>
        <v/>
      </c>
      <c r="G443" s="55" t="str">
        <f t="shared" si="8"/>
        <v/>
      </c>
      <c r="H443" s="57" t="str">
        <f t="shared" si="9"/>
        <v/>
      </c>
      <c r="I443" s="58" t="str">
        <f t="shared" si="10"/>
        <v/>
      </c>
      <c r="J443" s="55" t="str">
        <f t="shared" si="11"/>
        <v/>
      </c>
      <c r="K443" s="59" t="str">
        <f t="shared" si="12"/>
        <v/>
      </c>
      <c r="L443" s="59" t="str">
        <f>IF(NOT(ISERROR(VLOOKUP(B443,Deflatores!G$42:H$64,2,FALSE))),VLOOKUP(B443,Deflatores!G$42:H$64,2,FALSE),IF(OR(ISBLANK(C443),ISBLANK(B443)),"",VLOOKUP(C443,Deflatores!G$4:H$38,2,FALSE)*H443+VLOOKUP(C443,Deflatores!G$4:I$38,3,FALSE)))</f>
        <v/>
      </c>
      <c r="M443" s="60"/>
      <c r="N443" s="60"/>
      <c r="O443" s="61"/>
    </row>
    <row r="444" ht="12.0" customHeight="1">
      <c r="A444" s="53"/>
      <c r="B444" s="54"/>
      <c r="C444" s="54"/>
      <c r="D444" s="55"/>
      <c r="E444" s="55"/>
      <c r="F444" s="56" t="str">
        <f t="shared" si="7"/>
        <v/>
      </c>
      <c r="G444" s="55" t="str">
        <f t="shared" si="8"/>
        <v/>
      </c>
      <c r="H444" s="57" t="str">
        <f t="shared" si="9"/>
        <v/>
      </c>
      <c r="I444" s="58" t="str">
        <f t="shared" si="10"/>
        <v/>
      </c>
      <c r="J444" s="55" t="str">
        <f t="shared" si="11"/>
        <v/>
      </c>
      <c r="K444" s="59" t="str">
        <f t="shared" si="12"/>
        <v/>
      </c>
      <c r="L444" s="59" t="str">
        <f>IF(NOT(ISERROR(VLOOKUP(B444,Deflatores!G$42:H$64,2,FALSE))),VLOOKUP(B444,Deflatores!G$42:H$64,2,FALSE),IF(OR(ISBLANK(C444),ISBLANK(B444)),"",VLOOKUP(C444,Deflatores!G$4:H$38,2,FALSE)*H444+VLOOKUP(C444,Deflatores!G$4:I$38,3,FALSE)))</f>
        <v/>
      </c>
      <c r="M444" s="60"/>
      <c r="N444" s="60"/>
      <c r="O444" s="61"/>
    </row>
    <row r="445" ht="12.0" customHeight="1">
      <c r="A445" s="53"/>
      <c r="B445" s="54"/>
      <c r="C445" s="54"/>
      <c r="D445" s="55"/>
      <c r="E445" s="55"/>
      <c r="F445" s="56" t="str">
        <f t="shared" si="7"/>
        <v/>
      </c>
      <c r="G445" s="55" t="str">
        <f t="shared" si="8"/>
        <v/>
      </c>
      <c r="H445" s="57" t="str">
        <f t="shared" si="9"/>
        <v/>
      </c>
      <c r="I445" s="58" t="str">
        <f t="shared" si="10"/>
        <v/>
      </c>
      <c r="J445" s="55" t="str">
        <f t="shared" si="11"/>
        <v/>
      </c>
      <c r="K445" s="59" t="str">
        <f t="shared" si="12"/>
        <v/>
      </c>
      <c r="L445" s="59" t="str">
        <f>IF(NOT(ISERROR(VLOOKUP(B445,Deflatores!G$42:H$64,2,FALSE))),VLOOKUP(B445,Deflatores!G$42:H$64,2,FALSE),IF(OR(ISBLANK(C445),ISBLANK(B445)),"",VLOOKUP(C445,Deflatores!G$4:H$38,2,FALSE)*H445+VLOOKUP(C445,Deflatores!G$4:I$38,3,FALSE)))</f>
        <v/>
      </c>
      <c r="M445" s="60"/>
      <c r="N445" s="60"/>
      <c r="O445" s="61"/>
    </row>
    <row r="446" ht="12.0" customHeight="1">
      <c r="A446" s="53"/>
      <c r="B446" s="54"/>
      <c r="C446" s="54"/>
      <c r="D446" s="55"/>
      <c r="E446" s="55"/>
      <c r="F446" s="56" t="str">
        <f t="shared" si="7"/>
        <v/>
      </c>
      <c r="G446" s="55" t="str">
        <f t="shared" si="8"/>
        <v/>
      </c>
      <c r="H446" s="57" t="str">
        <f t="shared" si="9"/>
        <v/>
      </c>
      <c r="I446" s="58" t="str">
        <f t="shared" si="10"/>
        <v/>
      </c>
      <c r="J446" s="55" t="str">
        <f t="shared" si="11"/>
        <v/>
      </c>
      <c r="K446" s="59" t="str">
        <f t="shared" si="12"/>
        <v/>
      </c>
      <c r="L446" s="59" t="str">
        <f>IF(NOT(ISERROR(VLOOKUP(B446,Deflatores!G$42:H$64,2,FALSE))),VLOOKUP(B446,Deflatores!G$42:H$64,2,FALSE),IF(OR(ISBLANK(C446),ISBLANK(B446)),"",VLOOKUP(C446,Deflatores!G$4:H$38,2,FALSE)*H446+VLOOKUP(C446,Deflatores!G$4:I$38,3,FALSE)))</f>
        <v/>
      </c>
      <c r="M446" s="60"/>
      <c r="N446" s="60"/>
      <c r="O446" s="61"/>
    </row>
    <row r="447" ht="12.0" customHeight="1">
      <c r="A447" s="53"/>
      <c r="B447" s="54"/>
      <c r="C447" s="54"/>
      <c r="D447" s="55"/>
      <c r="E447" s="55"/>
      <c r="F447" s="56" t="str">
        <f t="shared" si="7"/>
        <v/>
      </c>
      <c r="G447" s="55" t="str">
        <f t="shared" si="8"/>
        <v/>
      </c>
      <c r="H447" s="57" t="str">
        <f t="shared" si="9"/>
        <v/>
      </c>
      <c r="I447" s="58" t="str">
        <f t="shared" si="10"/>
        <v/>
      </c>
      <c r="J447" s="55" t="str">
        <f t="shared" si="11"/>
        <v/>
      </c>
      <c r="K447" s="59" t="str">
        <f t="shared" si="12"/>
        <v/>
      </c>
      <c r="L447" s="59" t="str">
        <f>IF(NOT(ISERROR(VLOOKUP(B447,Deflatores!G$42:H$64,2,FALSE))),VLOOKUP(B447,Deflatores!G$42:H$64,2,FALSE),IF(OR(ISBLANK(C447),ISBLANK(B447)),"",VLOOKUP(C447,Deflatores!G$4:H$38,2,FALSE)*H447+VLOOKUP(C447,Deflatores!G$4:I$38,3,FALSE)))</f>
        <v/>
      </c>
      <c r="M447" s="60"/>
      <c r="N447" s="60"/>
      <c r="O447" s="61"/>
    </row>
    <row r="448" ht="12.0" customHeight="1">
      <c r="A448" s="53"/>
      <c r="B448" s="54"/>
      <c r="C448" s="54"/>
      <c r="D448" s="55"/>
      <c r="E448" s="55"/>
      <c r="F448" s="56" t="str">
        <f t="shared" si="7"/>
        <v/>
      </c>
      <c r="G448" s="55" t="str">
        <f t="shared" si="8"/>
        <v/>
      </c>
      <c r="H448" s="57" t="str">
        <f t="shared" si="9"/>
        <v/>
      </c>
      <c r="I448" s="58" t="str">
        <f t="shared" si="10"/>
        <v/>
      </c>
      <c r="J448" s="55" t="str">
        <f t="shared" si="11"/>
        <v/>
      </c>
      <c r="K448" s="59" t="str">
        <f t="shared" si="12"/>
        <v/>
      </c>
      <c r="L448" s="59" t="str">
        <f>IF(NOT(ISERROR(VLOOKUP(B448,Deflatores!G$42:H$64,2,FALSE))),VLOOKUP(B448,Deflatores!G$42:H$64,2,FALSE),IF(OR(ISBLANK(C448),ISBLANK(B448)),"",VLOOKUP(C448,Deflatores!G$4:H$38,2,FALSE)*H448+VLOOKUP(C448,Deflatores!G$4:I$38,3,FALSE)))</f>
        <v/>
      </c>
      <c r="M448" s="60"/>
      <c r="N448" s="60"/>
      <c r="O448" s="61"/>
    </row>
    <row r="449" ht="12.0" customHeight="1">
      <c r="A449" s="53"/>
      <c r="B449" s="54"/>
      <c r="C449" s="54"/>
      <c r="D449" s="55"/>
      <c r="E449" s="55"/>
      <c r="F449" s="56" t="str">
        <f t="shared" si="7"/>
        <v/>
      </c>
      <c r="G449" s="55" t="str">
        <f t="shared" si="8"/>
        <v/>
      </c>
      <c r="H449" s="57" t="str">
        <f t="shared" si="9"/>
        <v/>
      </c>
      <c r="I449" s="58" t="str">
        <f t="shared" si="10"/>
        <v/>
      </c>
      <c r="J449" s="55" t="str">
        <f t="shared" si="11"/>
        <v/>
      </c>
      <c r="K449" s="59" t="str">
        <f t="shared" si="12"/>
        <v/>
      </c>
      <c r="L449" s="59" t="str">
        <f>IF(NOT(ISERROR(VLOOKUP(B449,Deflatores!G$42:H$64,2,FALSE))),VLOOKUP(B449,Deflatores!G$42:H$64,2,FALSE),IF(OR(ISBLANK(C449),ISBLANK(B449)),"",VLOOKUP(C449,Deflatores!G$4:H$38,2,FALSE)*H449+VLOOKUP(C449,Deflatores!G$4:I$38,3,FALSE)))</f>
        <v/>
      </c>
      <c r="M449" s="60"/>
      <c r="N449" s="60"/>
      <c r="O449" s="61"/>
    </row>
    <row r="450" ht="12.0" customHeight="1">
      <c r="A450" s="53"/>
      <c r="B450" s="54"/>
      <c r="C450" s="54"/>
      <c r="D450" s="55"/>
      <c r="E450" s="55"/>
      <c r="F450" s="56" t="str">
        <f t="shared" si="7"/>
        <v/>
      </c>
      <c r="G450" s="55" t="str">
        <f t="shared" si="8"/>
        <v/>
      </c>
      <c r="H450" s="57" t="str">
        <f t="shared" si="9"/>
        <v/>
      </c>
      <c r="I450" s="58" t="str">
        <f t="shared" si="10"/>
        <v/>
      </c>
      <c r="J450" s="55" t="str">
        <f t="shared" si="11"/>
        <v/>
      </c>
      <c r="K450" s="59" t="str">
        <f t="shared" si="12"/>
        <v/>
      </c>
      <c r="L450" s="59" t="str">
        <f>IF(NOT(ISERROR(VLOOKUP(B450,Deflatores!G$42:H$64,2,FALSE))),VLOOKUP(B450,Deflatores!G$42:H$64,2,FALSE),IF(OR(ISBLANK(C450),ISBLANK(B450)),"",VLOOKUP(C450,Deflatores!G$4:H$38,2,FALSE)*H450+VLOOKUP(C450,Deflatores!G$4:I$38,3,FALSE)))</f>
        <v/>
      </c>
      <c r="M450" s="60"/>
      <c r="N450" s="60"/>
      <c r="O450" s="61"/>
    </row>
    <row r="451" ht="12.0" customHeight="1">
      <c r="A451" s="53"/>
      <c r="B451" s="54"/>
      <c r="C451" s="54"/>
      <c r="D451" s="55"/>
      <c r="E451" s="55"/>
      <c r="F451" s="56" t="str">
        <f t="shared" si="7"/>
        <v/>
      </c>
      <c r="G451" s="55" t="str">
        <f t="shared" si="8"/>
        <v/>
      </c>
      <c r="H451" s="57" t="str">
        <f t="shared" si="9"/>
        <v/>
      </c>
      <c r="I451" s="58" t="str">
        <f t="shared" si="10"/>
        <v/>
      </c>
      <c r="J451" s="55" t="str">
        <f t="shared" si="11"/>
        <v/>
      </c>
      <c r="K451" s="59" t="str">
        <f t="shared" si="12"/>
        <v/>
      </c>
      <c r="L451" s="59" t="str">
        <f>IF(NOT(ISERROR(VLOOKUP(B451,Deflatores!G$42:H$64,2,FALSE))),VLOOKUP(B451,Deflatores!G$42:H$64,2,FALSE),IF(OR(ISBLANK(C451),ISBLANK(B451)),"",VLOOKUP(C451,Deflatores!G$4:H$38,2,FALSE)*H451+VLOOKUP(C451,Deflatores!G$4:I$38,3,FALSE)))</f>
        <v/>
      </c>
      <c r="M451" s="60"/>
      <c r="N451" s="60"/>
      <c r="O451" s="61"/>
    </row>
    <row r="452" ht="12.0" customHeight="1">
      <c r="A452" s="53"/>
      <c r="B452" s="54"/>
      <c r="C452" s="54"/>
      <c r="D452" s="55"/>
      <c r="E452" s="55"/>
      <c r="F452" s="56" t="str">
        <f t="shared" si="7"/>
        <v/>
      </c>
      <c r="G452" s="55" t="str">
        <f t="shared" si="8"/>
        <v/>
      </c>
      <c r="H452" s="57" t="str">
        <f t="shared" si="9"/>
        <v/>
      </c>
      <c r="I452" s="58" t="str">
        <f t="shared" si="10"/>
        <v/>
      </c>
      <c r="J452" s="55" t="str">
        <f t="shared" si="11"/>
        <v/>
      </c>
      <c r="K452" s="59" t="str">
        <f t="shared" si="12"/>
        <v/>
      </c>
      <c r="L452" s="59" t="str">
        <f>IF(NOT(ISERROR(VLOOKUP(B452,Deflatores!G$42:H$64,2,FALSE))),VLOOKUP(B452,Deflatores!G$42:H$64,2,FALSE),IF(OR(ISBLANK(C452),ISBLANK(B452)),"",VLOOKUP(C452,Deflatores!G$4:H$38,2,FALSE)*H452+VLOOKUP(C452,Deflatores!G$4:I$38,3,FALSE)))</f>
        <v/>
      </c>
      <c r="M452" s="60"/>
      <c r="N452" s="60"/>
      <c r="O452" s="61"/>
    </row>
    <row r="453" ht="12.0" customHeight="1">
      <c r="A453" s="53"/>
      <c r="B453" s="54"/>
      <c r="C453" s="54"/>
      <c r="D453" s="55"/>
      <c r="E453" s="55"/>
      <c r="F453" s="56" t="str">
        <f t="shared" si="7"/>
        <v/>
      </c>
      <c r="G453" s="55" t="str">
        <f t="shared" si="8"/>
        <v/>
      </c>
      <c r="H453" s="57" t="str">
        <f t="shared" si="9"/>
        <v/>
      </c>
      <c r="I453" s="58" t="str">
        <f t="shared" si="10"/>
        <v/>
      </c>
      <c r="J453" s="55" t="str">
        <f t="shared" si="11"/>
        <v/>
      </c>
      <c r="K453" s="59" t="str">
        <f t="shared" si="12"/>
        <v/>
      </c>
      <c r="L453" s="59" t="str">
        <f>IF(NOT(ISERROR(VLOOKUP(B453,Deflatores!G$42:H$64,2,FALSE))),VLOOKUP(B453,Deflatores!G$42:H$64,2,FALSE),IF(OR(ISBLANK(C453),ISBLANK(B453)),"",VLOOKUP(C453,Deflatores!G$4:H$38,2,FALSE)*H453+VLOOKUP(C453,Deflatores!G$4:I$38,3,FALSE)))</f>
        <v/>
      </c>
      <c r="M453" s="60"/>
      <c r="N453" s="60"/>
      <c r="O453" s="61"/>
    </row>
    <row r="454" ht="12.0" customHeight="1">
      <c r="A454" s="53"/>
      <c r="B454" s="54"/>
      <c r="C454" s="54"/>
      <c r="D454" s="55"/>
      <c r="E454" s="55"/>
      <c r="F454" s="56" t="str">
        <f t="shared" si="7"/>
        <v/>
      </c>
      <c r="G454" s="55" t="str">
        <f t="shared" si="8"/>
        <v/>
      </c>
      <c r="H454" s="57" t="str">
        <f t="shared" si="9"/>
        <v/>
      </c>
      <c r="I454" s="58" t="str">
        <f t="shared" si="10"/>
        <v/>
      </c>
      <c r="J454" s="55" t="str">
        <f t="shared" si="11"/>
        <v/>
      </c>
      <c r="K454" s="59" t="str">
        <f t="shared" si="12"/>
        <v/>
      </c>
      <c r="L454" s="59" t="str">
        <f>IF(NOT(ISERROR(VLOOKUP(B454,Deflatores!G$42:H$64,2,FALSE))),VLOOKUP(B454,Deflatores!G$42:H$64,2,FALSE),IF(OR(ISBLANK(C454),ISBLANK(B454)),"",VLOOKUP(C454,Deflatores!G$4:H$38,2,FALSE)*H454+VLOOKUP(C454,Deflatores!G$4:I$38,3,FALSE)))</f>
        <v/>
      </c>
      <c r="M454" s="60"/>
      <c r="N454" s="60"/>
      <c r="O454" s="61"/>
    </row>
    <row r="455" ht="12.0" customHeight="1">
      <c r="A455" s="53"/>
      <c r="B455" s="54"/>
      <c r="C455" s="54"/>
      <c r="D455" s="55"/>
      <c r="E455" s="55"/>
      <c r="F455" s="56" t="str">
        <f t="shared" si="7"/>
        <v/>
      </c>
      <c r="G455" s="55" t="str">
        <f t="shared" si="8"/>
        <v/>
      </c>
      <c r="H455" s="57" t="str">
        <f t="shared" si="9"/>
        <v/>
      </c>
      <c r="I455" s="58" t="str">
        <f t="shared" si="10"/>
        <v/>
      </c>
      <c r="J455" s="55" t="str">
        <f t="shared" si="11"/>
        <v/>
      </c>
      <c r="K455" s="59" t="str">
        <f t="shared" si="12"/>
        <v/>
      </c>
      <c r="L455" s="59" t="str">
        <f>IF(NOT(ISERROR(VLOOKUP(B455,Deflatores!G$42:H$64,2,FALSE))),VLOOKUP(B455,Deflatores!G$42:H$64,2,FALSE),IF(OR(ISBLANK(C455),ISBLANK(B455)),"",VLOOKUP(C455,Deflatores!G$4:H$38,2,FALSE)*H455+VLOOKUP(C455,Deflatores!G$4:I$38,3,FALSE)))</f>
        <v/>
      </c>
      <c r="M455" s="60"/>
      <c r="N455" s="60"/>
      <c r="O455" s="61"/>
    </row>
    <row r="456" ht="12.0" customHeight="1">
      <c r="A456" s="53"/>
      <c r="B456" s="54"/>
      <c r="C456" s="54"/>
      <c r="D456" s="55"/>
      <c r="E456" s="55"/>
      <c r="F456" s="56" t="str">
        <f t="shared" si="7"/>
        <v/>
      </c>
      <c r="G456" s="55" t="str">
        <f t="shared" si="8"/>
        <v/>
      </c>
      <c r="H456" s="57" t="str">
        <f t="shared" si="9"/>
        <v/>
      </c>
      <c r="I456" s="58" t="str">
        <f t="shared" si="10"/>
        <v/>
      </c>
      <c r="J456" s="55" t="str">
        <f t="shared" si="11"/>
        <v/>
      </c>
      <c r="K456" s="59" t="str">
        <f t="shared" si="12"/>
        <v/>
      </c>
      <c r="L456" s="59" t="str">
        <f>IF(NOT(ISERROR(VLOOKUP(B456,Deflatores!G$42:H$64,2,FALSE))),VLOOKUP(B456,Deflatores!G$42:H$64,2,FALSE),IF(OR(ISBLANK(C456),ISBLANK(B456)),"",VLOOKUP(C456,Deflatores!G$4:H$38,2,FALSE)*H456+VLOOKUP(C456,Deflatores!G$4:I$38,3,FALSE)))</f>
        <v/>
      </c>
      <c r="M456" s="60"/>
      <c r="N456" s="60"/>
      <c r="O456" s="61"/>
    </row>
    <row r="457" ht="12.0" customHeight="1">
      <c r="A457" s="53"/>
      <c r="B457" s="54"/>
      <c r="C457" s="54"/>
      <c r="D457" s="55"/>
      <c r="E457" s="55"/>
      <c r="F457" s="56" t="str">
        <f t="shared" si="7"/>
        <v/>
      </c>
      <c r="G457" s="55" t="str">
        <f t="shared" si="8"/>
        <v/>
      </c>
      <c r="H457" s="57" t="str">
        <f t="shared" si="9"/>
        <v/>
      </c>
      <c r="I457" s="58" t="str">
        <f t="shared" si="10"/>
        <v/>
      </c>
      <c r="J457" s="55" t="str">
        <f t="shared" si="11"/>
        <v/>
      </c>
      <c r="K457" s="59" t="str">
        <f t="shared" si="12"/>
        <v/>
      </c>
      <c r="L457" s="59" t="str">
        <f>IF(NOT(ISERROR(VLOOKUP(B457,Deflatores!G$42:H$64,2,FALSE))),VLOOKUP(B457,Deflatores!G$42:H$64,2,FALSE),IF(OR(ISBLANK(C457),ISBLANK(B457)),"",VLOOKUP(C457,Deflatores!G$4:H$38,2,FALSE)*H457+VLOOKUP(C457,Deflatores!G$4:I$38,3,FALSE)))</f>
        <v/>
      </c>
      <c r="M457" s="60"/>
      <c r="N457" s="60"/>
      <c r="O457" s="61"/>
    </row>
    <row r="458" ht="12.0" customHeight="1">
      <c r="A458" s="53"/>
      <c r="B458" s="54"/>
      <c r="C458" s="54"/>
      <c r="D458" s="55"/>
      <c r="E458" s="55"/>
      <c r="F458" s="56" t="str">
        <f t="shared" si="7"/>
        <v/>
      </c>
      <c r="G458" s="55" t="str">
        <f t="shared" si="8"/>
        <v/>
      </c>
      <c r="H458" s="57" t="str">
        <f t="shared" si="9"/>
        <v/>
      </c>
      <c r="I458" s="58" t="str">
        <f t="shared" si="10"/>
        <v/>
      </c>
      <c r="J458" s="55" t="str">
        <f t="shared" si="11"/>
        <v/>
      </c>
      <c r="K458" s="59" t="str">
        <f t="shared" si="12"/>
        <v/>
      </c>
      <c r="L458" s="59" t="str">
        <f>IF(NOT(ISERROR(VLOOKUP(B458,Deflatores!G$42:H$64,2,FALSE))),VLOOKUP(B458,Deflatores!G$42:H$64,2,FALSE),IF(OR(ISBLANK(C458),ISBLANK(B458)),"",VLOOKUP(C458,Deflatores!G$4:H$38,2,FALSE)*H458+VLOOKUP(C458,Deflatores!G$4:I$38,3,FALSE)))</f>
        <v/>
      </c>
      <c r="M458" s="60"/>
      <c r="N458" s="60"/>
      <c r="O458" s="61"/>
    </row>
    <row r="459" ht="12.0" customHeight="1">
      <c r="A459" s="53"/>
      <c r="B459" s="54"/>
      <c r="C459" s="54"/>
      <c r="D459" s="55"/>
      <c r="E459" s="55"/>
      <c r="F459" s="56" t="str">
        <f t="shared" si="7"/>
        <v/>
      </c>
      <c r="G459" s="55" t="str">
        <f t="shared" si="8"/>
        <v/>
      </c>
      <c r="H459" s="57" t="str">
        <f t="shared" si="9"/>
        <v/>
      </c>
      <c r="I459" s="58" t="str">
        <f t="shared" si="10"/>
        <v/>
      </c>
      <c r="J459" s="55" t="str">
        <f t="shared" si="11"/>
        <v/>
      </c>
      <c r="K459" s="59" t="str">
        <f t="shared" si="12"/>
        <v/>
      </c>
      <c r="L459" s="59" t="str">
        <f>IF(NOT(ISERROR(VLOOKUP(B459,Deflatores!G$42:H$64,2,FALSE))),VLOOKUP(B459,Deflatores!G$42:H$64,2,FALSE),IF(OR(ISBLANK(C459),ISBLANK(B459)),"",VLOOKUP(C459,Deflatores!G$4:H$38,2,FALSE)*H459+VLOOKUP(C459,Deflatores!G$4:I$38,3,FALSE)))</f>
        <v/>
      </c>
      <c r="M459" s="60"/>
      <c r="N459" s="60"/>
      <c r="O459" s="61"/>
    </row>
    <row r="460" ht="12.0" customHeight="1">
      <c r="A460" s="53"/>
      <c r="B460" s="54"/>
      <c r="C460" s="54"/>
      <c r="D460" s="55"/>
      <c r="E460" s="55"/>
      <c r="F460" s="56" t="str">
        <f t="shared" si="7"/>
        <v/>
      </c>
      <c r="G460" s="55" t="str">
        <f t="shared" si="8"/>
        <v/>
      </c>
      <c r="H460" s="57" t="str">
        <f t="shared" si="9"/>
        <v/>
      </c>
      <c r="I460" s="58" t="str">
        <f t="shared" si="10"/>
        <v/>
      </c>
      <c r="J460" s="55" t="str">
        <f t="shared" si="11"/>
        <v/>
      </c>
      <c r="K460" s="59" t="str">
        <f t="shared" si="12"/>
        <v/>
      </c>
      <c r="L460" s="59" t="str">
        <f>IF(NOT(ISERROR(VLOOKUP(B460,Deflatores!G$42:H$64,2,FALSE))),VLOOKUP(B460,Deflatores!G$42:H$64,2,FALSE),IF(OR(ISBLANK(C460),ISBLANK(B460)),"",VLOOKUP(C460,Deflatores!G$4:H$38,2,FALSE)*H460+VLOOKUP(C460,Deflatores!G$4:I$38,3,FALSE)))</f>
        <v/>
      </c>
      <c r="M460" s="60"/>
      <c r="N460" s="60"/>
      <c r="O460" s="61"/>
    </row>
    <row r="461" ht="12.0" customHeight="1">
      <c r="A461" s="53"/>
      <c r="B461" s="54"/>
      <c r="C461" s="54"/>
      <c r="D461" s="55"/>
      <c r="E461" s="55"/>
      <c r="F461" s="56" t="str">
        <f t="shared" si="7"/>
        <v/>
      </c>
      <c r="G461" s="55" t="str">
        <f t="shared" si="8"/>
        <v/>
      </c>
      <c r="H461" s="57" t="str">
        <f t="shared" si="9"/>
        <v/>
      </c>
      <c r="I461" s="58" t="str">
        <f t="shared" si="10"/>
        <v/>
      </c>
      <c r="J461" s="55" t="str">
        <f t="shared" si="11"/>
        <v/>
      </c>
      <c r="K461" s="59" t="str">
        <f t="shared" si="12"/>
        <v/>
      </c>
      <c r="L461" s="59" t="str">
        <f>IF(NOT(ISERROR(VLOOKUP(B461,Deflatores!G$42:H$64,2,FALSE))),VLOOKUP(B461,Deflatores!G$42:H$64,2,FALSE),IF(OR(ISBLANK(C461),ISBLANK(B461)),"",VLOOKUP(C461,Deflatores!G$4:H$38,2,FALSE)*H461+VLOOKUP(C461,Deflatores!G$4:I$38,3,FALSE)))</f>
        <v/>
      </c>
      <c r="M461" s="60"/>
      <c r="N461" s="60"/>
      <c r="O461" s="61"/>
    </row>
    <row r="462" ht="12.0" customHeight="1">
      <c r="A462" s="53"/>
      <c r="B462" s="54"/>
      <c r="C462" s="54"/>
      <c r="D462" s="55"/>
      <c r="E462" s="55"/>
      <c r="F462" s="56" t="str">
        <f t="shared" si="7"/>
        <v/>
      </c>
      <c r="G462" s="55" t="str">
        <f t="shared" si="8"/>
        <v/>
      </c>
      <c r="H462" s="57" t="str">
        <f t="shared" si="9"/>
        <v/>
      </c>
      <c r="I462" s="58" t="str">
        <f t="shared" si="10"/>
        <v/>
      </c>
      <c r="J462" s="55" t="str">
        <f t="shared" si="11"/>
        <v/>
      </c>
      <c r="K462" s="59" t="str">
        <f t="shared" si="12"/>
        <v/>
      </c>
      <c r="L462" s="59" t="str">
        <f>IF(NOT(ISERROR(VLOOKUP(B462,Deflatores!G$42:H$64,2,FALSE))),VLOOKUP(B462,Deflatores!G$42:H$64,2,FALSE),IF(OR(ISBLANK(C462),ISBLANK(B462)),"",VLOOKUP(C462,Deflatores!G$4:H$38,2,FALSE)*H462+VLOOKUP(C462,Deflatores!G$4:I$38,3,FALSE)))</f>
        <v/>
      </c>
      <c r="M462" s="60"/>
      <c r="N462" s="60"/>
      <c r="O462" s="61"/>
    </row>
    <row r="463" ht="12.0" customHeight="1">
      <c r="A463" s="53"/>
      <c r="B463" s="54"/>
      <c r="C463" s="54"/>
      <c r="D463" s="55"/>
      <c r="E463" s="55"/>
      <c r="F463" s="56" t="str">
        <f t="shared" si="7"/>
        <v/>
      </c>
      <c r="G463" s="55" t="str">
        <f t="shared" si="8"/>
        <v/>
      </c>
      <c r="H463" s="57" t="str">
        <f t="shared" si="9"/>
        <v/>
      </c>
      <c r="I463" s="58" t="str">
        <f t="shared" si="10"/>
        <v/>
      </c>
      <c r="J463" s="55" t="str">
        <f t="shared" si="11"/>
        <v/>
      </c>
      <c r="K463" s="59" t="str">
        <f t="shared" si="12"/>
        <v/>
      </c>
      <c r="L463" s="59" t="str">
        <f>IF(NOT(ISERROR(VLOOKUP(B463,Deflatores!G$42:H$64,2,FALSE))),VLOOKUP(B463,Deflatores!G$42:H$64,2,FALSE),IF(OR(ISBLANK(C463),ISBLANK(B463)),"",VLOOKUP(C463,Deflatores!G$4:H$38,2,FALSE)*H463+VLOOKUP(C463,Deflatores!G$4:I$38,3,FALSE)))</f>
        <v/>
      </c>
      <c r="M463" s="60"/>
      <c r="N463" s="60"/>
      <c r="O463" s="61"/>
    </row>
    <row r="464" ht="12.0" customHeight="1">
      <c r="A464" s="53"/>
      <c r="B464" s="54"/>
      <c r="C464" s="54"/>
      <c r="D464" s="55"/>
      <c r="E464" s="55"/>
      <c r="F464" s="56" t="str">
        <f t="shared" si="7"/>
        <v/>
      </c>
      <c r="G464" s="55" t="str">
        <f t="shared" si="8"/>
        <v/>
      </c>
      <c r="H464" s="57" t="str">
        <f t="shared" si="9"/>
        <v/>
      </c>
      <c r="I464" s="58" t="str">
        <f t="shared" si="10"/>
        <v/>
      </c>
      <c r="J464" s="55" t="str">
        <f t="shared" si="11"/>
        <v/>
      </c>
      <c r="K464" s="59" t="str">
        <f t="shared" si="12"/>
        <v/>
      </c>
      <c r="L464" s="59" t="str">
        <f>IF(NOT(ISERROR(VLOOKUP(B464,Deflatores!G$42:H$64,2,FALSE))),VLOOKUP(B464,Deflatores!G$42:H$64,2,FALSE),IF(OR(ISBLANK(C464),ISBLANK(B464)),"",VLOOKUP(C464,Deflatores!G$4:H$38,2,FALSE)*H464+VLOOKUP(C464,Deflatores!G$4:I$38,3,FALSE)))</f>
        <v/>
      </c>
      <c r="M464" s="60"/>
      <c r="N464" s="60"/>
      <c r="O464" s="61"/>
    </row>
    <row r="465" ht="12.0" customHeight="1">
      <c r="A465" s="53"/>
      <c r="B465" s="54"/>
      <c r="C465" s="54"/>
      <c r="D465" s="55"/>
      <c r="E465" s="55"/>
      <c r="F465" s="56" t="str">
        <f t="shared" si="7"/>
        <v/>
      </c>
      <c r="G465" s="55" t="str">
        <f t="shared" si="8"/>
        <v/>
      </c>
      <c r="H465" s="57" t="str">
        <f t="shared" si="9"/>
        <v/>
      </c>
      <c r="I465" s="58" t="str">
        <f t="shared" si="10"/>
        <v/>
      </c>
      <c r="J465" s="55" t="str">
        <f t="shared" si="11"/>
        <v/>
      </c>
      <c r="K465" s="59" t="str">
        <f t="shared" si="12"/>
        <v/>
      </c>
      <c r="L465" s="59" t="str">
        <f>IF(NOT(ISERROR(VLOOKUP(B465,Deflatores!G$42:H$64,2,FALSE))),VLOOKUP(B465,Deflatores!G$42:H$64,2,FALSE),IF(OR(ISBLANK(C465),ISBLANK(B465)),"",VLOOKUP(C465,Deflatores!G$4:H$38,2,FALSE)*H465+VLOOKUP(C465,Deflatores!G$4:I$38,3,FALSE)))</f>
        <v/>
      </c>
      <c r="M465" s="60"/>
      <c r="N465" s="60"/>
      <c r="O465" s="61"/>
    </row>
    <row r="466" ht="12.0" customHeight="1">
      <c r="A466" s="53"/>
      <c r="B466" s="54"/>
      <c r="C466" s="54"/>
      <c r="D466" s="55"/>
      <c r="E466" s="55"/>
      <c r="F466" s="56" t="str">
        <f t="shared" si="7"/>
        <v/>
      </c>
      <c r="G466" s="55" t="str">
        <f t="shared" si="8"/>
        <v/>
      </c>
      <c r="H466" s="57" t="str">
        <f t="shared" si="9"/>
        <v/>
      </c>
      <c r="I466" s="58" t="str">
        <f t="shared" si="10"/>
        <v/>
      </c>
      <c r="J466" s="55" t="str">
        <f t="shared" si="11"/>
        <v/>
      </c>
      <c r="K466" s="59" t="str">
        <f t="shared" si="12"/>
        <v/>
      </c>
      <c r="L466" s="59" t="str">
        <f>IF(NOT(ISERROR(VLOOKUP(B466,Deflatores!G$42:H$64,2,FALSE))),VLOOKUP(B466,Deflatores!G$42:H$64,2,FALSE),IF(OR(ISBLANK(C466),ISBLANK(B466)),"",VLOOKUP(C466,Deflatores!G$4:H$38,2,FALSE)*H466+VLOOKUP(C466,Deflatores!G$4:I$38,3,FALSE)))</f>
        <v/>
      </c>
      <c r="M466" s="60"/>
      <c r="N466" s="60"/>
      <c r="O466" s="61"/>
    </row>
    <row r="467" ht="12.0" customHeight="1">
      <c r="A467" s="53"/>
      <c r="B467" s="54"/>
      <c r="C467" s="54"/>
      <c r="D467" s="55"/>
      <c r="E467" s="55"/>
      <c r="F467" s="56" t="str">
        <f t="shared" si="7"/>
        <v/>
      </c>
      <c r="G467" s="55" t="str">
        <f t="shared" si="8"/>
        <v/>
      </c>
      <c r="H467" s="57" t="str">
        <f t="shared" si="9"/>
        <v/>
      </c>
      <c r="I467" s="58" t="str">
        <f t="shared" si="10"/>
        <v/>
      </c>
      <c r="J467" s="55" t="str">
        <f t="shared" si="11"/>
        <v/>
      </c>
      <c r="K467" s="59" t="str">
        <f t="shared" si="12"/>
        <v/>
      </c>
      <c r="L467" s="59" t="str">
        <f>IF(NOT(ISERROR(VLOOKUP(B467,Deflatores!G$42:H$64,2,FALSE))),VLOOKUP(B467,Deflatores!G$42:H$64,2,FALSE),IF(OR(ISBLANK(C467),ISBLANK(B467)),"",VLOOKUP(C467,Deflatores!G$4:H$38,2,FALSE)*H467+VLOOKUP(C467,Deflatores!G$4:I$38,3,FALSE)))</f>
        <v/>
      </c>
      <c r="M467" s="60"/>
      <c r="N467" s="60"/>
      <c r="O467" s="61"/>
    </row>
    <row r="468" ht="12.0" customHeight="1">
      <c r="A468" s="53"/>
      <c r="B468" s="54"/>
      <c r="C468" s="54"/>
      <c r="D468" s="55"/>
      <c r="E468" s="55"/>
      <c r="F468" s="56" t="str">
        <f t="shared" si="7"/>
        <v/>
      </c>
      <c r="G468" s="55" t="str">
        <f t="shared" si="8"/>
        <v/>
      </c>
      <c r="H468" s="57" t="str">
        <f t="shared" si="9"/>
        <v/>
      </c>
      <c r="I468" s="58" t="str">
        <f t="shared" si="10"/>
        <v/>
      </c>
      <c r="J468" s="55" t="str">
        <f t="shared" si="11"/>
        <v/>
      </c>
      <c r="K468" s="59" t="str">
        <f t="shared" si="12"/>
        <v/>
      </c>
      <c r="L468" s="59" t="str">
        <f>IF(NOT(ISERROR(VLOOKUP(B468,Deflatores!G$42:H$64,2,FALSE))),VLOOKUP(B468,Deflatores!G$42:H$64,2,FALSE),IF(OR(ISBLANK(C468),ISBLANK(B468)),"",VLOOKUP(C468,Deflatores!G$4:H$38,2,FALSE)*H468+VLOOKUP(C468,Deflatores!G$4:I$38,3,FALSE)))</f>
        <v/>
      </c>
      <c r="M468" s="60"/>
      <c r="N468" s="60"/>
      <c r="O468" s="61"/>
    </row>
    <row r="469" ht="12.0" customHeight="1">
      <c r="A469" s="53"/>
      <c r="B469" s="54"/>
      <c r="C469" s="54"/>
      <c r="D469" s="55"/>
      <c r="E469" s="55"/>
      <c r="F469" s="56" t="str">
        <f t="shared" si="7"/>
        <v/>
      </c>
      <c r="G469" s="55" t="str">
        <f t="shared" si="8"/>
        <v/>
      </c>
      <c r="H469" s="57" t="str">
        <f t="shared" si="9"/>
        <v/>
      </c>
      <c r="I469" s="58" t="str">
        <f t="shared" si="10"/>
        <v/>
      </c>
      <c r="J469" s="55" t="str">
        <f t="shared" si="11"/>
        <v/>
      </c>
      <c r="K469" s="59" t="str">
        <f t="shared" si="12"/>
        <v/>
      </c>
      <c r="L469" s="59" t="str">
        <f>IF(NOT(ISERROR(VLOOKUP(B469,Deflatores!G$42:H$64,2,FALSE))),VLOOKUP(B469,Deflatores!G$42:H$64,2,FALSE),IF(OR(ISBLANK(C469),ISBLANK(B469)),"",VLOOKUP(C469,Deflatores!G$4:H$38,2,FALSE)*H469+VLOOKUP(C469,Deflatores!G$4:I$38,3,FALSE)))</f>
        <v/>
      </c>
      <c r="M469" s="60"/>
      <c r="N469" s="60"/>
      <c r="O469" s="61"/>
    </row>
    <row r="470" ht="12.0" customHeight="1">
      <c r="A470" s="53"/>
      <c r="B470" s="54"/>
      <c r="C470" s="54"/>
      <c r="D470" s="55"/>
      <c r="E470" s="55"/>
      <c r="F470" s="56" t="str">
        <f t="shared" si="7"/>
        <v/>
      </c>
      <c r="G470" s="55" t="str">
        <f t="shared" si="8"/>
        <v/>
      </c>
      <c r="H470" s="57" t="str">
        <f t="shared" si="9"/>
        <v/>
      </c>
      <c r="I470" s="58" t="str">
        <f t="shared" si="10"/>
        <v/>
      </c>
      <c r="J470" s="55" t="str">
        <f t="shared" si="11"/>
        <v/>
      </c>
      <c r="K470" s="59" t="str">
        <f t="shared" si="12"/>
        <v/>
      </c>
      <c r="L470" s="59" t="str">
        <f>IF(NOT(ISERROR(VLOOKUP(B470,Deflatores!G$42:H$64,2,FALSE))),VLOOKUP(B470,Deflatores!G$42:H$64,2,FALSE),IF(OR(ISBLANK(C470),ISBLANK(B470)),"",VLOOKUP(C470,Deflatores!G$4:H$38,2,FALSE)*H470+VLOOKUP(C470,Deflatores!G$4:I$38,3,FALSE)))</f>
        <v/>
      </c>
      <c r="M470" s="60"/>
      <c r="N470" s="60"/>
      <c r="O470" s="61"/>
    </row>
    <row r="471" ht="12.0" customHeight="1">
      <c r="A471" s="53"/>
      <c r="B471" s="54"/>
      <c r="C471" s="54"/>
      <c r="D471" s="55"/>
      <c r="E471" s="55"/>
      <c r="F471" s="56" t="str">
        <f t="shared" si="7"/>
        <v/>
      </c>
      <c r="G471" s="55" t="str">
        <f t="shared" si="8"/>
        <v/>
      </c>
      <c r="H471" s="57" t="str">
        <f t="shared" si="9"/>
        <v/>
      </c>
      <c r="I471" s="58" t="str">
        <f t="shared" si="10"/>
        <v/>
      </c>
      <c r="J471" s="55" t="str">
        <f t="shared" si="11"/>
        <v/>
      </c>
      <c r="K471" s="59" t="str">
        <f t="shared" si="12"/>
        <v/>
      </c>
      <c r="L471" s="59" t="str">
        <f>IF(NOT(ISERROR(VLOOKUP(B471,Deflatores!G$42:H$64,2,FALSE))),VLOOKUP(B471,Deflatores!G$42:H$64,2,FALSE),IF(OR(ISBLANK(C471),ISBLANK(B471)),"",VLOOKUP(C471,Deflatores!G$4:H$38,2,FALSE)*H471+VLOOKUP(C471,Deflatores!G$4:I$38,3,FALSE)))</f>
        <v/>
      </c>
      <c r="M471" s="60"/>
      <c r="N471" s="60"/>
      <c r="O471" s="61"/>
    </row>
    <row r="472" ht="12.0" customHeight="1">
      <c r="A472" s="53"/>
      <c r="B472" s="54"/>
      <c r="C472" s="54"/>
      <c r="D472" s="55"/>
      <c r="E472" s="55"/>
      <c r="F472" s="56" t="str">
        <f t="shared" si="7"/>
        <v/>
      </c>
      <c r="G472" s="55" t="str">
        <f t="shared" si="8"/>
        <v/>
      </c>
      <c r="H472" s="57" t="str">
        <f t="shared" si="9"/>
        <v/>
      </c>
      <c r="I472" s="58" t="str">
        <f t="shared" si="10"/>
        <v/>
      </c>
      <c r="J472" s="55" t="str">
        <f t="shared" si="11"/>
        <v/>
      </c>
      <c r="K472" s="59" t="str">
        <f t="shared" si="12"/>
        <v/>
      </c>
      <c r="L472" s="59" t="str">
        <f>IF(NOT(ISERROR(VLOOKUP(B472,Deflatores!G$42:H$64,2,FALSE))),VLOOKUP(B472,Deflatores!G$42:H$64,2,FALSE),IF(OR(ISBLANK(C472),ISBLANK(B472)),"",VLOOKUP(C472,Deflatores!G$4:H$38,2,FALSE)*H472+VLOOKUP(C472,Deflatores!G$4:I$38,3,FALSE)))</f>
        <v/>
      </c>
      <c r="M472" s="60"/>
      <c r="N472" s="60"/>
      <c r="O472" s="61"/>
    </row>
    <row r="473" ht="12.0" customHeight="1">
      <c r="A473" s="53"/>
      <c r="B473" s="54"/>
      <c r="C473" s="54"/>
      <c r="D473" s="55"/>
      <c r="E473" s="55"/>
      <c r="F473" s="56" t="str">
        <f t="shared" si="7"/>
        <v/>
      </c>
      <c r="G473" s="55" t="str">
        <f t="shared" si="8"/>
        <v/>
      </c>
      <c r="H473" s="57" t="str">
        <f t="shared" si="9"/>
        <v/>
      </c>
      <c r="I473" s="58" t="str">
        <f t="shared" si="10"/>
        <v/>
      </c>
      <c r="J473" s="55" t="str">
        <f t="shared" si="11"/>
        <v/>
      </c>
      <c r="K473" s="59" t="str">
        <f t="shared" si="12"/>
        <v/>
      </c>
      <c r="L473" s="59" t="str">
        <f>IF(NOT(ISERROR(VLOOKUP(B473,Deflatores!G$42:H$64,2,FALSE))),VLOOKUP(B473,Deflatores!G$42:H$64,2,FALSE),IF(OR(ISBLANK(C473),ISBLANK(B473)),"",VLOOKUP(C473,Deflatores!G$4:H$38,2,FALSE)*H473+VLOOKUP(C473,Deflatores!G$4:I$38,3,FALSE)))</f>
        <v/>
      </c>
      <c r="M473" s="60"/>
      <c r="N473" s="60"/>
      <c r="O473" s="61"/>
    </row>
    <row r="474" ht="12.0" customHeight="1">
      <c r="A474" s="53"/>
      <c r="B474" s="54"/>
      <c r="C474" s="54"/>
      <c r="D474" s="55"/>
      <c r="E474" s="55"/>
      <c r="F474" s="56" t="str">
        <f t="shared" si="7"/>
        <v/>
      </c>
      <c r="G474" s="55" t="str">
        <f t="shared" si="8"/>
        <v/>
      </c>
      <c r="H474" s="57" t="str">
        <f t="shared" si="9"/>
        <v/>
      </c>
      <c r="I474" s="58" t="str">
        <f t="shared" si="10"/>
        <v/>
      </c>
      <c r="J474" s="55" t="str">
        <f t="shared" si="11"/>
        <v/>
      </c>
      <c r="K474" s="59" t="str">
        <f t="shared" si="12"/>
        <v/>
      </c>
      <c r="L474" s="59" t="str">
        <f>IF(NOT(ISERROR(VLOOKUP(B474,Deflatores!G$42:H$64,2,FALSE))),VLOOKUP(B474,Deflatores!G$42:H$64,2,FALSE),IF(OR(ISBLANK(C474),ISBLANK(B474)),"",VLOOKUP(C474,Deflatores!G$4:H$38,2,FALSE)*H474+VLOOKUP(C474,Deflatores!G$4:I$38,3,FALSE)))</f>
        <v/>
      </c>
      <c r="M474" s="60"/>
      <c r="N474" s="60"/>
      <c r="O474" s="61"/>
    </row>
    <row r="475" ht="12.0" customHeight="1">
      <c r="A475" s="53"/>
      <c r="B475" s="54"/>
      <c r="C475" s="54"/>
      <c r="D475" s="55"/>
      <c r="E475" s="55"/>
      <c r="F475" s="56" t="str">
        <f t="shared" si="7"/>
        <v/>
      </c>
      <c r="G475" s="55" t="str">
        <f t="shared" si="8"/>
        <v/>
      </c>
      <c r="H475" s="57" t="str">
        <f t="shared" si="9"/>
        <v/>
      </c>
      <c r="I475" s="58" t="str">
        <f t="shared" si="10"/>
        <v/>
      </c>
      <c r="J475" s="55" t="str">
        <f t="shared" si="11"/>
        <v/>
      </c>
      <c r="K475" s="59" t="str">
        <f t="shared" si="12"/>
        <v/>
      </c>
      <c r="L475" s="59" t="str">
        <f>IF(NOT(ISERROR(VLOOKUP(B475,Deflatores!G$42:H$64,2,FALSE))),VLOOKUP(B475,Deflatores!G$42:H$64,2,FALSE),IF(OR(ISBLANK(C475),ISBLANK(B475)),"",VLOOKUP(C475,Deflatores!G$4:H$38,2,FALSE)*H475+VLOOKUP(C475,Deflatores!G$4:I$38,3,FALSE)))</f>
        <v/>
      </c>
      <c r="M475" s="60"/>
      <c r="N475" s="60"/>
      <c r="O475" s="61"/>
    </row>
    <row r="476" ht="12.0" customHeight="1">
      <c r="A476" s="53"/>
      <c r="B476" s="54"/>
      <c r="C476" s="54"/>
      <c r="D476" s="55"/>
      <c r="E476" s="55"/>
      <c r="F476" s="56" t="str">
        <f t="shared" si="7"/>
        <v/>
      </c>
      <c r="G476" s="55" t="str">
        <f t="shared" si="8"/>
        <v/>
      </c>
      <c r="H476" s="57" t="str">
        <f t="shared" si="9"/>
        <v/>
      </c>
      <c r="I476" s="58" t="str">
        <f t="shared" si="10"/>
        <v/>
      </c>
      <c r="J476" s="55" t="str">
        <f t="shared" si="11"/>
        <v/>
      </c>
      <c r="K476" s="59" t="str">
        <f t="shared" si="12"/>
        <v/>
      </c>
      <c r="L476" s="59" t="str">
        <f>IF(NOT(ISERROR(VLOOKUP(B476,Deflatores!G$42:H$64,2,FALSE))),VLOOKUP(B476,Deflatores!G$42:H$64,2,FALSE),IF(OR(ISBLANK(C476),ISBLANK(B476)),"",VLOOKUP(C476,Deflatores!G$4:H$38,2,FALSE)*H476+VLOOKUP(C476,Deflatores!G$4:I$38,3,FALSE)))</f>
        <v/>
      </c>
      <c r="M476" s="60"/>
      <c r="N476" s="60"/>
      <c r="O476" s="61"/>
    </row>
    <row r="477" ht="12.0" customHeight="1">
      <c r="A477" s="53"/>
      <c r="B477" s="54"/>
      <c r="C477" s="54"/>
      <c r="D477" s="55"/>
      <c r="E477" s="55"/>
      <c r="F477" s="56" t="str">
        <f t="shared" si="7"/>
        <v/>
      </c>
      <c r="G477" s="55" t="str">
        <f t="shared" si="8"/>
        <v/>
      </c>
      <c r="H477" s="57" t="str">
        <f t="shared" si="9"/>
        <v/>
      </c>
      <c r="I477" s="58" t="str">
        <f t="shared" si="10"/>
        <v/>
      </c>
      <c r="J477" s="55" t="str">
        <f t="shared" si="11"/>
        <v/>
      </c>
      <c r="K477" s="59" t="str">
        <f t="shared" si="12"/>
        <v/>
      </c>
      <c r="L477" s="59" t="str">
        <f>IF(NOT(ISERROR(VLOOKUP(B477,Deflatores!G$42:H$64,2,FALSE))),VLOOKUP(B477,Deflatores!G$42:H$64,2,FALSE),IF(OR(ISBLANK(C477),ISBLANK(B477)),"",VLOOKUP(C477,Deflatores!G$4:H$38,2,FALSE)*H477+VLOOKUP(C477,Deflatores!G$4:I$38,3,FALSE)))</f>
        <v/>
      </c>
      <c r="M477" s="60"/>
      <c r="N477" s="60"/>
      <c r="O477" s="61"/>
    </row>
    <row r="478" ht="12.0" customHeight="1">
      <c r="A478" s="53"/>
      <c r="B478" s="54"/>
      <c r="C478" s="54"/>
      <c r="D478" s="55"/>
      <c r="E478" s="55"/>
      <c r="F478" s="56" t="str">
        <f t="shared" si="7"/>
        <v/>
      </c>
      <c r="G478" s="55" t="str">
        <f t="shared" si="8"/>
        <v/>
      </c>
      <c r="H478" s="57" t="str">
        <f t="shared" si="9"/>
        <v/>
      </c>
      <c r="I478" s="58" t="str">
        <f t="shared" si="10"/>
        <v/>
      </c>
      <c r="J478" s="55" t="str">
        <f t="shared" si="11"/>
        <v/>
      </c>
      <c r="K478" s="59" t="str">
        <f t="shared" si="12"/>
        <v/>
      </c>
      <c r="L478" s="59" t="str">
        <f>IF(NOT(ISERROR(VLOOKUP(B478,Deflatores!G$42:H$64,2,FALSE))),VLOOKUP(B478,Deflatores!G$42:H$64,2,FALSE),IF(OR(ISBLANK(C478),ISBLANK(B478)),"",VLOOKUP(C478,Deflatores!G$4:H$38,2,FALSE)*H478+VLOOKUP(C478,Deflatores!G$4:I$38,3,FALSE)))</f>
        <v/>
      </c>
      <c r="M478" s="60"/>
      <c r="N478" s="60"/>
      <c r="O478" s="61"/>
    </row>
    <row r="479" ht="12.0" customHeight="1">
      <c r="A479" s="53"/>
      <c r="B479" s="54"/>
      <c r="C479" s="54"/>
      <c r="D479" s="55"/>
      <c r="E479" s="55"/>
      <c r="F479" s="56" t="str">
        <f t="shared" si="7"/>
        <v/>
      </c>
      <c r="G479" s="55" t="str">
        <f t="shared" si="8"/>
        <v/>
      </c>
      <c r="H479" s="57" t="str">
        <f t="shared" si="9"/>
        <v/>
      </c>
      <c r="I479" s="58" t="str">
        <f t="shared" si="10"/>
        <v/>
      </c>
      <c r="J479" s="55" t="str">
        <f t="shared" si="11"/>
        <v/>
      </c>
      <c r="K479" s="59" t="str">
        <f t="shared" si="12"/>
        <v/>
      </c>
      <c r="L479" s="59" t="str">
        <f>IF(NOT(ISERROR(VLOOKUP(B479,Deflatores!G$42:H$64,2,FALSE))),VLOOKUP(B479,Deflatores!G$42:H$64,2,FALSE),IF(OR(ISBLANK(C479),ISBLANK(B479)),"",VLOOKUP(C479,Deflatores!G$4:H$38,2,FALSE)*H479+VLOOKUP(C479,Deflatores!G$4:I$38,3,FALSE)))</f>
        <v/>
      </c>
      <c r="M479" s="60"/>
      <c r="N479" s="60"/>
      <c r="O479" s="61"/>
    </row>
    <row r="480" ht="12.0" customHeight="1">
      <c r="A480" s="53"/>
      <c r="B480" s="54"/>
      <c r="C480" s="54"/>
      <c r="D480" s="55"/>
      <c r="E480" s="55"/>
      <c r="F480" s="56" t="str">
        <f t="shared" si="7"/>
        <v/>
      </c>
      <c r="G480" s="55" t="str">
        <f t="shared" si="8"/>
        <v/>
      </c>
      <c r="H480" s="57" t="str">
        <f t="shared" si="9"/>
        <v/>
      </c>
      <c r="I480" s="58" t="str">
        <f t="shared" si="10"/>
        <v/>
      </c>
      <c r="J480" s="55" t="str">
        <f t="shared" si="11"/>
        <v/>
      </c>
      <c r="K480" s="59" t="str">
        <f t="shared" si="12"/>
        <v/>
      </c>
      <c r="L480" s="59" t="str">
        <f>IF(NOT(ISERROR(VLOOKUP(B480,Deflatores!G$42:H$64,2,FALSE))),VLOOKUP(B480,Deflatores!G$42:H$64,2,FALSE),IF(OR(ISBLANK(C480),ISBLANK(B480)),"",VLOOKUP(C480,Deflatores!G$4:H$38,2,FALSE)*H480+VLOOKUP(C480,Deflatores!G$4:I$38,3,FALSE)))</f>
        <v/>
      </c>
      <c r="M480" s="60"/>
      <c r="N480" s="60"/>
      <c r="O480" s="61"/>
    </row>
    <row r="481" ht="12.0" customHeight="1">
      <c r="A481" s="53"/>
      <c r="B481" s="54"/>
      <c r="C481" s="54"/>
      <c r="D481" s="55"/>
      <c r="E481" s="55"/>
      <c r="F481" s="56" t="str">
        <f t="shared" si="7"/>
        <v/>
      </c>
      <c r="G481" s="55" t="str">
        <f t="shared" si="8"/>
        <v/>
      </c>
      <c r="H481" s="57" t="str">
        <f t="shared" si="9"/>
        <v/>
      </c>
      <c r="I481" s="58" t="str">
        <f t="shared" si="10"/>
        <v/>
      </c>
      <c r="J481" s="55" t="str">
        <f t="shared" si="11"/>
        <v/>
      </c>
      <c r="K481" s="59" t="str">
        <f t="shared" si="12"/>
        <v/>
      </c>
      <c r="L481" s="59" t="str">
        <f>IF(NOT(ISERROR(VLOOKUP(B481,Deflatores!G$42:H$64,2,FALSE))),VLOOKUP(B481,Deflatores!G$42:H$64,2,FALSE),IF(OR(ISBLANK(C481),ISBLANK(B481)),"",VLOOKUP(C481,Deflatores!G$4:H$38,2,FALSE)*H481+VLOOKUP(C481,Deflatores!G$4:I$38,3,FALSE)))</f>
        <v/>
      </c>
      <c r="M481" s="60"/>
      <c r="N481" s="60"/>
      <c r="O481" s="61"/>
    </row>
    <row r="482" ht="12.0" customHeight="1">
      <c r="A482" s="53"/>
      <c r="B482" s="54"/>
      <c r="C482" s="54"/>
      <c r="D482" s="55"/>
      <c r="E482" s="55"/>
      <c r="F482" s="56" t="str">
        <f t="shared" si="7"/>
        <v/>
      </c>
      <c r="G482" s="55" t="str">
        <f t="shared" si="8"/>
        <v/>
      </c>
      <c r="H482" s="57" t="str">
        <f t="shared" si="9"/>
        <v/>
      </c>
      <c r="I482" s="58" t="str">
        <f t="shared" si="10"/>
        <v/>
      </c>
      <c r="J482" s="55" t="str">
        <f t="shared" si="11"/>
        <v/>
      </c>
      <c r="K482" s="59" t="str">
        <f t="shared" si="12"/>
        <v/>
      </c>
      <c r="L482" s="59" t="str">
        <f>IF(NOT(ISERROR(VLOOKUP(B482,Deflatores!G$42:H$64,2,FALSE))),VLOOKUP(B482,Deflatores!G$42:H$64,2,FALSE),IF(OR(ISBLANK(C482),ISBLANK(B482)),"",VLOOKUP(C482,Deflatores!G$4:H$38,2,FALSE)*H482+VLOOKUP(C482,Deflatores!G$4:I$38,3,FALSE)))</f>
        <v/>
      </c>
      <c r="M482" s="60"/>
      <c r="N482" s="60"/>
      <c r="O482" s="61"/>
    </row>
    <row r="483" ht="12.0" customHeight="1">
      <c r="A483" s="53"/>
      <c r="B483" s="54"/>
      <c r="C483" s="54"/>
      <c r="D483" s="55"/>
      <c r="E483" s="55"/>
      <c r="F483" s="56" t="str">
        <f t="shared" si="7"/>
        <v/>
      </c>
      <c r="G483" s="55" t="str">
        <f t="shared" si="8"/>
        <v/>
      </c>
      <c r="H483" s="57" t="str">
        <f t="shared" si="9"/>
        <v/>
      </c>
      <c r="I483" s="58" t="str">
        <f t="shared" si="10"/>
        <v/>
      </c>
      <c r="J483" s="55" t="str">
        <f t="shared" si="11"/>
        <v/>
      </c>
      <c r="K483" s="59" t="str">
        <f t="shared" si="12"/>
        <v/>
      </c>
      <c r="L483" s="59" t="str">
        <f>IF(NOT(ISERROR(VLOOKUP(B483,Deflatores!G$42:H$64,2,FALSE))),VLOOKUP(B483,Deflatores!G$42:H$64,2,FALSE),IF(OR(ISBLANK(C483),ISBLANK(B483)),"",VLOOKUP(C483,Deflatores!G$4:H$38,2,FALSE)*H483+VLOOKUP(C483,Deflatores!G$4:I$38,3,FALSE)))</f>
        <v/>
      </c>
      <c r="M483" s="60"/>
      <c r="N483" s="60"/>
      <c r="O483" s="61"/>
    </row>
    <row r="484" ht="12.0" customHeight="1">
      <c r="A484" s="53"/>
      <c r="B484" s="54"/>
      <c r="C484" s="54"/>
      <c r="D484" s="55"/>
      <c r="E484" s="55"/>
      <c r="F484" s="56" t="str">
        <f t="shared" si="7"/>
        <v/>
      </c>
      <c r="G484" s="55" t="str">
        <f t="shared" si="8"/>
        <v/>
      </c>
      <c r="H484" s="57" t="str">
        <f t="shared" si="9"/>
        <v/>
      </c>
      <c r="I484" s="58" t="str">
        <f t="shared" si="10"/>
        <v/>
      </c>
      <c r="J484" s="55" t="str">
        <f t="shared" si="11"/>
        <v/>
      </c>
      <c r="K484" s="59" t="str">
        <f t="shared" si="12"/>
        <v/>
      </c>
      <c r="L484" s="59" t="str">
        <f>IF(NOT(ISERROR(VLOOKUP(B484,Deflatores!G$42:H$64,2,FALSE))),VLOOKUP(B484,Deflatores!G$42:H$64,2,FALSE),IF(OR(ISBLANK(C484),ISBLANK(B484)),"",VLOOKUP(C484,Deflatores!G$4:H$38,2,FALSE)*H484+VLOOKUP(C484,Deflatores!G$4:I$38,3,FALSE)))</f>
        <v/>
      </c>
      <c r="M484" s="60"/>
      <c r="N484" s="60"/>
      <c r="O484" s="61"/>
    </row>
    <row r="485" ht="12.0" customHeight="1">
      <c r="A485" s="53"/>
      <c r="B485" s="54"/>
      <c r="C485" s="54"/>
      <c r="D485" s="55"/>
      <c r="E485" s="55"/>
      <c r="F485" s="56" t="str">
        <f t="shared" si="7"/>
        <v/>
      </c>
      <c r="G485" s="55" t="str">
        <f t="shared" si="8"/>
        <v/>
      </c>
      <c r="H485" s="57" t="str">
        <f t="shared" si="9"/>
        <v/>
      </c>
      <c r="I485" s="58" t="str">
        <f t="shared" si="10"/>
        <v/>
      </c>
      <c r="J485" s="55" t="str">
        <f t="shared" si="11"/>
        <v/>
      </c>
      <c r="K485" s="59" t="str">
        <f t="shared" si="12"/>
        <v/>
      </c>
      <c r="L485" s="59" t="str">
        <f>IF(NOT(ISERROR(VLOOKUP(B485,Deflatores!G$42:H$64,2,FALSE))),VLOOKUP(B485,Deflatores!G$42:H$64,2,FALSE),IF(OR(ISBLANK(C485),ISBLANK(B485)),"",VLOOKUP(C485,Deflatores!G$4:H$38,2,FALSE)*H485+VLOOKUP(C485,Deflatores!G$4:I$38,3,FALSE)))</f>
        <v/>
      </c>
      <c r="M485" s="60"/>
      <c r="N485" s="60"/>
      <c r="O485" s="61"/>
    </row>
    <row r="486" ht="12.0" customHeight="1">
      <c r="A486" s="53"/>
      <c r="B486" s="54"/>
      <c r="C486" s="54"/>
      <c r="D486" s="55"/>
      <c r="E486" s="55"/>
      <c r="F486" s="56" t="str">
        <f t="shared" si="7"/>
        <v/>
      </c>
      <c r="G486" s="55" t="str">
        <f t="shared" si="8"/>
        <v/>
      </c>
      <c r="H486" s="57" t="str">
        <f t="shared" si="9"/>
        <v/>
      </c>
      <c r="I486" s="58" t="str">
        <f t="shared" si="10"/>
        <v/>
      </c>
      <c r="J486" s="55" t="str">
        <f t="shared" si="11"/>
        <v/>
      </c>
      <c r="K486" s="59" t="str">
        <f t="shared" si="12"/>
        <v/>
      </c>
      <c r="L486" s="59" t="str">
        <f>IF(NOT(ISERROR(VLOOKUP(B486,Deflatores!G$42:H$64,2,FALSE))),VLOOKUP(B486,Deflatores!G$42:H$64,2,FALSE),IF(OR(ISBLANK(C486),ISBLANK(B486)),"",VLOOKUP(C486,Deflatores!G$4:H$38,2,FALSE)*H486+VLOOKUP(C486,Deflatores!G$4:I$38,3,FALSE)))</f>
        <v/>
      </c>
      <c r="M486" s="60"/>
      <c r="N486" s="60"/>
      <c r="O486" s="61"/>
    </row>
    <row r="487" ht="12.0" customHeight="1">
      <c r="A487" s="53"/>
      <c r="B487" s="54"/>
      <c r="C487" s="54"/>
      <c r="D487" s="55"/>
      <c r="E487" s="55"/>
      <c r="F487" s="56" t="str">
        <f t="shared" si="7"/>
        <v/>
      </c>
      <c r="G487" s="55" t="str">
        <f t="shared" si="8"/>
        <v/>
      </c>
      <c r="H487" s="57" t="str">
        <f t="shared" si="9"/>
        <v/>
      </c>
      <c r="I487" s="58" t="str">
        <f t="shared" si="10"/>
        <v/>
      </c>
      <c r="J487" s="55" t="str">
        <f t="shared" si="11"/>
        <v/>
      </c>
      <c r="K487" s="59" t="str">
        <f t="shared" si="12"/>
        <v/>
      </c>
      <c r="L487" s="59" t="str">
        <f>IF(NOT(ISERROR(VLOOKUP(B487,Deflatores!G$42:H$64,2,FALSE))),VLOOKUP(B487,Deflatores!G$42:H$64,2,FALSE),IF(OR(ISBLANK(C487),ISBLANK(B487)),"",VLOOKUP(C487,Deflatores!G$4:H$38,2,FALSE)*H487+VLOOKUP(C487,Deflatores!G$4:I$38,3,FALSE)))</f>
        <v/>
      </c>
      <c r="M487" s="60"/>
      <c r="N487" s="60"/>
      <c r="O487" s="61"/>
    </row>
    <row r="488" ht="12.0" customHeight="1">
      <c r="A488" s="53"/>
      <c r="B488" s="54"/>
      <c r="C488" s="54"/>
      <c r="D488" s="55"/>
      <c r="E488" s="55"/>
      <c r="F488" s="56" t="str">
        <f t="shared" si="7"/>
        <v/>
      </c>
      <c r="G488" s="55" t="str">
        <f t="shared" si="8"/>
        <v/>
      </c>
      <c r="H488" s="57" t="str">
        <f t="shared" si="9"/>
        <v/>
      </c>
      <c r="I488" s="58" t="str">
        <f t="shared" si="10"/>
        <v/>
      </c>
      <c r="J488" s="55" t="str">
        <f t="shared" si="11"/>
        <v/>
      </c>
      <c r="K488" s="59" t="str">
        <f t="shared" si="12"/>
        <v/>
      </c>
      <c r="L488" s="59" t="str">
        <f>IF(NOT(ISERROR(VLOOKUP(B488,Deflatores!G$42:H$64,2,FALSE))),VLOOKUP(B488,Deflatores!G$42:H$64,2,FALSE),IF(OR(ISBLANK(C488),ISBLANK(B488)),"",VLOOKUP(C488,Deflatores!G$4:H$38,2,FALSE)*H488+VLOOKUP(C488,Deflatores!G$4:I$38,3,FALSE)))</f>
        <v/>
      </c>
      <c r="M488" s="60"/>
      <c r="N488" s="60"/>
      <c r="O488" s="61"/>
    </row>
    <row r="489" ht="12.0" customHeight="1">
      <c r="A489" s="53"/>
      <c r="B489" s="54"/>
      <c r="C489" s="54"/>
      <c r="D489" s="55"/>
      <c r="E489" s="55"/>
      <c r="F489" s="56" t="str">
        <f t="shared" si="7"/>
        <v/>
      </c>
      <c r="G489" s="55" t="str">
        <f t="shared" si="8"/>
        <v/>
      </c>
      <c r="H489" s="57" t="str">
        <f t="shared" si="9"/>
        <v/>
      </c>
      <c r="I489" s="58" t="str">
        <f t="shared" si="10"/>
        <v/>
      </c>
      <c r="J489" s="55" t="str">
        <f t="shared" si="11"/>
        <v/>
      </c>
      <c r="K489" s="59" t="str">
        <f t="shared" si="12"/>
        <v/>
      </c>
      <c r="L489" s="59" t="str">
        <f>IF(NOT(ISERROR(VLOOKUP(B489,Deflatores!G$42:H$64,2,FALSE))),VLOOKUP(B489,Deflatores!G$42:H$64,2,FALSE),IF(OR(ISBLANK(C489),ISBLANK(B489)),"",VLOOKUP(C489,Deflatores!G$4:H$38,2,FALSE)*H489+VLOOKUP(C489,Deflatores!G$4:I$38,3,FALSE)))</f>
        <v/>
      </c>
      <c r="M489" s="60"/>
      <c r="N489" s="60"/>
      <c r="O489" s="61"/>
    </row>
    <row r="490" ht="12.0" customHeight="1">
      <c r="A490" s="53"/>
      <c r="B490" s="54"/>
      <c r="C490" s="54"/>
      <c r="D490" s="55"/>
      <c r="E490" s="55"/>
      <c r="F490" s="56" t="str">
        <f t="shared" si="7"/>
        <v/>
      </c>
      <c r="G490" s="55" t="str">
        <f t="shared" si="8"/>
        <v/>
      </c>
      <c r="H490" s="57" t="str">
        <f t="shared" si="9"/>
        <v/>
      </c>
      <c r="I490" s="58" t="str">
        <f t="shared" si="10"/>
        <v/>
      </c>
      <c r="J490" s="55" t="str">
        <f t="shared" si="11"/>
        <v/>
      </c>
      <c r="K490" s="59" t="str">
        <f t="shared" si="12"/>
        <v/>
      </c>
      <c r="L490" s="59" t="str">
        <f>IF(NOT(ISERROR(VLOOKUP(B490,Deflatores!G$42:H$64,2,FALSE))),VLOOKUP(B490,Deflatores!G$42:H$64,2,FALSE),IF(OR(ISBLANK(C490),ISBLANK(B490)),"",VLOOKUP(C490,Deflatores!G$4:H$38,2,FALSE)*H490+VLOOKUP(C490,Deflatores!G$4:I$38,3,FALSE)))</f>
        <v/>
      </c>
      <c r="M490" s="60"/>
      <c r="N490" s="60"/>
      <c r="O490" s="61"/>
    </row>
    <row r="491" ht="12.0" customHeight="1">
      <c r="A491" s="53"/>
      <c r="B491" s="54"/>
      <c r="C491" s="54"/>
      <c r="D491" s="55"/>
      <c r="E491" s="55"/>
      <c r="F491" s="56" t="str">
        <f t="shared" si="7"/>
        <v/>
      </c>
      <c r="G491" s="55" t="str">
        <f t="shared" si="8"/>
        <v/>
      </c>
      <c r="H491" s="57" t="str">
        <f t="shared" si="9"/>
        <v/>
      </c>
      <c r="I491" s="58" t="str">
        <f t="shared" si="10"/>
        <v/>
      </c>
      <c r="J491" s="55" t="str">
        <f t="shared" si="11"/>
        <v/>
      </c>
      <c r="K491" s="59" t="str">
        <f t="shared" si="12"/>
        <v/>
      </c>
      <c r="L491" s="59" t="str">
        <f>IF(NOT(ISERROR(VLOOKUP(B491,Deflatores!G$42:H$64,2,FALSE))),VLOOKUP(B491,Deflatores!G$42:H$64,2,FALSE),IF(OR(ISBLANK(C491),ISBLANK(B491)),"",VLOOKUP(C491,Deflatores!G$4:H$38,2,FALSE)*H491+VLOOKUP(C491,Deflatores!G$4:I$38,3,FALSE)))</f>
        <v/>
      </c>
      <c r="M491" s="60"/>
      <c r="N491" s="60"/>
      <c r="O491" s="61"/>
    </row>
    <row r="492" ht="12.0" customHeight="1">
      <c r="A492" s="53"/>
      <c r="B492" s="54"/>
      <c r="C492" s="54"/>
      <c r="D492" s="55"/>
      <c r="E492" s="55"/>
      <c r="F492" s="56" t="str">
        <f t="shared" si="7"/>
        <v/>
      </c>
      <c r="G492" s="55" t="str">
        <f t="shared" si="8"/>
        <v/>
      </c>
      <c r="H492" s="57" t="str">
        <f t="shared" si="9"/>
        <v/>
      </c>
      <c r="I492" s="58" t="str">
        <f t="shared" si="10"/>
        <v/>
      </c>
      <c r="J492" s="55" t="str">
        <f t="shared" si="11"/>
        <v/>
      </c>
      <c r="K492" s="59" t="str">
        <f t="shared" si="12"/>
        <v/>
      </c>
      <c r="L492" s="59" t="str">
        <f>IF(NOT(ISERROR(VLOOKUP(B492,Deflatores!G$42:H$64,2,FALSE))),VLOOKUP(B492,Deflatores!G$42:H$64,2,FALSE),IF(OR(ISBLANK(C492),ISBLANK(B492)),"",VLOOKUP(C492,Deflatores!G$4:H$38,2,FALSE)*H492+VLOOKUP(C492,Deflatores!G$4:I$38,3,FALSE)))</f>
        <v/>
      </c>
      <c r="M492" s="60"/>
      <c r="N492" s="60"/>
      <c r="O492" s="61"/>
    </row>
    <row r="493" ht="12.0" customHeight="1">
      <c r="A493" s="53"/>
      <c r="B493" s="54"/>
      <c r="C493" s="54"/>
      <c r="D493" s="55"/>
      <c r="E493" s="55"/>
      <c r="F493" s="56" t="str">
        <f t="shared" si="7"/>
        <v/>
      </c>
      <c r="G493" s="55" t="str">
        <f t="shared" si="8"/>
        <v/>
      </c>
      <c r="H493" s="57" t="str">
        <f t="shared" si="9"/>
        <v/>
      </c>
      <c r="I493" s="58" t="str">
        <f t="shared" si="10"/>
        <v/>
      </c>
      <c r="J493" s="55" t="str">
        <f t="shared" si="11"/>
        <v/>
      </c>
      <c r="K493" s="59" t="str">
        <f t="shared" si="12"/>
        <v/>
      </c>
      <c r="L493" s="59" t="str">
        <f>IF(NOT(ISERROR(VLOOKUP(B493,Deflatores!G$42:H$64,2,FALSE))),VLOOKUP(B493,Deflatores!G$42:H$64,2,FALSE),IF(OR(ISBLANK(C493),ISBLANK(B493)),"",VLOOKUP(C493,Deflatores!G$4:H$38,2,FALSE)*H493+VLOOKUP(C493,Deflatores!G$4:I$38,3,FALSE)))</f>
        <v/>
      </c>
      <c r="M493" s="60"/>
      <c r="N493" s="60"/>
      <c r="O493" s="61"/>
    </row>
    <row r="494" ht="12.0" customHeight="1">
      <c r="A494" s="53"/>
      <c r="B494" s="54"/>
      <c r="C494" s="54"/>
      <c r="D494" s="55"/>
      <c r="E494" s="55"/>
      <c r="F494" s="56" t="str">
        <f t="shared" si="7"/>
        <v/>
      </c>
      <c r="G494" s="55" t="str">
        <f t="shared" si="8"/>
        <v/>
      </c>
      <c r="H494" s="57" t="str">
        <f t="shared" si="9"/>
        <v/>
      </c>
      <c r="I494" s="58" t="str">
        <f t="shared" si="10"/>
        <v/>
      </c>
      <c r="J494" s="55" t="str">
        <f t="shared" si="11"/>
        <v/>
      </c>
      <c r="K494" s="59" t="str">
        <f t="shared" si="12"/>
        <v/>
      </c>
      <c r="L494" s="59" t="str">
        <f>IF(NOT(ISERROR(VLOOKUP(B494,Deflatores!G$42:H$64,2,FALSE))),VLOOKUP(B494,Deflatores!G$42:H$64,2,FALSE),IF(OR(ISBLANK(C494),ISBLANK(B494)),"",VLOOKUP(C494,Deflatores!G$4:H$38,2,FALSE)*H494+VLOOKUP(C494,Deflatores!G$4:I$38,3,FALSE)))</f>
        <v/>
      </c>
      <c r="M494" s="60"/>
      <c r="N494" s="60"/>
      <c r="O494" s="61"/>
    </row>
    <row r="495" ht="12.0" customHeight="1">
      <c r="A495" s="53"/>
      <c r="B495" s="54"/>
      <c r="C495" s="54"/>
      <c r="D495" s="55"/>
      <c r="E495" s="55"/>
      <c r="F495" s="56" t="str">
        <f t="shared" si="7"/>
        <v/>
      </c>
      <c r="G495" s="55" t="str">
        <f t="shared" si="8"/>
        <v/>
      </c>
      <c r="H495" s="57" t="str">
        <f t="shared" si="9"/>
        <v/>
      </c>
      <c r="I495" s="58" t="str">
        <f t="shared" si="10"/>
        <v/>
      </c>
      <c r="J495" s="55" t="str">
        <f t="shared" si="11"/>
        <v/>
      </c>
      <c r="K495" s="59" t="str">
        <f t="shared" si="12"/>
        <v/>
      </c>
      <c r="L495" s="59" t="str">
        <f>IF(NOT(ISERROR(VLOOKUP(B495,Deflatores!G$42:H$64,2,FALSE))),VLOOKUP(B495,Deflatores!G$42:H$64,2,FALSE),IF(OR(ISBLANK(C495),ISBLANK(B495)),"",VLOOKUP(C495,Deflatores!G$4:H$38,2,FALSE)*H495+VLOOKUP(C495,Deflatores!G$4:I$38,3,FALSE)))</f>
        <v/>
      </c>
      <c r="M495" s="60"/>
      <c r="N495" s="60"/>
      <c r="O495" s="61"/>
    </row>
    <row r="496" ht="12.0" customHeight="1">
      <c r="A496" s="53"/>
      <c r="B496" s="54"/>
      <c r="C496" s="54"/>
      <c r="D496" s="55"/>
      <c r="E496" s="55"/>
      <c r="F496" s="56" t="str">
        <f t="shared" si="7"/>
        <v/>
      </c>
      <c r="G496" s="55" t="str">
        <f t="shared" si="8"/>
        <v/>
      </c>
      <c r="H496" s="57" t="str">
        <f t="shared" si="9"/>
        <v/>
      </c>
      <c r="I496" s="58" t="str">
        <f t="shared" si="10"/>
        <v/>
      </c>
      <c r="J496" s="55" t="str">
        <f t="shared" si="11"/>
        <v/>
      </c>
      <c r="K496" s="59" t="str">
        <f t="shared" si="12"/>
        <v/>
      </c>
      <c r="L496" s="59" t="str">
        <f>IF(NOT(ISERROR(VLOOKUP(B496,Deflatores!G$42:H$64,2,FALSE))),VLOOKUP(B496,Deflatores!G$42:H$64,2,FALSE),IF(OR(ISBLANK(C496),ISBLANK(B496)),"",VLOOKUP(C496,Deflatores!G$4:H$38,2,FALSE)*H496+VLOOKUP(C496,Deflatores!G$4:I$38,3,FALSE)))</f>
        <v/>
      </c>
      <c r="M496" s="60"/>
      <c r="N496" s="60"/>
      <c r="O496" s="61"/>
    </row>
    <row r="497" ht="12.0" customHeight="1">
      <c r="A497" s="53"/>
      <c r="B497" s="54"/>
      <c r="C497" s="54"/>
      <c r="D497" s="55"/>
      <c r="E497" s="55"/>
      <c r="F497" s="56" t="str">
        <f t="shared" si="7"/>
        <v/>
      </c>
      <c r="G497" s="55" t="str">
        <f t="shared" si="8"/>
        <v/>
      </c>
      <c r="H497" s="57" t="str">
        <f t="shared" si="9"/>
        <v/>
      </c>
      <c r="I497" s="58" t="str">
        <f t="shared" si="10"/>
        <v/>
      </c>
      <c r="J497" s="55" t="str">
        <f t="shared" si="11"/>
        <v/>
      </c>
      <c r="K497" s="59" t="str">
        <f t="shared" si="12"/>
        <v/>
      </c>
      <c r="L497" s="59" t="str">
        <f>IF(NOT(ISERROR(VLOOKUP(B497,Deflatores!G$42:H$64,2,FALSE))),VLOOKUP(B497,Deflatores!G$42:H$64,2,FALSE),IF(OR(ISBLANK(C497),ISBLANK(B497)),"",VLOOKUP(C497,Deflatores!G$4:H$38,2,FALSE)*H497+VLOOKUP(C497,Deflatores!G$4:I$38,3,FALSE)))</f>
        <v/>
      </c>
      <c r="M497" s="60"/>
      <c r="N497" s="60"/>
      <c r="O497" s="61"/>
    </row>
    <row r="498" ht="12.0" customHeight="1">
      <c r="A498" s="53"/>
      <c r="B498" s="54"/>
      <c r="C498" s="54"/>
      <c r="D498" s="55"/>
      <c r="E498" s="55"/>
      <c r="F498" s="56" t="str">
        <f t="shared" si="7"/>
        <v/>
      </c>
      <c r="G498" s="55" t="str">
        <f t="shared" si="8"/>
        <v/>
      </c>
      <c r="H498" s="57" t="str">
        <f t="shared" si="9"/>
        <v/>
      </c>
      <c r="I498" s="58" t="str">
        <f t="shared" si="10"/>
        <v/>
      </c>
      <c r="J498" s="55" t="str">
        <f t="shared" si="11"/>
        <v/>
      </c>
      <c r="K498" s="59" t="str">
        <f t="shared" si="12"/>
        <v/>
      </c>
      <c r="L498" s="59" t="str">
        <f>IF(NOT(ISERROR(VLOOKUP(B498,Deflatores!G$42:H$64,2,FALSE))),VLOOKUP(B498,Deflatores!G$42:H$64,2,FALSE),IF(OR(ISBLANK(C498),ISBLANK(B498)),"",VLOOKUP(C498,Deflatores!G$4:H$38,2,FALSE)*H498+VLOOKUP(C498,Deflatores!G$4:I$38,3,FALSE)))</f>
        <v/>
      </c>
      <c r="M498" s="60"/>
      <c r="N498" s="60"/>
      <c r="O498" s="61"/>
    </row>
    <row r="499" ht="12.0" customHeight="1">
      <c r="A499" s="53"/>
      <c r="B499" s="54"/>
      <c r="C499" s="54"/>
      <c r="D499" s="55"/>
      <c r="E499" s="55"/>
      <c r="F499" s="56" t="str">
        <f t="shared" si="7"/>
        <v/>
      </c>
      <c r="G499" s="55" t="str">
        <f t="shared" si="8"/>
        <v/>
      </c>
      <c r="H499" s="57" t="str">
        <f t="shared" si="9"/>
        <v/>
      </c>
      <c r="I499" s="58" t="str">
        <f t="shared" si="10"/>
        <v/>
      </c>
      <c r="J499" s="55" t="str">
        <f t="shared" si="11"/>
        <v/>
      </c>
      <c r="K499" s="59" t="str">
        <f t="shared" si="12"/>
        <v/>
      </c>
      <c r="L499" s="59" t="str">
        <f>IF(NOT(ISERROR(VLOOKUP(B499,Deflatores!G$42:H$64,2,FALSE))),VLOOKUP(B499,Deflatores!G$42:H$64,2,FALSE),IF(OR(ISBLANK(C499),ISBLANK(B499)),"",VLOOKUP(C499,Deflatores!G$4:H$38,2,FALSE)*H499+VLOOKUP(C499,Deflatores!G$4:I$38,3,FALSE)))</f>
        <v/>
      </c>
      <c r="M499" s="60"/>
      <c r="N499" s="60"/>
      <c r="O499" s="61"/>
    </row>
    <row r="500" ht="12.0" customHeight="1">
      <c r="A500" s="53"/>
      <c r="B500" s="54"/>
      <c r="C500" s="54"/>
      <c r="D500" s="55"/>
      <c r="E500" s="55"/>
      <c r="F500" s="56" t="str">
        <f t="shared" si="7"/>
        <v/>
      </c>
      <c r="G500" s="55" t="str">
        <f t="shared" si="8"/>
        <v/>
      </c>
      <c r="H500" s="57" t="str">
        <f t="shared" si="9"/>
        <v/>
      </c>
      <c r="I500" s="58" t="str">
        <f t="shared" si="10"/>
        <v/>
      </c>
      <c r="J500" s="55" t="str">
        <f t="shared" si="11"/>
        <v/>
      </c>
      <c r="K500" s="59" t="str">
        <f t="shared" si="12"/>
        <v/>
      </c>
      <c r="L500" s="59" t="str">
        <f>IF(NOT(ISERROR(VLOOKUP(B500,Deflatores!G$42:H$64,2,FALSE))),VLOOKUP(B500,Deflatores!G$42:H$64,2,FALSE),IF(OR(ISBLANK(C500),ISBLANK(B500)),"",VLOOKUP(C500,Deflatores!G$4:H$38,2,FALSE)*H500+VLOOKUP(C500,Deflatores!G$4:I$38,3,FALSE)))</f>
        <v/>
      </c>
      <c r="M500" s="60"/>
      <c r="N500" s="60"/>
      <c r="O500" s="61"/>
    </row>
    <row r="501" ht="12.0" customHeight="1">
      <c r="A501" s="53"/>
      <c r="B501" s="54"/>
      <c r="C501" s="54"/>
      <c r="D501" s="55"/>
      <c r="E501" s="55"/>
      <c r="F501" s="56" t="str">
        <f t="shared" si="7"/>
        <v/>
      </c>
      <c r="G501" s="55" t="str">
        <f t="shared" si="8"/>
        <v/>
      </c>
      <c r="H501" s="57" t="str">
        <f t="shared" si="9"/>
        <v/>
      </c>
      <c r="I501" s="58" t="str">
        <f t="shared" si="10"/>
        <v/>
      </c>
      <c r="J501" s="55" t="str">
        <f t="shared" si="11"/>
        <v/>
      </c>
      <c r="K501" s="59" t="str">
        <f t="shared" si="12"/>
        <v/>
      </c>
      <c r="L501" s="59" t="str">
        <f>IF(NOT(ISERROR(VLOOKUP(B501,Deflatores!G$42:H$64,2,FALSE))),VLOOKUP(B501,Deflatores!G$42:H$64,2,FALSE),IF(OR(ISBLANK(C501),ISBLANK(B501)),"",VLOOKUP(C501,Deflatores!G$4:H$38,2,FALSE)*H501+VLOOKUP(C501,Deflatores!G$4:I$38,3,FALSE)))</f>
        <v/>
      </c>
      <c r="M501" s="60"/>
      <c r="N501" s="60"/>
      <c r="O501" s="61"/>
    </row>
    <row r="502" ht="12.0" customHeight="1">
      <c r="A502" s="53"/>
      <c r="B502" s="54"/>
      <c r="C502" s="54"/>
      <c r="D502" s="55"/>
      <c r="E502" s="55"/>
      <c r="F502" s="56" t="str">
        <f t="shared" si="7"/>
        <v/>
      </c>
      <c r="G502" s="55" t="str">
        <f t="shared" si="8"/>
        <v/>
      </c>
      <c r="H502" s="57" t="str">
        <f t="shared" si="9"/>
        <v/>
      </c>
      <c r="I502" s="58" t="str">
        <f t="shared" si="10"/>
        <v/>
      </c>
      <c r="J502" s="55" t="str">
        <f t="shared" si="11"/>
        <v/>
      </c>
      <c r="K502" s="59" t="str">
        <f t="shared" si="12"/>
        <v/>
      </c>
      <c r="L502" s="59" t="str">
        <f>IF(NOT(ISERROR(VLOOKUP(B502,Deflatores!G$42:H$64,2,FALSE))),VLOOKUP(B502,Deflatores!G$42:H$64,2,FALSE),IF(OR(ISBLANK(C502),ISBLANK(B502)),"",VLOOKUP(C502,Deflatores!G$4:H$38,2,FALSE)*H502+VLOOKUP(C502,Deflatores!G$4:I$38,3,FALSE)))</f>
        <v/>
      </c>
      <c r="M502" s="60"/>
      <c r="N502" s="60"/>
      <c r="O502" s="61"/>
    </row>
    <row r="503" ht="12.0" customHeight="1">
      <c r="A503" s="53"/>
      <c r="B503" s="54"/>
      <c r="C503" s="54"/>
      <c r="D503" s="55"/>
      <c r="E503" s="55"/>
      <c r="F503" s="56" t="str">
        <f t="shared" si="7"/>
        <v/>
      </c>
      <c r="G503" s="55" t="str">
        <f t="shared" si="8"/>
        <v/>
      </c>
      <c r="H503" s="57" t="str">
        <f t="shared" si="9"/>
        <v/>
      </c>
      <c r="I503" s="58" t="str">
        <f t="shared" si="10"/>
        <v/>
      </c>
      <c r="J503" s="55" t="str">
        <f t="shared" si="11"/>
        <v/>
      </c>
      <c r="K503" s="59" t="str">
        <f t="shared" si="12"/>
        <v/>
      </c>
      <c r="L503" s="59" t="str">
        <f>IF(NOT(ISERROR(VLOOKUP(B503,Deflatores!G$42:H$64,2,FALSE))),VLOOKUP(B503,Deflatores!G$42:H$64,2,FALSE),IF(OR(ISBLANK(C503),ISBLANK(B503)),"",VLOOKUP(C503,Deflatores!G$4:H$38,2,FALSE)*H503+VLOOKUP(C503,Deflatores!G$4:I$38,3,FALSE)))</f>
        <v/>
      </c>
      <c r="M503" s="60"/>
      <c r="N503" s="60"/>
      <c r="O503" s="61"/>
    </row>
    <row r="504" ht="12.0" customHeight="1">
      <c r="A504" s="53"/>
      <c r="B504" s="54"/>
      <c r="C504" s="54"/>
      <c r="D504" s="55"/>
      <c r="E504" s="55"/>
      <c r="F504" s="56" t="str">
        <f t="shared" si="7"/>
        <v/>
      </c>
      <c r="G504" s="55" t="str">
        <f t="shared" si="8"/>
        <v/>
      </c>
      <c r="H504" s="57" t="str">
        <f t="shared" si="9"/>
        <v/>
      </c>
      <c r="I504" s="58" t="str">
        <f t="shared" si="10"/>
        <v/>
      </c>
      <c r="J504" s="55" t="str">
        <f t="shared" si="11"/>
        <v/>
      </c>
      <c r="K504" s="59" t="str">
        <f t="shared" si="12"/>
        <v/>
      </c>
      <c r="L504" s="59" t="str">
        <f>IF(NOT(ISERROR(VLOOKUP(B504,Deflatores!G$42:H$64,2,FALSE))),VLOOKUP(B504,Deflatores!G$42:H$64,2,FALSE),IF(OR(ISBLANK(C504),ISBLANK(B504)),"",VLOOKUP(C504,Deflatores!G$4:H$38,2,FALSE)*H504+VLOOKUP(C504,Deflatores!G$4:I$38,3,FALSE)))</f>
        <v/>
      </c>
      <c r="M504" s="60"/>
      <c r="N504" s="60"/>
      <c r="O504" s="61"/>
    </row>
    <row r="505" ht="12.0" customHeight="1">
      <c r="A505" s="53"/>
      <c r="B505" s="54"/>
      <c r="C505" s="54"/>
      <c r="D505" s="55"/>
      <c r="E505" s="55"/>
      <c r="F505" s="56" t="str">
        <f t="shared" si="7"/>
        <v/>
      </c>
      <c r="G505" s="55" t="str">
        <f t="shared" si="8"/>
        <v/>
      </c>
      <c r="H505" s="57" t="str">
        <f t="shared" si="9"/>
        <v/>
      </c>
      <c r="I505" s="58" t="str">
        <f t="shared" si="10"/>
        <v/>
      </c>
      <c r="J505" s="55" t="str">
        <f t="shared" si="11"/>
        <v/>
      </c>
      <c r="K505" s="59" t="str">
        <f t="shared" si="12"/>
        <v/>
      </c>
      <c r="L505" s="59" t="str">
        <f>IF(NOT(ISERROR(VLOOKUP(B505,Deflatores!G$42:H$64,2,FALSE))),VLOOKUP(B505,Deflatores!G$42:H$64,2,FALSE),IF(OR(ISBLANK(C505),ISBLANK(B505)),"",VLOOKUP(C505,Deflatores!G$4:H$38,2,FALSE)*H505+VLOOKUP(C505,Deflatores!G$4:I$38,3,FALSE)))</f>
        <v/>
      </c>
      <c r="M505" s="60"/>
      <c r="N505" s="60"/>
      <c r="O505" s="61"/>
    </row>
    <row r="506" ht="12.0" customHeight="1">
      <c r="A506" s="53"/>
      <c r="B506" s="54"/>
      <c r="C506" s="54"/>
      <c r="D506" s="55"/>
      <c r="E506" s="55"/>
      <c r="F506" s="56" t="str">
        <f t="shared" si="7"/>
        <v/>
      </c>
      <c r="G506" s="55" t="str">
        <f t="shared" si="8"/>
        <v/>
      </c>
      <c r="H506" s="57" t="str">
        <f t="shared" si="9"/>
        <v/>
      </c>
      <c r="I506" s="58" t="str">
        <f t="shared" si="10"/>
        <v/>
      </c>
      <c r="J506" s="55" t="str">
        <f t="shared" si="11"/>
        <v/>
      </c>
      <c r="K506" s="59" t="str">
        <f t="shared" si="12"/>
        <v/>
      </c>
      <c r="L506" s="59" t="str">
        <f>IF(NOT(ISERROR(VLOOKUP(B506,Deflatores!G$42:H$64,2,FALSE))),VLOOKUP(B506,Deflatores!G$42:H$64,2,FALSE),IF(OR(ISBLANK(C506),ISBLANK(B506)),"",VLOOKUP(C506,Deflatores!G$4:H$38,2,FALSE)*H506+VLOOKUP(C506,Deflatores!G$4:I$38,3,FALSE)))</f>
        <v/>
      </c>
      <c r="M506" s="60"/>
      <c r="N506" s="60"/>
      <c r="O506" s="61"/>
    </row>
    <row r="507" ht="12.0" customHeight="1">
      <c r="A507" s="53"/>
      <c r="B507" s="54"/>
      <c r="C507" s="54"/>
      <c r="D507" s="55"/>
      <c r="E507" s="55"/>
      <c r="F507" s="56" t="str">
        <f t="shared" si="7"/>
        <v/>
      </c>
      <c r="G507" s="55" t="str">
        <f t="shared" si="8"/>
        <v/>
      </c>
      <c r="H507" s="57" t="str">
        <f t="shared" si="9"/>
        <v/>
      </c>
      <c r="I507" s="58" t="str">
        <f t="shared" si="10"/>
        <v/>
      </c>
      <c r="J507" s="55" t="str">
        <f t="shared" si="11"/>
        <v/>
      </c>
      <c r="K507" s="59" t="str">
        <f t="shared" si="12"/>
        <v/>
      </c>
      <c r="L507" s="59" t="str">
        <f>IF(NOT(ISERROR(VLOOKUP(B507,Deflatores!G$42:H$64,2,FALSE))),VLOOKUP(B507,Deflatores!G$42:H$64,2,FALSE),IF(OR(ISBLANK(C507),ISBLANK(B507)),"",VLOOKUP(C507,Deflatores!G$4:H$38,2,FALSE)*H507+VLOOKUP(C507,Deflatores!G$4:I$38,3,FALSE)))</f>
        <v/>
      </c>
      <c r="M507" s="60"/>
      <c r="N507" s="60"/>
      <c r="O507" s="61"/>
    </row>
    <row r="508" ht="12.0" customHeight="1">
      <c r="A508" s="53"/>
      <c r="B508" s="54"/>
      <c r="C508" s="54"/>
      <c r="D508" s="55"/>
      <c r="E508" s="55"/>
      <c r="F508" s="56" t="str">
        <f t="shared" si="7"/>
        <v/>
      </c>
      <c r="G508" s="55" t="str">
        <f t="shared" si="8"/>
        <v/>
      </c>
      <c r="H508" s="57" t="str">
        <f t="shared" si="9"/>
        <v/>
      </c>
      <c r="I508" s="58" t="str">
        <f t="shared" si="10"/>
        <v/>
      </c>
      <c r="J508" s="55" t="str">
        <f t="shared" si="11"/>
        <v/>
      </c>
      <c r="K508" s="59" t="str">
        <f t="shared" si="12"/>
        <v/>
      </c>
      <c r="L508" s="59" t="str">
        <f>IF(NOT(ISERROR(VLOOKUP(B508,Deflatores!G$42:H$64,2,FALSE))),VLOOKUP(B508,Deflatores!G$42:H$64,2,FALSE),IF(OR(ISBLANK(C508),ISBLANK(B508)),"",VLOOKUP(C508,Deflatores!G$4:H$38,2,FALSE)*H508+VLOOKUP(C508,Deflatores!G$4:I$38,3,FALSE)))</f>
        <v/>
      </c>
      <c r="M508" s="60"/>
      <c r="N508" s="60"/>
      <c r="O508" s="61"/>
    </row>
    <row r="509" ht="12.0" customHeight="1">
      <c r="A509" s="53"/>
      <c r="B509" s="54"/>
      <c r="C509" s="54"/>
      <c r="D509" s="55"/>
      <c r="E509" s="55"/>
      <c r="F509" s="56" t="str">
        <f t="shared" si="7"/>
        <v/>
      </c>
      <c r="G509" s="55" t="str">
        <f t="shared" si="8"/>
        <v/>
      </c>
      <c r="H509" s="57" t="str">
        <f t="shared" si="9"/>
        <v/>
      </c>
      <c r="I509" s="58" t="str">
        <f t="shared" si="10"/>
        <v/>
      </c>
      <c r="J509" s="55" t="str">
        <f t="shared" si="11"/>
        <v/>
      </c>
      <c r="K509" s="59" t="str">
        <f t="shared" si="12"/>
        <v/>
      </c>
      <c r="L509" s="59" t="str">
        <f>IF(NOT(ISERROR(VLOOKUP(B509,Deflatores!G$42:H$64,2,FALSE))),VLOOKUP(B509,Deflatores!G$42:H$64,2,FALSE),IF(OR(ISBLANK(C509),ISBLANK(B509)),"",VLOOKUP(C509,Deflatores!G$4:H$38,2,FALSE)*H509+VLOOKUP(C509,Deflatores!G$4:I$38,3,FALSE)))</f>
        <v/>
      </c>
      <c r="M509" s="60"/>
      <c r="N509" s="60"/>
      <c r="O509" s="61"/>
    </row>
    <row r="510" ht="12.0" customHeight="1">
      <c r="A510" s="53"/>
      <c r="B510" s="54"/>
      <c r="C510" s="54"/>
      <c r="D510" s="55"/>
      <c r="E510" s="55"/>
      <c r="F510" s="56" t="str">
        <f t="shared" si="7"/>
        <v/>
      </c>
      <c r="G510" s="55" t="str">
        <f t="shared" si="8"/>
        <v/>
      </c>
      <c r="H510" s="57" t="str">
        <f t="shared" si="9"/>
        <v/>
      </c>
      <c r="I510" s="58" t="str">
        <f t="shared" si="10"/>
        <v/>
      </c>
      <c r="J510" s="55" t="str">
        <f t="shared" si="11"/>
        <v/>
      </c>
      <c r="K510" s="59" t="str">
        <f t="shared" si="12"/>
        <v/>
      </c>
      <c r="L510" s="59" t="str">
        <f>IF(NOT(ISERROR(VLOOKUP(B510,Deflatores!G$42:H$64,2,FALSE))),VLOOKUP(B510,Deflatores!G$42:H$64,2,FALSE),IF(OR(ISBLANK(C510),ISBLANK(B510)),"",VLOOKUP(C510,Deflatores!G$4:H$38,2,FALSE)*H510+VLOOKUP(C510,Deflatores!G$4:I$38,3,FALSE)))</f>
        <v/>
      </c>
      <c r="M510" s="60"/>
      <c r="N510" s="60"/>
      <c r="O510" s="61"/>
    </row>
    <row r="511" ht="12.0" customHeight="1">
      <c r="A511" s="53"/>
      <c r="B511" s="54"/>
      <c r="C511" s="54"/>
      <c r="D511" s="55"/>
      <c r="E511" s="55"/>
      <c r="F511" s="56" t="str">
        <f t="shared" si="7"/>
        <v/>
      </c>
      <c r="G511" s="55" t="str">
        <f t="shared" si="8"/>
        <v/>
      </c>
      <c r="H511" s="57" t="str">
        <f t="shared" si="9"/>
        <v/>
      </c>
      <c r="I511" s="58" t="str">
        <f t="shared" si="10"/>
        <v/>
      </c>
      <c r="J511" s="55" t="str">
        <f t="shared" si="11"/>
        <v/>
      </c>
      <c r="K511" s="59" t="str">
        <f t="shared" si="12"/>
        <v/>
      </c>
      <c r="L511" s="59" t="str">
        <f>IF(NOT(ISERROR(VLOOKUP(B511,Deflatores!G$42:H$64,2,FALSE))),VLOOKUP(B511,Deflatores!G$42:H$64,2,FALSE),IF(OR(ISBLANK(C511),ISBLANK(B511)),"",VLOOKUP(C511,Deflatores!G$4:H$38,2,FALSE)*H511+VLOOKUP(C511,Deflatores!G$4:I$38,3,FALSE)))</f>
        <v/>
      </c>
      <c r="M511" s="60"/>
      <c r="N511" s="60"/>
      <c r="O511" s="61"/>
    </row>
    <row r="512" ht="12.0" customHeight="1">
      <c r="A512" s="53"/>
      <c r="B512" s="54"/>
      <c r="C512" s="54"/>
      <c r="D512" s="55"/>
      <c r="E512" s="55"/>
      <c r="F512" s="56" t="str">
        <f t="shared" si="7"/>
        <v/>
      </c>
      <c r="G512" s="55" t="str">
        <f t="shared" si="8"/>
        <v/>
      </c>
      <c r="H512" s="57" t="str">
        <f t="shared" si="9"/>
        <v/>
      </c>
      <c r="I512" s="58" t="str">
        <f t="shared" si="10"/>
        <v/>
      </c>
      <c r="J512" s="55" t="str">
        <f t="shared" si="11"/>
        <v/>
      </c>
      <c r="K512" s="59" t="str">
        <f t="shared" si="12"/>
        <v/>
      </c>
      <c r="L512" s="59" t="str">
        <f>IF(NOT(ISERROR(VLOOKUP(B512,Deflatores!G$42:H$64,2,FALSE))),VLOOKUP(B512,Deflatores!G$42:H$64,2,FALSE),IF(OR(ISBLANK(C512),ISBLANK(B512)),"",VLOOKUP(C512,Deflatores!G$4:H$38,2,FALSE)*H512+VLOOKUP(C512,Deflatores!G$4:I$38,3,FALSE)))</f>
        <v/>
      </c>
      <c r="M512" s="60"/>
      <c r="N512" s="60"/>
      <c r="O512" s="61"/>
    </row>
    <row r="513" ht="12.0" customHeight="1">
      <c r="A513" s="53"/>
      <c r="B513" s="54"/>
      <c r="C513" s="54"/>
      <c r="D513" s="55"/>
      <c r="E513" s="55"/>
      <c r="F513" s="56" t="str">
        <f t="shared" si="7"/>
        <v/>
      </c>
      <c r="G513" s="55" t="str">
        <f t="shared" si="8"/>
        <v/>
      </c>
      <c r="H513" s="57" t="str">
        <f t="shared" si="9"/>
        <v/>
      </c>
      <c r="I513" s="58" t="str">
        <f t="shared" si="10"/>
        <v/>
      </c>
      <c r="J513" s="55" t="str">
        <f t="shared" si="11"/>
        <v/>
      </c>
      <c r="K513" s="59" t="str">
        <f t="shared" si="12"/>
        <v/>
      </c>
      <c r="L513" s="59" t="str">
        <f>IF(NOT(ISERROR(VLOOKUP(B513,Deflatores!G$42:H$64,2,FALSE))),VLOOKUP(B513,Deflatores!G$42:H$64,2,FALSE),IF(OR(ISBLANK(C513),ISBLANK(B513)),"",VLOOKUP(C513,Deflatores!G$4:H$38,2,FALSE)*H513+VLOOKUP(C513,Deflatores!G$4:I$38,3,FALSE)))</f>
        <v/>
      </c>
      <c r="M513" s="60"/>
      <c r="N513" s="60"/>
      <c r="O513" s="61"/>
    </row>
    <row r="514" ht="12.0" customHeight="1">
      <c r="A514" s="53"/>
      <c r="B514" s="54"/>
      <c r="C514" s="54"/>
      <c r="D514" s="55"/>
      <c r="E514" s="55"/>
      <c r="F514" s="56" t="str">
        <f t="shared" si="7"/>
        <v/>
      </c>
      <c r="G514" s="55" t="str">
        <f t="shared" si="8"/>
        <v/>
      </c>
      <c r="H514" s="57" t="str">
        <f t="shared" si="9"/>
        <v/>
      </c>
      <c r="I514" s="58" t="str">
        <f t="shared" si="10"/>
        <v/>
      </c>
      <c r="J514" s="55" t="str">
        <f t="shared" si="11"/>
        <v/>
      </c>
      <c r="K514" s="59" t="str">
        <f t="shared" si="12"/>
        <v/>
      </c>
      <c r="L514" s="59" t="str">
        <f>IF(NOT(ISERROR(VLOOKUP(B514,Deflatores!G$42:H$64,2,FALSE))),VLOOKUP(B514,Deflatores!G$42:H$64,2,FALSE),IF(OR(ISBLANK(C514),ISBLANK(B514)),"",VLOOKUP(C514,Deflatores!G$4:H$38,2,FALSE)*H514+VLOOKUP(C514,Deflatores!G$4:I$38,3,FALSE)))</f>
        <v/>
      </c>
      <c r="M514" s="60"/>
      <c r="N514" s="60"/>
      <c r="O514" s="61"/>
    </row>
    <row r="515" ht="12.0" customHeight="1">
      <c r="A515" s="53"/>
      <c r="B515" s="54"/>
      <c r="C515" s="54"/>
      <c r="D515" s="55"/>
      <c r="E515" s="55"/>
      <c r="F515" s="56" t="str">
        <f t="shared" si="7"/>
        <v/>
      </c>
      <c r="G515" s="55" t="str">
        <f t="shared" si="8"/>
        <v/>
      </c>
      <c r="H515" s="57" t="str">
        <f t="shared" si="9"/>
        <v/>
      </c>
      <c r="I515" s="58" t="str">
        <f t="shared" si="10"/>
        <v/>
      </c>
      <c r="J515" s="55" t="str">
        <f t="shared" si="11"/>
        <v/>
      </c>
      <c r="K515" s="59" t="str">
        <f t="shared" si="12"/>
        <v/>
      </c>
      <c r="L515" s="59" t="str">
        <f>IF(NOT(ISERROR(VLOOKUP(B515,Deflatores!G$42:H$64,2,FALSE))),VLOOKUP(B515,Deflatores!G$42:H$64,2,FALSE),IF(OR(ISBLANK(C515),ISBLANK(B515)),"",VLOOKUP(C515,Deflatores!G$4:H$38,2,FALSE)*H515+VLOOKUP(C515,Deflatores!G$4:I$38,3,FALSE)))</f>
        <v/>
      </c>
      <c r="M515" s="60"/>
      <c r="N515" s="60"/>
      <c r="O515" s="61"/>
    </row>
    <row r="516" ht="12.0" customHeight="1">
      <c r="A516" s="53"/>
      <c r="B516" s="54"/>
      <c r="C516" s="54"/>
      <c r="D516" s="55"/>
      <c r="E516" s="55"/>
      <c r="F516" s="56" t="str">
        <f t="shared" si="7"/>
        <v/>
      </c>
      <c r="G516" s="55" t="str">
        <f t="shared" si="8"/>
        <v/>
      </c>
      <c r="H516" s="57" t="str">
        <f t="shared" si="9"/>
        <v/>
      </c>
      <c r="I516" s="58" t="str">
        <f t="shared" si="10"/>
        <v/>
      </c>
      <c r="J516" s="55" t="str">
        <f t="shared" si="11"/>
        <v/>
      </c>
      <c r="K516" s="59" t="str">
        <f t="shared" si="12"/>
        <v/>
      </c>
      <c r="L516" s="59" t="str">
        <f>IF(NOT(ISERROR(VLOOKUP(B516,Deflatores!G$42:H$64,2,FALSE))),VLOOKUP(B516,Deflatores!G$42:H$64,2,FALSE),IF(OR(ISBLANK(C516),ISBLANK(B516)),"",VLOOKUP(C516,Deflatores!G$4:H$38,2,FALSE)*H516+VLOOKUP(C516,Deflatores!G$4:I$38,3,FALSE)))</f>
        <v/>
      </c>
      <c r="M516" s="60"/>
      <c r="N516" s="60"/>
      <c r="O516" s="61"/>
    </row>
    <row r="517" ht="12.0" customHeight="1">
      <c r="A517" s="53"/>
      <c r="B517" s="54"/>
      <c r="C517" s="54"/>
      <c r="D517" s="55"/>
      <c r="E517" s="55"/>
      <c r="F517" s="56" t="str">
        <f t="shared" si="7"/>
        <v/>
      </c>
      <c r="G517" s="55" t="str">
        <f t="shared" si="8"/>
        <v/>
      </c>
      <c r="H517" s="57" t="str">
        <f t="shared" si="9"/>
        <v/>
      </c>
      <c r="I517" s="58" t="str">
        <f t="shared" si="10"/>
        <v/>
      </c>
      <c r="J517" s="55" t="str">
        <f t="shared" si="11"/>
        <v/>
      </c>
      <c r="K517" s="59" t="str">
        <f t="shared" si="12"/>
        <v/>
      </c>
      <c r="L517" s="59" t="str">
        <f>IF(NOT(ISERROR(VLOOKUP(B517,Deflatores!G$42:H$64,2,FALSE))),VLOOKUP(B517,Deflatores!G$42:H$64,2,FALSE),IF(OR(ISBLANK(C517),ISBLANK(B517)),"",VLOOKUP(C517,Deflatores!G$4:H$38,2,FALSE)*H517+VLOOKUP(C517,Deflatores!G$4:I$38,3,FALSE)))</f>
        <v/>
      </c>
      <c r="M517" s="60"/>
      <c r="N517" s="60"/>
      <c r="O517" s="61"/>
    </row>
    <row r="518" ht="12.0" customHeight="1">
      <c r="A518" s="53"/>
      <c r="B518" s="54"/>
      <c r="C518" s="54"/>
      <c r="D518" s="55"/>
      <c r="E518" s="55"/>
      <c r="F518" s="56" t="str">
        <f t="shared" si="7"/>
        <v/>
      </c>
      <c r="G518" s="55" t="str">
        <f t="shared" si="8"/>
        <v/>
      </c>
      <c r="H518" s="57" t="str">
        <f t="shared" si="9"/>
        <v/>
      </c>
      <c r="I518" s="58" t="str">
        <f t="shared" si="10"/>
        <v/>
      </c>
      <c r="J518" s="55" t="str">
        <f t="shared" si="11"/>
        <v/>
      </c>
      <c r="K518" s="59" t="str">
        <f t="shared" si="12"/>
        <v/>
      </c>
      <c r="L518" s="59" t="str">
        <f>IF(NOT(ISERROR(VLOOKUP(B518,Deflatores!G$42:H$64,2,FALSE))),VLOOKUP(B518,Deflatores!G$42:H$64,2,FALSE),IF(OR(ISBLANK(C518),ISBLANK(B518)),"",VLOOKUP(C518,Deflatores!G$4:H$38,2,FALSE)*H518+VLOOKUP(C518,Deflatores!G$4:I$38,3,FALSE)))</f>
        <v/>
      </c>
      <c r="M518" s="60"/>
      <c r="N518" s="60"/>
      <c r="O518" s="61"/>
    </row>
    <row r="519" ht="12.0" customHeight="1">
      <c r="A519" s="53"/>
      <c r="B519" s="54"/>
      <c r="C519" s="54"/>
      <c r="D519" s="55"/>
      <c r="E519" s="55"/>
      <c r="F519" s="56" t="str">
        <f t="shared" si="7"/>
        <v/>
      </c>
      <c r="G519" s="55" t="str">
        <f t="shared" si="8"/>
        <v/>
      </c>
      <c r="H519" s="57" t="str">
        <f t="shared" si="9"/>
        <v/>
      </c>
      <c r="I519" s="58" t="str">
        <f t="shared" si="10"/>
        <v/>
      </c>
      <c r="J519" s="55" t="str">
        <f t="shared" si="11"/>
        <v/>
      </c>
      <c r="K519" s="59" t="str">
        <f t="shared" si="12"/>
        <v/>
      </c>
      <c r="L519" s="59" t="str">
        <f>IF(NOT(ISERROR(VLOOKUP(B519,Deflatores!G$42:H$64,2,FALSE))),VLOOKUP(B519,Deflatores!G$42:H$64,2,FALSE),IF(OR(ISBLANK(C519),ISBLANK(B519)),"",VLOOKUP(C519,Deflatores!G$4:H$38,2,FALSE)*H519+VLOOKUP(C519,Deflatores!G$4:I$38,3,FALSE)))</f>
        <v/>
      </c>
      <c r="M519" s="60"/>
      <c r="N519" s="60"/>
      <c r="O519" s="61"/>
    </row>
    <row r="520" ht="12.0" customHeight="1">
      <c r="A520" s="53"/>
      <c r="B520" s="54"/>
      <c r="C520" s="54"/>
      <c r="D520" s="55"/>
      <c r="E520" s="55"/>
      <c r="F520" s="56" t="str">
        <f t="shared" si="7"/>
        <v/>
      </c>
      <c r="G520" s="55" t="str">
        <f t="shared" si="8"/>
        <v/>
      </c>
      <c r="H520" s="57" t="str">
        <f t="shared" si="9"/>
        <v/>
      </c>
      <c r="I520" s="58" t="str">
        <f t="shared" si="10"/>
        <v/>
      </c>
      <c r="J520" s="55" t="str">
        <f t="shared" si="11"/>
        <v/>
      </c>
      <c r="K520" s="59" t="str">
        <f t="shared" si="12"/>
        <v/>
      </c>
      <c r="L520" s="59" t="str">
        <f>IF(NOT(ISERROR(VLOOKUP(B520,Deflatores!G$42:H$64,2,FALSE))),VLOOKUP(B520,Deflatores!G$42:H$64,2,FALSE),IF(OR(ISBLANK(C520),ISBLANK(B520)),"",VLOOKUP(C520,Deflatores!G$4:H$38,2,FALSE)*H520+VLOOKUP(C520,Deflatores!G$4:I$38,3,FALSE)))</f>
        <v/>
      </c>
      <c r="M520" s="60"/>
      <c r="N520" s="60"/>
      <c r="O520" s="61"/>
    </row>
    <row r="521" ht="12.0" customHeight="1">
      <c r="A521" s="53"/>
      <c r="B521" s="54"/>
      <c r="C521" s="54"/>
      <c r="D521" s="55"/>
      <c r="E521" s="55"/>
      <c r="F521" s="56" t="str">
        <f t="shared" si="7"/>
        <v/>
      </c>
      <c r="G521" s="55" t="str">
        <f t="shared" si="8"/>
        <v/>
      </c>
      <c r="H521" s="57" t="str">
        <f t="shared" si="9"/>
        <v/>
      </c>
      <c r="I521" s="58" t="str">
        <f t="shared" si="10"/>
        <v/>
      </c>
      <c r="J521" s="55" t="str">
        <f t="shared" si="11"/>
        <v/>
      </c>
      <c r="K521" s="59" t="str">
        <f t="shared" si="12"/>
        <v/>
      </c>
      <c r="L521" s="59" t="str">
        <f>IF(NOT(ISERROR(VLOOKUP(B521,Deflatores!G$42:H$64,2,FALSE))),VLOOKUP(B521,Deflatores!G$42:H$64,2,FALSE),IF(OR(ISBLANK(C521),ISBLANK(B521)),"",VLOOKUP(C521,Deflatores!G$4:H$38,2,FALSE)*H521+VLOOKUP(C521,Deflatores!G$4:I$38,3,FALSE)))</f>
        <v/>
      </c>
      <c r="M521" s="60"/>
      <c r="N521" s="60"/>
      <c r="O521" s="61"/>
    </row>
    <row r="522" ht="12.0" customHeight="1">
      <c r="A522" s="53"/>
      <c r="B522" s="54"/>
      <c r="C522" s="54"/>
      <c r="D522" s="55"/>
      <c r="E522" s="55"/>
      <c r="F522" s="56" t="str">
        <f t="shared" si="7"/>
        <v/>
      </c>
      <c r="G522" s="55" t="str">
        <f t="shared" si="8"/>
        <v/>
      </c>
      <c r="H522" s="57" t="str">
        <f t="shared" si="9"/>
        <v/>
      </c>
      <c r="I522" s="58" t="str">
        <f t="shared" si="10"/>
        <v/>
      </c>
      <c r="J522" s="55" t="str">
        <f t="shared" si="11"/>
        <v/>
      </c>
      <c r="K522" s="59" t="str">
        <f t="shared" si="12"/>
        <v/>
      </c>
      <c r="L522" s="59" t="str">
        <f>IF(NOT(ISERROR(VLOOKUP(B522,Deflatores!G$42:H$64,2,FALSE))),VLOOKUP(B522,Deflatores!G$42:H$64,2,FALSE),IF(OR(ISBLANK(C522),ISBLANK(B522)),"",VLOOKUP(C522,Deflatores!G$4:H$38,2,FALSE)*H522+VLOOKUP(C522,Deflatores!G$4:I$38,3,FALSE)))</f>
        <v/>
      </c>
      <c r="M522" s="60"/>
      <c r="N522" s="60"/>
      <c r="O522" s="61"/>
    </row>
    <row r="523" ht="12.0" customHeight="1">
      <c r="A523" s="53"/>
      <c r="B523" s="54"/>
      <c r="C523" s="54"/>
      <c r="D523" s="55"/>
      <c r="E523" s="55"/>
      <c r="F523" s="56" t="str">
        <f t="shared" si="7"/>
        <v/>
      </c>
      <c r="G523" s="55" t="str">
        <f t="shared" si="8"/>
        <v/>
      </c>
      <c r="H523" s="57" t="str">
        <f t="shared" si="9"/>
        <v/>
      </c>
      <c r="I523" s="58" t="str">
        <f t="shared" si="10"/>
        <v/>
      </c>
      <c r="J523" s="55" t="str">
        <f t="shared" si="11"/>
        <v/>
      </c>
      <c r="K523" s="59" t="str">
        <f t="shared" si="12"/>
        <v/>
      </c>
      <c r="L523" s="59" t="str">
        <f>IF(NOT(ISERROR(VLOOKUP(B523,Deflatores!G$42:H$64,2,FALSE))),VLOOKUP(B523,Deflatores!G$42:H$64,2,FALSE),IF(OR(ISBLANK(C523),ISBLANK(B523)),"",VLOOKUP(C523,Deflatores!G$4:H$38,2,FALSE)*H523+VLOOKUP(C523,Deflatores!G$4:I$38,3,FALSE)))</f>
        <v/>
      </c>
      <c r="M523" s="60"/>
      <c r="N523" s="60"/>
      <c r="O523" s="61"/>
    </row>
    <row r="524" ht="12.0" customHeight="1">
      <c r="A524" s="53"/>
      <c r="B524" s="54"/>
      <c r="C524" s="54"/>
      <c r="D524" s="55"/>
      <c r="E524" s="55"/>
      <c r="F524" s="56" t="str">
        <f t="shared" si="7"/>
        <v/>
      </c>
      <c r="G524" s="55" t="str">
        <f t="shared" si="8"/>
        <v/>
      </c>
      <c r="H524" s="57" t="str">
        <f t="shared" si="9"/>
        <v/>
      </c>
      <c r="I524" s="58" t="str">
        <f t="shared" si="10"/>
        <v/>
      </c>
      <c r="J524" s="55" t="str">
        <f t="shared" si="11"/>
        <v/>
      </c>
      <c r="K524" s="59" t="str">
        <f t="shared" si="12"/>
        <v/>
      </c>
      <c r="L524" s="59" t="str">
        <f>IF(NOT(ISERROR(VLOOKUP(B524,Deflatores!G$42:H$64,2,FALSE))),VLOOKUP(B524,Deflatores!G$42:H$64,2,FALSE),IF(OR(ISBLANK(C524),ISBLANK(B524)),"",VLOOKUP(C524,Deflatores!G$4:H$38,2,FALSE)*H524+VLOOKUP(C524,Deflatores!G$4:I$38,3,FALSE)))</f>
        <v/>
      </c>
      <c r="M524" s="60"/>
      <c r="N524" s="60"/>
      <c r="O524" s="61"/>
    </row>
    <row r="525" ht="12.0" customHeight="1">
      <c r="A525" s="53"/>
      <c r="B525" s="54"/>
      <c r="C525" s="54"/>
      <c r="D525" s="55"/>
      <c r="E525" s="55"/>
      <c r="F525" s="56" t="str">
        <f t="shared" si="7"/>
        <v/>
      </c>
      <c r="G525" s="55" t="str">
        <f t="shared" si="8"/>
        <v/>
      </c>
      <c r="H525" s="57" t="str">
        <f t="shared" si="9"/>
        <v/>
      </c>
      <c r="I525" s="58" t="str">
        <f t="shared" si="10"/>
        <v/>
      </c>
      <c r="J525" s="55" t="str">
        <f t="shared" si="11"/>
        <v/>
      </c>
      <c r="K525" s="59" t="str">
        <f t="shared" si="12"/>
        <v/>
      </c>
      <c r="L525" s="59" t="str">
        <f>IF(NOT(ISERROR(VLOOKUP(B525,Deflatores!G$42:H$64,2,FALSE))),VLOOKUP(B525,Deflatores!G$42:H$64,2,FALSE),IF(OR(ISBLANK(C525),ISBLANK(B525)),"",VLOOKUP(C525,Deflatores!G$4:H$38,2,FALSE)*H525+VLOOKUP(C525,Deflatores!G$4:I$38,3,FALSE)))</f>
        <v/>
      </c>
      <c r="M525" s="60"/>
      <c r="N525" s="60"/>
      <c r="O525" s="61"/>
    </row>
    <row r="526" ht="12.0" customHeight="1">
      <c r="A526" s="53"/>
      <c r="B526" s="54"/>
      <c r="C526" s="54"/>
      <c r="D526" s="55"/>
      <c r="E526" s="55"/>
      <c r="F526" s="56" t="str">
        <f t="shared" si="7"/>
        <v/>
      </c>
      <c r="G526" s="55" t="str">
        <f t="shared" si="8"/>
        <v/>
      </c>
      <c r="H526" s="57" t="str">
        <f t="shared" si="9"/>
        <v/>
      </c>
      <c r="I526" s="58" t="str">
        <f t="shared" si="10"/>
        <v/>
      </c>
      <c r="J526" s="55" t="str">
        <f t="shared" si="11"/>
        <v/>
      </c>
      <c r="K526" s="59" t="str">
        <f t="shared" si="12"/>
        <v/>
      </c>
      <c r="L526" s="59" t="str">
        <f>IF(NOT(ISERROR(VLOOKUP(B526,Deflatores!G$42:H$64,2,FALSE))),VLOOKUP(B526,Deflatores!G$42:H$64,2,FALSE),IF(OR(ISBLANK(C526),ISBLANK(B526)),"",VLOOKUP(C526,Deflatores!G$4:H$38,2,FALSE)*H526+VLOOKUP(C526,Deflatores!G$4:I$38,3,FALSE)))</f>
        <v/>
      </c>
      <c r="M526" s="60"/>
      <c r="N526" s="60"/>
      <c r="O526" s="61"/>
    </row>
    <row r="527" ht="12.0" customHeight="1">
      <c r="A527" s="53"/>
      <c r="B527" s="54"/>
      <c r="C527" s="54"/>
      <c r="D527" s="55"/>
      <c r="E527" s="55"/>
      <c r="F527" s="56" t="str">
        <f t="shared" si="7"/>
        <v/>
      </c>
      <c r="G527" s="55" t="str">
        <f t="shared" si="8"/>
        <v/>
      </c>
      <c r="H527" s="57" t="str">
        <f t="shared" si="9"/>
        <v/>
      </c>
      <c r="I527" s="58" t="str">
        <f t="shared" si="10"/>
        <v/>
      </c>
      <c r="J527" s="55" t="str">
        <f t="shared" si="11"/>
        <v/>
      </c>
      <c r="K527" s="59" t="str">
        <f t="shared" si="12"/>
        <v/>
      </c>
      <c r="L527" s="59" t="str">
        <f>IF(NOT(ISERROR(VLOOKUP(B527,Deflatores!G$42:H$64,2,FALSE))),VLOOKUP(B527,Deflatores!G$42:H$64,2,FALSE),IF(OR(ISBLANK(C527),ISBLANK(B527)),"",VLOOKUP(C527,Deflatores!G$4:H$38,2,FALSE)*H527+VLOOKUP(C527,Deflatores!G$4:I$38,3,FALSE)))</f>
        <v/>
      </c>
      <c r="M527" s="60"/>
      <c r="N527" s="60"/>
      <c r="O527" s="61"/>
    </row>
    <row r="528" ht="12.0" customHeight="1">
      <c r="A528" s="53"/>
      <c r="B528" s="54"/>
      <c r="C528" s="54"/>
      <c r="D528" s="55"/>
      <c r="E528" s="55"/>
      <c r="F528" s="56" t="str">
        <f t="shared" si="7"/>
        <v/>
      </c>
      <c r="G528" s="55" t="str">
        <f t="shared" si="8"/>
        <v/>
      </c>
      <c r="H528" s="57" t="str">
        <f t="shared" si="9"/>
        <v/>
      </c>
      <c r="I528" s="58" t="str">
        <f t="shared" si="10"/>
        <v/>
      </c>
      <c r="J528" s="55" t="str">
        <f t="shared" si="11"/>
        <v/>
      </c>
      <c r="K528" s="59" t="str">
        <f t="shared" si="12"/>
        <v/>
      </c>
      <c r="L528" s="59" t="str">
        <f>IF(NOT(ISERROR(VLOOKUP(B528,Deflatores!G$42:H$64,2,FALSE))),VLOOKUP(B528,Deflatores!G$42:H$64,2,FALSE),IF(OR(ISBLANK(C528),ISBLANK(B528)),"",VLOOKUP(C528,Deflatores!G$4:H$38,2,FALSE)*H528+VLOOKUP(C528,Deflatores!G$4:I$38,3,FALSE)))</f>
        <v/>
      </c>
      <c r="M528" s="60"/>
      <c r="N528" s="60"/>
      <c r="O528" s="61"/>
    </row>
    <row r="529" ht="12.0" customHeight="1">
      <c r="A529" s="53"/>
      <c r="B529" s="54"/>
      <c r="C529" s="54"/>
      <c r="D529" s="55"/>
      <c r="E529" s="55"/>
      <c r="F529" s="56" t="str">
        <f t="shared" si="7"/>
        <v/>
      </c>
      <c r="G529" s="55" t="str">
        <f t="shared" si="8"/>
        <v/>
      </c>
      <c r="H529" s="57" t="str">
        <f t="shared" si="9"/>
        <v/>
      </c>
      <c r="I529" s="58" t="str">
        <f t="shared" si="10"/>
        <v/>
      </c>
      <c r="J529" s="55" t="str">
        <f t="shared" si="11"/>
        <v/>
      </c>
      <c r="K529" s="59" t="str">
        <f t="shared" si="12"/>
        <v/>
      </c>
      <c r="L529" s="59" t="str">
        <f>IF(NOT(ISERROR(VLOOKUP(B529,Deflatores!G$42:H$64,2,FALSE))),VLOOKUP(B529,Deflatores!G$42:H$64,2,FALSE),IF(OR(ISBLANK(C529),ISBLANK(B529)),"",VLOOKUP(C529,Deflatores!G$4:H$38,2,FALSE)*H529+VLOOKUP(C529,Deflatores!G$4:I$38,3,FALSE)))</f>
        <v/>
      </c>
      <c r="M529" s="60"/>
      <c r="N529" s="60"/>
      <c r="O529" s="61"/>
    </row>
    <row r="530" ht="12.0" customHeight="1">
      <c r="A530" s="53"/>
      <c r="B530" s="54"/>
      <c r="C530" s="54"/>
      <c r="D530" s="55"/>
      <c r="E530" s="55"/>
      <c r="F530" s="56" t="str">
        <f t="shared" si="7"/>
        <v/>
      </c>
      <c r="G530" s="55" t="str">
        <f t="shared" si="8"/>
        <v/>
      </c>
      <c r="H530" s="57" t="str">
        <f t="shared" si="9"/>
        <v/>
      </c>
      <c r="I530" s="58" t="str">
        <f t="shared" si="10"/>
        <v/>
      </c>
      <c r="J530" s="55" t="str">
        <f t="shared" si="11"/>
        <v/>
      </c>
      <c r="K530" s="59" t="str">
        <f t="shared" si="12"/>
        <v/>
      </c>
      <c r="L530" s="59" t="str">
        <f>IF(NOT(ISERROR(VLOOKUP(B530,Deflatores!G$42:H$64,2,FALSE))),VLOOKUP(B530,Deflatores!G$42:H$64,2,FALSE),IF(OR(ISBLANK(C530),ISBLANK(B530)),"",VLOOKUP(C530,Deflatores!G$4:H$38,2,FALSE)*H530+VLOOKUP(C530,Deflatores!G$4:I$38,3,FALSE)))</f>
        <v/>
      </c>
      <c r="M530" s="60"/>
      <c r="N530" s="60"/>
      <c r="O530" s="61"/>
    </row>
    <row r="531" ht="12.0" customHeight="1">
      <c r="A531" s="53"/>
      <c r="B531" s="54"/>
      <c r="C531" s="54"/>
      <c r="D531" s="55"/>
      <c r="E531" s="55"/>
      <c r="F531" s="56" t="str">
        <f t="shared" si="7"/>
        <v/>
      </c>
      <c r="G531" s="55" t="str">
        <f t="shared" si="8"/>
        <v/>
      </c>
      <c r="H531" s="57" t="str">
        <f t="shared" si="9"/>
        <v/>
      </c>
      <c r="I531" s="58" t="str">
        <f t="shared" si="10"/>
        <v/>
      </c>
      <c r="J531" s="55" t="str">
        <f t="shared" si="11"/>
        <v/>
      </c>
      <c r="K531" s="59" t="str">
        <f t="shared" si="12"/>
        <v/>
      </c>
      <c r="L531" s="59" t="str">
        <f>IF(NOT(ISERROR(VLOOKUP(B531,Deflatores!G$42:H$64,2,FALSE))),VLOOKUP(B531,Deflatores!G$42:H$64,2,FALSE),IF(OR(ISBLANK(C531),ISBLANK(B531)),"",VLOOKUP(C531,Deflatores!G$4:H$38,2,FALSE)*H531+VLOOKUP(C531,Deflatores!G$4:I$38,3,FALSE)))</f>
        <v/>
      </c>
      <c r="M531" s="60"/>
      <c r="N531" s="60"/>
      <c r="O531" s="61"/>
    </row>
    <row r="532" ht="12.0" customHeight="1">
      <c r="A532" s="53"/>
      <c r="B532" s="54"/>
      <c r="C532" s="54"/>
      <c r="D532" s="55"/>
      <c r="E532" s="55"/>
      <c r="F532" s="56" t="str">
        <f t="shared" si="7"/>
        <v/>
      </c>
      <c r="G532" s="55" t="str">
        <f t="shared" si="8"/>
        <v/>
      </c>
      <c r="H532" s="57" t="str">
        <f t="shared" si="9"/>
        <v/>
      </c>
      <c r="I532" s="58" t="str">
        <f t="shared" si="10"/>
        <v/>
      </c>
      <c r="J532" s="55" t="str">
        <f t="shared" si="11"/>
        <v/>
      </c>
      <c r="K532" s="59" t="str">
        <f t="shared" si="12"/>
        <v/>
      </c>
      <c r="L532" s="59" t="str">
        <f>IF(NOT(ISERROR(VLOOKUP(B532,Deflatores!G$42:H$64,2,FALSE))),VLOOKUP(B532,Deflatores!G$42:H$64,2,FALSE),IF(OR(ISBLANK(C532),ISBLANK(B532)),"",VLOOKUP(C532,Deflatores!G$4:H$38,2,FALSE)*H532+VLOOKUP(C532,Deflatores!G$4:I$38,3,FALSE)))</f>
        <v/>
      </c>
      <c r="M532" s="60"/>
      <c r="N532" s="60"/>
      <c r="O532" s="61"/>
    </row>
    <row r="533" ht="12.0" customHeight="1">
      <c r="A533" s="53"/>
      <c r="B533" s="54"/>
      <c r="C533" s="54"/>
      <c r="D533" s="55"/>
      <c r="E533" s="55"/>
      <c r="F533" s="56" t="str">
        <f t="shared" si="7"/>
        <v/>
      </c>
      <c r="G533" s="55" t="str">
        <f t="shared" si="8"/>
        <v/>
      </c>
      <c r="H533" s="57" t="str">
        <f t="shared" si="9"/>
        <v/>
      </c>
      <c r="I533" s="58" t="str">
        <f t="shared" si="10"/>
        <v/>
      </c>
      <c r="J533" s="55" t="str">
        <f t="shared" si="11"/>
        <v/>
      </c>
      <c r="K533" s="59" t="str">
        <f t="shared" si="12"/>
        <v/>
      </c>
      <c r="L533" s="59" t="str">
        <f>IF(NOT(ISERROR(VLOOKUP(B533,Deflatores!G$42:H$64,2,FALSE))),VLOOKUP(B533,Deflatores!G$42:H$64,2,FALSE),IF(OR(ISBLANK(C533),ISBLANK(B533)),"",VLOOKUP(C533,Deflatores!G$4:H$38,2,FALSE)*H533+VLOOKUP(C533,Deflatores!G$4:I$38,3,FALSE)))</f>
        <v/>
      </c>
      <c r="M533" s="60"/>
      <c r="N533" s="60"/>
      <c r="O533" s="61"/>
    </row>
    <row r="534" ht="12.0" customHeight="1">
      <c r="A534" s="53"/>
      <c r="B534" s="54"/>
      <c r="C534" s="54"/>
      <c r="D534" s="55"/>
      <c r="E534" s="55"/>
      <c r="F534" s="56" t="str">
        <f t="shared" si="7"/>
        <v/>
      </c>
      <c r="G534" s="55" t="str">
        <f t="shared" si="8"/>
        <v/>
      </c>
      <c r="H534" s="57" t="str">
        <f t="shared" si="9"/>
        <v/>
      </c>
      <c r="I534" s="58" t="str">
        <f t="shared" si="10"/>
        <v/>
      </c>
      <c r="J534" s="55" t="str">
        <f t="shared" si="11"/>
        <v/>
      </c>
      <c r="K534" s="59" t="str">
        <f t="shared" si="12"/>
        <v/>
      </c>
      <c r="L534" s="59" t="str">
        <f>IF(NOT(ISERROR(VLOOKUP(B534,Deflatores!G$42:H$64,2,FALSE))),VLOOKUP(B534,Deflatores!G$42:H$64,2,FALSE),IF(OR(ISBLANK(C534),ISBLANK(B534)),"",VLOOKUP(C534,Deflatores!G$4:H$38,2,FALSE)*H534+VLOOKUP(C534,Deflatores!G$4:I$38,3,FALSE)))</f>
        <v/>
      </c>
      <c r="M534" s="60"/>
      <c r="N534" s="60"/>
      <c r="O534" s="61"/>
    </row>
    <row r="535" ht="12.0" customHeight="1">
      <c r="A535" s="53"/>
      <c r="B535" s="54"/>
      <c r="C535" s="54"/>
      <c r="D535" s="55"/>
      <c r="E535" s="55"/>
      <c r="F535" s="56" t="str">
        <f t="shared" si="7"/>
        <v/>
      </c>
      <c r="G535" s="55" t="str">
        <f t="shared" si="8"/>
        <v/>
      </c>
      <c r="H535" s="57" t="str">
        <f t="shared" si="9"/>
        <v/>
      </c>
      <c r="I535" s="58" t="str">
        <f t="shared" si="10"/>
        <v/>
      </c>
      <c r="J535" s="55" t="str">
        <f t="shared" si="11"/>
        <v/>
      </c>
      <c r="K535" s="59" t="str">
        <f t="shared" si="12"/>
        <v/>
      </c>
      <c r="L535" s="59" t="str">
        <f>IF(NOT(ISERROR(VLOOKUP(B535,Deflatores!G$42:H$64,2,FALSE))),VLOOKUP(B535,Deflatores!G$42:H$64,2,FALSE),IF(OR(ISBLANK(C535),ISBLANK(B535)),"",VLOOKUP(C535,Deflatores!G$4:H$38,2,FALSE)*H535+VLOOKUP(C535,Deflatores!G$4:I$38,3,FALSE)))</f>
        <v/>
      </c>
      <c r="M535" s="60"/>
      <c r="N535" s="60"/>
      <c r="O535" s="61"/>
    </row>
    <row r="536" ht="12.0" customHeight="1">
      <c r="A536" s="53"/>
      <c r="B536" s="54"/>
      <c r="C536" s="54"/>
      <c r="D536" s="55"/>
      <c r="E536" s="55"/>
      <c r="F536" s="56" t="str">
        <f t="shared" si="7"/>
        <v/>
      </c>
      <c r="G536" s="55" t="str">
        <f t="shared" si="8"/>
        <v/>
      </c>
      <c r="H536" s="57" t="str">
        <f t="shared" si="9"/>
        <v/>
      </c>
      <c r="I536" s="58" t="str">
        <f t="shared" si="10"/>
        <v/>
      </c>
      <c r="J536" s="55" t="str">
        <f t="shared" si="11"/>
        <v/>
      </c>
      <c r="K536" s="59" t="str">
        <f t="shared" si="12"/>
        <v/>
      </c>
      <c r="L536" s="59" t="str">
        <f>IF(NOT(ISERROR(VLOOKUP(B536,Deflatores!G$42:H$64,2,FALSE))),VLOOKUP(B536,Deflatores!G$42:H$64,2,FALSE),IF(OR(ISBLANK(C536),ISBLANK(B536)),"",VLOOKUP(C536,Deflatores!G$4:H$38,2,FALSE)*H536+VLOOKUP(C536,Deflatores!G$4:I$38,3,FALSE)))</f>
        <v/>
      </c>
      <c r="M536" s="60"/>
      <c r="N536" s="60"/>
      <c r="O536" s="61"/>
    </row>
    <row r="537" ht="12.0" customHeight="1">
      <c r="A537" s="53"/>
      <c r="B537" s="54"/>
      <c r="C537" s="54"/>
      <c r="D537" s="55"/>
      <c r="E537" s="55"/>
      <c r="F537" s="56" t="str">
        <f t="shared" si="7"/>
        <v/>
      </c>
      <c r="G537" s="55" t="str">
        <f t="shared" si="8"/>
        <v/>
      </c>
      <c r="H537" s="57" t="str">
        <f t="shared" si="9"/>
        <v/>
      </c>
      <c r="I537" s="58" t="str">
        <f t="shared" si="10"/>
        <v/>
      </c>
      <c r="J537" s="55" t="str">
        <f t="shared" si="11"/>
        <v/>
      </c>
      <c r="K537" s="59" t="str">
        <f t="shared" si="12"/>
        <v/>
      </c>
      <c r="L537" s="59" t="str">
        <f>IF(NOT(ISERROR(VLOOKUP(B537,Deflatores!G$42:H$64,2,FALSE))),VLOOKUP(B537,Deflatores!G$42:H$64,2,FALSE),IF(OR(ISBLANK(C537),ISBLANK(B537)),"",VLOOKUP(C537,Deflatores!G$4:H$38,2,FALSE)*H537+VLOOKUP(C537,Deflatores!G$4:I$38,3,FALSE)))</f>
        <v/>
      </c>
      <c r="M537" s="60"/>
      <c r="N537" s="60"/>
      <c r="O537" s="61"/>
    </row>
    <row r="538" ht="12.0" customHeight="1">
      <c r="A538" s="53"/>
      <c r="B538" s="54"/>
      <c r="C538" s="54"/>
      <c r="D538" s="55"/>
      <c r="E538" s="55"/>
      <c r="F538" s="56" t="str">
        <f t="shared" si="7"/>
        <v/>
      </c>
      <c r="G538" s="55" t="str">
        <f t="shared" si="8"/>
        <v/>
      </c>
      <c r="H538" s="57" t="str">
        <f t="shared" si="9"/>
        <v/>
      </c>
      <c r="I538" s="58" t="str">
        <f t="shared" si="10"/>
        <v/>
      </c>
      <c r="J538" s="55" t="str">
        <f t="shared" si="11"/>
        <v/>
      </c>
      <c r="K538" s="59" t="str">
        <f t="shared" si="12"/>
        <v/>
      </c>
      <c r="L538" s="59" t="str">
        <f>IF(NOT(ISERROR(VLOOKUP(B538,Deflatores!G$42:H$64,2,FALSE))),VLOOKUP(B538,Deflatores!G$42:H$64,2,FALSE),IF(OR(ISBLANK(C538),ISBLANK(B538)),"",VLOOKUP(C538,Deflatores!G$4:H$38,2,FALSE)*H538+VLOOKUP(C538,Deflatores!G$4:I$38,3,FALSE)))</f>
        <v/>
      </c>
      <c r="M538" s="60"/>
      <c r="N538" s="60"/>
      <c r="O538" s="61"/>
    </row>
    <row r="539" ht="12.0" customHeight="1">
      <c r="A539" s="53"/>
      <c r="B539" s="54"/>
      <c r="C539" s="54"/>
      <c r="D539" s="55"/>
      <c r="E539" s="55"/>
      <c r="F539" s="56" t="str">
        <f t="shared" si="7"/>
        <v/>
      </c>
      <c r="G539" s="55" t="str">
        <f t="shared" si="8"/>
        <v/>
      </c>
      <c r="H539" s="57" t="str">
        <f t="shared" si="9"/>
        <v/>
      </c>
      <c r="I539" s="58" t="str">
        <f t="shared" si="10"/>
        <v/>
      </c>
      <c r="J539" s="55" t="str">
        <f t="shared" si="11"/>
        <v/>
      </c>
      <c r="K539" s="59" t="str">
        <f t="shared" si="12"/>
        <v/>
      </c>
      <c r="L539" s="59" t="str">
        <f>IF(NOT(ISERROR(VLOOKUP(B539,Deflatores!G$42:H$64,2,FALSE))),VLOOKUP(B539,Deflatores!G$42:H$64,2,FALSE),IF(OR(ISBLANK(C539),ISBLANK(B539)),"",VLOOKUP(C539,Deflatores!G$4:H$38,2,FALSE)*H539+VLOOKUP(C539,Deflatores!G$4:I$38,3,FALSE)))</f>
        <v/>
      </c>
      <c r="M539" s="60"/>
      <c r="N539" s="60"/>
      <c r="O539" s="61"/>
    </row>
    <row r="540" ht="12.0" customHeight="1">
      <c r="A540" s="53"/>
      <c r="B540" s="54"/>
      <c r="C540" s="54"/>
      <c r="D540" s="55"/>
      <c r="E540" s="55"/>
      <c r="F540" s="56" t="str">
        <f t="shared" si="7"/>
        <v/>
      </c>
      <c r="G540" s="55" t="str">
        <f t="shared" si="8"/>
        <v/>
      </c>
      <c r="H540" s="57" t="str">
        <f t="shared" si="9"/>
        <v/>
      </c>
      <c r="I540" s="58" t="str">
        <f t="shared" si="10"/>
        <v/>
      </c>
      <c r="J540" s="55" t="str">
        <f t="shared" si="11"/>
        <v/>
      </c>
      <c r="K540" s="59" t="str">
        <f t="shared" si="12"/>
        <v/>
      </c>
      <c r="L540" s="59" t="str">
        <f>IF(NOT(ISERROR(VLOOKUP(B540,Deflatores!G$42:H$64,2,FALSE))),VLOOKUP(B540,Deflatores!G$42:H$64,2,FALSE),IF(OR(ISBLANK(C540),ISBLANK(B540)),"",VLOOKUP(C540,Deflatores!G$4:H$38,2,FALSE)*H540+VLOOKUP(C540,Deflatores!G$4:I$38,3,FALSE)))</f>
        <v/>
      </c>
      <c r="M540" s="60"/>
      <c r="N540" s="60"/>
      <c r="O540" s="61"/>
    </row>
    <row r="541" ht="12.0" customHeight="1">
      <c r="A541" s="53"/>
      <c r="B541" s="54"/>
      <c r="C541" s="54"/>
      <c r="D541" s="55"/>
      <c r="E541" s="55"/>
      <c r="F541" s="56" t="str">
        <f t="shared" si="7"/>
        <v/>
      </c>
      <c r="G541" s="55" t="str">
        <f t="shared" si="8"/>
        <v/>
      </c>
      <c r="H541" s="57" t="str">
        <f t="shared" si="9"/>
        <v/>
      </c>
      <c r="I541" s="58" t="str">
        <f t="shared" si="10"/>
        <v/>
      </c>
      <c r="J541" s="55" t="str">
        <f t="shared" si="11"/>
        <v/>
      </c>
      <c r="K541" s="59" t="str">
        <f t="shared" si="12"/>
        <v/>
      </c>
      <c r="L541" s="59" t="str">
        <f>IF(NOT(ISERROR(VLOOKUP(B541,Deflatores!G$42:H$64,2,FALSE))),VLOOKUP(B541,Deflatores!G$42:H$64,2,FALSE),IF(OR(ISBLANK(C541),ISBLANK(B541)),"",VLOOKUP(C541,Deflatores!G$4:H$38,2,FALSE)*H541+VLOOKUP(C541,Deflatores!G$4:I$38,3,FALSE)))</f>
        <v/>
      </c>
      <c r="M541" s="60"/>
      <c r="N541" s="60"/>
      <c r="O541" s="61"/>
    </row>
    <row r="542" ht="12.0" customHeight="1">
      <c r="A542" s="53"/>
      <c r="B542" s="54"/>
      <c r="C542" s="54"/>
      <c r="D542" s="55"/>
      <c r="E542" s="55"/>
      <c r="F542" s="56" t="str">
        <f t="shared" si="7"/>
        <v/>
      </c>
      <c r="G542" s="55" t="str">
        <f t="shared" si="8"/>
        <v/>
      </c>
      <c r="H542" s="57" t="str">
        <f t="shared" si="9"/>
        <v/>
      </c>
      <c r="I542" s="58" t="str">
        <f t="shared" si="10"/>
        <v/>
      </c>
      <c r="J542" s="55" t="str">
        <f t="shared" si="11"/>
        <v/>
      </c>
      <c r="K542" s="59" t="str">
        <f t="shared" si="12"/>
        <v/>
      </c>
      <c r="L542" s="59" t="str">
        <f>IF(NOT(ISERROR(VLOOKUP(B542,Deflatores!G$42:H$64,2,FALSE))),VLOOKUP(B542,Deflatores!G$42:H$64,2,FALSE),IF(OR(ISBLANK(C542),ISBLANK(B542)),"",VLOOKUP(C542,Deflatores!G$4:H$38,2,FALSE)*H542+VLOOKUP(C542,Deflatores!G$4:I$38,3,FALSE)))</f>
        <v/>
      </c>
      <c r="M542" s="60"/>
      <c r="N542" s="60"/>
      <c r="O542" s="61"/>
    </row>
    <row r="543" ht="12.0" customHeight="1">
      <c r="A543" s="53"/>
      <c r="B543" s="54"/>
      <c r="C543" s="54"/>
      <c r="D543" s="55"/>
      <c r="E543" s="55"/>
      <c r="F543" s="56" t="str">
        <f t="shared" si="7"/>
        <v/>
      </c>
      <c r="G543" s="55" t="str">
        <f t="shared" si="8"/>
        <v/>
      </c>
      <c r="H543" s="57" t="str">
        <f t="shared" si="9"/>
        <v/>
      </c>
      <c r="I543" s="58" t="str">
        <f t="shared" si="10"/>
        <v/>
      </c>
      <c r="J543" s="55" t="str">
        <f t="shared" si="11"/>
        <v/>
      </c>
      <c r="K543" s="59" t="str">
        <f t="shared" si="12"/>
        <v/>
      </c>
      <c r="L543" s="59" t="str">
        <f>IF(NOT(ISERROR(VLOOKUP(B543,Deflatores!G$42:H$64,2,FALSE))),VLOOKUP(B543,Deflatores!G$42:H$64,2,FALSE),IF(OR(ISBLANK(C543),ISBLANK(B543)),"",VLOOKUP(C543,Deflatores!G$4:H$38,2,FALSE)*H543+VLOOKUP(C543,Deflatores!G$4:I$38,3,FALSE)))</f>
        <v/>
      </c>
      <c r="M543" s="60"/>
      <c r="N543" s="60"/>
      <c r="O543" s="61"/>
    </row>
    <row r="544" ht="12.0" customHeight="1">
      <c r="A544" s="53"/>
      <c r="B544" s="54"/>
      <c r="C544" s="54"/>
      <c r="D544" s="55"/>
      <c r="E544" s="55"/>
      <c r="F544" s="56" t="str">
        <f t="shared" si="7"/>
        <v/>
      </c>
      <c r="G544" s="55" t="str">
        <f t="shared" si="8"/>
        <v/>
      </c>
      <c r="H544" s="57" t="str">
        <f t="shared" si="9"/>
        <v/>
      </c>
      <c r="I544" s="58" t="str">
        <f t="shared" si="10"/>
        <v/>
      </c>
      <c r="J544" s="55" t="str">
        <f t="shared" si="11"/>
        <v/>
      </c>
      <c r="K544" s="59" t="str">
        <f t="shared" si="12"/>
        <v/>
      </c>
      <c r="L544" s="59" t="str">
        <f>IF(NOT(ISERROR(VLOOKUP(B544,Deflatores!G$42:H$64,2,FALSE))),VLOOKUP(B544,Deflatores!G$42:H$64,2,FALSE),IF(OR(ISBLANK(C544),ISBLANK(B544)),"",VLOOKUP(C544,Deflatores!G$4:H$38,2,FALSE)*H544+VLOOKUP(C544,Deflatores!G$4:I$38,3,FALSE)))</f>
        <v/>
      </c>
      <c r="M544" s="60"/>
      <c r="N544" s="60"/>
      <c r="O544" s="61"/>
    </row>
    <row r="545" ht="12.0" customHeight="1">
      <c r="A545" s="53"/>
      <c r="B545" s="54"/>
      <c r="C545" s="54"/>
      <c r="D545" s="55"/>
      <c r="E545" s="55"/>
      <c r="F545" s="56" t="str">
        <f t="shared" si="7"/>
        <v/>
      </c>
      <c r="G545" s="55" t="str">
        <f t="shared" si="8"/>
        <v/>
      </c>
      <c r="H545" s="57" t="str">
        <f t="shared" si="9"/>
        <v/>
      </c>
      <c r="I545" s="58" t="str">
        <f t="shared" si="10"/>
        <v/>
      </c>
      <c r="J545" s="55" t="str">
        <f t="shared" si="11"/>
        <v/>
      </c>
      <c r="K545" s="59" t="str">
        <f t="shared" si="12"/>
        <v/>
      </c>
      <c r="L545" s="59" t="str">
        <f>IF(NOT(ISERROR(VLOOKUP(B545,Deflatores!G$42:H$64,2,FALSE))),VLOOKUP(B545,Deflatores!G$42:H$64,2,FALSE),IF(OR(ISBLANK(C545),ISBLANK(B545)),"",VLOOKUP(C545,Deflatores!G$4:H$38,2,FALSE)*H545+VLOOKUP(C545,Deflatores!G$4:I$38,3,FALSE)))</f>
        <v/>
      </c>
      <c r="M545" s="60"/>
      <c r="N545" s="60"/>
      <c r="O545" s="61"/>
    </row>
    <row r="546" ht="12.0" customHeight="1">
      <c r="A546" s="53"/>
      <c r="B546" s="54"/>
      <c r="C546" s="54"/>
      <c r="D546" s="55"/>
      <c r="E546" s="55"/>
      <c r="F546" s="56" t="str">
        <f t="shared" si="7"/>
        <v/>
      </c>
      <c r="G546" s="55" t="str">
        <f t="shared" si="8"/>
        <v/>
      </c>
      <c r="H546" s="57" t="str">
        <f t="shared" si="9"/>
        <v/>
      </c>
      <c r="I546" s="58" t="str">
        <f t="shared" si="10"/>
        <v/>
      </c>
      <c r="J546" s="55" t="str">
        <f t="shared" si="11"/>
        <v/>
      </c>
      <c r="K546" s="59" t="str">
        <f t="shared" si="12"/>
        <v/>
      </c>
      <c r="L546" s="59" t="str">
        <f>IF(NOT(ISERROR(VLOOKUP(B546,Deflatores!G$42:H$64,2,FALSE))),VLOOKUP(B546,Deflatores!G$42:H$64,2,FALSE),IF(OR(ISBLANK(C546),ISBLANK(B546)),"",VLOOKUP(C546,Deflatores!G$4:H$38,2,FALSE)*H546+VLOOKUP(C546,Deflatores!G$4:I$38,3,FALSE)))</f>
        <v/>
      </c>
      <c r="M546" s="60"/>
      <c r="N546" s="60"/>
      <c r="O546" s="61"/>
    </row>
    <row r="547" ht="12.0" customHeight="1">
      <c r="A547" s="53"/>
      <c r="B547" s="54"/>
      <c r="C547" s="54"/>
      <c r="D547" s="55"/>
      <c r="E547" s="55"/>
      <c r="F547" s="56" t="str">
        <f t="shared" si="7"/>
        <v/>
      </c>
      <c r="G547" s="55" t="str">
        <f t="shared" si="8"/>
        <v/>
      </c>
      <c r="H547" s="57" t="str">
        <f t="shared" si="9"/>
        <v/>
      </c>
      <c r="I547" s="58" t="str">
        <f t="shared" si="10"/>
        <v/>
      </c>
      <c r="J547" s="55" t="str">
        <f t="shared" si="11"/>
        <v/>
      </c>
      <c r="K547" s="59" t="str">
        <f t="shared" si="12"/>
        <v/>
      </c>
      <c r="L547" s="59" t="str">
        <f>IF(NOT(ISERROR(VLOOKUP(B547,Deflatores!G$42:H$64,2,FALSE))),VLOOKUP(B547,Deflatores!G$42:H$64,2,FALSE),IF(OR(ISBLANK(C547),ISBLANK(B547)),"",VLOOKUP(C547,Deflatores!G$4:H$38,2,FALSE)*H547+VLOOKUP(C547,Deflatores!G$4:I$38,3,FALSE)))</f>
        <v/>
      </c>
      <c r="M547" s="60"/>
      <c r="N547" s="60"/>
      <c r="O547" s="61"/>
    </row>
    <row r="548" ht="12.0" customHeight="1">
      <c r="A548" s="53"/>
      <c r="B548" s="54"/>
      <c r="C548" s="54"/>
      <c r="D548" s="55"/>
      <c r="E548" s="55"/>
      <c r="F548" s="56" t="str">
        <f t="shared" si="7"/>
        <v/>
      </c>
      <c r="G548" s="55" t="str">
        <f t="shared" si="8"/>
        <v/>
      </c>
      <c r="H548" s="57" t="str">
        <f t="shared" si="9"/>
        <v/>
      </c>
      <c r="I548" s="58" t="str">
        <f t="shared" si="10"/>
        <v/>
      </c>
      <c r="J548" s="55" t="str">
        <f t="shared" si="11"/>
        <v/>
      </c>
      <c r="K548" s="59" t="str">
        <f t="shared" si="12"/>
        <v/>
      </c>
      <c r="L548" s="59" t="str">
        <f>IF(NOT(ISERROR(VLOOKUP(B548,Deflatores!G$42:H$64,2,FALSE))),VLOOKUP(B548,Deflatores!G$42:H$64,2,FALSE),IF(OR(ISBLANK(C548),ISBLANK(B548)),"",VLOOKUP(C548,Deflatores!G$4:H$38,2,FALSE)*H548+VLOOKUP(C548,Deflatores!G$4:I$38,3,FALSE)))</f>
        <v/>
      </c>
      <c r="M548" s="60"/>
      <c r="N548" s="60"/>
      <c r="O548" s="61"/>
    </row>
    <row r="549" ht="12.0" customHeight="1">
      <c r="A549" s="53"/>
      <c r="B549" s="54"/>
      <c r="C549" s="54"/>
      <c r="D549" s="55"/>
      <c r="E549" s="55"/>
      <c r="F549" s="56" t="str">
        <f t="shared" si="7"/>
        <v/>
      </c>
      <c r="G549" s="55" t="str">
        <f t="shared" si="8"/>
        <v/>
      </c>
      <c r="H549" s="57" t="str">
        <f t="shared" si="9"/>
        <v/>
      </c>
      <c r="I549" s="58" t="str">
        <f t="shared" si="10"/>
        <v/>
      </c>
      <c r="J549" s="55" t="str">
        <f t="shared" si="11"/>
        <v/>
      </c>
      <c r="K549" s="59" t="str">
        <f t="shared" si="12"/>
        <v/>
      </c>
      <c r="L549" s="59" t="str">
        <f>IF(NOT(ISERROR(VLOOKUP(B549,Deflatores!G$42:H$64,2,FALSE))),VLOOKUP(B549,Deflatores!G$42:H$64,2,FALSE),IF(OR(ISBLANK(C549),ISBLANK(B549)),"",VLOOKUP(C549,Deflatores!G$4:H$38,2,FALSE)*H549+VLOOKUP(C549,Deflatores!G$4:I$38,3,FALSE)))</f>
        <v/>
      </c>
      <c r="M549" s="60"/>
      <c r="N549" s="60"/>
      <c r="O549" s="61"/>
    </row>
    <row r="550" ht="12.0" customHeight="1">
      <c r="A550" s="53"/>
      <c r="B550" s="54"/>
      <c r="C550" s="54"/>
      <c r="D550" s="55"/>
      <c r="E550" s="55"/>
      <c r="F550" s="56" t="str">
        <f t="shared" si="7"/>
        <v/>
      </c>
      <c r="G550" s="55" t="str">
        <f t="shared" si="8"/>
        <v/>
      </c>
      <c r="H550" s="57" t="str">
        <f t="shared" si="9"/>
        <v/>
      </c>
      <c r="I550" s="58" t="str">
        <f t="shared" si="10"/>
        <v/>
      </c>
      <c r="J550" s="55" t="str">
        <f t="shared" si="11"/>
        <v/>
      </c>
      <c r="K550" s="59" t="str">
        <f t="shared" si="12"/>
        <v/>
      </c>
      <c r="L550" s="59" t="str">
        <f>IF(NOT(ISERROR(VLOOKUP(B550,Deflatores!G$42:H$64,2,FALSE))),VLOOKUP(B550,Deflatores!G$42:H$64,2,FALSE),IF(OR(ISBLANK(C550),ISBLANK(B550)),"",VLOOKUP(C550,Deflatores!G$4:H$38,2,FALSE)*H550+VLOOKUP(C550,Deflatores!G$4:I$38,3,FALSE)))</f>
        <v/>
      </c>
      <c r="M550" s="60"/>
      <c r="N550" s="60"/>
      <c r="O550" s="61"/>
    </row>
    <row r="551" ht="12.0" customHeight="1">
      <c r="A551" s="53"/>
      <c r="B551" s="54"/>
      <c r="C551" s="54"/>
      <c r="D551" s="55"/>
      <c r="E551" s="55"/>
      <c r="F551" s="56" t="str">
        <f t="shared" si="7"/>
        <v/>
      </c>
      <c r="G551" s="55" t="str">
        <f t="shared" si="8"/>
        <v/>
      </c>
      <c r="H551" s="57" t="str">
        <f t="shared" si="9"/>
        <v/>
      </c>
      <c r="I551" s="58" t="str">
        <f t="shared" si="10"/>
        <v/>
      </c>
      <c r="J551" s="55" t="str">
        <f t="shared" si="11"/>
        <v/>
      </c>
      <c r="K551" s="59" t="str">
        <f t="shared" si="12"/>
        <v/>
      </c>
      <c r="L551" s="59" t="str">
        <f>IF(NOT(ISERROR(VLOOKUP(B551,Deflatores!G$42:H$64,2,FALSE))),VLOOKUP(B551,Deflatores!G$42:H$64,2,FALSE),IF(OR(ISBLANK(C551),ISBLANK(B551)),"",VLOOKUP(C551,Deflatores!G$4:H$38,2,FALSE)*H551+VLOOKUP(C551,Deflatores!G$4:I$38,3,FALSE)))</f>
        <v/>
      </c>
      <c r="M551" s="60"/>
      <c r="N551" s="60"/>
      <c r="O551" s="61"/>
    </row>
    <row r="552" ht="12.0" customHeight="1">
      <c r="A552" s="53"/>
      <c r="B552" s="54"/>
      <c r="C552" s="54"/>
      <c r="D552" s="55"/>
      <c r="E552" s="55"/>
      <c r="F552" s="56" t="str">
        <f t="shared" si="7"/>
        <v/>
      </c>
      <c r="G552" s="55" t="str">
        <f t="shared" si="8"/>
        <v/>
      </c>
      <c r="H552" s="57" t="str">
        <f t="shared" si="9"/>
        <v/>
      </c>
      <c r="I552" s="58" t="str">
        <f t="shared" si="10"/>
        <v/>
      </c>
      <c r="J552" s="55" t="str">
        <f t="shared" si="11"/>
        <v/>
      </c>
      <c r="K552" s="59" t="str">
        <f t="shared" si="12"/>
        <v/>
      </c>
      <c r="L552" s="59" t="str">
        <f>IF(NOT(ISERROR(VLOOKUP(B552,Deflatores!G$42:H$64,2,FALSE))),VLOOKUP(B552,Deflatores!G$42:H$64,2,FALSE),IF(OR(ISBLANK(C552),ISBLANK(B552)),"",VLOOKUP(C552,Deflatores!G$4:H$38,2,FALSE)*H552+VLOOKUP(C552,Deflatores!G$4:I$38,3,FALSE)))</f>
        <v/>
      </c>
      <c r="M552" s="60"/>
      <c r="N552" s="60"/>
      <c r="O552" s="61"/>
    </row>
    <row r="553" ht="12.0" customHeight="1">
      <c r="A553" s="53"/>
      <c r="B553" s="54"/>
      <c r="C553" s="54"/>
      <c r="D553" s="55"/>
      <c r="E553" s="55"/>
      <c r="F553" s="56" t="str">
        <f t="shared" si="7"/>
        <v/>
      </c>
      <c r="G553" s="55" t="str">
        <f t="shared" si="8"/>
        <v/>
      </c>
      <c r="H553" s="57" t="str">
        <f t="shared" si="9"/>
        <v/>
      </c>
      <c r="I553" s="58" t="str">
        <f t="shared" si="10"/>
        <v/>
      </c>
      <c r="J553" s="55" t="str">
        <f t="shared" si="11"/>
        <v/>
      </c>
      <c r="K553" s="59" t="str">
        <f t="shared" si="12"/>
        <v/>
      </c>
      <c r="L553" s="59" t="str">
        <f>IF(NOT(ISERROR(VLOOKUP(B553,Deflatores!G$42:H$64,2,FALSE))),VLOOKUP(B553,Deflatores!G$42:H$64,2,FALSE),IF(OR(ISBLANK(C553),ISBLANK(B553)),"",VLOOKUP(C553,Deflatores!G$4:H$38,2,FALSE)*H553+VLOOKUP(C553,Deflatores!G$4:I$38,3,FALSE)))</f>
        <v/>
      </c>
      <c r="M553" s="60"/>
      <c r="N553" s="60"/>
      <c r="O553" s="61"/>
    </row>
    <row r="554" ht="12.0" customHeight="1">
      <c r="A554" s="53"/>
      <c r="B554" s="54"/>
      <c r="C554" s="54"/>
      <c r="D554" s="55"/>
      <c r="E554" s="55"/>
      <c r="F554" s="56" t="str">
        <f t="shared" si="7"/>
        <v/>
      </c>
      <c r="G554" s="55" t="str">
        <f t="shared" si="8"/>
        <v/>
      </c>
      <c r="H554" s="57" t="str">
        <f t="shared" si="9"/>
        <v/>
      </c>
      <c r="I554" s="58" t="str">
        <f t="shared" si="10"/>
        <v/>
      </c>
      <c r="J554" s="55" t="str">
        <f t="shared" si="11"/>
        <v/>
      </c>
      <c r="K554" s="59" t="str">
        <f t="shared" si="12"/>
        <v/>
      </c>
      <c r="L554" s="59" t="str">
        <f>IF(NOT(ISERROR(VLOOKUP(B554,Deflatores!G$42:H$64,2,FALSE))),VLOOKUP(B554,Deflatores!G$42:H$64,2,FALSE),IF(OR(ISBLANK(C554),ISBLANK(B554)),"",VLOOKUP(C554,Deflatores!G$4:H$38,2,FALSE)*H554+VLOOKUP(C554,Deflatores!G$4:I$38,3,FALSE)))</f>
        <v/>
      </c>
      <c r="M554" s="60"/>
      <c r="N554" s="60"/>
      <c r="O554" s="61"/>
    </row>
    <row r="555" ht="12.0" customHeight="1">
      <c r="A555" s="53"/>
      <c r="B555" s="54"/>
      <c r="C555" s="54"/>
      <c r="D555" s="55"/>
      <c r="E555" s="55"/>
      <c r="F555" s="56" t="str">
        <f t="shared" si="7"/>
        <v/>
      </c>
      <c r="G555" s="55" t="str">
        <f t="shared" si="8"/>
        <v/>
      </c>
      <c r="H555" s="57" t="str">
        <f t="shared" si="9"/>
        <v/>
      </c>
      <c r="I555" s="58" t="str">
        <f t="shared" si="10"/>
        <v/>
      </c>
      <c r="J555" s="55" t="str">
        <f t="shared" si="11"/>
        <v/>
      </c>
      <c r="K555" s="59" t="str">
        <f t="shared" si="12"/>
        <v/>
      </c>
      <c r="L555" s="59" t="str">
        <f>IF(NOT(ISERROR(VLOOKUP(B555,Deflatores!G$42:H$64,2,FALSE))),VLOOKUP(B555,Deflatores!G$42:H$64,2,FALSE),IF(OR(ISBLANK(C555),ISBLANK(B555)),"",VLOOKUP(C555,Deflatores!G$4:H$38,2,FALSE)*H555+VLOOKUP(C555,Deflatores!G$4:I$38,3,FALSE)))</f>
        <v/>
      </c>
      <c r="M555" s="60"/>
      <c r="N555" s="60"/>
      <c r="O555" s="61"/>
    </row>
    <row r="556" ht="12.0" customHeight="1">
      <c r="A556" s="53"/>
      <c r="B556" s="54"/>
      <c r="C556" s="54"/>
      <c r="D556" s="55"/>
      <c r="E556" s="55"/>
      <c r="F556" s="56" t="str">
        <f t="shared" si="7"/>
        <v/>
      </c>
      <c r="G556" s="55" t="str">
        <f t="shared" si="8"/>
        <v/>
      </c>
      <c r="H556" s="57" t="str">
        <f t="shared" si="9"/>
        <v/>
      </c>
      <c r="I556" s="58" t="str">
        <f t="shared" si="10"/>
        <v/>
      </c>
      <c r="J556" s="55" t="str">
        <f t="shared" si="11"/>
        <v/>
      </c>
      <c r="K556" s="59" t="str">
        <f t="shared" si="12"/>
        <v/>
      </c>
      <c r="L556" s="59" t="str">
        <f>IF(NOT(ISERROR(VLOOKUP(B556,Deflatores!G$42:H$64,2,FALSE))),VLOOKUP(B556,Deflatores!G$42:H$64,2,FALSE),IF(OR(ISBLANK(C556),ISBLANK(B556)),"",VLOOKUP(C556,Deflatores!G$4:H$38,2,FALSE)*H556+VLOOKUP(C556,Deflatores!G$4:I$38,3,FALSE)))</f>
        <v/>
      </c>
      <c r="M556" s="60"/>
      <c r="N556" s="60"/>
      <c r="O556" s="61"/>
    </row>
    <row r="557" ht="12.0" customHeight="1">
      <c r="A557" s="53"/>
      <c r="B557" s="54"/>
      <c r="C557" s="54"/>
      <c r="D557" s="55"/>
      <c r="E557" s="55"/>
      <c r="F557" s="56" t="str">
        <f t="shared" si="7"/>
        <v/>
      </c>
      <c r="G557" s="55" t="str">
        <f t="shared" si="8"/>
        <v/>
      </c>
      <c r="H557" s="57" t="str">
        <f t="shared" si="9"/>
        <v/>
      </c>
      <c r="I557" s="58" t="str">
        <f t="shared" si="10"/>
        <v/>
      </c>
      <c r="J557" s="55" t="str">
        <f t="shared" si="11"/>
        <v/>
      </c>
      <c r="K557" s="59" t="str">
        <f t="shared" si="12"/>
        <v/>
      </c>
      <c r="L557" s="59" t="str">
        <f>IF(NOT(ISERROR(VLOOKUP(B557,Deflatores!G$42:H$64,2,FALSE))),VLOOKUP(B557,Deflatores!G$42:H$64,2,FALSE),IF(OR(ISBLANK(C557),ISBLANK(B557)),"",VLOOKUP(C557,Deflatores!G$4:H$38,2,FALSE)*H557+VLOOKUP(C557,Deflatores!G$4:I$38,3,FALSE)))</f>
        <v/>
      </c>
      <c r="M557" s="60"/>
      <c r="N557" s="60"/>
      <c r="O557" s="61"/>
    </row>
    <row r="558" ht="12.0" customHeight="1">
      <c r="A558" s="53"/>
      <c r="B558" s="54"/>
      <c r="C558" s="54"/>
      <c r="D558" s="55"/>
      <c r="E558" s="55"/>
      <c r="F558" s="56" t="str">
        <f t="shared" si="7"/>
        <v/>
      </c>
      <c r="G558" s="55" t="str">
        <f t="shared" si="8"/>
        <v/>
      </c>
      <c r="H558" s="57" t="str">
        <f t="shared" si="9"/>
        <v/>
      </c>
      <c r="I558" s="58" t="str">
        <f t="shared" si="10"/>
        <v/>
      </c>
      <c r="J558" s="55" t="str">
        <f t="shared" si="11"/>
        <v/>
      </c>
      <c r="K558" s="59" t="str">
        <f t="shared" si="12"/>
        <v/>
      </c>
      <c r="L558" s="59" t="str">
        <f>IF(NOT(ISERROR(VLOOKUP(B558,Deflatores!G$42:H$64,2,FALSE))),VLOOKUP(B558,Deflatores!G$42:H$64,2,FALSE),IF(OR(ISBLANK(C558),ISBLANK(B558)),"",VLOOKUP(C558,Deflatores!G$4:H$38,2,FALSE)*H558+VLOOKUP(C558,Deflatores!G$4:I$38,3,FALSE)))</f>
        <v/>
      </c>
      <c r="M558" s="60"/>
      <c r="N558" s="60"/>
      <c r="O558" s="61"/>
    </row>
    <row r="559" ht="12.0" customHeight="1">
      <c r="A559" s="53"/>
      <c r="B559" s="54"/>
      <c r="C559" s="54"/>
      <c r="D559" s="55"/>
      <c r="E559" s="55"/>
      <c r="F559" s="56" t="str">
        <f t="shared" si="7"/>
        <v/>
      </c>
      <c r="G559" s="55" t="str">
        <f t="shared" si="8"/>
        <v/>
      </c>
      <c r="H559" s="57" t="str">
        <f t="shared" si="9"/>
        <v/>
      </c>
      <c r="I559" s="58" t="str">
        <f t="shared" si="10"/>
        <v/>
      </c>
      <c r="J559" s="55" t="str">
        <f t="shared" si="11"/>
        <v/>
      </c>
      <c r="K559" s="59" t="str">
        <f t="shared" si="12"/>
        <v/>
      </c>
      <c r="L559" s="59" t="str">
        <f>IF(NOT(ISERROR(VLOOKUP(B559,Deflatores!G$42:H$64,2,FALSE))),VLOOKUP(B559,Deflatores!G$42:H$64,2,FALSE),IF(OR(ISBLANK(C559),ISBLANK(B559)),"",VLOOKUP(C559,Deflatores!G$4:H$38,2,FALSE)*H559+VLOOKUP(C559,Deflatores!G$4:I$38,3,FALSE)))</f>
        <v/>
      </c>
      <c r="M559" s="60"/>
      <c r="N559" s="60"/>
      <c r="O559" s="61"/>
    </row>
    <row r="560" ht="12.0" customHeight="1">
      <c r="A560" s="53"/>
      <c r="B560" s="54"/>
      <c r="C560" s="54"/>
      <c r="D560" s="55"/>
      <c r="E560" s="55"/>
      <c r="F560" s="56" t="str">
        <f t="shared" si="7"/>
        <v/>
      </c>
      <c r="G560" s="55" t="str">
        <f t="shared" si="8"/>
        <v/>
      </c>
      <c r="H560" s="57" t="str">
        <f t="shared" si="9"/>
        <v/>
      </c>
      <c r="I560" s="58" t="str">
        <f t="shared" si="10"/>
        <v/>
      </c>
      <c r="J560" s="55" t="str">
        <f t="shared" si="11"/>
        <v/>
      </c>
      <c r="K560" s="59" t="str">
        <f t="shared" si="12"/>
        <v/>
      </c>
      <c r="L560" s="59" t="str">
        <f>IF(NOT(ISERROR(VLOOKUP(B560,Deflatores!G$42:H$64,2,FALSE))),VLOOKUP(B560,Deflatores!G$42:H$64,2,FALSE),IF(OR(ISBLANK(C560),ISBLANK(B560)),"",VLOOKUP(C560,Deflatores!G$4:H$38,2,FALSE)*H560+VLOOKUP(C560,Deflatores!G$4:I$38,3,FALSE)))</f>
        <v/>
      </c>
      <c r="M560" s="60"/>
      <c r="N560" s="60"/>
      <c r="O560" s="61"/>
    </row>
    <row r="561" ht="12.0" customHeight="1">
      <c r="A561" s="53"/>
      <c r="B561" s="54"/>
      <c r="C561" s="54"/>
      <c r="D561" s="55"/>
      <c r="E561" s="55"/>
      <c r="F561" s="56" t="str">
        <f t="shared" si="7"/>
        <v/>
      </c>
      <c r="G561" s="55" t="str">
        <f t="shared" si="8"/>
        <v/>
      </c>
      <c r="H561" s="57" t="str">
        <f t="shared" si="9"/>
        <v/>
      </c>
      <c r="I561" s="58" t="str">
        <f t="shared" si="10"/>
        <v/>
      </c>
      <c r="J561" s="55" t="str">
        <f t="shared" si="11"/>
        <v/>
      </c>
      <c r="K561" s="59" t="str">
        <f t="shared" si="12"/>
        <v/>
      </c>
      <c r="L561" s="59" t="str">
        <f>IF(NOT(ISERROR(VLOOKUP(B561,Deflatores!G$42:H$64,2,FALSE))),VLOOKUP(B561,Deflatores!G$42:H$64,2,FALSE),IF(OR(ISBLANK(C561),ISBLANK(B561)),"",VLOOKUP(C561,Deflatores!G$4:H$38,2,FALSE)*H561+VLOOKUP(C561,Deflatores!G$4:I$38,3,FALSE)))</f>
        <v/>
      </c>
      <c r="M561" s="60"/>
      <c r="N561" s="60"/>
      <c r="O561" s="61"/>
    </row>
    <row r="562" ht="12.0" customHeight="1">
      <c r="A562" s="53"/>
      <c r="B562" s="54"/>
      <c r="C562" s="54"/>
      <c r="D562" s="55"/>
      <c r="E562" s="55"/>
      <c r="F562" s="56" t="str">
        <f t="shared" si="7"/>
        <v/>
      </c>
      <c r="G562" s="55" t="str">
        <f t="shared" si="8"/>
        <v/>
      </c>
      <c r="H562" s="57" t="str">
        <f t="shared" si="9"/>
        <v/>
      </c>
      <c r="I562" s="58" t="str">
        <f t="shared" si="10"/>
        <v/>
      </c>
      <c r="J562" s="55" t="str">
        <f t="shared" si="11"/>
        <v/>
      </c>
      <c r="K562" s="59" t="str">
        <f t="shared" si="12"/>
        <v/>
      </c>
      <c r="L562" s="59" t="str">
        <f>IF(NOT(ISERROR(VLOOKUP(B562,Deflatores!G$42:H$64,2,FALSE))),VLOOKUP(B562,Deflatores!G$42:H$64,2,FALSE),IF(OR(ISBLANK(C562),ISBLANK(B562)),"",VLOOKUP(C562,Deflatores!G$4:H$38,2,FALSE)*H562+VLOOKUP(C562,Deflatores!G$4:I$38,3,FALSE)))</f>
        <v/>
      </c>
      <c r="M562" s="60"/>
      <c r="N562" s="60"/>
      <c r="O562" s="61"/>
    </row>
    <row r="563" ht="12.0" customHeight="1">
      <c r="A563" s="53"/>
      <c r="B563" s="54"/>
      <c r="C563" s="54"/>
      <c r="D563" s="55"/>
      <c r="E563" s="55"/>
      <c r="F563" s="56" t="str">
        <f t="shared" si="7"/>
        <v/>
      </c>
      <c r="G563" s="55" t="str">
        <f t="shared" si="8"/>
        <v/>
      </c>
      <c r="H563" s="57" t="str">
        <f t="shared" si="9"/>
        <v/>
      </c>
      <c r="I563" s="58" t="str">
        <f t="shared" si="10"/>
        <v/>
      </c>
      <c r="J563" s="55" t="str">
        <f t="shared" si="11"/>
        <v/>
      </c>
      <c r="K563" s="59" t="str">
        <f t="shared" si="12"/>
        <v/>
      </c>
      <c r="L563" s="59" t="str">
        <f>IF(NOT(ISERROR(VLOOKUP(B563,Deflatores!G$42:H$64,2,FALSE))),VLOOKUP(B563,Deflatores!G$42:H$64,2,FALSE),IF(OR(ISBLANK(C563),ISBLANK(B563)),"",VLOOKUP(C563,Deflatores!G$4:H$38,2,FALSE)*H563+VLOOKUP(C563,Deflatores!G$4:I$38,3,FALSE)))</f>
        <v/>
      </c>
      <c r="M563" s="60"/>
      <c r="N563" s="60"/>
      <c r="O563" s="61"/>
    </row>
    <row r="564" ht="12.0" customHeight="1">
      <c r="A564" s="53"/>
      <c r="B564" s="54"/>
      <c r="C564" s="54"/>
      <c r="D564" s="55"/>
      <c r="E564" s="55"/>
      <c r="F564" s="56" t="str">
        <f t="shared" si="7"/>
        <v/>
      </c>
      <c r="G564" s="55" t="str">
        <f t="shared" si="8"/>
        <v/>
      </c>
      <c r="H564" s="57" t="str">
        <f t="shared" si="9"/>
        <v/>
      </c>
      <c r="I564" s="58" t="str">
        <f t="shared" si="10"/>
        <v/>
      </c>
      <c r="J564" s="55" t="str">
        <f t="shared" si="11"/>
        <v/>
      </c>
      <c r="K564" s="59" t="str">
        <f t="shared" si="12"/>
        <v/>
      </c>
      <c r="L564" s="59" t="str">
        <f>IF(NOT(ISERROR(VLOOKUP(B564,Deflatores!G$42:H$64,2,FALSE))),VLOOKUP(B564,Deflatores!G$42:H$64,2,FALSE),IF(OR(ISBLANK(C564),ISBLANK(B564)),"",VLOOKUP(C564,Deflatores!G$4:H$38,2,FALSE)*H564+VLOOKUP(C564,Deflatores!G$4:I$38,3,FALSE)))</f>
        <v/>
      </c>
      <c r="M564" s="60"/>
      <c r="N564" s="60"/>
      <c r="O564" s="61"/>
    </row>
    <row r="565" ht="12.0" customHeight="1">
      <c r="A565" s="53"/>
      <c r="B565" s="54"/>
      <c r="C565" s="54"/>
      <c r="D565" s="55"/>
      <c r="E565" s="55"/>
      <c r="F565" s="56" t="str">
        <f t="shared" si="7"/>
        <v/>
      </c>
      <c r="G565" s="55" t="str">
        <f t="shared" si="8"/>
        <v/>
      </c>
      <c r="H565" s="57" t="str">
        <f t="shared" si="9"/>
        <v/>
      </c>
      <c r="I565" s="58" t="str">
        <f t="shared" si="10"/>
        <v/>
      </c>
      <c r="J565" s="55" t="str">
        <f t="shared" si="11"/>
        <v/>
      </c>
      <c r="K565" s="59" t="str">
        <f t="shared" si="12"/>
        <v/>
      </c>
      <c r="L565" s="59" t="str">
        <f>IF(NOT(ISERROR(VLOOKUP(B565,Deflatores!G$42:H$64,2,FALSE))),VLOOKUP(B565,Deflatores!G$42:H$64,2,FALSE),IF(OR(ISBLANK(C565),ISBLANK(B565)),"",VLOOKUP(C565,Deflatores!G$4:H$38,2,FALSE)*H565+VLOOKUP(C565,Deflatores!G$4:I$38,3,FALSE)))</f>
        <v/>
      </c>
      <c r="M565" s="60"/>
      <c r="N565" s="60"/>
      <c r="O565" s="61"/>
    </row>
    <row r="566" ht="12.0" customHeight="1">
      <c r="A566" s="53"/>
      <c r="B566" s="54"/>
      <c r="C566" s="54"/>
      <c r="D566" s="55"/>
      <c r="E566" s="55"/>
      <c r="F566" s="56" t="str">
        <f t="shared" si="7"/>
        <v/>
      </c>
      <c r="G566" s="55" t="str">
        <f t="shared" si="8"/>
        <v/>
      </c>
      <c r="H566" s="57" t="str">
        <f t="shared" si="9"/>
        <v/>
      </c>
      <c r="I566" s="58" t="str">
        <f t="shared" si="10"/>
        <v/>
      </c>
      <c r="J566" s="55" t="str">
        <f t="shared" si="11"/>
        <v/>
      </c>
      <c r="K566" s="59" t="str">
        <f t="shared" si="12"/>
        <v/>
      </c>
      <c r="L566" s="59" t="str">
        <f>IF(NOT(ISERROR(VLOOKUP(B566,Deflatores!G$42:H$64,2,FALSE))),VLOOKUP(B566,Deflatores!G$42:H$64,2,FALSE),IF(OR(ISBLANK(C566),ISBLANK(B566)),"",VLOOKUP(C566,Deflatores!G$4:H$38,2,FALSE)*H566+VLOOKUP(C566,Deflatores!G$4:I$38,3,FALSE)))</f>
        <v/>
      </c>
      <c r="M566" s="60"/>
      <c r="N566" s="60"/>
      <c r="O566" s="61"/>
    </row>
    <row r="567" ht="12.0" customHeight="1">
      <c r="A567" s="53"/>
      <c r="B567" s="54"/>
      <c r="C567" s="54"/>
      <c r="D567" s="55"/>
      <c r="E567" s="55"/>
      <c r="F567" s="56" t="str">
        <f t="shared" si="7"/>
        <v/>
      </c>
      <c r="G567" s="55" t="str">
        <f t="shared" si="8"/>
        <v/>
      </c>
      <c r="H567" s="57" t="str">
        <f t="shared" si="9"/>
        <v/>
      </c>
      <c r="I567" s="58" t="str">
        <f t="shared" si="10"/>
        <v/>
      </c>
      <c r="J567" s="55" t="str">
        <f t="shared" si="11"/>
        <v/>
      </c>
      <c r="K567" s="59" t="str">
        <f t="shared" si="12"/>
        <v/>
      </c>
      <c r="L567" s="59" t="str">
        <f>IF(NOT(ISERROR(VLOOKUP(B567,Deflatores!G$42:H$64,2,FALSE))),VLOOKUP(B567,Deflatores!G$42:H$64,2,FALSE),IF(OR(ISBLANK(C567),ISBLANK(B567)),"",VLOOKUP(C567,Deflatores!G$4:H$38,2,FALSE)*H567+VLOOKUP(C567,Deflatores!G$4:I$38,3,FALSE)))</f>
        <v/>
      </c>
      <c r="M567" s="60"/>
      <c r="N567" s="60"/>
      <c r="O567" s="61"/>
    </row>
    <row r="568" ht="12.0" customHeight="1">
      <c r="A568" s="53"/>
      <c r="B568" s="54"/>
      <c r="C568" s="54"/>
      <c r="D568" s="55"/>
      <c r="E568" s="55"/>
      <c r="F568" s="56" t="str">
        <f t="shared" si="7"/>
        <v/>
      </c>
      <c r="G568" s="55" t="str">
        <f t="shared" si="8"/>
        <v/>
      </c>
      <c r="H568" s="57" t="str">
        <f t="shared" si="9"/>
        <v/>
      </c>
      <c r="I568" s="58" t="str">
        <f t="shared" si="10"/>
        <v/>
      </c>
      <c r="J568" s="55" t="str">
        <f t="shared" si="11"/>
        <v/>
      </c>
      <c r="K568" s="59" t="str">
        <f t="shared" si="12"/>
        <v/>
      </c>
      <c r="L568" s="59" t="str">
        <f>IF(NOT(ISERROR(VLOOKUP(B568,Deflatores!G$42:H$64,2,FALSE))),VLOOKUP(B568,Deflatores!G$42:H$64,2,FALSE),IF(OR(ISBLANK(C568),ISBLANK(B568)),"",VLOOKUP(C568,Deflatores!G$4:H$38,2,FALSE)*H568+VLOOKUP(C568,Deflatores!G$4:I$38,3,FALSE)))</f>
        <v/>
      </c>
      <c r="M568" s="60"/>
      <c r="N568" s="60"/>
      <c r="O568" s="61"/>
    </row>
    <row r="569" ht="12.0" customHeight="1">
      <c r="A569" s="53"/>
      <c r="B569" s="54"/>
      <c r="C569" s="54"/>
      <c r="D569" s="55"/>
      <c r="E569" s="55"/>
      <c r="F569" s="56" t="str">
        <f t="shared" si="7"/>
        <v/>
      </c>
      <c r="G569" s="55" t="str">
        <f t="shared" si="8"/>
        <v/>
      </c>
      <c r="H569" s="57" t="str">
        <f t="shared" si="9"/>
        <v/>
      </c>
      <c r="I569" s="58" t="str">
        <f t="shared" si="10"/>
        <v/>
      </c>
      <c r="J569" s="55" t="str">
        <f t="shared" si="11"/>
        <v/>
      </c>
      <c r="K569" s="59" t="str">
        <f t="shared" si="12"/>
        <v/>
      </c>
      <c r="L569" s="59" t="str">
        <f>IF(NOT(ISERROR(VLOOKUP(B569,Deflatores!G$42:H$64,2,FALSE))),VLOOKUP(B569,Deflatores!G$42:H$64,2,FALSE),IF(OR(ISBLANK(C569),ISBLANK(B569)),"",VLOOKUP(C569,Deflatores!G$4:H$38,2,FALSE)*H569+VLOOKUP(C569,Deflatores!G$4:I$38,3,FALSE)))</f>
        <v/>
      </c>
      <c r="M569" s="60"/>
      <c r="N569" s="60"/>
      <c r="O569" s="61"/>
    </row>
    <row r="570" ht="12.0" customHeight="1">
      <c r="A570" s="53"/>
      <c r="B570" s="54"/>
      <c r="C570" s="54"/>
      <c r="D570" s="55"/>
      <c r="E570" s="55"/>
      <c r="F570" s="56" t="str">
        <f t="shared" si="7"/>
        <v/>
      </c>
      <c r="G570" s="55" t="str">
        <f t="shared" si="8"/>
        <v/>
      </c>
      <c r="H570" s="57" t="str">
        <f t="shared" si="9"/>
        <v/>
      </c>
      <c r="I570" s="58" t="str">
        <f t="shared" si="10"/>
        <v/>
      </c>
      <c r="J570" s="55" t="str">
        <f t="shared" si="11"/>
        <v/>
      </c>
      <c r="K570" s="59" t="str">
        <f t="shared" si="12"/>
        <v/>
      </c>
      <c r="L570" s="59" t="str">
        <f>IF(NOT(ISERROR(VLOOKUP(B570,Deflatores!G$42:H$64,2,FALSE))),VLOOKUP(B570,Deflatores!G$42:H$64,2,FALSE),IF(OR(ISBLANK(C570),ISBLANK(B570)),"",VLOOKUP(C570,Deflatores!G$4:H$38,2,FALSE)*H570+VLOOKUP(C570,Deflatores!G$4:I$38,3,FALSE)))</f>
        <v/>
      </c>
      <c r="M570" s="60"/>
      <c r="N570" s="60"/>
      <c r="O570" s="61"/>
    </row>
    <row r="571" ht="12.0" customHeight="1">
      <c r="A571" s="53"/>
      <c r="B571" s="54"/>
      <c r="C571" s="54"/>
      <c r="D571" s="55"/>
      <c r="E571" s="55"/>
      <c r="F571" s="56" t="str">
        <f t="shared" si="7"/>
        <v/>
      </c>
      <c r="G571" s="55" t="str">
        <f t="shared" si="8"/>
        <v/>
      </c>
      <c r="H571" s="57" t="str">
        <f t="shared" si="9"/>
        <v/>
      </c>
      <c r="I571" s="58" t="str">
        <f t="shared" si="10"/>
        <v/>
      </c>
      <c r="J571" s="55" t="str">
        <f t="shared" si="11"/>
        <v/>
      </c>
      <c r="K571" s="59" t="str">
        <f t="shared" si="12"/>
        <v/>
      </c>
      <c r="L571" s="59" t="str">
        <f>IF(NOT(ISERROR(VLOOKUP(B571,Deflatores!G$42:H$64,2,FALSE))),VLOOKUP(B571,Deflatores!G$42:H$64,2,FALSE),IF(OR(ISBLANK(C571),ISBLANK(B571)),"",VLOOKUP(C571,Deflatores!G$4:H$38,2,FALSE)*H571+VLOOKUP(C571,Deflatores!G$4:I$38,3,FALSE)))</f>
        <v/>
      </c>
      <c r="M571" s="60"/>
      <c r="N571" s="60"/>
      <c r="O571" s="61"/>
    </row>
    <row r="572" ht="12.0" customHeight="1">
      <c r="A572" s="53"/>
      <c r="B572" s="54"/>
      <c r="C572" s="54"/>
      <c r="D572" s="55"/>
      <c r="E572" s="55"/>
      <c r="F572" s="56" t="str">
        <f t="shared" si="7"/>
        <v/>
      </c>
      <c r="G572" s="55" t="str">
        <f t="shared" si="8"/>
        <v/>
      </c>
      <c r="H572" s="57" t="str">
        <f t="shared" si="9"/>
        <v/>
      </c>
      <c r="I572" s="58" t="str">
        <f t="shared" si="10"/>
        <v/>
      </c>
      <c r="J572" s="55" t="str">
        <f t="shared" si="11"/>
        <v/>
      </c>
      <c r="K572" s="59" t="str">
        <f t="shared" si="12"/>
        <v/>
      </c>
      <c r="L572" s="59" t="str">
        <f>IF(NOT(ISERROR(VLOOKUP(B572,Deflatores!G$42:H$64,2,FALSE))),VLOOKUP(B572,Deflatores!G$42:H$64,2,FALSE),IF(OR(ISBLANK(C572),ISBLANK(B572)),"",VLOOKUP(C572,Deflatores!G$4:H$38,2,FALSE)*H572+VLOOKUP(C572,Deflatores!G$4:I$38,3,FALSE)))</f>
        <v/>
      </c>
      <c r="M572" s="60"/>
      <c r="N572" s="60"/>
      <c r="O572" s="61"/>
    </row>
    <row r="573" ht="12.0" customHeight="1">
      <c r="A573" s="53"/>
      <c r="B573" s="54"/>
      <c r="C573" s="54"/>
      <c r="D573" s="55"/>
      <c r="E573" s="55"/>
      <c r="F573" s="56" t="str">
        <f t="shared" si="7"/>
        <v/>
      </c>
      <c r="G573" s="55" t="str">
        <f t="shared" si="8"/>
        <v/>
      </c>
      <c r="H573" s="57" t="str">
        <f t="shared" si="9"/>
        <v/>
      </c>
      <c r="I573" s="58" t="str">
        <f t="shared" si="10"/>
        <v/>
      </c>
      <c r="J573" s="55" t="str">
        <f t="shared" si="11"/>
        <v/>
      </c>
      <c r="K573" s="59" t="str">
        <f t="shared" si="12"/>
        <v/>
      </c>
      <c r="L573" s="59" t="str">
        <f>IF(NOT(ISERROR(VLOOKUP(B573,Deflatores!G$42:H$64,2,FALSE))),VLOOKUP(B573,Deflatores!G$42:H$64,2,FALSE),IF(OR(ISBLANK(C573),ISBLANK(B573)),"",VLOOKUP(C573,Deflatores!G$4:H$38,2,FALSE)*H573+VLOOKUP(C573,Deflatores!G$4:I$38,3,FALSE)))</f>
        <v/>
      </c>
      <c r="M573" s="60"/>
      <c r="N573" s="60"/>
      <c r="O573" s="61"/>
    </row>
    <row r="574" ht="12.0" customHeight="1">
      <c r="A574" s="53"/>
      <c r="B574" s="54"/>
      <c r="C574" s="54"/>
      <c r="D574" s="55"/>
      <c r="E574" s="55"/>
      <c r="F574" s="56" t="str">
        <f t="shared" si="7"/>
        <v/>
      </c>
      <c r="G574" s="55" t="str">
        <f t="shared" si="8"/>
        <v/>
      </c>
      <c r="H574" s="57" t="str">
        <f t="shared" si="9"/>
        <v/>
      </c>
      <c r="I574" s="58" t="str">
        <f t="shared" si="10"/>
        <v/>
      </c>
      <c r="J574" s="55" t="str">
        <f t="shared" si="11"/>
        <v/>
      </c>
      <c r="K574" s="59" t="str">
        <f t="shared" si="12"/>
        <v/>
      </c>
      <c r="L574" s="59" t="str">
        <f>IF(NOT(ISERROR(VLOOKUP(B574,Deflatores!G$42:H$64,2,FALSE))),VLOOKUP(B574,Deflatores!G$42:H$64,2,FALSE),IF(OR(ISBLANK(C574),ISBLANK(B574)),"",VLOOKUP(C574,Deflatores!G$4:H$38,2,FALSE)*H574+VLOOKUP(C574,Deflatores!G$4:I$38,3,FALSE)))</f>
        <v/>
      </c>
      <c r="M574" s="60"/>
      <c r="N574" s="60"/>
      <c r="O574" s="61"/>
    </row>
    <row r="575" ht="12.0" customHeight="1">
      <c r="A575" s="53"/>
      <c r="B575" s="54"/>
      <c r="C575" s="54"/>
      <c r="D575" s="55"/>
      <c r="E575" s="55"/>
      <c r="F575" s="56" t="str">
        <f t="shared" si="7"/>
        <v/>
      </c>
      <c r="G575" s="55" t="str">
        <f t="shared" si="8"/>
        <v/>
      </c>
      <c r="H575" s="57" t="str">
        <f t="shared" si="9"/>
        <v/>
      </c>
      <c r="I575" s="58" t="str">
        <f t="shared" si="10"/>
        <v/>
      </c>
      <c r="J575" s="55" t="str">
        <f t="shared" si="11"/>
        <v/>
      </c>
      <c r="K575" s="59" t="str">
        <f t="shared" si="12"/>
        <v/>
      </c>
      <c r="L575" s="59" t="str">
        <f>IF(NOT(ISERROR(VLOOKUP(B575,Deflatores!G$42:H$64,2,FALSE))),VLOOKUP(B575,Deflatores!G$42:H$64,2,FALSE),IF(OR(ISBLANK(C575),ISBLANK(B575)),"",VLOOKUP(C575,Deflatores!G$4:H$38,2,FALSE)*H575+VLOOKUP(C575,Deflatores!G$4:I$38,3,FALSE)))</f>
        <v/>
      </c>
      <c r="M575" s="60"/>
      <c r="N575" s="60"/>
      <c r="O575" s="61"/>
    </row>
    <row r="576" ht="12.0" customHeight="1">
      <c r="A576" s="53"/>
      <c r="B576" s="54"/>
      <c r="C576" s="54"/>
      <c r="D576" s="55"/>
      <c r="E576" s="55"/>
      <c r="F576" s="56" t="str">
        <f t="shared" si="7"/>
        <v/>
      </c>
      <c r="G576" s="55" t="str">
        <f t="shared" si="8"/>
        <v/>
      </c>
      <c r="H576" s="57" t="str">
        <f t="shared" si="9"/>
        <v/>
      </c>
      <c r="I576" s="58" t="str">
        <f t="shared" si="10"/>
        <v/>
      </c>
      <c r="J576" s="55" t="str">
        <f t="shared" si="11"/>
        <v/>
      </c>
      <c r="K576" s="59" t="str">
        <f t="shared" si="12"/>
        <v/>
      </c>
      <c r="L576" s="59" t="str">
        <f>IF(NOT(ISERROR(VLOOKUP(B576,Deflatores!G$42:H$64,2,FALSE))),VLOOKUP(B576,Deflatores!G$42:H$64,2,FALSE),IF(OR(ISBLANK(C576),ISBLANK(B576)),"",VLOOKUP(C576,Deflatores!G$4:H$38,2,FALSE)*H576+VLOOKUP(C576,Deflatores!G$4:I$38,3,FALSE)))</f>
        <v/>
      </c>
      <c r="M576" s="60"/>
      <c r="N576" s="60"/>
      <c r="O576" s="61"/>
    </row>
    <row r="577" ht="12.0" customHeight="1">
      <c r="A577" s="53"/>
      <c r="B577" s="54"/>
      <c r="C577" s="54"/>
      <c r="D577" s="55"/>
      <c r="E577" s="55"/>
      <c r="F577" s="56" t="str">
        <f t="shared" si="7"/>
        <v/>
      </c>
      <c r="G577" s="55" t="str">
        <f t="shared" si="8"/>
        <v/>
      </c>
      <c r="H577" s="57" t="str">
        <f t="shared" si="9"/>
        <v/>
      </c>
      <c r="I577" s="58" t="str">
        <f t="shared" si="10"/>
        <v/>
      </c>
      <c r="J577" s="55" t="str">
        <f t="shared" si="11"/>
        <v/>
      </c>
      <c r="K577" s="59" t="str">
        <f t="shared" si="12"/>
        <v/>
      </c>
      <c r="L577" s="59" t="str">
        <f>IF(NOT(ISERROR(VLOOKUP(B577,Deflatores!G$42:H$64,2,FALSE))),VLOOKUP(B577,Deflatores!G$42:H$64,2,FALSE),IF(OR(ISBLANK(C577),ISBLANK(B577)),"",VLOOKUP(C577,Deflatores!G$4:H$38,2,FALSE)*H577+VLOOKUP(C577,Deflatores!G$4:I$38,3,FALSE)))</f>
        <v/>
      </c>
      <c r="M577" s="60"/>
      <c r="N577" s="60"/>
      <c r="O577" s="61"/>
    </row>
    <row r="578" ht="12.0" customHeight="1">
      <c r="A578" s="53"/>
      <c r="B578" s="54"/>
      <c r="C578" s="54"/>
      <c r="D578" s="55"/>
      <c r="E578" s="55"/>
      <c r="F578" s="56" t="str">
        <f t="shared" si="7"/>
        <v/>
      </c>
      <c r="G578" s="55" t="str">
        <f t="shared" si="8"/>
        <v/>
      </c>
      <c r="H578" s="57" t="str">
        <f t="shared" si="9"/>
        <v/>
      </c>
      <c r="I578" s="58" t="str">
        <f t="shared" si="10"/>
        <v/>
      </c>
      <c r="J578" s="55" t="str">
        <f t="shared" si="11"/>
        <v/>
      </c>
      <c r="K578" s="59" t="str">
        <f t="shared" si="12"/>
        <v/>
      </c>
      <c r="L578" s="59" t="str">
        <f>IF(NOT(ISERROR(VLOOKUP(B578,Deflatores!G$42:H$64,2,FALSE))),VLOOKUP(B578,Deflatores!G$42:H$64,2,FALSE),IF(OR(ISBLANK(C578),ISBLANK(B578)),"",VLOOKUP(C578,Deflatores!G$4:H$38,2,FALSE)*H578+VLOOKUP(C578,Deflatores!G$4:I$38,3,FALSE)))</f>
        <v/>
      </c>
      <c r="M578" s="60"/>
      <c r="N578" s="60"/>
      <c r="O578" s="61"/>
    </row>
    <row r="579" ht="12.0" customHeight="1">
      <c r="A579" s="53"/>
      <c r="B579" s="54"/>
      <c r="C579" s="54"/>
      <c r="D579" s="55"/>
      <c r="E579" s="55"/>
      <c r="F579" s="56" t="str">
        <f t="shared" si="7"/>
        <v/>
      </c>
      <c r="G579" s="55" t="str">
        <f t="shared" si="8"/>
        <v/>
      </c>
      <c r="H579" s="57" t="str">
        <f t="shared" si="9"/>
        <v/>
      </c>
      <c r="I579" s="58" t="str">
        <f t="shared" si="10"/>
        <v/>
      </c>
      <c r="J579" s="55" t="str">
        <f t="shared" si="11"/>
        <v/>
      </c>
      <c r="K579" s="59" t="str">
        <f t="shared" si="12"/>
        <v/>
      </c>
      <c r="L579" s="59" t="str">
        <f>IF(NOT(ISERROR(VLOOKUP(B579,Deflatores!G$42:H$64,2,FALSE))),VLOOKUP(B579,Deflatores!G$42:H$64,2,FALSE),IF(OR(ISBLANK(C579),ISBLANK(B579)),"",VLOOKUP(C579,Deflatores!G$4:H$38,2,FALSE)*H579+VLOOKUP(C579,Deflatores!G$4:I$38,3,FALSE)))</f>
        <v/>
      </c>
      <c r="M579" s="60"/>
      <c r="N579" s="60"/>
      <c r="O579" s="61"/>
    </row>
    <row r="580" ht="12.0" customHeight="1">
      <c r="A580" s="53"/>
      <c r="B580" s="54"/>
      <c r="C580" s="54"/>
      <c r="D580" s="55"/>
      <c r="E580" s="55"/>
      <c r="F580" s="56" t="str">
        <f t="shared" si="7"/>
        <v/>
      </c>
      <c r="G580" s="55" t="str">
        <f t="shared" si="8"/>
        <v/>
      </c>
      <c r="H580" s="57" t="str">
        <f t="shared" si="9"/>
        <v/>
      </c>
      <c r="I580" s="58" t="str">
        <f t="shared" si="10"/>
        <v/>
      </c>
      <c r="J580" s="55" t="str">
        <f t="shared" si="11"/>
        <v/>
      </c>
      <c r="K580" s="59" t="str">
        <f t="shared" si="12"/>
        <v/>
      </c>
      <c r="L580" s="59" t="str">
        <f>IF(NOT(ISERROR(VLOOKUP(B580,Deflatores!G$42:H$64,2,FALSE))),VLOOKUP(B580,Deflatores!G$42:H$64,2,FALSE),IF(OR(ISBLANK(C580),ISBLANK(B580)),"",VLOOKUP(C580,Deflatores!G$4:H$38,2,FALSE)*H580+VLOOKUP(C580,Deflatores!G$4:I$38,3,FALSE)))</f>
        <v/>
      </c>
      <c r="M580" s="60"/>
      <c r="N580" s="60"/>
      <c r="O580" s="61"/>
    </row>
    <row r="581" ht="12.0" customHeight="1">
      <c r="A581" s="53"/>
      <c r="B581" s="54"/>
      <c r="C581" s="54"/>
      <c r="D581" s="55"/>
      <c r="E581" s="55"/>
      <c r="F581" s="56" t="str">
        <f t="shared" si="7"/>
        <v/>
      </c>
      <c r="G581" s="55" t="str">
        <f t="shared" si="8"/>
        <v/>
      </c>
      <c r="H581" s="57" t="str">
        <f t="shared" si="9"/>
        <v/>
      </c>
      <c r="I581" s="58" t="str">
        <f t="shared" si="10"/>
        <v/>
      </c>
      <c r="J581" s="55" t="str">
        <f t="shared" si="11"/>
        <v/>
      </c>
      <c r="K581" s="59" t="str">
        <f t="shared" si="12"/>
        <v/>
      </c>
      <c r="L581" s="59" t="str">
        <f>IF(NOT(ISERROR(VLOOKUP(B581,Deflatores!G$42:H$64,2,FALSE))),VLOOKUP(B581,Deflatores!G$42:H$64,2,FALSE),IF(OR(ISBLANK(C581),ISBLANK(B581)),"",VLOOKUP(C581,Deflatores!G$4:H$38,2,FALSE)*H581+VLOOKUP(C581,Deflatores!G$4:I$38,3,FALSE)))</f>
        <v/>
      </c>
      <c r="M581" s="60"/>
      <c r="N581" s="60"/>
      <c r="O581" s="61"/>
    </row>
    <row r="582" ht="12.0" customHeight="1">
      <c r="A582" s="53"/>
      <c r="B582" s="54"/>
      <c r="C582" s="54"/>
      <c r="D582" s="55"/>
      <c r="E582" s="55"/>
      <c r="F582" s="56" t="str">
        <f t="shared" si="7"/>
        <v/>
      </c>
      <c r="G582" s="55" t="str">
        <f t="shared" si="8"/>
        <v/>
      </c>
      <c r="H582" s="57" t="str">
        <f t="shared" si="9"/>
        <v/>
      </c>
      <c r="I582" s="58" t="str">
        <f t="shared" si="10"/>
        <v/>
      </c>
      <c r="J582" s="55" t="str">
        <f t="shared" si="11"/>
        <v/>
      </c>
      <c r="K582" s="59" t="str">
        <f t="shared" si="12"/>
        <v/>
      </c>
      <c r="L582" s="59" t="str">
        <f>IF(NOT(ISERROR(VLOOKUP(B582,Deflatores!G$42:H$64,2,FALSE))),VLOOKUP(B582,Deflatores!G$42:H$64,2,FALSE),IF(OR(ISBLANK(C582),ISBLANK(B582)),"",VLOOKUP(C582,Deflatores!G$4:H$38,2,FALSE)*H582+VLOOKUP(C582,Deflatores!G$4:I$38,3,FALSE)))</f>
        <v/>
      </c>
      <c r="M582" s="60"/>
      <c r="N582" s="60"/>
      <c r="O582" s="61"/>
    </row>
    <row r="583" ht="12.0" customHeight="1">
      <c r="A583" s="53"/>
      <c r="B583" s="54"/>
      <c r="C583" s="54"/>
      <c r="D583" s="55"/>
      <c r="E583" s="55"/>
      <c r="F583" s="56" t="str">
        <f t="shared" si="7"/>
        <v/>
      </c>
      <c r="G583" s="55" t="str">
        <f t="shared" si="8"/>
        <v/>
      </c>
      <c r="H583" s="57" t="str">
        <f t="shared" si="9"/>
        <v/>
      </c>
      <c r="I583" s="58" t="str">
        <f t="shared" si="10"/>
        <v/>
      </c>
      <c r="J583" s="55" t="str">
        <f t="shared" si="11"/>
        <v/>
      </c>
      <c r="K583" s="59" t="str">
        <f t="shared" si="12"/>
        <v/>
      </c>
      <c r="L583" s="59" t="str">
        <f>IF(NOT(ISERROR(VLOOKUP(B583,Deflatores!G$42:H$64,2,FALSE))),VLOOKUP(B583,Deflatores!G$42:H$64,2,FALSE),IF(OR(ISBLANK(C583),ISBLANK(B583)),"",VLOOKUP(C583,Deflatores!G$4:H$38,2,FALSE)*H583+VLOOKUP(C583,Deflatores!G$4:I$38,3,FALSE)))</f>
        <v/>
      </c>
      <c r="M583" s="60"/>
      <c r="N583" s="60"/>
      <c r="O583" s="61"/>
    </row>
    <row r="584" ht="12.0" customHeight="1">
      <c r="A584" s="53"/>
      <c r="B584" s="54"/>
      <c r="C584" s="54"/>
      <c r="D584" s="55"/>
      <c r="E584" s="55"/>
      <c r="F584" s="56" t="str">
        <f t="shared" si="7"/>
        <v/>
      </c>
      <c r="G584" s="55" t="str">
        <f t="shared" si="8"/>
        <v/>
      </c>
      <c r="H584" s="57" t="str">
        <f t="shared" si="9"/>
        <v/>
      </c>
      <c r="I584" s="58" t="str">
        <f t="shared" si="10"/>
        <v/>
      </c>
      <c r="J584" s="55" t="str">
        <f t="shared" si="11"/>
        <v/>
      </c>
      <c r="K584" s="59" t="str">
        <f t="shared" si="12"/>
        <v/>
      </c>
      <c r="L584" s="59" t="str">
        <f>IF(NOT(ISERROR(VLOOKUP(B584,Deflatores!G$42:H$64,2,FALSE))),VLOOKUP(B584,Deflatores!G$42:H$64,2,FALSE),IF(OR(ISBLANK(C584),ISBLANK(B584)),"",VLOOKUP(C584,Deflatores!G$4:H$38,2,FALSE)*H584+VLOOKUP(C584,Deflatores!G$4:I$38,3,FALSE)))</f>
        <v/>
      </c>
      <c r="M584" s="60"/>
      <c r="N584" s="60"/>
      <c r="O584" s="61"/>
    </row>
    <row r="585" ht="12.0" customHeight="1">
      <c r="A585" s="53"/>
      <c r="B585" s="54"/>
      <c r="C585" s="54"/>
      <c r="D585" s="55"/>
      <c r="E585" s="55"/>
      <c r="F585" s="56" t="str">
        <f t="shared" si="7"/>
        <v/>
      </c>
      <c r="G585" s="55" t="str">
        <f t="shared" si="8"/>
        <v/>
      </c>
      <c r="H585" s="57" t="str">
        <f t="shared" si="9"/>
        <v/>
      </c>
      <c r="I585" s="58" t="str">
        <f t="shared" si="10"/>
        <v/>
      </c>
      <c r="J585" s="55" t="str">
        <f t="shared" si="11"/>
        <v/>
      </c>
      <c r="K585" s="59" t="str">
        <f t="shared" si="12"/>
        <v/>
      </c>
      <c r="L585" s="59" t="str">
        <f>IF(NOT(ISERROR(VLOOKUP(B585,Deflatores!G$42:H$64,2,FALSE))),VLOOKUP(B585,Deflatores!G$42:H$64,2,FALSE),IF(OR(ISBLANK(C585),ISBLANK(B585)),"",VLOOKUP(C585,Deflatores!G$4:H$38,2,FALSE)*H585+VLOOKUP(C585,Deflatores!G$4:I$38,3,FALSE)))</f>
        <v/>
      </c>
      <c r="M585" s="60"/>
      <c r="N585" s="60"/>
      <c r="O585" s="61"/>
    </row>
    <row r="586" ht="12.0" customHeight="1">
      <c r="A586" s="53"/>
      <c r="B586" s="54"/>
      <c r="C586" s="54"/>
      <c r="D586" s="55"/>
      <c r="E586" s="55"/>
      <c r="F586" s="56" t="str">
        <f t="shared" si="7"/>
        <v/>
      </c>
      <c r="G586" s="55" t="str">
        <f t="shared" si="8"/>
        <v/>
      </c>
      <c r="H586" s="57" t="str">
        <f t="shared" si="9"/>
        <v/>
      </c>
      <c r="I586" s="58" t="str">
        <f t="shared" si="10"/>
        <v/>
      </c>
      <c r="J586" s="55" t="str">
        <f t="shared" si="11"/>
        <v/>
      </c>
      <c r="K586" s="59" t="str">
        <f t="shared" si="12"/>
        <v/>
      </c>
      <c r="L586" s="59" t="str">
        <f>IF(NOT(ISERROR(VLOOKUP(B586,Deflatores!G$42:H$64,2,FALSE))),VLOOKUP(B586,Deflatores!G$42:H$64,2,FALSE),IF(OR(ISBLANK(C586),ISBLANK(B586)),"",VLOOKUP(C586,Deflatores!G$4:H$38,2,FALSE)*H586+VLOOKUP(C586,Deflatores!G$4:I$38,3,FALSE)))</f>
        <v/>
      </c>
      <c r="M586" s="60"/>
      <c r="N586" s="60"/>
      <c r="O586" s="61"/>
    </row>
    <row r="587" ht="12.0" customHeight="1">
      <c r="A587" s="53"/>
      <c r="B587" s="54"/>
      <c r="C587" s="54"/>
      <c r="D587" s="55"/>
      <c r="E587" s="55"/>
      <c r="F587" s="56" t="str">
        <f t="shared" si="7"/>
        <v/>
      </c>
      <c r="G587" s="55" t="str">
        <f t="shared" si="8"/>
        <v/>
      </c>
      <c r="H587" s="57" t="str">
        <f t="shared" si="9"/>
        <v/>
      </c>
      <c r="I587" s="58" t="str">
        <f t="shared" si="10"/>
        <v/>
      </c>
      <c r="J587" s="55" t="str">
        <f t="shared" si="11"/>
        <v/>
      </c>
      <c r="K587" s="59" t="str">
        <f t="shared" si="12"/>
        <v/>
      </c>
      <c r="L587" s="59" t="str">
        <f>IF(NOT(ISERROR(VLOOKUP(B587,Deflatores!G$42:H$64,2,FALSE))),VLOOKUP(B587,Deflatores!G$42:H$64,2,FALSE),IF(OR(ISBLANK(C587),ISBLANK(B587)),"",VLOOKUP(C587,Deflatores!G$4:H$38,2,FALSE)*H587+VLOOKUP(C587,Deflatores!G$4:I$38,3,FALSE)))</f>
        <v/>
      </c>
      <c r="M587" s="60"/>
      <c r="N587" s="60"/>
      <c r="O587" s="61"/>
    </row>
    <row r="588" ht="12.0" customHeight="1">
      <c r="A588" s="53"/>
      <c r="B588" s="54"/>
      <c r="C588" s="54"/>
      <c r="D588" s="55"/>
      <c r="E588" s="55"/>
      <c r="F588" s="56" t="str">
        <f t="shared" si="7"/>
        <v/>
      </c>
      <c r="G588" s="55" t="str">
        <f t="shared" si="8"/>
        <v/>
      </c>
      <c r="H588" s="57" t="str">
        <f t="shared" si="9"/>
        <v/>
      </c>
      <c r="I588" s="58" t="str">
        <f t="shared" si="10"/>
        <v/>
      </c>
      <c r="J588" s="55" t="str">
        <f t="shared" si="11"/>
        <v/>
      </c>
      <c r="K588" s="59" t="str">
        <f t="shared" si="12"/>
        <v/>
      </c>
      <c r="L588" s="59" t="str">
        <f>IF(NOT(ISERROR(VLOOKUP(B588,Deflatores!G$42:H$64,2,FALSE))),VLOOKUP(B588,Deflatores!G$42:H$64,2,FALSE),IF(OR(ISBLANK(C588),ISBLANK(B588)),"",VLOOKUP(C588,Deflatores!G$4:H$38,2,FALSE)*H588+VLOOKUP(C588,Deflatores!G$4:I$38,3,FALSE)))</f>
        <v/>
      </c>
      <c r="M588" s="60"/>
      <c r="N588" s="60"/>
      <c r="O588" s="61"/>
    </row>
    <row r="589" ht="12.0" customHeight="1">
      <c r="A589" s="53"/>
      <c r="B589" s="54"/>
      <c r="C589" s="54"/>
      <c r="D589" s="55"/>
      <c r="E589" s="55"/>
      <c r="F589" s="56" t="str">
        <f t="shared" si="7"/>
        <v/>
      </c>
      <c r="G589" s="55" t="str">
        <f t="shared" si="8"/>
        <v/>
      </c>
      <c r="H589" s="57" t="str">
        <f t="shared" si="9"/>
        <v/>
      </c>
      <c r="I589" s="58" t="str">
        <f t="shared" si="10"/>
        <v/>
      </c>
      <c r="J589" s="55" t="str">
        <f t="shared" si="11"/>
        <v/>
      </c>
      <c r="K589" s="59" t="str">
        <f t="shared" si="12"/>
        <v/>
      </c>
      <c r="L589" s="59" t="str">
        <f>IF(NOT(ISERROR(VLOOKUP(B589,Deflatores!G$42:H$64,2,FALSE))),VLOOKUP(B589,Deflatores!G$42:H$64,2,FALSE),IF(OR(ISBLANK(C589),ISBLANK(B589)),"",VLOOKUP(C589,Deflatores!G$4:H$38,2,FALSE)*H589+VLOOKUP(C589,Deflatores!G$4:I$38,3,FALSE)))</f>
        <v/>
      </c>
      <c r="M589" s="60"/>
      <c r="N589" s="60"/>
      <c r="O589" s="61"/>
    </row>
    <row r="590" ht="12.0" customHeight="1">
      <c r="A590" s="53"/>
      <c r="B590" s="54"/>
      <c r="C590" s="54"/>
      <c r="D590" s="55"/>
      <c r="E590" s="55"/>
      <c r="F590" s="56" t="str">
        <f t="shared" si="7"/>
        <v/>
      </c>
      <c r="G590" s="55" t="str">
        <f t="shared" si="8"/>
        <v/>
      </c>
      <c r="H590" s="57" t="str">
        <f t="shared" si="9"/>
        <v/>
      </c>
      <c r="I590" s="58" t="str">
        <f t="shared" si="10"/>
        <v/>
      </c>
      <c r="J590" s="55" t="str">
        <f t="shared" si="11"/>
        <v/>
      </c>
      <c r="K590" s="59" t="str">
        <f t="shared" si="12"/>
        <v/>
      </c>
      <c r="L590" s="59" t="str">
        <f>IF(NOT(ISERROR(VLOOKUP(B590,Deflatores!G$42:H$64,2,FALSE))),VLOOKUP(B590,Deflatores!G$42:H$64,2,FALSE),IF(OR(ISBLANK(C590),ISBLANK(B590)),"",VLOOKUP(C590,Deflatores!G$4:H$38,2,FALSE)*H590+VLOOKUP(C590,Deflatores!G$4:I$38,3,FALSE)))</f>
        <v/>
      </c>
      <c r="M590" s="60"/>
      <c r="N590" s="60"/>
      <c r="O590" s="61"/>
    </row>
    <row r="591" ht="12.0" customHeight="1">
      <c r="A591" s="53"/>
      <c r="B591" s="54"/>
      <c r="C591" s="54"/>
      <c r="D591" s="55"/>
      <c r="E591" s="55"/>
      <c r="F591" s="56" t="str">
        <f t="shared" si="7"/>
        <v/>
      </c>
      <c r="G591" s="55" t="str">
        <f t="shared" si="8"/>
        <v/>
      </c>
      <c r="H591" s="57" t="str">
        <f t="shared" si="9"/>
        <v/>
      </c>
      <c r="I591" s="58" t="str">
        <f t="shared" si="10"/>
        <v/>
      </c>
      <c r="J591" s="55" t="str">
        <f t="shared" si="11"/>
        <v/>
      </c>
      <c r="K591" s="59" t="str">
        <f t="shared" si="12"/>
        <v/>
      </c>
      <c r="L591" s="59" t="str">
        <f>IF(NOT(ISERROR(VLOOKUP(B591,Deflatores!G$42:H$64,2,FALSE))),VLOOKUP(B591,Deflatores!G$42:H$64,2,FALSE),IF(OR(ISBLANK(C591),ISBLANK(B591)),"",VLOOKUP(C591,Deflatores!G$4:H$38,2,FALSE)*H591+VLOOKUP(C591,Deflatores!G$4:I$38,3,FALSE)))</f>
        <v/>
      </c>
      <c r="M591" s="60"/>
      <c r="N591" s="60"/>
      <c r="O591" s="61"/>
    </row>
    <row r="592" ht="12.0" customHeight="1">
      <c r="A592" s="53"/>
      <c r="B592" s="54"/>
      <c r="C592" s="54"/>
      <c r="D592" s="55"/>
      <c r="E592" s="55"/>
      <c r="F592" s="56" t="str">
        <f t="shared" si="7"/>
        <v/>
      </c>
      <c r="G592" s="55" t="str">
        <f t="shared" si="8"/>
        <v/>
      </c>
      <c r="H592" s="57" t="str">
        <f t="shared" si="9"/>
        <v/>
      </c>
      <c r="I592" s="58" t="str">
        <f t="shared" si="10"/>
        <v/>
      </c>
      <c r="J592" s="55" t="str">
        <f t="shared" si="11"/>
        <v/>
      </c>
      <c r="K592" s="59" t="str">
        <f t="shared" si="12"/>
        <v/>
      </c>
      <c r="L592" s="59" t="str">
        <f>IF(NOT(ISERROR(VLOOKUP(B592,Deflatores!G$42:H$64,2,FALSE))),VLOOKUP(B592,Deflatores!G$42:H$64,2,FALSE),IF(OR(ISBLANK(C592),ISBLANK(B592)),"",VLOOKUP(C592,Deflatores!G$4:H$38,2,FALSE)*H592+VLOOKUP(C592,Deflatores!G$4:I$38,3,FALSE)))</f>
        <v/>
      </c>
      <c r="M592" s="60"/>
      <c r="N592" s="60"/>
      <c r="O592" s="61"/>
    </row>
    <row r="593" ht="12.0" customHeight="1">
      <c r="A593" s="53"/>
      <c r="B593" s="54"/>
      <c r="C593" s="54"/>
      <c r="D593" s="55"/>
      <c r="E593" s="55"/>
      <c r="F593" s="56" t="str">
        <f t="shared" si="7"/>
        <v/>
      </c>
      <c r="G593" s="55" t="str">
        <f t="shared" si="8"/>
        <v/>
      </c>
      <c r="H593" s="57" t="str">
        <f t="shared" si="9"/>
        <v/>
      </c>
      <c r="I593" s="58" t="str">
        <f t="shared" si="10"/>
        <v/>
      </c>
      <c r="J593" s="55" t="str">
        <f t="shared" si="11"/>
        <v/>
      </c>
      <c r="K593" s="59" t="str">
        <f t="shared" si="12"/>
        <v/>
      </c>
      <c r="L593" s="59" t="str">
        <f>IF(NOT(ISERROR(VLOOKUP(B593,Deflatores!G$42:H$64,2,FALSE))),VLOOKUP(B593,Deflatores!G$42:H$64,2,FALSE),IF(OR(ISBLANK(C593),ISBLANK(B593)),"",VLOOKUP(C593,Deflatores!G$4:H$38,2,FALSE)*H593+VLOOKUP(C593,Deflatores!G$4:I$38,3,FALSE)))</f>
        <v/>
      </c>
      <c r="M593" s="60"/>
      <c r="N593" s="60"/>
      <c r="O593" s="61"/>
    </row>
    <row r="594" ht="12.0" customHeight="1">
      <c r="A594" s="53"/>
      <c r="B594" s="54"/>
      <c r="C594" s="54"/>
      <c r="D594" s="55"/>
      <c r="E594" s="55"/>
      <c r="F594" s="56" t="str">
        <f t="shared" si="7"/>
        <v/>
      </c>
      <c r="G594" s="55" t="str">
        <f t="shared" si="8"/>
        <v/>
      </c>
      <c r="H594" s="57" t="str">
        <f t="shared" si="9"/>
        <v/>
      </c>
      <c r="I594" s="58" t="str">
        <f t="shared" si="10"/>
        <v/>
      </c>
      <c r="J594" s="55" t="str">
        <f t="shared" si="11"/>
        <v/>
      </c>
      <c r="K594" s="59" t="str">
        <f t="shared" si="12"/>
        <v/>
      </c>
      <c r="L594" s="59" t="str">
        <f>IF(NOT(ISERROR(VLOOKUP(B594,Deflatores!G$42:H$64,2,FALSE))),VLOOKUP(B594,Deflatores!G$42:H$64,2,FALSE),IF(OR(ISBLANK(C594),ISBLANK(B594)),"",VLOOKUP(C594,Deflatores!G$4:H$38,2,FALSE)*H594+VLOOKUP(C594,Deflatores!G$4:I$38,3,FALSE)))</f>
        <v/>
      </c>
      <c r="M594" s="60"/>
      <c r="N594" s="60"/>
      <c r="O594" s="61"/>
    </row>
    <row r="595" ht="12.0" customHeight="1">
      <c r="A595" s="53"/>
      <c r="B595" s="54"/>
      <c r="C595" s="54"/>
      <c r="D595" s="55"/>
      <c r="E595" s="55"/>
      <c r="F595" s="56" t="str">
        <f t="shared" si="7"/>
        <v/>
      </c>
      <c r="G595" s="55" t="str">
        <f t="shared" si="8"/>
        <v/>
      </c>
      <c r="H595" s="57" t="str">
        <f t="shared" si="9"/>
        <v/>
      </c>
      <c r="I595" s="58" t="str">
        <f t="shared" si="10"/>
        <v/>
      </c>
      <c r="J595" s="55" t="str">
        <f t="shared" si="11"/>
        <v/>
      </c>
      <c r="K595" s="59" t="str">
        <f t="shared" si="12"/>
        <v/>
      </c>
      <c r="L595" s="59" t="str">
        <f>IF(NOT(ISERROR(VLOOKUP(B595,Deflatores!G$42:H$64,2,FALSE))),VLOOKUP(B595,Deflatores!G$42:H$64,2,FALSE),IF(OR(ISBLANK(C595),ISBLANK(B595)),"",VLOOKUP(C595,Deflatores!G$4:H$38,2,FALSE)*H595+VLOOKUP(C595,Deflatores!G$4:I$38,3,FALSE)))</f>
        <v/>
      </c>
      <c r="M595" s="60"/>
      <c r="N595" s="60"/>
      <c r="O595" s="61"/>
    </row>
    <row r="596" ht="12.0" customHeight="1">
      <c r="A596" s="53"/>
      <c r="B596" s="54"/>
      <c r="C596" s="54"/>
      <c r="D596" s="55"/>
      <c r="E596" s="55"/>
      <c r="F596" s="56" t="str">
        <f t="shared" si="7"/>
        <v/>
      </c>
      <c r="G596" s="55" t="str">
        <f t="shared" si="8"/>
        <v/>
      </c>
      <c r="H596" s="57" t="str">
        <f t="shared" si="9"/>
        <v/>
      </c>
      <c r="I596" s="58" t="str">
        <f t="shared" si="10"/>
        <v/>
      </c>
      <c r="J596" s="55" t="str">
        <f t="shared" si="11"/>
        <v/>
      </c>
      <c r="K596" s="59" t="str">
        <f t="shared" si="12"/>
        <v/>
      </c>
      <c r="L596" s="59" t="str">
        <f>IF(NOT(ISERROR(VLOOKUP(B596,Deflatores!G$42:H$64,2,FALSE))),VLOOKUP(B596,Deflatores!G$42:H$64,2,FALSE),IF(OR(ISBLANK(C596),ISBLANK(B596)),"",VLOOKUP(C596,Deflatores!G$4:H$38,2,FALSE)*H596+VLOOKUP(C596,Deflatores!G$4:I$38,3,FALSE)))</f>
        <v/>
      </c>
      <c r="M596" s="60"/>
      <c r="N596" s="60"/>
      <c r="O596" s="61"/>
    </row>
    <row r="597" ht="12.0" customHeight="1">
      <c r="A597" s="53"/>
      <c r="B597" s="54"/>
      <c r="C597" s="54"/>
      <c r="D597" s="55"/>
      <c r="E597" s="55"/>
      <c r="F597" s="56" t="str">
        <f t="shared" si="7"/>
        <v/>
      </c>
      <c r="G597" s="55" t="str">
        <f t="shared" si="8"/>
        <v/>
      </c>
      <c r="H597" s="57" t="str">
        <f t="shared" si="9"/>
        <v/>
      </c>
      <c r="I597" s="58" t="str">
        <f t="shared" si="10"/>
        <v/>
      </c>
      <c r="J597" s="55" t="str">
        <f t="shared" si="11"/>
        <v/>
      </c>
      <c r="K597" s="59" t="str">
        <f t="shared" si="12"/>
        <v/>
      </c>
      <c r="L597" s="59" t="str">
        <f>IF(NOT(ISERROR(VLOOKUP(B597,Deflatores!G$42:H$64,2,FALSE))),VLOOKUP(B597,Deflatores!G$42:H$64,2,FALSE),IF(OR(ISBLANK(C597),ISBLANK(B597)),"",VLOOKUP(C597,Deflatores!G$4:H$38,2,FALSE)*H597+VLOOKUP(C597,Deflatores!G$4:I$38,3,FALSE)))</f>
        <v/>
      </c>
      <c r="M597" s="60"/>
      <c r="N597" s="60"/>
      <c r="O597" s="61"/>
    </row>
    <row r="598" ht="12.0" customHeight="1">
      <c r="A598" s="53"/>
      <c r="B598" s="54"/>
      <c r="C598" s="54"/>
      <c r="D598" s="55"/>
      <c r="E598" s="55"/>
      <c r="F598" s="56" t="str">
        <f t="shared" si="7"/>
        <v/>
      </c>
      <c r="G598" s="55" t="str">
        <f t="shared" si="8"/>
        <v/>
      </c>
      <c r="H598" s="57" t="str">
        <f t="shared" si="9"/>
        <v/>
      </c>
      <c r="I598" s="58" t="str">
        <f t="shared" si="10"/>
        <v/>
      </c>
      <c r="J598" s="55" t="str">
        <f t="shared" si="11"/>
        <v/>
      </c>
      <c r="K598" s="59" t="str">
        <f t="shared" si="12"/>
        <v/>
      </c>
      <c r="L598" s="59" t="str">
        <f>IF(NOT(ISERROR(VLOOKUP(B598,Deflatores!G$42:H$64,2,FALSE))),VLOOKUP(B598,Deflatores!G$42:H$64,2,FALSE),IF(OR(ISBLANK(C598),ISBLANK(B598)),"",VLOOKUP(C598,Deflatores!G$4:H$38,2,FALSE)*H598+VLOOKUP(C598,Deflatores!G$4:I$38,3,FALSE)))</f>
        <v/>
      </c>
      <c r="M598" s="60"/>
      <c r="N598" s="60"/>
      <c r="O598" s="61"/>
    </row>
    <row r="599" ht="12.0" customHeight="1">
      <c r="A599" s="53"/>
      <c r="B599" s="54"/>
      <c r="C599" s="54"/>
      <c r="D599" s="55"/>
      <c r="E599" s="55"/>
      <c r="F599" s="56" t="str">
        <f t="shared" si="7"/>
        <v/>
      </c>
      <c r="G599" s="55" t="str">
        <f t="shared" si="8"/>
        <v/>
      </c>
      <c r="H599" s="57" t="str">
        <f t="shared" si="9"/>
        <v/>
      </c>
      <c r="I599" s="58" t="str">
        <f t="shared" si="10"/>
        <v/>
      </c>
      <c r="J599" s="55" t="str">
        <f t="shared" si="11"/>
        <v/>
      </c>
      <c r="K599" s="59" t="str">
        <f t="shared" si="12"/>
        <v/>
      </c>
      <c r="L599" s="59" t="str">
        <f>IF(NOT(ISERROR(VLOOKUP(B599,Deflatores!G$42:H$64,2,FALSE))),VLOOKUP(B599,Deflatores!G$42:H$64,2,FALSE),IF(OR(ISBLANK(C599),ISBLANK(B599)),"",VLOOKUP(C599,Deflatores!G$4:H$38,2,FALSE)*H599+VLOOKUP(C599,Deflatores!G$4:I$38,3,FALSE)))</f>
        <v/>
      </c>
      <c r="M599" s="60"/>
      <c r="N599" s="60"/>
      <c r="O599" s="61"/>
    </row>
    <row r="600" ht="12.0" customHeight="1">
      <c r="A600" s="53"/>
      <c r="B600" s="54"/>
      <c r="C600" s="54"/>
      <c r="D600" s="55"/>
      <c r="E600" s="55"/>
      <c r="F600" s="56" t="str">
        <f t="shared" si="7"/>
        <v/>
      </c>
      <c r="G600" s="55" t="str">
        <f t="shared" si="8"/>
        <v/>
      </c>
      <c r="H600" s="57" t="str">
        <f t="shared" si="9"/>
        <v/>
      </c>
      <c r="I600" s="58" t="str">
        <f t="shared" si="10"/>
        <v/>
      </c>
      <c r="J600" s="55" t="str">
        <f t="shared" si="11"/>
        <v/>
      </c>
      <c r="K600" s="59" t="str">
        <f t="shared" si="12"/>
        <v/>
      </c>
      <c r="L600" s="59" t="str">
        <f>IF(NOT(ISERROR(VLOOKUP(B600,Deflatores!G$42:H$64,2,FALSE))),VLOOKUP(B600,Deflatores!G$42:H$64,2,FALSE),IF(OR(ISBLANK(C600),ISBLANK(B600)),"",VLOOKUP(C600,Deflatores!G$4:H$38,2,FALSE)*H600+VLOOKUP(C600,Deflatores!G$4:I$38,3,FALSE)))</f>
        <v/>
      </c>
      <c r="M600" s="60"/>
      <c r="N600" s="60"/>
      <c r="O600" s="61"/>
    </row>
    <row r="601" ht="12.0" customHeight="1">
      <c r="A601" s="53"/>
      <c r="B601" s="54"/>
      <c r="C601" s="54"/>
      <c r="D601" s="55"/>
      <c r="E601" s="55"/>
      <c r="F601" s="56" t="str">
        <f t="shared" si="7"/>
        <v/>
      </c>
      <c r="G601" s="55" t="str">
        <f t="shared" si="8"/>
        <v/>
      </c>
      <c r="H601" s="57" t="str">
        <f t="shared" si="9"/>
        <v/>
      </c>
      <c r="I601" s="58" t="str">
        <f t="shared" si="10"/>
        <v/>
      </c>
      <c r="J601" s="55" t="str">
        <f t="shared" si="11"/>
        <v/>
      </c>
      <c r="K601" s="59" t="str">
        <f t="shared" si="12"/>
        <v/>
      </c>
      <c r="L601" s="59" t="str">
        <f>IF(NOT(ISERROR(VLOOKUP(B601,Deflatores!G$42:H$64,2,FALSE))),VLOOKUP(B601,Deflatores!G$42:H$64,2,FALSE),IF(OR(ISBLANK(C601),ISBLANK(B601)),"",VLOOKUP(C601,Deflatores!G$4:H$38,2,FALSE)*H601+VLOOKUP(C601,Deflatores!G$4:I$38,3,FALSE)))</f>
        <v/>
      </c>
      <c r="M601" s="60"/>
      <c r="N601" s="60"/>
      <c r="O601" s="61"/>
    </row>
    <row r="602" ht="12.0" customHeight="1">
      <c r="A602" s="53"/>
      <c r="B602" s="54"/>
      <c r="C602" s="54"/>
      <c r="D602" s="55"/>
      <c r="E602" s="55"/>
      <c r="F602" s="56" t="str">
        <f t="shared" si="7"/>
        <v/>
      </c>
      <c r="G602" s="55" t="str">
        <f t="shared" si="8"/>
        <v/>
      </c>
      <c r="H602" s="57" t="str">
        <f t="shared" si="9"/>
        <v/>
      </c>
      <c r="I602" s="58" t="str">
        <f t="shared" si="10"/>
        <v/>
      </c>
      <c r="J602" s="55" t="str">
        <f t="shared" si="11"/>
        <v/>
      </c>
      <c r="K602" s="59" t="str">
        <f t="shared" si="12"/>
        <v/>
      </c>
      <c r="L602" s="59" t="str">
        <f>IF(NOT(ISERROR(VLOOKUP(B602,Deflatores!G$42:H$64,2,FALSE))),VLOOKUP(B602,Deflatores!G$42:H$64,2,FALSE),IF(OR(ISBLANK(C602),ISBLANK(B602)),"",VLOOKUP(C602,Deflatores!G$4:H$38,2,FALSE)*H602+VLOOKUP(C602,Deflatores!G$4:I$38,3,FALSE)))</f>
        <v/>
      </c>
      <c r="M602" s="60"/>
      <c r="N602" s="60"/>
      <c r="O602" s="61"/>
    </row>
    <row r="603" ht="12.0" customHeight="1">
      <c r="A603" s="53"/>
      <c r="B603" s="54"/>
      <c r="C603" s="54"/>
      <c r="D603" s="55"/>
      <c r="E603" s="55"/>
      <c r="F603" s="56" t="str">
        <f t="shared" si="7"/>
        <v/>
      </c>
      <c r="G603" s="55" t="str">
        <f t="shared" si="8"/>
        <v/>
      </c>
      <c r="H603" s="57" t="str">
        <f t="shared" si="9"/>
        <v/>
      </c>
      <c r="I603" s="58" t="str">
        <f t="shared" si="10"/>
        <v/>
      </c>
      <c r="J603" s="55" t="str">
        <f t="shared" si="11"/>
        <v/>
      </c>
      <c r="K603" s="59" t="str">
        <f t="shared" si="12"/>
        <v/>
      </c>
      <c r="L603" s="59" t="str">
        <f>IF(NOT(ISERROR(VLOOKUP(B603,Deflatores!G$42:H$64,2,FALSE))),VLOOKUP(B603,Deflatores!G$42:H$64,2,FALSE),IF(OR(ISBLANK(C603),ISBLANK(B603)),"",VLOOKUP(C603,Deflatores!G$4:H$38,2,FALSE)*H603+VLOOKUP(C603,Deflatores!G$4:I$38,3,FALSE)))</f>
        <v/>
      </c>
      <c r="M603" s="60"/>
      <c r="N603" s="60"/>
      <c r="O603" s="61"/>
    </row>
    <row r="604" ht="12.0" customHeight="1">
      <c r="A604" s="53"/>
      <c r="B604" s="54"/>
      <c r="C604" s="54"/>
      <c r="D604" s="55"/>
      <c r="E604" s="55"/>
      <c r="F604" s="56" t="str">
        <f t="shared" si="7"/>
        <v/>
      </c>
      <c r="G604" s="55" t="str">
        <f t="shared" si="8"/>
        <v/>
      </c>
      <c r="H604" s="57" t="str">
        <f t="shared" si="9"/>
        <v/>
      </c>
      <c r="I604" s="58" t="str">
        <f t="shared" si="10"/>
        <v/>
      </c>
      <c r="J604" s="55" t="str">
        <f t="shared" si="11"/>
        <v/>
      </c>
      <c r="K604" s="59" t="str">
        <f t="shared" si="12"/>
        <v/>
      </c>
      <c r="L604" s="59" t="str">
        <f>IF(NOT(ISERROR(VLOOKUP(B604,Deflatores!G$42:H$64,2,FALSE))),VLOOKUP(B604,Deflatores!G$42:H$64,2,FALSE),IF(OR(ISBLANK(C604),ISBLANK(B604)),"",VLOOKUP(C604,Deflatores!G$4:H$38,2,FALSE)*H604+VLOOKUP(C604,Deflatores!G$4:I$38,3,FALSE)))</f>
        <v/>
      </c>
      <c r="M604" s="60"/>
      <c r="N604" s="60"/>
      <c r="O604" s="61"/>
    </row>
    <row r="605" ht="12.0" customHeight="1">
      <c r="A605" s="53"/>
      <c r="B605" s="54"/>
      <c r="C605" s="54"/>
      <c r="D605" s="55"/>
      <c r="E605" s="55"/>
      <c r="F605" s="56" t="str">
        <f t="shared" si="7"/>
        <v/>
      </c>
      <c r="G605" s="55" t="str">
        <f t="shared" si="8"/>
        <v/>
      </c>
      <c r="H605" s="57" t="str">
        <f t="shared" si="9"/>
        <v/>
      </c>
      <c r="I605" s="58" t="str">
        <f t="shared" si="10"/>
        <v/>
      </c>
      <c r="J605" s="55" t="str">
        <f t="shared" si="11"/>
        <v/>
      </c>
      <c r="K605" s="59" t="str">
        <f t="shared" si="12"/>
        <v/>
      </c>
      <c r="L605" s="59" t="str">
        <f>IF(NOT(ISERROR(VLOOKUP(B605,Deflatores!G$42:H$64,2,FALSE))),VLOOKUP(B605,Deflatores!G$42:H$64,2,FALSE),IF(OR(ISBLANK(C605),ISBLANK(B605)),"",VLOOKUP(C605,Deflatores!G$4:H$38,2,FALSE)*H605+VLOOKUP(C605,Deflatores!G$4:I$38,3,FALSE)))</f>
        <v/>
      </c>
      <c r="M605" s="60"/>
      <c r="N605" s="60"/>
      <c r="O605" s="61"/>
    </row>
    <row r="606" ht="12.0" customHeight="1">
      <c r="A606" s="53"/>
      <c r="B606" s="54"/>
      <c r="C606" s="54"/>
      <c r="D606" s="55"/>
      <c r="E606" s="55"/>
      <c r="F606" s="56" t="str">
        <f t="shared" si="7"/>
        <v/>
      </c>
      <c r="G606" s="55" t="str">
        <f t="shared" si="8"/>
        <v/>
      </c>
      <c r="H606" s="57" t="str">
        <f t="shared" si="9"/>
        <v/>
      </c>
      <c r="I606" s="58" t="str">
        <f t="shared" si="10"/>
        <v/>
      </c>
      <c r="J606" s="55" t="str">
        <f t="shared" si="11"/>
        <v/>
      </c>
      <c r="K606" s="59" t="str">
        <f t="shared" si="12"/>
        <v/>
      </c>
      <c r="L606" s="59" t="str">
        <f>IF(NOT(ISERROR(VLOOKUP(B606,Deflatores!G$42:H$64,2,FALSE))),VLOOKUP(B606,Deflatores!G$42:H$64,2,FALSE),IF(OR(ISBLANK(C606),ISBLANK(B606)),"",VLOOKUP(C606,Deflatores!G$4:H$38,2,FALSE)*H606+VLOOKUP(C606,Deflatores!G$4:I$38,3,FALSE)))</f>
        <v/>
      </c>
      <c r="M606" s="60"/>
      <c r="N606" s="60"/>
      <c r="O606" s="61"/>
    </row>
    <row r="607" ht="12.0" customHeight="1">
      <c r="A607" s="53"/>
      <c r="B607" s="54"/>
      <c r="C607" s="54"/>
      <c r="D607" s="55"/>
      <c r="E607" s="55"/>
      <c r="F607" s="56" t="str">
        <f t="shared" si="7"/>
        <v/>
      </c>
      <c r="G607" s="55" t="str">
        <f t="shared" si="8"/>
        <v/>
      </c>
      <c r="H607" s="57" t="str">
        <f t="shared" si="9"/>
        <v/>
      </c>
      <c r="I607" s="58" t="str">
        <f t="shared" si="10"/>
        <v/>
      </c>
      <c r="J607" s="55" t="str">
        <f t="shared" si="11"/>
        <v/>
      </c>
      <c r="K607" s="59" t="str">
        <f t="shared" si="12"/>
        <v/>
      </c>
      <c r="L607" s="59" t="str">
        <f>IF(NOT(ISERROR(VLOOKUP(B607,Deflatores!G$42:H$64,2,FALSE))),VLOOKUP(B607,Deflatores!G$42:H$64,2,FALSE),IF(OR(ISBLANK(C607),ISBLANK(B607)),"",VLOOKUP(C607,Deflatores!G$4:H$38,2,FALSE)*H607+VLOOKUP(C607,Deflatores!G$4:I$38,3,FALSE)))</f>
        <v/>
      </c>
      <c r="M607" s="60"/>
      <c r="N607" s="60"/>
      <c r="O607" s="61"/>
    </row>
    <row r="608" ht="12.0" customHeight="1">
      <c r="A608" s="53"/>
      <c r="B608" s="54"/>
      <c r="C608" s="54"/>
      <c r="D608" s="55"/>
      <c r="E608" s="55"/>
      <c r="F608" s="56" t="str">
        <f t="shared" si="7"/>
        <v/>
      </c>
      <c r="G608" s="55" t="str">
        <f t="shared" si="8"/>
        <v/>
      </c>
      <c r="H608" s="57" t="str">
        <f t="shared" si="9"/>
        <v/>
      </c>
      <c r="I608" s="58" t="str">
        <f t="shared" si="10"/>
        <v/>
      </c>
      <c r="J608" s="55" t="str">
        <f t="shared" si="11"/>
        <v/>
      </c>
      <c r="K608" s="59" t="str">
        <f t="shared" si="12"/>
        <v/>
      </c>
      <c r="L608" s="59" t="str">
        <f>IF(NOT(ISERROR(VLOOKUP(B608,Deflatores!G$42:H$64,2,FALSE))),VLOOKUP(B608,Deflatores!G$42:H$64,2,FALSE),IF(OR(ISBLANK(C608),ISBLANK(B608)),"",VLOOKUP(C608,Deflatores!G$4:H$38,2,FALSE)*H608+VLOOKUP(C608,Deflatores!G$4:I$38,3,FALSE)))</f>
        <v/>
      </c>
      <c r="M608" s="60"/>
      <c r="N608" s="60"/>
      <c r="O608" s="61"/>
    </row>
    <row r="609" ht="12.0" customHeight="1">
      <c r="A609" s="53"/>
      <c r="B609" s="54"/>
      <c r="C609" s="54"/>
      <c r="D609" s="55"/>
      <c r="E609" s="55"/>
      <c r="F609" s="56" t="str">
        <f t="shared" si="7"/>
        <v/>
      </c>
      <c r="G609" s="55" t="str">
        <f t="shared" si="8"/>
        <v/>
      </c>
      <c r="H609" s="57" t="str">
        <f t="shared" si="9"/>
        <v/>
      </c>
      <c r="I609" s="58" t="str">
        <f t="shared" si="10"/>
        <v/>
      </c>
      <c r="J609" s="55" t="str">
        <f t="shared" si="11"/>
        <v/>
      </c>
      <c r="K609" s="59" t="str">
        <f t="shared" si="12"/>
        <v/>
      </c>
      <c r="L609" s="59" t="str">
        <f>IF(NOT(ISERROR(VLOOKUP(B609,Deflatores!G$42:H$64,2,FALSE))),VLOOKUP(B609,Deflatores!G$42:H$64,2,FALSE),IF(OR(ISBLANK(C609),ISBLANK(B609)),"",VLOOKUP(C609,Deflatores!G$4:H$38,2,FALSE)*H609+VLOOKUP(C609,Deflatores!G$4:I$38,3,FALSE)))</f>
        <v/>
      </c>
      <c r="M609" s="60"/>
      <c r="N609" s="60"/>
      <c r="O609" s="61"/>
    </row>
    <row r="610" ht="12.0" customHeight="1">
      <c r="A610" s="53"/>
      <c r="B610" s="54"/>
      <c r="C610" s="54"/>
      <c r="D610" s="55"/>
      <c r="E610" s="55"/>
      <c r="F610" s="56" t="str">
        <f t="shared" si="7"/>
        <v/>
      </c>
      <c r="G610" s="55" t="str">
        <f t="shared" si="8"/>
        <v/>
      </c>
      <c r="H610" s="57" t="str">
        <f t="shared" si="9"/>
        <v/>
      </c>
      <c r="I610" s="58" t="str">
        <f t="shared" si="10"/>
        <v/>
      </c>
      <c r="J610" s="55" t="str">
        <f t="shared" si="11"/>
        <v/>
      </c>
      <c r="K610" s="59" t="str">
        <f t="shared" si="12"/>
        <v/>
      </c>
      <c r="L610" s="59" t="str">
        <f>IF(NOT(ISERROR(VLOOKUP(B610,Deflatores!G$42:H$64,2,FALSE))),VLOOKUP(B610,Deflatores!G$42:H$64,2,FALSE),IF(OR(ISBLANK(C610),ISBLANK(B610)),"",VLOOKUP(C610,Deflatores!G$4:H$38,2,FALSE)*H610+VLOOKUP(C610,Deflatores!G$4:I$38,3,FALSE)))</f>
        <v/>
      </c>
      <c r="M610" s="60"/>
      <c r="N610" s="60"/>
      <c r="O610" s="61"/>
    </row>
    <row r="611" ht="12.0" customHeight="1">
      <c r="A611" s="53"/>
      <c r="B611" s="54"/>
      <c r="C611" s="54"/>
      <c r="D611" s="55"/>
      <c r="E611" s="55"/>
      <c r="F611" s="56" t="str">
        <f t="shared" si="7"/>
        <v/>
      </c>
      <c r="G611" s="55" t="str">
        <f t="shared" si="8"/>
        <v/>
      </c>
      <c r="H611" s="57" t="str">
        <f t="shared" si="9"/>
        <v/>
      </c>
      <c r="I611" s="58" t="str">
        <f t="shared" si="10"/>
        <v/>
      </c>
      <c r="J611" s="55" t="str">
        <f t="shared" si="11"/>
        <v/>
      </c>
      <c r="K611" s="59" t="str">
        <f t="shared" si="12"/>
        <v/>
      </c>
      <c r="L611" s="59" t="str">
        <f>IF(NOT(ISERROR(VLOOKUP(B611,Deflatores!G$42:H$64,2,FALSE))),VLOOKUP(B611,Deflatores!G$42:H$64,2,FALSE),IF(OR(ISBLANK(C611),ISBLANK(B611)),"",VLOOKUP(C611,Deflatores!G$4:H$38,2,FALSE)*H611+VLOOKUP(C611,Deflatores!G$4:I$38,3,FALSE)))</f>
        <v/>
      </c>
      <c r="M611" s="60"/>
      <c r="N611" s="60"/>
      <c r="O611" s="61"/>
    </row>
    <row r="612" ht="12.0" customHeight="1">
      <c r="A612" s="53"/>
      <c r="B612" s="54"/>
      <c r="C612" s="54"/>
      <c r="D612" s="55"/>
      <c r="E612" s="55"/>
      <c r="F612" s="56" t="str">
        <f t="shared" si="7"/>
        <v/>
      </c>
      <c r="G612" s="55" t="str">
        <f t="shared" si="8"/>
        <v/>
      </c>
      <c r="H612" s="57" t="str">
        <f t="shared" si="9"/>
        <v/>
      </c>
      <c r="I612" s="58" t="str">
        <f t="shared" si="10"/>
        <v/>
      </c>
      <c r="J612" s="55" t="str">
        <f t="shared" si="11"/>
        <v/>
      </c>
      <c r="K612" s="59" t="str">
        <f t="shared" si="12"/>
        <v/>
      </c>
      <c r="L612" s="59" t="str">
        <f>IF(NOT(ISERROR(VLOOKUP(B612,Deflatores!G$42:H$64,2,FALSE))),VLOOKUP(B612,Deflatores!G$42:H$64,2,FALSE),IF(OR(ISBLANK(C612),ISBLANK(B612)),"",VLOOKUP(C612,Deflatores!G$4:H$38,2,FALSE)*H612+VLOOKUP(C612,Deflatores!G$4:I$38,3,FALSE)))</f>
        <v/>
      </c>
      <c r="M612" s="60"/>
      <c r="N612" s="60"/>
      <c r="O612" s="61"/>
    </row>
    <row r="613" ht="12.0" customHeight="1">
      <c r="A613" s="53"/>
      <c r="B613" s="54"/>
      <c r="C613" s="54"/>
      <c r="D613" s="55"/>
      <c r="E613" s="55"/>
      <c r="F613" s="56" t="str">
        <f t="shared" si="7"/>
        <v/>
      </c>
      <c r="G613" s="55" t="str">
        <f t="shared" si="8"/>
        <v/>
      </c>
      <c r="H613" s="57" t="str">
        <f t="shared" si="9"/>
        <v/>
      </c>
      <c r="I613" s="58" t="str">
        <f t="shared" si="10"/>
        <v/>
      </c>
      <c r="J613" s="55" t="str">
        <f t="shared" si="11"/>
        <v/>
      </c>
      <c r="K613" s="59" t="str">
        <f t="shared" si="12"/>
        <v/>
      </c>
      <c r="L613" s="59" t="str">
        <f>IF(NOT(ISERROR(VLOOKUP(B613,Deflatores!G$42:H$64,2,FALSE))),VLOOKUP(B613,Deflatores!G$42:H$64,2,FALSE),IF(OR(ISBLANK(C613),ISBLANK(B613)),"",VLOOKUP(C613,Deflatores!G$4:H$38,2,FALSE)*H613+VLOOKUP(C613,Deflatores!G$4:I$38,3,FALSE)))</f>
        <v/>
      </c>
      <c r="M613" s="60"/>
      <c r="N613" s="60"/>
      <c r="O613" s="61"/>
    </row>
    <row r="614" ht="12.0" customHeight="1">
      <c r="A614" s="53"/>
      <c r="B614" s="54"/>
      <c r="C614" s="54"/>
      <c r="D614" s="55"/>
      <c r="E614" s="55"/>
      <c r="F614" s="56" t="str">
        <f t="shared" si="7"/>
        <v/>
      </c>
      <c r="G614" s="55" t="str">
        <f t="shared" si="8"/>
        <v/>
      </c>
      <c r="H614" s="57" t="str">
        <f t="shared" si="9"/>
        <v/>
      </c>
      <c r="I614" s="58" t="str">
        <f t="shared" si="10"/>
        <v/>
      </c>
      <c r="J614" s="55" t="str">
        <f t="shared" si="11"/>
        <v/>
      </c>
      <c r="K614" s="59" t="str">
        <f t="shared" si="12"/>
        <v/>
      </c>
      <c r="L614" s="59" t="str">
        <f>IF(NOT(ISERROR(VLOOKUP(B614,Deflatores!G$42:H$64,2,FALSE))),VLOOKUP(B614,Deflatores!G$42:H$64,2,FALSE),IF(OR(ISBLANK(C614),ISBLANK(B614)),"",VLOOKUP(C614,Deflatores!G$4:H$38,2,FALSE)*H614+VLOOKUP(C614,Deflatores!G$4:I$38,3,FALSE)))</f>
        <v/>
      </c>
      <c r="M614" s="60"/>
      <c r="N614" s="60"/>
      <c r="O614" s="61"/>
    </row>
    <row r="615" ht="12.0" customHeight="1">
      <c r="A615" s="53"/>
      <c r="B615" s="54"/>
      <c r="C615" s="54"/>
      <c r="D615" s="55"/>
      <c r="E615" s="55"/>
      <c r="F615" s="56" t="str">
        <f t="shared" si="7"/>
        <v/>
      </c>
      <c r="G615" s="55" t="str">
        <f t="shared" si="8"/>
        <v/>
      </c>
      <c r="H615" s="57" t="str">
        <f t="shared" si="9"/>
        <v/>
      </c>
      <c r="I615" s="58" t="str">
        <f t="shared" si="10"/>
        <v/>
      </c>
      <c r="J615" s="55" t="str">
        <f t="shared" si="11"/>
        <v/>
      </c>
      <c r="K615" s="59" t="str">
        <f t="shared" si="12"/>
        <v/>
      </c>
      <c r="L615" s="59" t="str">
        <f>IF(NOT(ISERROR(VLOOKUP(B615,Deflatores!G$42:H$64,2,FALSE))),VLOOKUP(B615,Deflatores!G$42:H$64,2,FALSE),IF(OR(ISBLANK(C615),ISBLANK(B615)),"",VLOOKUP(C615,Deflatores!G$4:H$38,2,FALSE)*H615+VLOOKUP(C615,Deflatores!G$4:I$38,3,FALSE)))</f>
        <v/>
      </c>
      <c r="M615" s="60"/>
      <c r="N615" s="60"/>
      <c r="O615" s="61"/>
    </row>
    <row r="616" ht="12.0" customHeight="1">
      <c r="A616" s="53"/>
      <c r="B616" s="54"/>
      <c r="C616" s="54"/>
      <c r="D616" s="55"/>
      <c r="E616" s="55"/>
      <c r="F616" s="56" t="str">
        <f t="shared" si="7"/>
        <v/>
      </c>
      <c r="G616" s="55" t="str">
        <f t="shared" si="8"/>
        <v/>
      </c>
      <c r="H616" s="57" t="str">
        <f t="shared" si="9"/>
        <v/>
      </c>
      <c r="I616" s="58" t="str">
        <f t="shared" si="10"/>
        <v/>
      </c>
      <c r="J616" s="55" t="str">
        <f t="shared" si="11"/>
        <v/>
      </c>
      <c r="K616" s="59" t="str">
        <f t="shared" si="12"/>
        <v/>
      </c>
      <c r="L616" s="59" t="str">
        <f>IF(NOT(ISERROR(VLOOKUP(B616,Deflatores!G$42:H$64,2,FALSE))),VLOOKUP(B616,Deflatores!G$42:H$64,2,FALSE),IF(OR(ISBLANK(C616),ISBLANK(B616)),"",VLOOKUP(C616,Deflatores!G$4:H$38,2,FALSE)*H616+VLOOKUP(C616,Deflatores!G$4:I$38,3,FALSE)))</f>
        <v/>
      </c>
      <c r="M616" s="60"/>
      <c r="N616" s="60"/>
      <c r="O616" s="61"/>
    </row>
    <row r="617" ht="12.0" customHeight="1">
      <c r="A617" s="53"/>
      <c r="B617" s="54"/>
      <c r="C617" s="54"/>
      <c r="D617" s="55"/>
      <c r="E617" s="55"/>
      <c r="F617" s="56" t="str">
        <f t="shared" si="7"/>
        <v/>
      </c>
      <c r="G617" s="55" t="str">
        <f t="shared" si="8"/>
        <v/>
      </c>
      <c r="H617" s="57" t="str">
        <f t="shared" si="9"/>
        <v/>
      </c>
      <c r="I617" s="58" t="str">
        <f t="shared" si="10"/>
        <v/>
      </c>
      <c r="J617" s="55" t="str">
        <f t="shared" si="11"/>
        <v/>
      </c>
      <c r="K617" s="59" t="str">
        <f t="shared" si="12"/>
        <v/>
      </c>
      <c r="L617" s="59" t="str">
        <f>IF(NOT(ISERROR(VLOOKUP(B617,Deflatores!G$42:H$64,2,FALSE))),VLOOKUP(B617,Deflatores!G$42:H$64,2,FALSE),IF(OR(ISBLANK(C617),ISBLANK(B617)),"",VLOOKUP(C617,Deflatores!G$4:H$38,2,FALSE)*H617+VLOOKUP(C617,Deflatores!G$4:I$38,3,FALSE)))</f>
        <v/>
      </c>
      <c r="M617" s="60"/>
      <c r="N617" s="60"/>
      <c r="O617" s="61"/>
    </row>
    <row r="618" ht="12.0" customHeight="1">
      <c r="A618" s="53"/>
      <c r="B618" s="54"/>
      <c r="C618" s="54"/>
      <c r="D618" s="55"/>
      <c r="E618" s="55"/>
      <c r="F618" s="56" t="str">
        <f t="shared" si="7"/>
        <v/>
      </c>
      <c r="G618" s="55" t="str">
        <f t="shared" si="8"/>
        <v/>
      </c>
      <c r="H618" s="57" t="str">
        <f t="shared" si="9"/>
        <v/>
      </c>
      <c r="I618" s="58" t="str">
        <f t="shared" si="10"/>
        <v/>
      </c>
      <c r="J618" s="55" t="str">
        <f t="shared" si="11"/>
        <v/>
      </c>
      <c r="K618" s="59" t="str">
        <f t="shared" si="12"/>
        <v/>
      </c>
      <c r="L618" s="59" t="str">
        <f>IF(NOT(ISERROR(VLOOKUP(B618,Deflatores!G$42:H$64,2,FALSE))),VLOOKUP(B618,Deflatores!G$42:H$64,2,FALSE),IF(OR(ISBLANK(C618),ISBLANK(B618)),"",VLOOKUP(C618,Deflatores!G$4:H$38,2,FALSE)*H618+VLOOKUP(C618,Deflatores!G$4:I$38,3,FALSE)))</f>
        <v/>
      </c>
      <c r="M618" s="60"/>
      <c r="N618" s="60"/>
      <c r="O618" s="61"/>
    </row>
    <row r="619" ht="12.0" customHeight="1">
      <c r="A619" s="53"/>
      <c r="B619" s="54"/>
      <c r="C619" s="54"/>
      <c r="D619" s="55"/>
      <c r="E619" s="55"/>
      <c r="F619" s="56" t="str">
        <f t="shared" si="7"/>
        <v/>
      </c>
      <c r="G619" s="55" t="str">
        <f t="shared" si="8"/>
        <v/>
      </c>
      <c r="H619" s="57" t="str">
        <f t="shared" si="9"/>
        <v/>
      </c>
      <c r="I619" s="58" t="str">
        <f t="shared" si="10"/>
        <v/>
      </c>
      <c r="J619" s="55" t="str">
        <f t="shared" si="11"/>
        <v/>
      </c>
      <c r="K619" s="59" t="str">
        <f t="shared" si="12"/>
        <v/>
      </c>
      <c r="L619" s="59" t="str">
        <f>IF(NOT(ISERROR(VLOOKUP(B619,Deflatores!G$42:H$64,2,FALSE))),VLOOKUP(B619,Deflatores!G$42:H$64,2,FALSE),IF(OR(ISBLANK(C619),ISBLANK(B619)),"",VLOOKUP(C619,Deflatores!G$4:H$38,2,FALSE)*H619+VLOOKUP(C619,Deflatores!G$4:I$38,3,FALSE)))</f>
        <v/>
      </c>
      <c r="M619" s="60"/>
      <c r="N619" s="60"/>
      <c r="O619" s="61"/>
    </row>
    <row r="620" ht="12.0" customHeight="1">
      <c r="A620" s="53"/>
      <c r="B620" s="54"/>
      <c r="C620" s="54"/>
      <c r="D620" s="55"/>
      <c r="E620" s="55"/>
      <c r="F620" s="56" t="str">
        <f t="shared" si="7"/>
        <v/>
      </c>
      <c r="G620" s="55" t="str">
        <f t="shared" si="8"/>
        <v/>
      </c>
      <c r="H620" s="57" t="str">
        <f t="shared" si="9"/>
        <v/>
      </c>
      <c r="I620" s="58" t="str">
        <f t="shared" si="10"/>
        <v/>
      </c>
      <c r="J620" s="55" t="str">
        <f t="shared" si="11"/>
        <v/>
      </c>
      <c r="K620" s="59" t="str">
        <f t="shared" si="12"/>
        <v/>
      </c>
      <c r="L620" s="59" t="str">
        <f>IF(NOT(ISERROR(VLOOKUP(B620,Deflatores!G$42:H$64,2,FALSE))),VLOOKUP(B620,Deflatores!G$42:H$64,2,FALSE),IF(OR(ISBLANK(C620),ISBLANK(B620)),"",VLOOKUP(C620,Deflatores!G$4:H$38,2,FALSE)*H620+VLOOKUP(C620,Deflatores!G$4:I$38,3,FALSE)))</f>
        <v/>
      </c>
      <c r="M620" s="60"/>
      <c r="N620" s="60"/>
      <c r="O620" s="61"/>
    </row>
    <row r="621" ht="12.0" customHeight="1">
      <c r="A621" s="53"/>
      <c r="B621" s="54"/>
      <c r="C621" s="54"/>
      <c r="D621" s="55"/>
      <c r="E621" s="55"/>
      <c r="F621" s="56" t="str">
        <f t="shared" si="7"/>
        <v/>
      </c>
      <c r="G621" s="55" t="str">
        <f t="shared" si="8"/>
        <v/>
      </c>
      <c r="H621" s="57" t="str">
        <f t="shared" si="9"/>
        <v/>
      </c>
      <c r="I621" s="58" t="str">
        <f t="shared" si="10"/>
        <v/>
      </c>
      <c r="J621" s="55" t="str">
        <f t="shared" si="11"/>
        <v/>
      </c>
      <c r="K621" s="59" t="str">
        <f t="shared" si="12"/>
        <v/>
      </c>
      <c r="L621" s="59" t="str">
        <f>IF(NOT(ISERROR(VLOOKUP(B621,Deflatores!G$42:H$64,2,FALSE))),VLOOKUP(B621,Deflatores!G$42:H$64,2,FALSE),IF(OR(ISBLANK(C621),ISBLANK(B621)),"",VLOOKUP(C621,Deflatores!G$4:H$38,2,FALSE)*H621+VLOOKUP(C621,Deflatores!G$4:I$38,3,FALSE)))</f>
        <v/>
      </c>
      <c r="M621" s="60"/>
      <c r="N621" s="60"/>
      <c r="O621" s="61"/>
    </row>
    <row r="622" ht="12.0" customHeight="1">
      <c r="A622" s="53"/>
      <c r="B622" s="54"/>
      <c r="C622" s="54"/>
      <c r="D622" s="55"/>
      <c r="E622" s="55"/>
      <c r="F622" s="56" t="str">
        <f t="shared" si="7"/>
        <v/>
      </c>
      <c r="G622" s="55" t="str">
        <f t="shared" si="8"/>
        <v/>
      </c>
      <c r="H622" s="57" t="str">
        <f t="shared" si="9"/>
        <v/>
      </c>
      <c r="I622" s="58" t="str">
        <f t="shared" si="10"/>
        <v/>
      </c>
      <c r="J622" s="55" t="str">
        <f t="shared" si="11"/>
        <v/>
      </c>
      <c r="K622" s="59" t="str">
        <f t="shared" si="12"/>
        <v/>
      </c>
      <c r="L622" s="59" t="str">
        <f>IF(NOT(ISERROR(VLOOKUP(B622,Deflatores!G$42:H$64,2,FALSE))),VLOOKUP(B622,Deflatores!G$42:H$64,2,FALSE),IF(OR(ISBLANK(C622),ISBLANK(B622)),"",VLOOKUP(C622,Deflatores!G$4:H$38,2,FALSE)*H622+VLOOKUP(C622,Deflatores!G$4:I$38,3,FALSE)))</f>
        <v/>
      </c>
      <c r="M622" s="60"/>
      <c r="N622" s="60"/>
      <c r="O622" s="61"/>
    </row>
    <row r="623" ht="12.0" customHeight="1">
      <c r="A623" s="53"/>
      <c r="B623" s="54"/>
      <c r="C623" s="54"/>
      <c r="D623" s="55"/>
      <c r="E623" s="55"/>
      <c r="F623" s="56" t="str">
        <f t="shared" si="7"/>
        <v/>
      </c>
      <c r="G623" s="55" t="str">
        <f t="shared" si="8"/>
        <v/>
      </c>
      <c r="H623" s="57" t="str">
        <f t="shared" si="9"/>
        <v/>
      </c>
      <c r="I623" s="58" t="str">
        <f t="shared" si="10"/>
        <v/>
      </c>
      <c r="J623" s="55" t="str">
        <f t="shared" si="11"/>
        <v/>
      </c>
      <c r="K623" s="59" t="str">
        <f t="shared" si="12"/>
        <v/>
      </c>
      <c r="L623" s="59" t="str">
        <f>IF(NOT(ISERROR(VLOOKUP(B623,Deflatores!G$42:H$64,2,FALSE))),VLOOKUP(B623,Deflatores!G$42:H$64,2,FALSE),IF(OR(ISBLANK(C623),ISBLANK(B623)),"",VLOOKUP(C623,Deflatores!G$4:H$38,2,FALSE)*H623+VLOOKUP(C623,Deflatores!G$4:I$38,3,FALSE)))</f>
        <v/>
      </c>
      <c r="M623" s="60"/>
      <c r="N623" s="60"/>
      <c r="O623" s="61"/>
    </row>
    <row r="624" ht="12.0" customHeight="1">
      <c r="A624" s="53"/>
      <c r="B624" s="54"/>
      <c r="C624" s="54"/>
      <c r="D624" s="55"/>
      <c r="E624" s="55"/>
      <c r="F624" s="56" t="str">
        <f t="shared" si="7"/>
        <v/>
      </c>
      <c r="G624" s="55" t="str">
        <f t="shared" si="8"/>
        <v/>
      </c>
      <c r="H624" s="57" t="str">
        <f t="shared" si="9"/>
        <v/>
      </c>
      <c r="I624" s="58" t="str">
        <f t="shared" si="10"/>
        <v/>
      </c>
      <c r="J624" s="55" t="str">
        <f t="shared" si="11"/>
        <v/>
      </c>
      <c r="K624" s="59" t="str">
        <f t="shared" si="12"/>
        <v/>
      </c>
      <c r="L624" s="59" t="str">
        <f>IF(NOT(ISERROR(VLOOKUP(B624,Deflatores!G$42:H$64,2,FALSE))),VLOOKUP(B624,Deflatores!G$42:H$64,2,FALSE),IF(OR(ISBLANK(C624),ISBLANK(B624)),"",VLOOKUP(C624,Deflatores!G$4:H$38,2,FALSE)*H624+VLOOKUP(C624,Deflatores!G$4:I$38,3,FALSE)))</f>
        <v/>
      </c>
      <c r="M624" s="60"/>
      <c r="N624" s="60"/>
      <c r="O624" s="61"/>
    </row>
    <row r="625" ht="12.0" customHeight="1">
      <c r="A625" s="53"/>
      <c r="B625" s="54"/>
      <c r="C625" s="54"/>
      <c r="D625" s="55"/>
      <c r="E625" s="55"/>
      <c r="F625" s="56" t="str">
        <f t="shared" si="7"/>
        <v/>
      </c>
      <c r="G625" s="55" t="str">
        <f t="shared" si="8"/>
        <v/>
      </c>
      <c r="H625" s="57" t="str">
        <f t="shared" si="9"/>
        <v/>
      </c>
      <c r="I625" s="58" t="str">
        <f t="shared" si="10"/>
        <v/>
      </c>
      <c r="J625" s="55" t="str">
        <f t="shared" si="11"/>
        <v/>
      </c>
      <c r="K625" s="59" t="str">
        <f t="shared" si="12"/>
        <v/>
      </c>
      <c r="L625" s="59" t="str">
        <f>IF(NOT(ISERROR(VLOOKUP(B625,Deflatores!G$42:H$64,2,FALSE))),VLOOKUP(B625,Deflatores!G$42:H$64,2,FALSE),IF(OR(ISBLANK(C625),ISBLANK(B625)),"",VLOOKUP(C625,Deflatores!G$4:H$38,2,FALSE)*H625+VLOOKUP(C625,Deflatores!G$4:I$38,3,FALSE)))</f>
        <v/>
      </c>
      <c r="M625" s="60"/>
      <c r="N625" s="60"/>
      <c r="O625" s="61"/>
    </row>
    <row r="626" ht="12.0" customHeight="1">
      <c r="A626" s="53"/>
      <c r="B626" s="54"/>
      <c r="C626" s="54"/>
      <c r="D626" s="55"/>
      <c r="E626" s="55"/>
      <c r="F626" s="56" t="str">
        <f t="shared" si="7"/>
        <v/>
      </c>
      <c r="G626" s="55" t="str">
        <f t="shared" si="8"/>
        <v/>
      </c>
      <c r="H626" s="57" t="str">
        <f t="shared" si="9"/>
        <v/>
      </c>
      <c r="I626" s="58" t="str">
        <f t="shared" si="10"/>
        <v/>
      </c>
      <c r="J626" s="55" t="str">
        <f t="shared" si="11"/>
        <v/>
      </c>
      <c r="K626" s="59" t="str">
        <f t="shared" si="12"/>
        <v/>
      </c>
      <c r="L626" s="59" t="str">
        <f>IF(NOT(ISERROR(VLOOKUP(B626,Deflatores!G$42:H$64,2,FALSE))),VLOOKUP(B626,Deflatores!G$42:H$64,2,FALSE),IF(OR(ISBLANK(C626),ISBLANK(B626)),"",VLOOKUP(C626,Deflatores!G$4:H$38,2,FALSE)*H626+VLOOKUP(C626,Deflatores!G$4:I$38,3,FALSE)))</f>
        <v/>
      </c>
      <c r="M626" s="60"/>
      <c r="N626" s="60"/>
      <c r="O626" s="61"/>
    </row>
    <row r="627" ht="12.0" customHeight="1">
      <c r="A627" s="53"/>
      <c r="B627" s="54"/>
      <c r="C627" s="54"/>
      <c r="D627" s="55"/>
      <c r="E627" s="55"/>
      <c r="F627" s="56" t="str">
        <f t="shared" si="7"/>
        <v/>
      </c>
      <c r="G627" s="55" t="str">
        <f t="shared" si="8"/>
        <v/>
      </c>
      <c r="H627" s="57" t="str">
        <f t="shared" si="9"/>
        <v/>
      </c>
      <c r="I627" s="58" t="str">
        <f t="shared" si="10"/>
        <v/>
      </c>
      <c r="J627" s="55" t="str">
        <f t="shared" si="11"/>
        <v/>
      </c>
      <c r="K627" s="59" t="str">
        <f t="shared" si="12"/>
        <v/>
      </c>
      <c r="L627" s="59" t="str">
        <f>IF(NOT(ISERROR(VLOOKUP(B627,Deflatores!G$42:H$64,2,FALSE))),VLOOKUP(B627,Deflatores!G$42:H$64,2,FALSE),IF(OR(ISBLANK(C627),ISBLANK(B627)),"",VLOOKUP(C627,Deflatores!G$4:H$38,2,FALSE)*H627+VLOOKUP(C627,Deflatores!G$4:I$38,3,FALSE)))</f>
        <v/>
      </c>
      <c r="M627" s="60"/>
      <c r="N627" s="60"/>
      <c r="O627" s="61"/>
    </row>
    <row r="628" ht="12.0" customHeight="1">
      <c r="A628" s="53"/>
      <c r="B628" s="54"/>
      <c r="C628" s="54"/>
      <c r="D628" s="55"/>
      <c r="E628" s="55"/>
      <c r="F628" s="56" t="str">
        <f t="shared" si="7"/>
        <v/>
      </c>
      <c r="G628" s="55" t="str">
        <f t="shared" si="8"/>
        <v/>
      </c>
      <c r="H628" s="57" t="str">
        <f t="shared" si="9"/>
        <v/>
      </c>
      <c r="I628" s="58" t="str">
        <f t="shared" si="10"/>
        <v/>
      </c>
      <c r="J628" s="55" t="str">
        <f t="shared" si="11"/>
        <v/>
      </c>
      <c r="K628" s="59" t="str">
        <f t="shared" si="12"/>
        <v/>
      </c>
      <c r="L628" s="59" t="str">
        <f>IF(NOT(ISERROR(VLOOKUP(B628,Deflatores!G$42:H$64,2,FALSE))),VLOOKUP(B628,Deflatores!G$42:H$64,2,FALSE),IF(OR(ISBLANK(C628),ISBLANK(B628)),"",VLOOKUP(C628,Deflatores!G$4:H$38,2,FALSE)*H628+VLOOKUP(C628,Deflatores!G$4:I$38,3,FALSE)))</f>
        <v/>
      </c>
      <c r="M628" s="60"/>
      <c r="N628" s="60"/>
      <c r="O628" s="61"/>
    </row>
    <row r="629" ht="12.0" customHeight="1">
      <c r="A629" s="53"/>
      <c r="B629" s="54"/>
      <c r="C629" s="54"/>
      <c r="D629" s="55"/>
      <c r="E629" s="55"/>
      <c r="F629" s="56" t="str">
        <f t="shared" si="7"/>
        <v/>
      </c>
      <c r="G629" s="55" t="str">
        <f t="shared" si="8"/>
        <v/>
      </c>
      <c r="H629" s="57" t="str">
        <f t="shared" si="9"/>
        <v/>
      </c>
      <c r="I629" s="58" t="str">
        <f t="shared" si="10"/>
        <v/>
      </c>
      <c r="J629" s="55" t="str">
        <f t="shared" si="11"/>
        <v/>
      </c>
      <c r="K629" s="59" t="str">
        <f t="shared" si="12"/>
        <v/>
      </c>
      <c r="L629" s="59" t="str">
        <f>IF(NOT(ISERROR(VLOOKUP(B629,Deflatores!G$42:H$64,2,FALSE))),VLOOKUP(B629,Deflatores!G$42:H$64,2,FALSE),IF(OR(ISBLANK(C629),ISBLANK(B629)),"",VLOOKUP(C629,Deflatores!G$4:H$38,2,FALSE)*H629+VLOOKUP(C629,Deflatores!G$4:I$38,3,FALSE)))</f>
        <v/>
      </c>
      <c r="M629" s="60"/>
      <c r="N629" s="60"/>
      <c r="O629" s="61"/>
    </row>
    <row r="630" ht="12.0" customHeight="1">
      <c r="A630" s="53"/>
      <c r="B630" s="54"/>
      <c r="C630" s="54"/>
      <c r="D630" s="55"/>
      <c r="E630" s="55"/>
      <c r="F630" s="56" t="str">
        <f t="shared" si="7"/>
        <v/>
      </c>
      <c r="G630" s="55" t="str">
        <f t="shared" si="8"/>
        <v/>
      </c>
      <c r="H630" s="57" t="str">
        <f t="shared" si="9"/>
        <v/>
      </c>
      <c r="I630" s="58" t="str">
        <f t="shared" si="10"/>
        <v/>
      </c>
      <c r="J630" s="55" t="str">
        <f t="shared" si="11"/>
        <v/>
      </c>
      <c r="K630" s="59" t="str">
        <f t="shared" si="12"/>
        <v/>
      </c>
      <c r="L630" s="59" t="str">
        <f>IF(NOT(ISERROR(VLOOKUP(B630,Deflatores!G$42:H$64,2,FALSE))),VLOOKUP(B630,Deflatores!G$42:H$64,2,FALSE),IF(OR(ISBLANK(C630),ISBLANK(B630)),"",VLOOKUP(C630,Deflatores!G$4:H$38,2,FALSE)*H630+VLOOKUP(C630,Deflatores!G$4:I$38,3,FALSE)))</f>
        <v/>
      </c>
      <c r="M630" s="60"/>
      <c r="N630" s="60"/>
      <c r="O630" s="61"/>
    </row>
    <row r="631" ht="12.0" customHeight="1">
      <c r="A631" s="53"/>
      <c r="B631" s="54"/>
      <c r="C631" s="54"/>
      <c r="D631" s="55"/>
      <c r="E631" s="55"/>
      <c r="F631" s="56" t="str">
        <f t="shared" si="7"/>
        <v/>
      </c>
      <c r="G631" s="55" t="str">
        <f t="shared" si="8"/>
        <v/>
      </c>
      <c r="H631" s="57" t="str">
        <f t="shared" si="9"/>
        <v/>
      </c>
      <c r="I631" s="58" t="str">
        <f t="shared" si="10"/>
        <v/>
      </c>
      <c r="J631" s="55" t="str">
        <f t="shared" si="11"/>
        <v/>
      </c>
      <c r="K631" s="59" t="str">
        <f t="shared" si="12"/>
        <v/>
      </c>
      <c r="L631" s="59" t="str">
        <f>IF(NOT(ISERROR(VLOOKUP(B631,Deflatores!G$42:H$64,2,FALSE))),VLOOKUP(B631,Deflatores!G$42:H$64,2,FALSE),IF(OR(ISBLANK(C631),ISBLANK(B631)),"",VLOOKUP(C631,Deflatores!G$4:H$38,2,FALSE)*H631+VLOOKUP(C631,Deflatores!G$4:I$38,3,FALSE)))</f>
        <v/>
      </c>
      <c r="M631" s="60"/>
      <c r="N631" s="60"/>
      <c r="O631" s="61"/>
    </row>
    <row r="632" ht="12.0" customHeight="1">
      <c r="A632" s="53"/>
      <c r="B632" s="54"/>
      <c r="C632" s="54"/>
      <c r="D632" s="55"/>
      <c r="E632" s="55"/>
      <c r="F632" s="56" t="str">
        <f t="shared" si="7"/>
        <v/>
      </c>
      <c r="G632" s="55" t="str">
        <f t="shared" si="8"/>
        <v/>
      </c>
      <c r="H632" s="57" t="str">
        <f t="shared" si="9"/>
        <v/>
      </c>
      <c r="I632" s="58" t="str">
        <f t="shared" si="10"/>
        <v/>
      </c>
      <c r="J632" s="55" t="str">
        <f t="shared" si="11"/>
        <v/>
      </c>
      <c r="K632" s="59" t="str">
        <f t="shared" si="12"/>
        <v/>
      </c>
      <c r="L632" s="59" t="str">
        <f>IF(NOT(ISERROR(VLOOKUP(B632,Deflatores!G$42:H$64,2,FALSE))),VLOOKUP(B632,Deflatores!G$42:H$64,2,FALSE),IF(OR(ISBLANK(C632),ISBLANK(B632)),"",VLOOKUP(C632,Deflatores!G$4:H$38,2,FALSE)*H632+VLOOKUP(C632,Deflatores!G$4:I$38,3,FALSE)))</f>
        <v/>
      </c>
      <c r="M632" s="60"/>
      <c r="N632" s="60"/>
      <c r="O632" s="61"/>
    </row>
    <row r="633" ht="12.0" customHeight="1">
      <c r="A633" s="53"/>
      <c r="B633" s="54"/>
      <c r="C633" s="54"/>
      <c r="D633" s="55"/>
      <c r="E633" s="55"/>
      <c r="F633" s="56" t="str">
        <f t="shared" si="7"/>
        <v/>
      </c>
      <c r="G633" s="55" t="str">
        <f t="shared" si="8"/>
        <v/>
      </c>
      <c r="H633" s="57" t="str">
        <f t="shared" si="9"/>
        <v/>
      </c>
      <c r="I633" s="58" t="str">
        <f t="shared" si="10"/>
        <v/>
      </c>
      <c r="J633" s="55" t="str">
        <f t="shared" si="11"/>
        <v/>
      </c>
      <c r="K633" s="59" t="str">
        <f t="shared" si="12"/>
        <v/>
      </c>
      <c r="L633" s="59" t="str">
        <f>IF(NOT(ISERROR(VLOOKUP(B633,Deflatores!G$42:H$64,2,FALSE))),VLOOKUP(B633,Deflatores!G$42:H$64,2,FALSE),IF(OR(ISBLANK(C633),ISBLANK(B633)),"",VLOOKUP(C633,Deflatores!G$4:H$38,2,FALSE)*H633+VLOOKUP(C633,Deflatores!G$4:I$38,3,FALSE)))</f>
        <v/>
      </c>
      <c r="M633" s="60"/>
      <c r="N633" s="60"/>
      <c r="O633" s="61"/>
    </row>
    <row r="634" ht="12.0" customHeight="1">
      <c r="A634" s="53"/>
      <c r="B634" s="54"/>
      <c r="C634" s="54"/>
      <c r="D634" s="55"/>
      <c r="E634" s="55"/>
      <c r="F634" s="56" t="str">
        <f t="shared" si="7"/>
        <v/>
      </c>
      <c r="G634" s="55" t="str">
        <f t="shared" si="8"/>
        <v/>
      </c>
      <c r="H634" s="57" t="str">
        <f t="shared" si="9"/>
        <v/>
      </c>
      <c r="I634" s="58" t="str">
        <f t="shared" si="10"/>
        <v/>
      </c>
      <c r="J634" s="55" t="str">
        <f t="shared" si="11"/>
        <v/>
      </c>
      <c r="K634" s="59" t="str">
        <f t="shared" si="12"/>
        <v/>
      </c>
      <c r="L634" s="59" t="str">
        <f>IF(NOT(ISERROR(VLOOKUP(B634,Deflatores!G$42:H$64,2,FALSE))),VLOOKUP(B634,Deflatores!G$42:H$64,2,FALSE),IF(OR(ISBLANK(C634),ISBLANK(B634)),"",VLOOKUP(C634,Deflatores!G$4:H$38,2,FALSE)*H634+VLOOKUP(C634,Deflatores!G$4:I$38,3,FALSE)))</f>
        <v/>
      </c>
      <c r="M634" s="60"/>
      <c r="N634" s="60"/>
      <c r="O634" s="61"/>
    </row>
    <row r="635" ht="12.0" customHeight="1">
      <c r="A635" s="53"/>
      <c r="B635" s="54"/>
      <c r="C635" s="54"/>
      <c r="D635" s="55"/>
      <c r="E635" s="55"/>
      <c r="F635" s="56" t="str">
        <f t="shared" si="7"/>
        <v/>
      </c>
      <c r="G635" s="55" t="str">
        <f t="shared" si="8"/>
        <v/>
      </c>
      <c r="H635" s="57" t="str">
        <f t="shared" si="9"/>
        <v/>
      </c>
      <c r="I635" s="58" t="str">
        <f t="shared" si="10"/>
        <v/>
      </c>
      <c r="J635" s="55" t="str">
        <f t="shared" si="11"/>
        <v/>
      </c>
      <c r="K635" s="59" t="str">
        <f t="shared" si="12"/>
        <v/>
      </c>
      <c r="L635" s="59" t="str">
        <f>IF(NOT(ISERROR(VLOOKUP(B635,Deflatores!G$42:H$64,2,FALSE))),VLOOKUP(B635,Deflatores!G$42:H$64,2,FALSE),IF(OR(ISBLANK(C635),ISBLANK(B635)),"",VLOOKUP(C635,Deflatores!G$4:H$38,2,FALSE)*H635+VLOOKUP(C635,Deflatores!G$4:I$38,3,FALSE)))</f>
        <v/>
      </c>
      <c r="M635" s="60"/>
      <c r="N635" s="60"/>
      <c r="O635" s="61"/>
    </row>
    <row r="636" ht="12.0" customHeight="1">
      <c r="A636" s="53"/>
      <c r="B636" s="54"/>
      <c r="C636" s="54"/>
      <c r="D636" s="55"/>
      <c r="E636" s="55"/>
      <c r="F636" s="56" t="str">
        <f t="shared" si="7"/>
        <v/>
      </c>
      <c r="G636" s="55" t="str">
        <f t="shared" si="8"/>
        <v/>
      </c>
      <c r="H636" s="57" t="str">
        <f t="shared" si="9"/>
        <v/>
      </c>
      <c r="I636" s="58" t="str">
        <f t="shared" si="10"/>
        <v/>
      </c>
      <c r="J636" s="55" t="str">
        <f t="shared" si="11"/>
        <v/>
      </c>
      <c r="K636" s="59" t="str">
        <f t="shared" si="12"/>
        <v/>
      </c>
      <c r="L636" s="59" t="str">
        <f>IF(NOT(ISERROR(VLOOKUP(B636,Deflatores!G$42:H$64,2,FALSE))),VLOOKUP(B636,Deflatores!G$42:H$64,2,FALSE),IF(OR(ISBLANK(C636),ISBLANK(B636)),"",VLOOKUP(C636,Deflatores!G$4:H$38,2,FALSE)*H636+VLOOKUP(C636,Deflatores!G$4:I$38,3,FALSE)))</f>
        <v/>
      </c>
      <c r="M636" s="60"/>
      <c r="N636" s="60"/>
      <c r="O636" s="61"/>
    </row>
    <row r="637" ht="12.0" customHeight="1">
      <c r="A637" s="53"/>
      <c r="B637" s="54"/>
      <c r="C637" s="54"/>
      <c r="D637" s="55"/>
      <c r="E637" s="55"/>
      <c r="F637" s="56" t="str">
        <f t="shared" si="7"/>
        <v/>
      </c>
      <c r="G637" s="55" t="str">
        <f t="shared" si="8"/>
        <v/>
      </c>
      <c r="H637" s="57" t="str">
        <f t="shared" si="9"/>
        <v/>
      </c>
      <c r="I637" s="58" t="str">
        <f t="shared" si="10"/>
        <v/>
      </c>
      <c r="J637" s="55" t="str">
        <f t="shared" si="11"/>
        <v/>
      </c>
      <c r="K637" s="59" t="str">
        <f t="shared" si="12"/>
        <v/>
      </c>
      <c r="L637" s="59" t="str">
        <f>IF(NOT(ISERROR(VLOOKUP(B637,Deflatores!G$42:H$64,2,FALSE))),VLOOKUP(B637,Deflatores!G$42:H$64,2,FALSE),IF(OR(ISBLANK(C637),ISBLANK(B637)),"",VLOOKUP(C637,Deflatores!G$4:H$38,2,FALSE)*H637+VLOOKUP(C637,Deflatores!G$4:I$38,3,FALSE)))</f>
        <v/>
      </c>
      <c r="M637" s="60"/>
      <c r="N637" s="60"/>
      <c r="O637" s="61"/>
    </row>
    <row r="638" ht="12.0" customHeight="1">
      <c r="A638" s="53"/>
      <c r="B638" s="54"/>
      <c r="C638" s="54"/>
      <c r="D638" s="55"/>
      <c r="E638" s="55"/>
      <c r="F638" s="56" t="str">
        <f t="shared" si="7"/>
        <v/>
      </c>
      <c r="G638" s="55" t="str">
        <f t="shared" si="8"/>
        <v/>
      </c>
      <c r="H638" s="57" t="str">
        <f t="shared" si="9"/>
        <v/>
      </c>
      <c r="I638" s="58" t="str">
        <f t="shared" si="10"/>
        <v/>
      </c>
      <c r="J638" s="55" t="str">
        <f t="shared" si="11"/>
        <v/>
      </c>
      <c r="K638" s="59" t="str">
        <f t="shared" si="12"/>
        <v/>
      </c>
      <c r="L638" s="59" t="str">
        <f>IF(NOT(ISERROR(VLOOKUP(B638,Deflatores!G$42:H$64,2,FALSE))),VLOOKUP(B638,Deflatores!G$42:H$64,2,FALSE),IF(OR(ISBLANK(C638),ISBLANK(B638)),"",VLOOKUP(C638,Deflatores!G$4:H$38,2,FALSE)*H638+VLOOKUP(C638,Deflatores!G$4:I$38,3,FALSE)))</f>
        <v/>
      </c>
      <c r="M638" s="60"/>
      <c r="N638" s="60"/>
      <c r="O638" s="61"/>
    </row>
    <row r="639" ht="12.0" customHeight="1">
      <c r="A639" s="53"/>
      <c r="B639" s="54"/>
      <c r="C639" s="54"/>
      <c r="D639" s="55"/>
      <c r="E639" s="55"/>
      <c r="F639" s="56" t="str">
        <f t="shared" si="7"/>
        <v/>
      </c>
      <c r="G639" s="55" t="str">
        <f t="shared" si="8"/>
        <v/>
      </c>
      <c r="H639" s="57" t="str">
        <f t="shared" si="9"/>
        <v/>
      </c>
      <c r="I639" s="58" t="str">
        <f t="shared" si="10"/>
        <v/>
      </c>
      <c r="J639" s="55" t="str">
        <f t="shared" si="11"/>
        <v/>
      </c>
      <c r="K639" s="59" t="str">
        <f t="shared" si="12"/>
        <v/>
      </c>
      <c r="L639" s="59" t="str">
        <f>IF(NOT(ISERROR(VLOOKUP(B639,Deflatores!G$42:H$64,2,FALSE))),VLOOKUP(B639,Deflatores!G$42:H$64,2,FALSE),IF(OR(ISBLANK(C639),ISBLANK(B639)),"",VLOOKUP(C639,Deflatores!G$4:H$38,2,FALSE)*H639+VLOOKUP(C639,Deflatores!G$4:I$38,3,FALSE)))</f>
        <v/>
      </c>
      <c r="M639" s="60"/>
      <c r="N639" s="60"/>
      <c r="O639" s="61"/>
    </row>
    <row r="640" ht="12.0" customHeight="1">
      <c r="A640" s="53"/>
      <c r="B640" s="54"/>
      <c r="C640" s="54"/>
      <c r="D640" s="55"/>
      <c r="E640" s="55"/>
      <c r="F640" s="56" t="str">
        <f t="shared" si="7"/>
        <v/>
      </c>
      <c r="G640" s="55" t="str">
        <f t="shared" si="8"/>
        <v/>
      </c>
      <c r="H640" s="57" t="str">
        <f t="shared" si="9"/>
        <v/>
      </c>
      <c r="I640" s="58" t="str">
        <f t="shared" si="10"/>
        <v/>
      </c>
      <c r="J640" s="55" t="str">
        <f t="shared" si="11"/>
        <v/>
      </c>
      <c r="K640" s="59" t="str">
        <f t="shared" si="12"/>
        <v/>
      </c>
      <c r="L640" s="59" t="str">
        <f>IF(NOT(ISERROR(VLOOKUP(B640,Deflatores!G$42:H$64,2,FALSE))),VLOOKUP(B640,Deflatores!G$42:H$64,2,FALSE),IF(OR(ISBLANK(C640),ISBLANK(B640)),"",VLOOKUP(C640,Deflatores!G$4:H$38,2,FALSE)*H640+VLOOKUP(C640,Deflatores!G$4:I$38,3,FALSE)))</f>
        <v/>
      </c>
      <c r="M640" s="60"/>
      <c r="N640" s="60"/>
      <c r="O640" s="61"/>
    </row>
    <row r="641" ht="12.0" customHeight="1">
      <c r="A641" s="53"/>
      <c r="B641" s="54"/>
      <c r="C641" s="54"/>
      <c r="D641" s="55"/>
      <c r="E641" s="55"/>
      <c r="F641" s="56" t="str">
        <f t="shared" si="7"/>
        <v/>
      </c>
      <c r="G641" s="55" t="str">
        <f t="shared" si="8"/>
        <v/>
      </c>
      <c r="H641" s="57" t="str">
        <f t="shared" si="9"/>
        <v/>
      </c>
      <c r="I641" s="58" t="str">
        <f t="shared" si="10"/>
        <v/>
      </c>
      <c r="J641" s="55" t="str">
        <f t="shared" si="11"/>
        <v/>
      </c>
      <c r="K641" s="59" t="str">
        <f t="shared" si="12"/>
        <v/>
      </c>
      <c r="L641" s="59" t="str">
        <f>IF(NOT(ISERROR(VLOOKUP(B641,Deflatores!G$42:H$64,2,FALSE))),VLOOKUP(B641,Deflatores!G$42:H$64,2,FALSE),IF(OR(ISBLANK(C641),ISBLANK(B641)),"",VLOOKUP(C641,Deflatores!G$4:H$38,2,FALSE)*H641+VLOOKUP(C641,Deflatores!G$4:I$38,3,FALSE)))</f>
        <v/>
      </c>
      <c r="M641" s="60"/>
      <c r="N641" s="60"/>
      <c r="O641" s="61"/>
    </row>
    <row r="642" ht="12.0" customHeight="1">
      <c r="A642" s="53"/>
      <c r="B642" s="54"/>
      <c r="C642" s="54"/>
      <c r="D642" s="55"/>
      <c r="E642" s="55"/>
      <c r="F642" s="56" t="str">
        <f t="shared" si="7"/>
        <v/>
      </c>
      <c r="G642" s="55" t="str">
        <f t="shared" si="8"/>
        <v/>
      </c>
      <c r="H642" s="57" t="str">
        <f t="shared" si="9"/>
        <v/>
      </c>
      <c r="I642" s="58" t="str">
        <f t="shared" si="10"/>
        <v/>
      </c>
      <c r="J642" s="55" t="str">
        <f t="shared" si="11"/>
        <v/>
      </c>
      <c r="K642" s="59" t="str">
        <f t="shared" si="12"/>
        <v/>
      </c>
      <c r="L642" s="59" t="str">
        <f>IF(NOT(ISERROR(VLOOKUP(B642,Deflatores!G$42:H$64,2,FALSE))),VLOOKUP(B642,Deflatores!G$42:H$64,2,FALSE),IF(OR(ISBLANK(C642),ISBLANK(B642)),"",VLOOKUP(C642,Deflatores!G$4:H$38,2,FALSE)*H642+VLOOKUP(C642,Deflatores!G$4:I$38,3,FALSE)))</f>
        <v/>
      </c>
      <c r="M642" s="60"/>
      <c r="N642" s="60"/>
      <c r="O642" s="61"/>
    </row>
    <row r="643" ht="12.0" customHeight="1">
      <c r="A643" s="53"/>
      <c r="B643" s="54"/>
      <c r="C643" s="54"/>
      <c r="D643" s="55"/>
      <c r="E643" s="55"/>
      <c r="F643" s="56" t="str">
        <f t="shared" si="7"/>
        <v/>
      </c>
      <c r="G643" s="55" t="str">
        <f t="shared" si="8"/>
        <v/>
      </c>
      <c r="H643" s="57" t="str">
        <f t="shared" si="9"/>
        <v/>
      </c>
      <c r="I643" s="58" t="str">
        <f t="shared" si="10"/>
        <v/>
      </c>
      <c r="J643" s="55" t="str">
        <f t="shared" si="11"/>
        <v/>
      </c>
      <c r="K643" s="59" t="str">
        <f t="shared" si="12"/>
        <v/>
      </c>
      <c r="L643" s="59" t="str">
        <f>IF(NOT(ISERROR(VLOOKUP(B643,Deflatores!G$42:H$64,2,FALSE))),VLOOKUP(B643,Deflatores!G$42:H$64,2,FALSE),IF(OR(ISBLANK(C643),ISBLANK(B643)),"",VLOOKUP(C643,Deflatores!G$4:H$38,2,FALSE)*H643+VLOOKUP(C643,Deflatores!G$4:I$38,3,FALSE)))</f>
        <v/>
      </c>
      <c r="M643" s="60"/>
      <c r="N643" s="60"/>
      <c r="O643" s="61"/>
    </row>
    <row r="644" ht="12.0" customHeight="1">
      <c r="A644" s="53"/>
      <c r="B644" s="54"/>
      <c r="C644" s="54"/>
      <c r="D644" s="55"/>
      <c r="E644" s="55"/>
      <c r="F644" s="56" t="str">
        <f t="shared" si="7"/>
        <v/>
      </c>
      <c r="G644" s="55" t="str">
        <f t="shared" si="8"/>
        <v/>
      </c>
      <c r="H644" s="57" t="str">
        <f t="shared" si="9"/>
        <v/>
      </c>
      <c r="I644" s="58" t="str">
        <f t="shared" si="10"/>
        <v/>
      </c>
      <c r="J644" s="55" t="str">
        <f t="shared" si="11"/>
        <v/>
      </c>
      <c r="K644" s="59" t="str">
        <f t="shared" si="12"/>
        <v/>
      </c>
      <c r="L644" s="59" t="str">
        <f>IF(NOT(ISERROR(VLOOKUP(B644,Deflatores!G$42:H$64,2,FALSE))),VLOOKUP(B644,Deflatores!G$42:H$64,2,FALSE),IF(OR(ISBLANK(C644),ISBLANK(B644)),"",VLOOKUP(C644,Deflatores!G$4:H$38,2,FALSE)*H644+VLOOKUP(C644,Deflatores!G$4:I$38,3,FALSE)))</f>
        <v/>
      </c>
      <c r="M644" s="60"/>
      <c r="N644" s="60"/>
      <c r="O644" s="61"/>
    </row>
    <row r="645" ht="12.0" customHeight="1">
      <c r="A645" s="53"/>
      <c r="B645" s="54"/>
      <c r="C645" s="54"/>
      <c r="D645" s="55"/>
      <c r="E645" s="55"/>
      <c r="F645" s="56" t="str">
        <f t="shared" si="7"/>
        <v/>
      </c>
      <c r="G645" s="55" t="str">
        <f t="shared" si="8"/>
        <v/>
      </c>
      <c r="H645" s="57" t="str">
        <f t="shared" si="9"/>
        <v/>
      </c>
      <c r="I645" s="58" t="str">
        <f t="shared" si="10"/>
        <v/>
      </c>
      <c r="J645" s="55" t="str">
        <f t="shared" si="11"/>
        <v/>
      </c>
      <c r="K645" s="59" t="str">
        <f t="shared" si="12"/>
        <v/>
      </c>
      <c r="L645" s="59" t="str">
        <f>IF(NOT(ISERROR(VLOOKUP(B645,Deflatores!G$42:H$64,2,FALSE))),VLOOKUP(B645,Deflatores!G$42:H$64,2,FALSE),IF(OR(ISBLANK(C645),ISBLANK(B645)),"",VLOOKUP(C645,Deflatores!G$4:H$38,2,FALSE)*H645+VLOOKUP(C645,Deflatores!G$4:I$38,3,FALSE)))</f>
        <v/>
      </c>
      <c r="M645" s="60"/>
      <c r="N645" s="60"/>
      <c r="O645" s="61"/>
    </row>
    <row r="646" ht="12.0" customHeight="1">
      <c r="A646" s="53"/>
      <c r="B646" s="54"/>
      <c r="C646" s="54"/>
      <c r="D646" s="55"/>
      <c r="E646" s="55"/>
      <c r="F646" s="56" t="str">
        <f t="shared" si="7"/>
        <v/>
      </c>
      <c r="G646" s="55" t="str">
        <f t="shared" si="8"/>
        <v/>
      </c>
      <c r="H646" s="57" t="str">
        <f t="shared" si="9"/>
        <v/>
      </c>
      <c r="I646" s="58" t="str">
        <f t="shared" si="10"/>
        <v/>
      </c>
      <c r="J646" s="55" t="str">
        <f t="shared" si="11"/>
        <v/>
      </c>
      <c r="K646" s="59" t="str">
        <f t="shared" si="12"/>
        <v/>
      </c>
      <c r="L646" s="59" t="str">
        <f>IF(NOT(ISERROR(VLOOKUP(B646,Deflatores!G$42:H$64,2,FALSE))),VLOOKUP(B646,Deflatores!G$42:H$64,2,FALSE),IF(OR(ISBLANK(C646),ISBLANK(B646)),"",VLOOKUP(C646,Deflatores!G$4:H$38,2,FALSE)*H646+VLOOKUP(C646,Deflatores!G$4:I$38,3,FALSE)))</f>
        <v/>
      </c>
      <c r="M646" s="60"/>
      <c r="N646" s="60"/>
      <c r="O646" s="61"/>
    </row>
    <row r="647" ht="12.0" customHeight="1">
      <c r="A647" s="53"/>
      <c r="B647" s="54"/>
      <c r="C647" s="54"/>
      <c r="D647" s="55"/>
      <c r="E647" s="55"/>
      <c r="F647" s="56" t="str">
        <f t="shared" si="7"/>
        <v/>
      </c>
      <c r="G647" s="55" t="str">
        <f t="shared" si="8"/>
        <v/>
      </c>
      <c r="H647" s="57" t="str">
        <f t="shared" si="9"/>
        <v/>
      </c>
      <c r="I647" s="58" t="str">
        <f t="shared" si="10"/>
        <v/>
      </c>
      <c r="J647" s="55" t="str">
        <f t="shared" si="11"/>
        <v/>
      </c>
      <c r="K647" s="59" t="str">
        <f t="shared" si="12"/>
        <v/>
      </c>
      <c r="L647" s="59" t="str">
        <f>IF(NOT(ISERROR(VLOOKUP(B647,Deflatores!G$42:H$64,2,FALSE))),VLOOKUP(B647,Deflatores!G$42:H$64,2,FALSE),IF(OR(ISBLANK(C647),ISBLANK(B647)),"",VLOOKUP(C647,Deflatores!G$4:H$38,2,FALSE)*H647+VLOOKUP(C647,Deflatores!G$4:I$38,3,FALSE)))</f>
        <v/>
      </c>
      <c r="M647" s="60"/>
      <c r="N647" s="60"/>
      <c r="O647" s="61"/>
    </row>
    <row r="648" ht="12.0" customHeight="1">
      <c r="A648" s="53"/>
      <c r="B648" s="54"/>
      <c r="C648" s="54"/>
      <c r="D648" s="55"/>
      <c r="E648" s="55"/>
      <c r="F648" s="56" t="str">
        <f t="shared" si="7"/>
        <v/>
      </c>
      <c r="G648" s="55" t="str">
        <f t="shared" si="8"/>
        <v/>
      </c>
      <c r="H648" s="57" t="str">
        <f t="shared" si="9"/>
        <v/>
      </c>
      <c r="I648" s="58" t="str">
        <f t="shared" si="10"/>
        <v/>
      </c>
      <c r="J648" s="55" t="str">
        <f t="shared" si="11"/>
        <v/>
      </c>
      <c r="K648" s="59" t="str">
        <f t="shared" si="12"/>
        <v/>
      </c>
      <c r="L648" s="59" t="str">
        <f>IF(NOT(ISERROR(VLOOKUP(B648,Deflatores!G$42:H$64,2,FALSE))),VLOOKUP(B648,Deflatores!G$42:H$64,2,FALSE),IF(OR(ISBLANK(C648),ISBLANK(B648)),"",VLOOKUP(C648,Deflatores!G$4:H$38,2,FALSE)*H648+VLOOKUP(C648,Deflatores!G$4:I$38,3,FALSE)))</f>
        <v/>
      </c>
      <c r="M648" s="60"/>
      <c r="N648" s="60"/>
      <c r="O648" s="61"/>
    </row>
    <row r="649" ht="12.0" customHeight="1">
      <c r="A649" s="53"/>
      <c r="B649" s="54"/>
      <c r="C649" s="54"/>
      <c r="D649" s="55"/>
      <c r="E649" s="55"/>
      <c r="F649" s="56" t="str">
        <f t="shared" si="7"/>
        <v/>
      </c>
      <c r="G649" s="55" t="str">
        <f t="shared" si="8"/>
        <v/>
      </c>
      <c r="H649" s="57" t="str">
        <f t="shared" si="9"/>
        <v/>
      </c>
      <c r="I649" s="58" t="str">
        <f t="shared" si="10"/>
        <v/>
      </c>
      <c r="J649" s="55" t="str">
        <f t="shared" si="11"/>
        <v/>
      </c>
      <c r="K649" s="59" t="str">
        <f t="shared" si="12"/>
        <v/>
      </c>
      <c r="L649" s="59" t="str">
        <f>IF(NOT(ISERROR(VLOOKUP(B649,Deflatores!G$42:H$64,2,FALSE))),VLOOKUP(B649,Deflatores!G$42:H$64,2,FALSE),IF(OR(ISBLANK(C649),ISBLANK(B649)),"",VLOOKUP(C649,Deflatores!G$4:H$38,2,FALSE)*H649+VLOOKUP(C649,Deflatores!G$4:I$38,3,FALSE)))</f>
        <v/>
      </c>
      <c r="M649" s="60"/>
      <c r="N649" s="60"/>
      <c r="O649" s="61"/>
    </row>
    <row r="650" ht="12.0" customHeight="1">
      <c r="A650" s="53"/>
      <c r="B650" s="54"/>
      <c r="C650" s="54"/>
      <c r="D650" s="55"/>
      <c r="E650" s="55"/>
      <c r="F650" s="56" t="str">
        <f t="shared" si="7"/>
        <v/>
      </c>
      <c r="G650" s="55" t="str">
        <f t="shared" si="8"/>
        <v/>
      </c>
      <c r="H650" s="57" t="str">
        <f t="shared" si="9"/>
        <v/>
      </c>
      <c r="I650" s="58" t="str">
        <f t="shared" si="10"/>
        <v/>
      </c>
      <c r="J650" s="55" t="str">
        <f t="shared" si="11"/>
        <v/>
      </c>
      <c r="K650" s="59" t="str">
        <f t="shared" si="12"/>
        <v/>
      </c>
      <c r="L650" s="59" t="str">
        <f>IF(NOT(ISERROR(VLOOKUP(B650,Deflatores!G$42:H$64,2,FALSE))),VLOOKUP(B650,Deflatores!G$42:H$64,2,FALSE),IF(OR(ISBLANK(C650),ISBLANK(B650)),"",VLOOKUP(C650,Deflatores!G$4:H$38,2,FALSE)*H650+VLOOKUP(C650,Deflatores!G$4:I$38,3,FALSE)))</f>
        <v/>
      </c>
      <c r="M650" s="60"/>
      <c r="N650" s="60"/>
      <c r="O650" s="61"/>
    </row>
    <row r="651" ht="12.0" customHeight="1">
      <c r="A651" s="53"/>
      <c r="B651" s="54"/>
      <c r="C651" s="54"/>
      <c r="D651" s="55"/>
      <c r="E651" s="55"/>
      <c r="F651" s="56" t="str">
        <f t="shared" si="7"/>
        <v/>
      </c>
      <c r="G651" s="55" t="str">
        <f t="shared" si="8"/>
        <v/>
      </c>
      <c r="H651" s="57" t="str">
        <f t="shared" si="9"/>
        <v/>
      </c>
      <c r="I651" s="58" t="str">
        <f t="shared" si="10"/>
        <v/>
      </c>
      <c r="J651" s="55" t="str">
        <f t="shared" si="11"/>
        <v/>
      </c>
      <c r="K651" s="59" t="str">
        <f t="shared" si="12"/>
        <v/>
      </c>
      <c r="L651" s="59" t="str">
        <f>IF(NOT(ISERROR(VLOOKUP(B651,Deflatores!G$42:H$64,2,FALSE))),VLOOKUP(B651,Deflatores!G$42:H$64,2,FALSE),IF(OR(ISBLANK(C651),ISBLANK(B651)),"",VLOOKUP(C651,Deflatores!G$4:H$38,2,FALSE)*H651+VLOOKUP(C651,Deflatores!G$4:I$38,3,FALSE)))</f>
        <v/>
      </c>
      <c r="M651" s="60"/>
      <c r="N651" s="60"/>
      <c r="O651" s="61"/>
    </row>
    <row r="652" ht="12.0" customHeight="1">
      <c r="A652" s="53"/>
      <c r="B652" s="54"/>
      <c r="C652" s="54"/>
      <c r="D652" s="55"/>
      <c r="E652" s="55"/>
      <c r="F652" s="56" t="str">
        <f t="shared" si="7"/>
        <v/>
      </c>
      <c r="G652" s="55" t="str">
        <f t="shared" si="8"/>
        <v/>
      </c>
      <c r="H652" s="57" t="str">
        <f t="shared" si="9"/>
        <v/>
      </c>
      <c r="I652" s="58" t="str">
        <f t="shared" si="10"/>
        <v/>
      </c>
      <c r="J652" s="55" t="str">
        <f t="shared" si="11"/>
        <v/>
      </c>
      <c r="K652" s="59" t="str">
        <f t="shared" si="12"/>
        <v/>
      </c>
      <c r="L652" s="59" t="str">
        <f>IF(NOT(ISERROR(VLOOKUP(B652,Deflatores!G$42:H$64,2,FALSE))),VLOOKUP(B652,Deflatores!G$42:H$64,2,FALSE),IF(OR(ISBLANK(C652),ISBLANK(B652)),"",VLOOKUP(C652,Deflatores!G$4:H$38,2,FALSE)*H652+VLOOKUP(C652,Deflatores!G$4:I$38,3,FALSE)))</f>
        <v/>
      </c>
      <c r="M652" s="60"/>
      <c r="N652" s="60"/>
      <c r="O652" s="61"/>
    </row>
    <row r="653" ht="12.0" customHeight="1">
      <c r="A653" s="53"/>
      <c r="B653" s="54"/>
      <c r="C653" s="54"/>
      <c r="D653" s="55"/>
      <c r="E653" s="55"/>
      <c r="F653" s="56" t="str">
        <f t="shared" si="7"/>
        <v/>
      </c>
      <c r="G653" s="55" t="str">
        <f t="shared" si="8"/>
        <v/>
      </c>
      <c r="H653" s="57" t="str">
        <f t="shared" si="9"/>
        <v/>
      </c>
      <c r="I653" s="58" t="str">
        <f t="shared" si="10"/>
        <v/>
      </c>
      <c r="J653" s="55" t="str">
        <f t="shared" si="11"/>
        <v/>
      </c>
      <c r="K653" s="59" t="str">
        <f t="shared" si="12"/>
        <v/>
      </c>
      <c r="L653" s="59" t="str">
        <f>IF(NOT(ISERROR(VLOOKUP(B653,Deflatores!G$42:H$64,2,FALSE))),VLOOKUP(B653,Deflatores!G$42:H$64,2,FALSE),IF(OR(ISBLANK(C653),ISBLANK(B653)),"",VLOOKUP(C653,Deflatores!G$4:H$38,2,FALSE)*H653+VLOOKUP(C653,Deflatores!G$4:I$38,3,FALSE)))</f>
        <v/>
      </c>
      <c r="M653" s="60"/>
      <c r="N653" s="60"/>
      <c r="O653" s="61"/>
    </row>
    <row r="654" ht="12.0" customHeight="1">
      <c r="A654" s="53"/>
      <c r="B654" s="54"/>
      <c r="C654" s="54"/>
      <c r="D654" s="55"/>
      <c r="E654" s="55"/>
      <c r="F654" s="56" t="str">
        <f t="shared" si="7"/>
        <v/>
      </c>
      <c r="G654" s="55" t="str">
        <f t="shared" si="8"/>
        <v/>
      </c>
      <c r="H654" s="57" t="str">
        <f t="shared" si="9"/>
        <v/>
      </c>
      <c r="I654" s="58" t="str">
        <f t="shared" si="10"/>
        <v/>
      </c>
      <c r="J654" s="55" t="str">
        <f t="shared" si="11"/>
        <v/>
      </c>
      <c r="K654" s="59" t="str">
        <f t="shared" si="12"/>
        <v/>
      </c>
      <c r="L654" s="59" t="str">
        <f>IF(NOT(ISERROR(VLOOKUP(B654,Deflatores!G$42:H$64,2,FALSE))),VLOOKUP(B654,Deflatores!G$42:H$64,2,FALSE),IF(OR(ISBLANK(C654),ISBLANK(B654)),"",VLOOKUP(C654,Deflatores!G$4:H$38,2,FALSE)*H654+VLOOKUP(C654,Deflatores!G$4:I$38,3,FALSE)))</f>
        <v/>
      </c>
      <c r="M654" s="60"/>
      <c r="N654" s="60"/>
      <c r="O654" s="61"/>
    </row>
    <row r="655" ht="12.0" customHeight="1">
      <c r="A655" s="53"/>
      <c r="B655" s="54"/>
      <c r="C655" s="54"/>
      <c r="D655" s="55"/>
      <c r="E655" s="55"/>
      <c r="F655" s="56" t="str">
        <f t="shared" si="7"/>
        <v/>
      </c>
      <c r="G655" s="55" t="str">
        <f t="shared" si="8"/>
        <v/>
      </c>
      <c r="H655" s="57" t="str">
        <f t="shared" si="9"/>
        <v/>
      </c>
      <c r="I655" s="58" t="str">
        <f t="shared" si="10"/>
        <v/>
      </c>
      <c r="J655" s="55" t="str">
        <f t="shared" si="11"/>
        <v/>
      </c>
      <c r="K655" s="59" t="str">
        <f t="shared" si="12"/>
        <v/>
      </c>
      <c r="L655" s="59" t="str">
        <f>IF(NOT(ISERROR(VLOOKUP(B655,Deflatores!G$42:H$64,2,FALSE))),VLOOKUP(B655,Deflatores!G$42:H$64,2,FALSE),IF(OR(ISBLANK(C655),ISBLANK(B655)),"",VLOOKUP(C655,Deflatores!G$4:H$38,2,FALSE)*H655+VLOOKUP(C655,Deflatores!G$4:I$38,3,FALSE)))</f>
        <v/>
      </c>
      <c r="M655" s="60"/>
      <c r="N655" s="60"/>
      <c r="O655" s="61"/>
    </row>
    <row r="656" ht="12.0" customHeight="1">
      <c r="A656" s="53"/>
      <c r="B656" s="54"/>
      <c r="C656" s="54"/>
      <c r="D656" s="55"/>
      <c r="E656" s="55"/>
      <c r="F656" s="56" t="str">
        <f t="shared" si="7"/>
        <v/>
      </c>
      <c r="G656" s="55" t="str">
        <f t="shared" si="8"/>
        <v/>
      </c>
      <c r="H656" s="57" t="str">
        <f t="shared" si="9"/>
        <v/>
      </c>
      <c r="I656" s="58" t="str">
        <f t="shared" si="10"/>
        <v/>
      </c>
      <c r="J656" s="55" t="str">
        <f t="shared" si="11"/>
        <v/>
      </c>
      <c r="K656" s="59" t="str">
        <f t="shared" si="12"/>
        <v/>
      </c>
      <c r="L656" s="59" t="str">
        <f>IF(NOT(ISERROR(VLOOKUP(B656,Deflatores!G$42:H$64,2,FALSE))),VLOOKUP(B656,Deflatores!G$42:H$64,2,FALSE),IF(OR(ISBLANK(C656),ISBLANK(B656)),"",VLOOKUP(C656,Deflatores!G$4:H$38,2,FALSE)*H656+VLOOKUP(C656,Deflatores!G$4:I$38,3,FALSE)))</f>
        <v/>
      </c>
      <c r="M656" s="60"/>
      <c r="N656" s="60"/>
      <c r="O656" s="61"/>
    </row>
    <row r="657" ht="12.0" customHeight="1">
      <c r="A657" s="53"/>
      <c r="B657" s="54"/>
      <c r="C657" s="54"/>
      <c r="D657" s="55"/>
      <c r="E657" s="55"/>
      <c r="F657" s="56" t="str">
        <f t="shared" si="7"/>
        <v/>
      </c>
      <c r="G657" s="55" t="str">
        <f t="shared" si="8"/>
        <v/>
      </c>
      <c r="H657" s="57" t="str">
        <f t="shared" si="9"/>
        <v/>
      </c>
      <c r="I657" s="58" t="str">
        <f t="shared" si="10"/>
        <v/>
      </c>
      <c r="J657" s="55" t="str">
        <f t="shared" si="11"/>
        <v/>
      </c>
      <c r="K657" s="59" t="str">
        <f t="shared" si="12"/>
        <v/>
      </c>
      <c r="L657" s="59" t="str">
        <f>IF(NOT(ISERROR(VLOOKUP(B657,Deflatores!G$42:H$64,2,FALSE))),VLOOKUP(B657,Deflatores!G$42:H$64,2,FALSE),IF(OR(ISBLANK(C657),ISBLANK(B657)),"",VLOOKUP(C657,Deflatores!G$4:H$38,2,FALSE)*H657+VLOOKUP(C657,Deflatores!G$4:I$38,3,FALSE)))</f>
        <v/>
      </c>
      <c r="M657" s="60"/>
      <c r="N657" s="60"/>
      <c r="O657" s="61"/>
    </row>
    <row r="658" ht="12.0" customHeight="1">
      <c r="A658" s="53"/>
      <c r="B658" s="54"/>
      <c r="C658" s="54"/>
      <c r="D658" s="55"/>
      <c r="E658" s="55"/>
      <c r="F658" s="56" t="str">
        <f t="shared" si="7"/>
        <v/>
      </c>
      <c r="G658" s="55" t="str">
        <f t="shared" si="8"/>
        <v/>
      </c>
      <c r="H658" s="57" t="str">
        <f t="shared" si="9"/>
        <v/>
      </c>
      <c r="I658" s="58" t="str">
        <f t="shared" si="10"/>
        <v/>
      </c>
      <c r="J658" s="55" t="str">
        <f t="shared" si="11"/>
        <v/>
      </c>
      <c r="K658" s="59" t="str">
        <f t="shared" si="12"/>
        <v/>
      </c>
      <c r="L658" s="59" t="str">
        <f>IF(NOT(ISERROR(VLOOKUP(B658,Deflatores!G$42:H$64,2,FALSE))),VLOOKUP(B658,Deflatores!G$42:H$64,2,FALSE),IF(OR(ISBLANK(C658),ISBLANK(B658)),"",VLOOKUP(C658,Deflatores!G$4:H$38,2,FALSE)*H658+VLOOKUP(C658,Deflatores!G$4:I$38,3,FALSE)))</f>
        <v/>
      </c>
      <c r="M658" s="60"/>
      <c r="N658" s="60"/>
      <c r="O658" s="61"/>
    </row>
    <row r="659" ht="12.0" customHeight="1">
      <c r="A659" s="53"/>
      <c r="B659" s="54"/>
      <c r="C659" s="54"/>
      <c r="D659" s="55"/>
      <c r="E659" s="55"/>
      <c r="F659" s="56" t="str">
        <f t="shared" si="7"/>
        <v/>
      </c>
      <c r="G659" s="55" t="str">
        <f t="shared" si="8"/>
        <v/>
      </c>
      <c r="H659" s="57" t="str">
        <f t="shared" si="9"/>
        <v/>
      </c>
      <c r="I659" s="58" t="str">
        <f t="shared" si="10"/>
        <v/>
      </c>
      <c r="J659" s="55" t="str">
        <f t="shared" si="11"/>
        <v/>
      </c>
      <c r="K659" s="59" t="str">
        <f t="shared" si="12"/>
        <v/>
      </c>
      <c r="L659" s="59" t="str">
        <f>IF(NOT(ISERROR(VLOOKUP(B659,Deflatores!G$42:H$64,2,FALSE))),VLOOKUP(B659,Deflatores!G$42:H$64,2,FALSE),IF(OR(ISBLANK(C659),ISBLANK(B659)),"",VLOOKUP(C659,Deflatores!G$4:H$38,2,FALSE)*H659+VLOOKUP(C659,Deflatores!G$4:I$38,3,FALSE)))</f>
        <v/>
      </c>
      <c r="M659" s="60"/>
      <c r="N659" s="60"/>
      <c r="O659" s="61"/>
    </row>
    <row r="660" ht="12.0" customHeight="1">
      <c r="A660" s="53"/>
      <c r="B660" s="54"/>
      <c r="C660" s="54"/>
      <c r="D660" s="55"/>
      <c r="E660" s="55"/>
      <c r="F660" s="56" t="str">
        <f t="shared" si="7"/>
        <v/>
      </c>
      <c r="G660" s="55" t="str">
        <f t="shared" si="8"/>
        <v/>
      </c>
      <c r="H660" s="57" t="str">
        <f t="shared" si="9"/>
        <v/>
      </c>
      <c r="I660" s="58" t="str">
        <f t="shared" si="10"/>
        <v/>
      </c>
      <c r="J660" s="55" t="str">
        <f t="shared" si="11"/>
        <v/>
      </c>
      <c r="K660" s="59" t="str">
        <f t="shared" si="12"/>
        <v/>
      </c>
      <c r="L660" s="59" t="str">
        <f>IF(NOT(ISERROR(VLOOKUP(B660,Deflatores!G$42:H$64,2,FALSE))),VLOOKUP(B660,Deflatores!G$42:H$64,2,FALSE),IF(OR(ISBLANK(C660),ISBLANK(B660)),"",VLOOKUP(C660,Deflatores!G$4:H$38,2,FALSE)*H660+VLOOKUP(C660,Deflatores!G$4:I$38,3,FALSE)))</f>
        <v/>
      </c>
      <c r="M660" s="60"/>
      <c r="N660" s="60"/>
      <c r="O660" s="61"/>
    </row>
    <row r="661" ht="12.0" customHeight="1">
      <c r="A661" s="53"/>
      <c r="B661" s="54"/>
      <c r="C661" s="54"/>
      <c r="D661" s="55"/>
      <c r="E661" s="55"/>
      <c r="F661" s="56" t="str">
        <f t="shared" si="7"/>
        <v/>
      </c>
      <c r="G661" s="55" t="str">
        <f t="shared" si="8"/>
        <v/>
      </c>
      <c r="H661" s="57" t="str">
        <f t="shared" si="9"/>
        <v/>
      </c>
      <c r="I661" s="58" t="str">
        <f t="shared" si="10"/>
        <v/>
      </c>
      <c r="J661" s="55" t="str">
        <f t="shared" si="11"/>
        <v/>
      </c>
      <c r="K661" s="59" t="str">
        <f t="shared" si="12"/>
        <v/>
      </c>
      <c r="L661" s="59" t="str">
        <f>IF(NOT(ISERROR(VLOOKUP(B661,Deflatores!G$42:H$64,2,FALSE))),VLOOKUP(B661,Deflatores!G$42:H$64,2,FALSE),IF(OR(ISBLANK(C661),ISBLANK(B661)),"",VLOOKUP(C661,Deflatores!G$4:H$38,2,FALSE)*H661+VLOOKUP(C661,Deflatores!G$4:I$38,3,FALSE)))</f>
        <v/>
      </c>
      <c r="M661" s="60"/>
      <c r="N661" s="60"/>
      <c r="O661" s="61"/>
    </row>
    <row r="662" ht="12.0" customHeight="1">
      <c r="A662" s="53"/>
      <c r="B662" s="54"/>
      <c r="C662" s="54"/>
      <c r="D662" s="55"/>
      <c r="E662" s="55"/>
      <c r="F662" s="56" t="str">
        <f t="shared" si="7"/>
        <v/>
      </c>
      <c r="G662" s="55" t="str">
        <f t="shared" si="8"/>
        <v/>
      </c>
      <c r="H662" s="57" t="str">
        <f t="shared" si="9"/>
        <v/>
      </c>
      <c r="I662" s="58" t="str">
        <f t="shared" si="10"/>
        <v/>
      </c>
      <c r="J662" s="55" t="str">
        <f t="shared" si="11"/>
        <v/>
      </c>
      <c r="K662" s="59" t="str">
        <f t="shared" si="12"/>
        <v/>
      </c>
      <c r="L662" s="59" t="str">
        <f>IF(NOT(ISERROR(VLOOKUP(B662,Deflatores!G$42:H$64,2,FALSE))),VLOOKUP(B662,Deflatores!G$42:H$64,2,FALSE),IF(OR(ISBLANK(C662),ISBLANK(B662)),"",VLOOKUP(C662,Deflatores!G$4:H$38,2,FALSE)*H662+VLOOKUP(C662,Deflatores!G$4:I$38,3,FALSE)))</f>
        <v/>
      </c>
      <c r="M662" s="60"/>
      <c r="N662" s="60"/>
      <c r="O662" s="61"/>
    </row>
    <row r="663" ht="12.0" customHeight="1">
      <c r="A663" s="53"/>
      <c r="B663" s="54"/>
      <c r="C663" s="54"/>
      <c r="D663" s="55"/>
      <c r="E663" s="55"/>
      <c r="F663" s="56" t="str">
        <f t="shared" si="7"/>
        <v/>
      </c>
      <c r="G663" s="55" t="str">
        <f t="shared" si="8"/>
        <v/>
      </c>
      <c r="H663" s="57" t="str">
        <f t="shared" si="9"/>
        <v/>
      </c>
      <c r="I663" s="58" t="str">
        <f t="shared" si="10"/>
        <v/>
      </c>
      <c r="J663" s="55" t="str">
        <f t="shared" si="11"/>
        <v/>
      </c>
      <c r="K663" s="59" t="str">
        <f t="shared" si="12"/>
        <v/>
      </c>
      <c r="L663" s="59" t="str">
        <f>IF(NOT(ISERROR(VLOOKUP(B663,Deflatores!G$42:H$64,2,FALSE))),VLOOKUP(B663,Deflatores!G$42:H$64,2,FALSE),IF(OR(ISBLANK(C663),ISBLANK(B663)),"",VLOOKUP(C663,Deflatores!G$4:H$38,2,FALSE)*H663+VLOOKUP(C663,Deflatores!G$4:I$38,3,FALSE)))</f>
        <v/>
      </c>
      <c r="M663" s="60"/>
      <c r="N663" s="60"/>
      <c r="O663" s="61"/>
    </row>
    <row r="664" ht="12.0" customHeight="1">
      <c r="A664" s="53"/>
      <c r="B664" s="54"/>
      <c r="C664" s="54"/>
      <c r="D664" s="55"/>
      <c r="E664" s="55"/>
      <c r="F664" s="56" t="str">
        <f t="shared" si="7"/>
        <v/>
      </c>
      <c r="G664" s="55" t="str">
        <f t="shared" si="8"/>
        <v/>
      </c>
      <c r="H664" s="57" t="str">
        <f t="shared" si="9"/>
        <v/>
      </c>
      <c r="I664" s="58" t="str">
        <f t="shared" si="10"/>
        <v/>
      </c>
      <c r="J664" s="55" t="str">
        <f t="shared" si="11"/>
        <v/>
      </c>
      <c r="K664" s="59" t="str">
        <f t="shared" si="12"/>
        <v/>
      </c>
      <c r="L664" s="59" t="str">
        <f>IF(NOT(ISERROR(VLOOKUP(B664,Deflatores!G$42:H$64,2,FALSE))),VLOOKUP(B664,Deflatores!G$42:H$64,2,FALSE),IF(OR(ISBLANK(C664),ISBLANK(B664)),"",VLOOKUP(C664,Deflatores!G$4:H$38,2,FALSE)*H664+VLOOKUP(C664,Deflatores!G$4:I$38,3,FALSE)))</f>
        <v/>
      </c>
      <c r="M664" s="60"/>
      <c r="N664" s="60"/>
      <c r="O664" s="61"/>
    </row>
    <row r="665" ht="12.0" customHeight="1">
      <c r="A665" s="53"/>
      <c r="B665" s="54"/>
      <c r="C665" s="54"/>
      <c r="D665" s="55"/>
      <c r="E665" s="55"/>
      <c r="F665" s="56" t="str">
        <f t="shared" si="7"/>
        <v/>
      </c>
      <c r="G665" s="55" t="str">
        <f t="shared" si="8"/>
        <v/>
      </c>
      <c r="H665" s="57" t="str">
        <f t="shared" si="9"/>
        <v/>
      </c>
      <c r="I665" s="58" t="str">
        <f t="shared" si="10"/>
        <v/>
      </c>
      <c r="J665" s="55" t="str">
        <f t="shared" si="11"/>
        <v/>
      </c>
      <c r="K665" s="59" t="str">
        <f t="shared" si="12"/>
        <v/>
      </c>
      <c r="L665" s="59" t="str">
        <f>IF(NOT(ISERROR(VLOOKUP(B665,Deflatores!G$42:H$64,2,FALSE))),VLOOKUP(B665,Deflatores!G$42:H$64,2,FALSE),IF(OR(ISBLANK(C665),ISBLANK(B665)),"",VLOOKUP(C665,Deflatores!G$4:H$38,2,FALSE)*H665+VLOOKUP(C665,Deflatores!G$4:I$38,3,FALSE)))</f>
        <v/>
      </c>
      <c r="M665" s="60"/>
      <c r="N665" s="60"/>
      <c r="O665" s="61"/>
    </row>
    <row r="666" ht="12.0" customHeight="1">
      <c r="A666" s="53"/>
      <c r="B666" s="54"/>
      <c r="C666" s="54"/>
      <c r="D666" s="55"/>
      <c r="E666" s="55"/>
      <c r="F666" s="56" t="str">
        <f t="shared" si="7"/>
        <v/>
      </c>
      <c r="G666" s="55" t="str">
        <f t="shared" si="8"/>
        <v/>
      </c>
      <c r="H666" s="57" t="str">
        <f t="shared" si="9"/>
        <v/>
      </c>
      <c r="I666" s="58" t="str">
        <f t="shared" si="10"/>
        <v/>
      </c>
      <c r="J666" s="55" t="str">
        <f t="shared" si="11"/>
        <v/>
      </c>
      <c r="K666" s="59" t="str">
        <f t="shared" si="12"/>
        <v/>
      </c>
      <c r="L666" s="59" t="str">
        <f>IF(NOT(ISERROR(VLOOKUP(B666,Deflatores!G$42:H$64,2,FALSE))),VLOOKUP(B666,Deflatores!G$42:H$64,2,FALSE),IF(OR(ISBLANK(C666),ISBLANK(B666)),"",VLOOKUP(C666,Deflatores!G$4:H$38,2,FALSE)*H666+VLOOKUP(C666,Deflatores!G$4:I$38,3,FALSE)))</f>
        <v/>
      </c>
      <c r="M666" s="60"/>
      <c r="N666" s="60"/>
      <c r="O666" s="61"/>
    </row>
    <row r="667" ht="12.0" customHeight="1">
      <c r="A667" s="53"/>
      <c r="B667" s="54"/>
      <c r="C667" s="54"/>
      <c r="D667" s="55"/>
      <c r="E667" s="55"/>
      <c r="F667" s="56" t="str">
        <f t="shared" si="7"/>
        <v/>
      </c>
      <c r="G667" s="55" t="str">
        <f t="shared" si="8"/>
        <v/>
      </c>
      <c r="H667" s="57" t="str">
        <f t="shared" si="9"/>
        <v/>
      </c>
      <c r="I667" s="58" t="str">
        <f t="shared" si="10"/>
        <v/>
      </c>
      <c r="J667" s="55" t="str">
        <f t="shared" si="11"/>
        <v/>
      </c>
      <c r="K667" s="59" t="str">
        <f t="shared" si="12"/>
        <v/>
      </c>
      <c r="L667" s="59" t="str">
        <f>IF(NOT(ISERROR(VLOOKUP(B667,Deflatores!G$42:H$64,2,FALSE))),VLOOKUP(B667,Deflatores!G$42:H$64,2,FALSE),IF(OR(ISBLANK(C667),ISBLANK(B667)),"",VLOOKUP(C667,Deflatores!G$4:H$38,2,FALSE)*H667+VLOOKUP(C667,Deflatores!G$4:I$38,3,FALSE)))</f>
        <v/>
      </c>
      <c r="M667" s="60"/>
      <c r="N667" s="60"/>
      <c r="O667" s="61"/>
    </row>
    <row r="668" ht="12.0" customHeight="1">
      <c r="A668" s="53"/>
      <c r="B668" s="54"/>
      <c r="C668" s="54"/>
      <c r="D668" s="55"/>
      <c r="E668" s="55"/>
      <c r="F668" s="56" t="str">
        <f t="shared" si="7"/>
        <v/>
      </c>
      <c r="G668" s="55" t="str">
        <f t="shared" si="8"/>
        <v/>
      </c>
      <c r="H668" s="57" t="str">
        <f t="shared" si="9"/>
        <v/>
      </c>
      <c r="I668" s="58" t="str">
        <f t="shared" si="10"/>
        <v/>
      </c>
      <c r="J668" s="55" t="str">
        <f t="shared" si="11"/>
        <v/>
      </c>
      <c r="K668" s="59" t="str">
        <f t="shared" si="12"/>
        <v/>
      </c>
      <c r="L668" s="59" t="str">
        <f>IF(NOT(ISERROR(VLOOKUP(B668,Deflatores!G$42:H$64,2,FALSE))),VLOOKUP(B668,Deflatores!G$42:H$64,2,FALSE),IF(OR(ISBLANK(C668),ISBLANK(B668)),"",VLOOKUP(C668,Deflatores!G$4:H$38,2,FALSE)*H668+VLOOKUP(C668,Deflatores!G$4:I$38,3,FALSE)))</f>
        <v/>
      </c>
      <c r="M668" s="60"/>
      <c r="N668" s="60"/>
      <c r="O668" s="61"/>
    </row>
    <row r="669" ht="12.0" customHeight="1">
      <c r="A669" s="53"/>
      <c r="B669" s="54"/>
      <c r="C669" s="54"/>
      <c r="D669" s="55"/>
      <c r="E669" s="55"/>
      <c r="F669" s="56" t="str">
        <f t="shared" si="7"/>
        <v/>
      </c>
      <c r="G669" s="55" t="str">
        <f t="shared" si="8"/>
        <v/>
      </c>
      <c r="H669" s="57" t="str">
        <f t="shared" si="9"/>
        <v/>
      </c>
      <c r="I669" s="58" t="str">
        <f t="shared" si="10"/>
        <v/>
      </c>
      <c r="J669" s="55" t="str">
        <f t="shared" si="11"/>
        <v/>
      </c>
      <c r="K669" s="59" t="str">
        <f t="shared" si="12"/>
        <v/>
      </c>
      <c r="L669" s="59" t="str">
        <f>IF(NOT(ISERROR(VLOOKUP(B669,Deflatores!G$42:H$64,2,FALSE))),VLOOKUP(B669,Deflatores!G$42:H$64,2,FALSE),IF(OR(ISBLANK(C669),ISBLANK(B669)),"",VLOOKUP(C669,Deflatores!G$4:H$38,2,FALSE)*H669+VLOOKUP(C669,Deflatores!G$4:I$38,3,FALSE)))</f>
        <v/>
      </c>
      <c r="M669" s="60"/>
      <c r="N669" s="60"/>
      <c r="O669" s="61"/>
    </row>
    <row r="670" ht="12.0" customHeight="1">
      <c r="A670" s="53"/>
      <c r="B670" s="54"/>
      <c r="C670" s="54"/>
      <c r="D670" s="55"/>
      <c r="E670" s="55"/>
      <c r="F670" s="56" t="str">
        <f t="shared" si="7"/>
        <v/>
      </c>
      <c r="G670" s="55" t="str">
        <f t="shared" si="8"/>
        <v/>
      </c>
      <c r="H670" s="57" t="str">
        <f t="shared" si="9"/>
        <v/>
      </c>
      <c r="I670" s="58" t="str">
        <f t="shared" si="10"/>
        <v/>
      </c>
      <c r="J670" s="55" t="str">
        <f t="shared" si="11"/>
        <v/>
      </c>
      <c r="K670" s="59" t="str">
        <f t="shared" si="12"/>
        <v/>
      </c>
      <c r="L670" s="59" t="str">
        <f>IF(NOT(ISERROR(VLOOKUP(B670,Deflatores!G$42:H$64,2,FALSE))),VLOOKUP(B670,Deflatores!G$42:H$64,2,FALSE),IF(OR(ISBLANK(C670),ISBLANK(B670)),"",VLOOKUP(C670,Deflatores!G$4:H$38,2,FALSE)*H670+VLOOKUP(C670,Deflatores!G$4:I$38,3,FALSE)))</f>
        <v/>
      </c>
      <c r="M670" s="60"/>
      <c r="N670" s="60"/>
      <c r="O670" s="61"/>
    </row>
    <row r="671" ht="12.0" customHeight="1">
      <c r="A671" s="53"/>
      <c r="B671" s="54"/>
      <c r="C671" s="54"/>
      <c r="D671" s="55"/>
      <c r="E671" s="55"/>
      <c r="F671" s="56" t="str">
        <f t="shared" si="7"/>
        <v/>
      </c>
      <c r="G671" s="55" t="str">
        <f t="shared" si="8"/>
        <v/>
      </c>
      <c r="H671" s="57" t="str">
        <f t="shared" si="9"/>
        <v/>
      </c>
      <c r="I671" s="58" t="str">
        <f t="shared" si="10"/>
        <v/>
      </c>
      <c r="J671" s="55" t="str">
        <f t="shared" si="11"/>
        <v/>
      </c>
      <c r="K671" s="59" t="str">
        <f t="shared" si="12"/>
        <v/>
      </c>
      <c r="L671" s="59" t="str">
        <f>IF(NOT(ISERROR(VLOOKUP(B671,Deflatores!G$42:H$64,2,FALSE))),VLOOKUP(B671,Deflatores!G$42:H$64,2,FALSE),IF(OR(ISBLANK(C671),ISBLANK(B671)),"",VLOOKUP(C671,Deflatores!G$4:H$38,2,FALSE)*H671+VLOOKUP(C671,Deflatores!G$4:I$38,3,FALSE)))</f>
        <v/>
      </c>
      <c r="M671" s="60"/>
      <c r="N671" s="60"/>
      <c r="O671" s="61"/>
    </row>
    <row r="672" ht="12.0" customHeight="1">
      <c r="A672" s="53"/>
      <c r="B672" s="54"/>
      <c r="C672" s="54"/>
      <c r="D672" s="55"/>
      <c r="E672" s="55"/>
      <c r="F672" s="56" t="str">
        <f t="shared" si="7"/>
        <v/>
      </c>
      <c r="G672" s="55" t="str">
        <f t="shared" si="8"/>
        <v/>
      </c>
      <c r="H672" s="57" t="str">
        <f t="shared" si="9"/>
        <v/>
      </c>
      <c r="I672" s="58" t="str">
        <f t="shared" si="10"/>
        <v/>
      </c>
      <c r="J672" s="55" t="str">
        <f t="shared" si="11"/>
        <v/>
      </c>
      <c r="K672" s="59" t="str">
        <f t="shared" si="12"/>
        <v/>
      </c>
      <c r="L672" s="59" t="str">
        <f>IF(NOT(ISERROR(VLOOKUP(B672,Deflatores!G$42:H$64,2,FALSE))),VLOOKUP(B672,Deflatores!G$42:H$64,2,FALSE),IF(OR(ISBLANK(C672),ISBLANK(B672)),"",VLOOKUP(C672,Deflatores!G$4:H$38,2,FALSE)*H672+VLOOKUP(C672,Deflatores!G$4:I$38,3,FALSE)))</f>
        <v/>
      </c>
      <c r="M672" s="60"/>
      <c r="N672" s="60"/>
      <c r="O672" s="61"/>
    </row>
    <row r="673" ht="12.0" customHeight="1">
      <c r="A673" s="53"/>
      <c r="B673" s="54"/>
      <c r="C673" s="54"/>
      <c r="D673" s="55"/>
      <c r="E673" s="55"/>
      <c r="F673" s="56" t="str">
        <f t="shared" si="7"/>
        <v/>
      </c>
      <c r="G673" s="55" t="str">
        <f t="shared" si="8"/>
        <v/>
      </c>
      <c r="H673" s="57" t="str">
        <f t="shared" si="9"/>
        <v/>
      </c>
      <c r="I673" s="58" t="str">
        <f t="shared" si="10"/>
        <v/>
      </c>
      <c r="J673" s="55" t="str">
        <f t="shared" si="11"/>
        <v/>
      </c>
      <c r="K673" s="59" t="str">
        <f t="shared" si="12"/>
        <v/>
      </c>
      <c r="L673" s="59" t="str">
        <f>IF(NOT(ISERROR(VLOOKUP(B673,Deflatores!G$42:H$64,2,FALSE))),VLOOKUP(B673,Deflatores!G$42:H$64,2,FALSE),IF(OR(ISBLANK(C673),ISBLANK(B673)),"",VLOOKUP(C673,Deflatores!G$4:H$38,2,FALSE)*H673+VLOOKUP(C673,Deflatores!G$4:I$38,3,FALSE)))</f>
        <v/>
      </c>
      <c r="M673" s="60"/>
      <c r="N673" s="60"/>
      <c r="O673" s="61"/>
    </row>
    <row r="674" ht="12.0" customHeight="1">
      <c r="A674" s="53"/>
      <c r="B674" s="54"/>
      <c r="C674" s="54"/>
      <c r="D674" s="55"/>
      <c r="E674" s="55"/>
      <c r="F674" s="56" t="str">
        <f t="shared" si="7"/>
        <v/>
      </c>
      <c r="G674" s="55" t="str">
        <f t="shared" si="8"/>
        <v/>
      </c>
      <c r="H674" s="57" t="str">
        <f t="shared" si="9"/>
        <v/>
      </c>
      <c r="I674" s="58" t="str">
        <f t="shared" si="10"/>
        <v/>
      </c>
      <c r="J674" s="55" t="str">
        <f t="shared" si="11"/>
        <v/>
      </c>
      <c r="K674" s="59" t="str">
        <f t="shared" si="12"/>
        <v/>
      </c>
      <c r="L674" s="59" t="str">
        <f>IF(NOT(ISERROR(VLOOKUP(B674,Deflatores!G$42:H$64,2,FALSE))),VLOOKUP(B674,Deflatores!G$42:H$64,2,FALSE),IF(OR(ISBLANK(C674),ISBLANK(B674)),"",VLOOKUP(C674,Deflatores!G$4:H$38,2,FALSE)*H674+VLOOKUP(C674,Deflatores!G$4:I$38,3,FALSE)))</f>
        <v/>
      </c>
      <c r="M674" s="60"/>
      <c r="N674" s="60"/>
      <c r="O674" s="61"/>
    </row>
    <row r="675" ht="12.0" customHeight="1">
      <c r="A675" s="53"/>
      <c r="B675" s="54"/>
      <c r="C675" s="54"/>
      <c r="D675" s="55"/>
      <c r="E675" s="55"/>
      <c r="F675" s="56" t="str">
        <f t="shared" si="7"/>
        <v/>
      </c>
      <c r="G675" s="55" t="str">
        <f t="shared" si="8"/>
        <v/>
      </c>
      <c r="H675" s="57" t="str">
        <f t="shared" si="9"/>
        <v/>
      </c>
      <c r="I675" s="58" t="str">
        <f t="shared" si="10"/>
        <v/>
      </c>
      <c r="J675" s="55" t="str">
        <f t="shared" si="11"/>
        <v/>
      </c>
      <c r="K675" s="59" t="str">
        <f t="shared" si="12"/>
        <v/>
      </c>
      <c r="L675" s="59" t="str">
        <f>IF(NOT(ISERROR(VLOOKUP(B675,Deflatores!G$42:H$64,2,FALSE))),VLOOKUP(B675,Deflatores!G$42:H$64,2,FALSE),IF(OR(ISBLANK(C675),ISBLANK(B675)),"",VLOOKUP(C675,Deflatores!G$4:H$38,2,FALSE)*H675+VLOOKUP(C675,Deflatores!G$4:I$38,3,FALSE)))</f>
        <v/>
      </c>
      <c r="M675" s="60"/>
      <c r="N675" s="60"/>
      <c r="O675" s="61"/>
    </row>
    <row r="676" ht="12.0" customHeight="1">
      <c r="A676" s="53"/>
      <c r="B676" s="54"/>
      <c r="C676" s="54"/>
      <c r="D676" s="55"/>
      <c r="E676" s="55"/>
      <c r="F676" s="56" t="str">
        <f t="shared" si="7"/>
        <v/>
      </c>
      <c r="G676" s="55" t="str">
        <f t="shared" si="8"/>
        <v/>
      </c>
      <c r="H676" s="57" t="str">
        <f t="shared" si="9"/>
        <v/>
      </c>
      <c r="I676" s="58" t="str">
        <f t="shared" si="10"/>
        <v/>
      </c>
      <c r="J676" s="55" t="str">
        <f t="shared" si="11"/>
        <v/>
      </c>
      <c r="K676" s="59" t="str">
        <f t="shared" si="12"/>
        <v/>
      </c>
      <c r="L676" s="59" t="str">
        <f>IF(NOT(ISERROR(VLOOKUP(B676,Deflatores!G$42:H$64,2,FALSE))),VLOOKUP(B676,Deflatores!G$42:H$64,2,FALSE),IF(OR(ISBLANK(C676),ISBLANK(B676)),"",VLOOKUP(C676,Deflatores!G$4:H$38,2,FALSE)*H676+VLOOKUP(C676,Deflatores!G$4:I$38,3,FALSE)))</f>
        <v/>
      </c>
      <c r="M676" s="60"/>
      <c r="N676" s="60"/>
      <c r="O676" s="61"/>
    </row>
    <row r="677" ht="12.0" customHeight="1">
      <c r="A677" s="53"/>
      <c r="B677" s="54"/>
      <c r="C677" s="54"/>
      <c r="D677" s="55"/>
      <c r="E677" s="55"/>
      <c r="F677" s="56" t="str">
        <f t="shared" si="7"/>
        <v/>
      </c>
      <c r="G677" s="55" t="str">
        <f t="shared" si="8"/>
        <v/>
      </c>
      <c r="H677" s="57" t="str">
        <f t="shared" si="9"/>
        <v/>
      </c>
      <c r="I677" s="58" t="str">
        <f t="shared" si="10"/>
        <v/>
      </c>
      <c r="J677" s="55" t="str">
        <f t="shared" si="11"/>
        <v/>
      </c>
      <c r="K677" s="59" t="str">
        <f t="shared" si="12"/>
        <v/>
      </c>
      <c r="L677" s="59" t="str">
        <f>IF(NOT(ISERROR(VLOOKUP(B677,Deflatores!G$42:H$64,2,FALSE))),VLOOKUP(B677,Deflatores!G$42:H$64,2,FALSE),IF(OR(ISBLANK(C677),ISBLANK(B677)),"",VLOOKUP(C677,Deflatores!G$4:H$38,2,FALSE)*H677+VLOOKUP(C677,Deflatores!G$4:I$38,3,FALSE)))</f>
        <v/>
      </c>
      <c r="M677" s="60"/>
      <c r="N677" s="60"/>
      <c r="O677" s="61"/>
    </row>
    <row r="678" ht="12.0" customHeight="1">
      <c r="A678" s="53"/>
      <c r="B678" s="54"/>
      <c r="C678" s="54"/>
      <c r="D678" s="55"/>
      <c r="E678" s="55"/>
      <c r="F678" s="56" t="str">
        <f t="shared" si="7"/>
        <v/>
      </c>
      <c r="G678" s="55" t="str">
        <f t="shared" si="8"/>
        <v/>
      </c>
      <c r="H678" s="57" t="str">
        <f t="shared" si="9"/>
        <v/>
      </c>
      <c r="I678" s="58" t="str">
        <f t="shared" si="10"/>
        <v/>
      </c>
      <c r="J678" s="55" t="str">
        <f t="shared" si="11"/>
        <v/>
      </c>
      <c r="K678" s="59" t="str">
        <f t="shared" si="12"/>
        <v/>
      </c>
      <c r="L678" s="59" t="str">
        <f>IF(NOT(ISERROR(VLOOKUP(B678,Deflatores!G$42:H$64,2,FALSE))),VLOOKUP(B678,Deflatores!G$42:H$64,2,FALSE),IF(OR(ISBLANK(C678),ISBLANK(B678)),"",VLOOKUP(C678,Deflatores!G$4:H$38,2,FALSE)*H678+VLOOKUP(C678,Deflatores!G$4:I$38,3,FALSE)))</f>
        <v/>
      </c>
      <c r="M678" s="60"/>
      <c r="N678" s="60"/>
      <c r="O678" s="61"/>
    </row>
    <row r="679" ht="12.0" customHeight="1">
      <c r="A679" s="53"/>
      <c r="B679" s="54"/>
      <c r="C679" s="54"/>
      <c r="D679" s="55"/>
      <c r="E679" s="55"/>
      <c r="F679" s="56" t="str">
        <f t="shared" si="7"/>
        <v/>
      </c>
      <c r="G679" s="55" t="str">
        <f t="shared" si="8"/>
        <v/>
      </c>
      <c r="H679" s="57" t="str">
        <f t="shared" si="9"/>
        <v/>
      </c>
      <c r="I679" s="58" t="str">
        <f t="shared" si="10"/>
        <v/>
      </c>
      <c r="J679" s="55" t="str">
        <f t="shared" si="11"/>
        <v/>
      </c>
      <c r="K679" s="59" t="str">
        <f t="shared" si="12"/>
        <v/>
      </c>
      <c r="L679" s="59" t="str">
        <f>IF(NOT(ISERROR(VLOOKUP(B679,Deflatores!G$42:H$64,2,FALSE))),VLOOKUP(B679,Deflatores!G$42:H$64,2,FALSE),IF(OR(ISBLANK(C679),ISBLANK(B679)),"",VLOOKUP(C679,Deflatores!G$4:H$38,2,FALSE)*H679+VLOOKUP(C679,Deflatores!G$4:I$38,3,FALSE)))</f>
        <v/>
      </c>
      <c r="M679" s="60"/>
      <c r="N679" s="60"/>
      <c r="O679" s="61"/>
    </row>
    <row r="680" ht="12.0" customHeight="1">
      <c r="A680" s="53"/>
      <c r="B680" s="54"/>
      <c r="C680" s="54"/>
      <c r="D680" s="55"/>
      <c r="E680" s="55"/>
      <c r="F680" s="56" t="str">
        <f t="shared" si="7"/>
        <v/>
      </c>
      <c r="G680" s="55" t="str">
        <f t="shared" si="8"/>
        <v/>
      </c>
      <c r="H680" s="57" t="str">
        <f t="shared" si="9"/>
        <v/>
      </c>
      <c r="I680" s="58" t="str">
        <f t="shared" si="10"/>
        <v/>
      </c>
      <c r="J680" s="55" t="str">
        <f t="shared" si="11"/>
        <v/>
      </c>
      <c r="K680" s="59" t="str">
        <f t="shared" si="12"/>
        <v/>
      </c>
      <c r="L680" s="59" t="str">
        <f>IF(NOT(ISERROR(VLOOKUP(B680,Deflatores!G$42:H$64,2,FALSE))),VLOOKUP(B680,Deflatores!G$42:H$64,2,FALSE),IF(OR(ISBLANK(C680),ISBLANK(B680)),"",VLOOKUP(C680,Deflatores!G$4:H$38,2,FALSE)*H680+VLOOKUP(C680,Deflatores!G$4:I$38,3,FALSE)))</f>
        <v/>
      </c>
      <c r="M680" s="60"/>
      <c r="N680" s="60"/>
      <c r="O680" s="61"/>
    </row>
    <row r="681" ht="12.0" customHeight="1">
      <c r="A681" s="53"/>
      <c r="B681" s="54"/>
      <c r="C681" s="54"/>
      <c r="D681" s="55"/>
      <c r="E681" s="55"/>
      <c r="F681" s="56" t="str">
        <f t="shared" si="7"/>
        <v/>
      </c>
      <c r="G681" s="55" t="str">
        <f t="shared" si="8"/>
        <v/>
      </c>
      <c r="H681" s="57" t="str">
        <f t="shared" si="9"/>
        <v/>
      </c>
      <c r="I681" s="58" t="str">
        <f t="shared" si="10"/>
        <v/>
      </c>
      <c r="J681" s="55" t="str">
        <f t="shared" si="11"/>
        <v/>
      </c>
      <c r="K681" s="59" t="str">
        <f t="shared" si="12"/>
        <v/>
      </c>
      <c r="L681" s="59" t="str">
        <f>IF(NOT(ISERROR(VLOOKUP(B681,Deflatores!G$42:H$64,2,FALSE))),VLOOKUP(B681,Deflatores!G$42:H$64,2,FALSE),IF(OR(ISBLANK(C681),ISBLANK(B681)),"",VLOOKUP(C681,Deflatores!G$4:H$38,2,FALSE)*H681+VLOOKUP(C681,Deflatores!G$4:I$38,3,FALSE)))</f>
        <v/>
      </c>
      <c r="M681" s="60"/>
      <c r="N681" s="60"/>
      <c r="O681" s="61"/>
    </row>
    <row r="682" ht="12.0" customHeight="1">
      <c r="A682" s="53"/>
      <c r="B682" s="54"/>
      <c r="C682" s="54"/>
      <c r="D682" s="55"/>
      <c r="E682" s="55"/>
      <c r="F682" s="56" t="str">
        <f t="shared" si="7"/>
        <v/>
      </c>
      <c r="G682" s="55" t="str">
        <f t="shared" si="8"/>
        <v/>
      </c>
      <c r="H682" s="57" t="str">
        <f t="shared" si="9"/>
        <v/>
      </c>
      <c r="I682" s="58" t="str">
        <f t="shared" si="10"/>
        <v/>
      </c>
      <c r="J682" s="55" t="str">
        <f t="shared" si="11"/>
        <v/>
      </c>
      <c r="K682" s="59" t="str">
        <f t="shared" si="12"/>
        <v/>
      </c>
      <c r="L682" s="59" t="str">
        <f>IF(NOT(ISERROR(VLOOKUP(B682,Deflatores!G$42:H$64,2,FALSE))),VLOOKUP(B682,Deflatores!G$42:H$64,2,FALSE),IF(OR(ISBLANK(C682),ISBLANK(B682)),"",VLOOKUP(C682,Deflatores!G$4:H$38,2,FALSE)*H682+VLOOKUP(C682,Deflatores!G$4:I$38,3,FALSE)))</f>
        <v/>
      </c>
      <c r="M682" s="60"/>
      <c r="N682" s="60"/>
      <c r="O682" s="61"/>
    </row>
    <row r="683" ht="12.0" customHeight="1">
      <c r="A683" s="53"/>
      <c r="B683" s="54"/>
      <c r="C683" s="54"/>
      <c r="D683" s="55"/>
      <c r="E683" s="55"/>
      <c r="F683" s="56" t="str">
        <f t="shared" si="7"/>
        <v/>
      </c>
      <c r="G683" s="55" t="str">
        <f t="shared" si="8"/>
        <v/>
      </c>
      <c r="H683" s="57" t="str">
        <f t="shared" si="9"/>
        <v/>
      </c>
      <c r="I683" s="58" t="str">
        <f t="shared" si="10"/>
        <v/>
      </c>
      <c r="J683" s="55" t="str">
        <f t="shared" si="11"/>
        <v/>
      </c>
      <c r="K683" s="59" t="str">
        <f t="shared" si="12"/>
        <v/>
      </c>
      <c r="L683" s="59" t="str">
        <f>IF(NOT(ISERROR(VLOOKUP(B683,Deflatores!G$42:H$64,2,FALSE))),VLOOKUP(B683,Deflatores!G$42:H$64,2,FALSE),IF(OR(ISBLANK(C683),ISBLANK(B683)),"",VLOOKUP(C683,Deflatores!G$4:H$38,2,FALSE)*H683+VLOOKUP(C683,Deflatores!G$4:I$38,3,FALSE)))</f>
        <v/>
      </c>
      <c r="M683" s="60"/>
      <c r="N683" s="60"/>
      <c r="O683" s="61"/>
    </row>
    <row r="684" ht="12.0" customHeight="1">
      <c r="A684" s="53"/>
      <c r="B684" s="54"/>
      <c r="C684" s="54"/>
      <c r="D684" s="55"/>
      <c r="E684" s="55"/>
      <c r="F684" s="56" t="str">
        <f t="shared" si="7"/>
        <v/>
      </c>
      <c r="G684" s="55" t="str">
        <f t="shared" si="8"/>
        <v/>
      </c>
      <c r="H684" s="57" t="str">
        <f t="shared" si="9"/>
        <v/>
      </c>
      <c r="I684" s="58" t="str">
        <f t="shared" si="10"/>
        <v/>
      </c>
      <c r="J684" s="55" t="str">
        <f t="shared" si="11"/>
        <v/>
      </c>
      <c r="K684" s="59" t="str">
        <f t="shared" si="12"/>
        <v/>
      </c>
      <c r="L684" s="59" t="str">
        <f>IF(NOT(ISERROR(VLOOKUP(B684,Deflatores!G$42:H$64,2,FALSE))),VLOOKUP(B684,Deflatores!G$42:H$64,2,FALSE),IF(OR(ISBLANK(C684),ISBLANK(B684)),"",VLOOKUP(C684,Deflatores!G$4:H$38,2,FALSE)*H684+VLOOKUP(C684,Deflatores!G$4:I$38,3,FALSE)))</f>
        <v/>
      </c>
      <c r="M684" s="60"/>
      <c r="N684" s="60"/>
      <c r="O684" s="61"/>
    </row>
    <row r="685" ht="12.0" customHeight="1">
      <c r="A685" s="53"/>
      <c r="B685" s="54"/>
      <c r="C685" s="54"/>
      <c r="D685" s="55"/>
      <c r="E685" s="55"/>
      <c r="F685" s="56" t="str">
        <f t="shared" si="7"/>
        <v/>
      </c>
      <c r="G685" s="55" t="str">
        <f t="shared" si="8"/>
        <v/>
      </c>
      <c r="H685" s="57" t="str">
        <f t="shared" si="9"/>
        <v/>
      </c>
      <c r="I685" s="58" t="str">
        <f t="shared" si="10"/>
        <v/>
      </c>
      <c r="J685" s="55" t="str">
        <f t="shared" si="11"/>
        <v/>
      </c>
      <c r="K685" s="59" t="str">
        <f t="shared" si="12"/>
        <v/>
      </c>
      <c r="L685" s="59" t="str">
        <f>IF(NOT(ISERROR(VLOOKUP(B685,Deflatores!G$42:H$64,2,FALSE))),VLOOKUP(B685,Deflatores!G$42:H$64,2,FALSE),IF(OR(ISBLANK(C685),ISBLANK(B685)),"",VLOOKUP(C685,Deflatores!G$4:H$38,2,FALSE)*H685+VLOOKUP(C685,Deflatores!G$4:I$38,3,FALSE)))</f>
        <v/>
      </c>
      <c r="M685" s="60"/>
      <c r="N685" s="60"/>
      <c r="O685" s="61"/>
    </row>
    <row r="686" ht="12.0" customHeight="1">
      <c r="A686" s="53"/>
      <c r="B686" s="54"/>
      <c r="C686" s="54"/>
      <c r="D686" s="55"/>
      <c r="E686" s="55"/>
      <c r="F686" s="56" t="str">
        <f t="shared" si="7"/>
        <v/>
      </c>
      <c r="G686" s="55" t="str">
        <f t="shared" si="8"/>
        <v/>
      </c>
      <c r="H686" s="57" t="str">
        <f t="shared" si="9"/>
        <v/>
      </c>
      <c r="I686" s="58" t="str">
        <f t="shared" si="10"/>
        <v/>
      </c>
      <c r="J686" s="55" t="str">
        <f t="shared" si="11"/>
        <v/>
      </c>
      <c r="K686" s="59" t="str">
        <f t="shared" si="12"/>
        <v/>
      </c>
      <c r="L686" s="59" t="str">
        <f>IF(NOT(ISERROR(VLOOKUP(B686,Deflatores!G$42:H$64,2,FALSE))),VLOOKUP(B686,Deflatores!G$42:H$64,2,FALSE),IF(OR(ISBLANK(C686),ISBLANK(B686)),"",VLOOKUP(C686,Deflatores!G$4:H$38,2,FALSE)*H686+VLOOKUP(C686,Deflatores!G$4:I$38,3,FALSE)))</f>
        <v/>
      </c>
      <c r="M686" s="60"/>
      <c r="N686" s="60"/>
      <c r="O686" s="61"/>
    </row>
    <row r="687" ht="12.0" customHeight="1">
      <c r="A687" s="53"/>
      <c r="B687" s="54"/>
      <c r="C687" s="54"/>
      <c r="D687" s="55"/>
      <c r="E687" s="55"/>
      <c r="F687" s="56" t="str">
        <f t="shared" si="7"/>
        <v/>
      </c>
      <c r="G687" s="55" t="str">
        <f t="shared" si="8"/>
        <v/>
      </c>
      <c r="H687" s="57" t="str">
        <f t="shared" si="9"/>
        <v/>
      </c>
      <c r="I687" s="58" t="str">
        <f t="shared" si="10"/>
        <v/>
      </c>
      <c r="J687" s="55" t="str">
        <f t="shared" si="11"/>
        <v/>
      </c>
      <c r="K687" s="59" t="str">
        <f t="shared" si="12"/>
        <v/>
      </c>
      <c r="L687" s="59" t="str">
        <f>IF(NOT(ISERROR(VLOOKUP(B687,Deflatores!G$42:H$64,2,FALSE))),VLOOKUP(B687,Deflatores!G$42:H$64,2,FALSE),IF(OR(ISBLANK(C687),ISBLANK(B687)),"",VLOOKUP(C687,Deflatores!G$4:H$38,2,FALSE)*H687+VLOOKUP(C687,Deflatores!G$4:I$38,3,FALSE)))</f>
        <v/>
      </c>
      <c r="M687" s="60"/>
      <c r="N687" s="60"/>
      <c r="O687" s="61"/>
    </row>
    <row r="688" ht="12.0" customHeight="1">
      <c r="A688" s="53"/>
      <c r="B688" s="54"/>
      <c r="C688" s="54"/>
      <c r="D688" s="55"/>
      <c r="E688" s="55"/>
      <c r="F688" s="56" t="str">
        <f t="shared" si="7"/>
        <v/>
      </c>
      <c r="G688" s="55" t="str">
        <f t="shared" si="8"/>
        <v/>
      </c>
      <c r="H688" s="57" t="str">
        <f t="shared" si="9"/>
        <v/>
      </c>
      <c r="I688" s="58" t="str">
        <f t="shared" si="10"/>
        <v/>
      </c>
      <c r="J688" s="55" t="str">
        <f t="shared" si="11"/>
        <v/>
      </c>
      <c r="K688" s="59" t="str">
        <f t="shared" si="12"/>
        <v/>
      </c>
      <c r="L688" s="59" t="str">
        <f>IF(NOT(ISERROR(VLOOKUP(B688,Deflatores!G$42:H$64,2,FALSE))),VLOOKUP(B688,Deflatores!G$42:H$64,2,FALSE),IF(OR(ISBLANK(C688),ISBLANK(B688)),"",VLOOKUP(C688,Deflatores!G$4:H$38,2,FALSE)*H688+VLOOKUP(C688,Deflatores!G$4:I$38,3,FALSE)))</f>
        <v/>
      </c>
      <c r="M688" s="60"/>
      <c r="N688" s="60"/>
      <c r="O688" s="61"/>
    </row>
    <row r="689" ht="12.0" customHeight="1">
      <c r="A689" s="53"/>
      <c r="B689" s="54"/>
      <c r="C689" s="54"/>
      <c r="D689" s="55"/>
      <c r="E689" s="55"/>
      <c r="F689" s="56" t="str">
        <f t="shared" si="7"/>
        <v/>
      </c>
      <c r="G689" s="55" t="str">
        <f t="shared" si="8"/>
        <v/>
      </c>
      <c r="H689" s="57" t="str">
        <f t="shared" si="9"/>
        <v/>
      </c>
      <c r="I689" s="58" t="str">
        <f t="shared" si="10"/>
        <v/>
      </c>
      <c r="J689" s="55" t="str">
        <f t="shared" si="11"/>
        <v/>
      </c>
      <c r="K689" s="59" t="str">
        <f t="shared" si="12"/>
        <v/>
      </c>
      <c r="L689" s="59" t="str">
        <f>IF(NOT(ISERROR(VLOOKUP(B689,Deflatores!G$42:H$64,2,FALSE))),VLOOKUP(B689,Deflatores!G$42:H$64,2,FALSE),IF(OR(ISBLANK(C689),ISBLANK(B689)),"",VLOOKUP(C689,Deflatores!G$4:H$38,2,FALSE)*H689+VLOOKUP(C689,Deflatores!G$4:I$38,3,FALSE)))</f>
        <v/>
      </c>
      <c r="M689" s="60"/>
      <c r="N689" s="60"/>
      <c r="O689" s="61"/>
    </row>
    <row r="690" ht="12.0" customHeight="1">
      <c r="A690" s="53"/>
      <c r="B690" s="54"/>
      <c r="C690" s="54"/>
      <c r="D690" s="55"/>
      <c r="E690" s="55"/>
      <c r="F690" s="56" t="str">
        <f t="shared" si="7"/>
        <v/>
      </c>
      <c r="G690" s="55" t="str">
        <f t="shared" si="8"/>
        <v/>
      </c>
      <c r="H690" s="57" t="str">
        <f t="shared" si="9"/>
        <v/>
      </c>
      <c r="I690" s="58" t="str">
        <f t="shared" si="10"/>
        <v/>
      </c>
      <c r="J690" s="55" t="str">
        <f t="shared" si="11"/>
        <v/>
      </c>
      <c r="K690" s="59" t="str">
        <f t="shared" si="12"/>
        <v/>
      </c>
      <c r="L690" s="59" t="str">
        <f>IF(NOT(ISERROR(VLOOKUP(B690,Deflatores!G$42:H$64,2,FALSE))),VLOOKUP(B690,Deflatores!G$42:H$64,2,FALSE),IF(OR(ISBLANK(C690),ISBLANK(B690)),"",VLOOKUP(C690,Deflatores!G$4:H$38,2,FALSE)*H690+VLOOKUP(C690,Deflatores!G$4:I$38,3,FALSE)))</f>
        <v/>
      </c>
      <c r="M690" s="60"/>
      <c r="N690" s="60"/>
      <c r="O690" s="61"/>
    </row>
    <row r="691" ht="12.0" customHeight="1">
      <c r="A691" s="53"/>
      <c r="B691" s="54"/>
      <c r="C691" s="54"/>
      <c r="D691" s="55"/>
      <c r="E691" s="55"/>
      <c r="F691" s="56" t="str">
        <f t="shared" si="7"/>
        <v/>
      </c>
      <c r="G691" s="55" t="str">
        <f t="shared" si="8"/>
        <v/>
      </c>
      <c r="H691" s="57" t="str">
        <f t="shared" si="9"/>
        <v/>
      </c>
      <c r="I691" s="58" t="str">
        <f t="shared" si="10"/>
        <v/>
      </c>
      <c r="J691" s="55" t="str">
        <f t="shared" si="11"/>
        <v/>
      </c>
      <c r="K691" s="59" t="str">
        <f t="shared" si="12"/>
        <v/>
      </c>
      <c r="L691" s="59" t="str">
        <f>IF(NOT(ISERROR(VLOOKUP(B691,Deflatores!G$42:H$64,2,FALSE))),VLOOKUP(B691,Deflatores!G$42:H$64,2,FALSE),IF(OR(ISBLANK(C691),ISBLANK(B691)),"",VLOOKUP(C691,Deflatores!G$4:H$38,2,FALSE)*H691+VLOOKUP(C691,Deflatores!G$4:I$38,3,FALSE)))</f>
        <v/>
      </c>
      <c r="M691" s="60"/>
      <c r="N691" s="60"/>
      <c r="O691" s="61"/>
    </row>
    <row r="692" ht="12.0" customHeight="1">
      <c r="A692" s="53"/>
      <c r="B692" s="54"/>
      <c r="C692" s="54"/>
      <c r="D692" s="55"/>
      <c r="E692" s="55"/>
      <c r="F692" s="56" t="str">
        <f t="shared" si="7"/>
        <v/>
      </c>
      <c r="G692" s="55" t="str">
        <f t="shared" si="8"/>
        <v/>
      </c>
      <c r="H692" s="57" t="str">
        <f t="shared" si="9"/>
        <v/>
      </c>
      <c r="I692" s="58" t="str">
        <f t="shared" si="10"/>
        <v/>
      </c>
      <c r="J692" s="55" t="str">
        <f t="shared" si="11"/>
        <v/>
      </c>
      <c r="K692" s="59" t="str">
        <f t="shared" si="12"/>
        <v/>
      </c>
      <c r="L692" s="59" t="str">
        <f>IF(NOT(ISERROR(VLOOKUP(B692,Deflatores!G$42:H$64,2,FALSE))),VLOOKUP(B692,Deflatores!G$42:H$64,2,FALSE),IF(OR(ISBLANK(C692),ISBLANK(B692)),"",VLOOKUP(C692,Deflatores!G$4:H$38,2,FALSE)*H692+VLOOKUP(C692,Deflatores!G$4:I$38,3,FALSE)))</f>
        <v/>
      </c>
      <c r="M692" s="60"/>
      <c r="N692" s="60"/>
      <c r="O692" s="61"/>
    </row>
    <row r="693" ht="12.0" customHeight="1">
      <c r="A693" s="53"/>
      <c r="B693" s="54"/>
      <c r="C693" s="54"/>
      <c r="D693" s="55"/>
      <c r="E693" s="55"/>
      <c r="F693" s="56" t="str">
        <f t="shared" si="7"/>
        <v/>
      </c>
      <c r="G693" s="55" t="str">
        <f t="shared" si="8"/>
        <v/>
      </c>
      <c r="H693" s="57" t="str">
        <f t="shared" si="9"/>
        <v/>
      </c>
      <c r="I693" s="58" t="str">
        <f t="shared" si="10"/>
        <v/>
      </c>
      <c r="J693" s="55" t="str">
        <f t="shared" si="11"/>
        <v/>
      </c>
      <c r="K693" s="59" t="str">
        <f t="shared" si="12"/>
        <v/>
      </c>
      <c r="L693" s="59" t="str">
        <f>IF(NOT(ISERROR(VLOOKUP(B693,Deflatores!G$42:H$64,2,FALSE))),VLOOKUP(B693,Deflatores!G$42:H$64,2,FALSE),IF(OR(ISBLANK(C693),ISBLANK(B693)),"",VLOOKUP(C693,Deflatores!G$4:H$38,2,FALSE)*H693+VLOOKUP(C693,Deflatores!G$4:I$38,3,FALSE)))</f>
        <v/>
      </c>
      <c r="M693" s="60"/>
      <c r="N693" s="60"/>
      <c r="O693" s="61"/>
    </row>
    <row r="694" ht="12.0" customHeight="1">
      <c r="A694" s="53"/>
      <c r="B694" s="54"/>
      <c r="C694" s="54"/>
      <c r="D694" s="55"/>
      <c r="E694" s="55"/>
      <c r="F694" s="56" t="str">
        <f t="shared" si="7"/>
        <v/>
      </c>
      <c r="G694" s="55" t="str">
        <f t="shared" si="8"/>
        <v/>
      </c>
      <c r="H694" s="57" t="str">
        <f t="shared" si="9"/>
        <v/>
      </c>
      <c r="I694" s="58" t="str">
        <f t="shared" si="10"/>
        <v/>
      </c>
      <c r="J694" s="55" t="str">
        <f t="shared" si="11"/>
        <v/>
      </c>
      <c r="K694" s="59" t="str">
        <f t="shared" si="12"/>
        <v/>
      </c>
      <c r="L694" s="59" t="str">
        <f>IF(NOT(ISERROR(VLOOKUP(B694,Deflatores!G$42:H$64,2,FALSE))),VLOOKUP(B694,Deflatores!G$42:H$64,2,FALSE),IF(OR(ISBLANK(C694),ISBLANK(B694)),"",VLOOKUP(C694,Deflatores!G$4:H$38,2,FALSE)*H694+VLOOKUP(C694,Deflatores!G$4:I$38,3,FALSE)))</f>
        <v/>
      </c>
      <c r="M694" s="60"/>
      <c r="N694" s="60"/>
      <c r="O694" s="61"/>
    </row>
    <row r="695" ht="12.0" customHeight="1">
      <c r="A695" s="53"/>
      <c r="B695" s="54"/>
      <c r="C695" s="54"/>
      <c r="D695" s="55"/>
      <c r="E695" s="55"/>
      <c r="F695" s="56" t="str">
        <f t="shared" si="7"/>
        <v/>
      </c>
      <c r="G695" s="55" t="str">
        <f t="shared" si="8"/>
        <v/>
      </c>
      <c r="H695" s="57" t="str">
        <f t="shared" si="9"/>
        <v/>
      </c>
      <c r="I695" s="58" t="str">
        <f t="shared" si="10"/>
        <v/>
      </c>
      <c r="J695" s="55" t="str">
        <f t="shared" si="11"/>
        <v/>
      </c>
      <c r="K695" s="59" t="str">
        <f t="shared" si="12"/>
        <v/>
      </c>
      <c r="L695" s="59" t="str">
        <f>IF(NOT(ISERROR(VLOOKUP(B695,Deflatores!G$42:H$64,2,FALSE))),VLOOKUP(B695,Deflatores!G$42:H$64,2,FALSE),IF(OR(ISBLANK(C695),ISBLANK(B695)),"",VLOOKUP(C695,Deflatores!G$4:H$38,2,FALSE)*H695+VLOOKUP(C695,Deflatores!G$4:I$38,3,FALSE)))</f>
        <v/>
      </c>
      <c r="M695" s="60"/>
      <c r="N695" s="60"/>
      <c r="O695" s="61"/>
    </row>
    <row r="696" ht="12.0" customHeight="1">
      <c r="A696" s="53"/>
      <c r="B696" s="54"/>
      <c r="C696" s="54"/>
      <c r="D696" s="55"/>
      <c r="E696" s="55"/>
      <c r="F696" s="56" t="str">
        <f t="shared" si="7"/>
        <v/>
      </c>
      <c r="G696" s="55" t="str">
        <f t="shared" si="8"/>
        <v/>
      </c>
      <c r="H696" s="57" t="str">
        <f t="shared" si="9"/>
        <v/>
      </c>
      <c r="I696" s="58" t="str">
        <f t="shared" si="10"/>
        <v/>
      </c>
      <c r="J696" s="55" t="str">
        <f t="shared" si="11"/>
        <v/>
      </c>
      <c r="K696" s="59" t="str">
        <f t="shared" si="12"/>
        <v/>
      </c>
      <c r="L696" s="59" t="str">
        <f>IF(NOT(ISERROR(VLOOKUP(B696,Deflatores!G$42:H$64,2,FALSE))),VLOOKUP(B696,Deflatores!G$42:H$64,2,FALSE),IF(OR(ISBLANK(C696),ISBLANK(B696)),"",VLOOKUP(C696,Deflatores!G$4:H$38,2,FALSE)*H696+VLOOKUP(C696,Deflatores!G$4:I$38,3,FALSE)))</f>
        <v/>
      </c>
      <c r="M696" s="60"/>
      <c r="N696" s="60"/>
      <c r="O696" s="61"/>
    </row>
    <row r="697" ht="12.0" customHeight="1">
      <c r="A697" s="53"/>
      <c r="B697" s="54"/>
      <c r="C697" s="54"/>
      <c r="D697" s="55"/>
      <c r="E697" s="55"/>
      <c r="F697" s="56" t="str">
        <f t="shared" si="7"/>
        <v/>
      </c>
      <c r="G697" s="55" t="str">
        <f t="shared" si="8"/>
        <v/>
      </c>
      <c r="H697" s="57" t="str">
        <f t="shared" si="9"/>
        <v/>
      </c>
      <c r="I697" s="58" t="str">
        <f t="shared" si="10"/>
        <v/>
      </c>
      <c r="J697" s="55" t="str">
        <f t="shared" si="11"/>
        <v/>
      </c>
      <c r="K697" s="59" t="str">
        <f t="shared" si="12"/>
        <v/>
      </c>
      <c r="L697" s="59" t="str">
        <f>IF(NOT(ISERROR(VLOOKUP(B697,Deflatores!G$42:H$64,2,FALSE))),VLOOKUP(B697,Deflatores!G$42:H$64,2,FALSE),IF(OR(ISBLANK(C697),ISBLANK(B697)),"",VLOOKUP(C697,Deflatores!G$4:H$38,2,FALSE)*H697+VLOOKUP(C697,Deflatores!G$4:I$38,3,FALSE)))</f>
        <v/>
      </c>
      <c r="M697" s="60"/>
      <c r="N697" s="60"/>
      <c r="O697" s="61"/>
    </row>
    <row r="698" ht="12.0" customHeight="1">
      <c r="A698" s="53"/>
      <c r="B698" s="54"/>
      <c r="C698" s="54"/>
      <c r="D698" s="55"/>
      <c r="E698" s="55"/>
      <c r="F698" s="56" t="str">
        <f t="shared" si="7"/>
        <v/>
      </c>
      <c r="G698" s="55" t="str">
        <f t="shared" si="8"/>
        <v/>
      </c>
      <c r="H698" s="57" t="str">
        <f t="shared" si="9"/>
        <v/>
      </c>
      <c r="I698" s="58" t="str">
        <f t="shared" si="10"/>
        <v/>
      </c>
      <c r="J698" s="55" t="str">
        <f t="shared" si="11"/>
        <v/>
      </c>
      <c r="K698" s="59" t="str">
        <f t="shared" si="12"/>
        <v/>
      </c>
      <c r="L698" s="59" t="str">
        <f>IF(NOT(ISERROR(VLOOKUP(B698,Deflatores!G$42:H$64,2,FALSE))),VLOOKUP(B698,Deflatores!G$42:H$64,2,FALSE),IF(OR(ISBLANK(C698),ISBLANK(B698)),"",VLOOKUP(C698,Deflatores!G$4:H$38,2,FALSE)*H698+VLOOKUP(C698,Deflatores!G$4:I$38,3,FALSE)))</f>
        <v/>
      </c>
      <c r="M698" s="60"/>
      <c r="N698" s="60"/>
      <c r="O698" s="61"/>
    </row>
    <row r="699" ht="12.0" customHeight="1">
      <c r="A699" s="53"/>
      <c r="B699" s="54"/>
      <c r="C699" s="54"/>
      <c r="D699" s="55"/>
      <c r="E699" s="55"/>
      <c r="F699" s="56" t="str">
        <f t="shared" si="7"/>
        <v/>
      </c>
      <c r="G699" s="55" t="str">
        <f t="shared" si="8"/>
        <v/>
      </c>
      <c r="H699" s="57" t="str">
        <f t="shared" si="9"/>
        <v/>
      </c>
      <c r="I699" s="58" t="str">
        <f t="shared" si="10"/>
        <v/>
      </c>
      <c r="J699" s="55" t="str">
        <f t="shared" si="11"/>
        <v/>
      </c>
      <c r="K699" s="59" t="str">
        <f t="shared" si="12"/>
        <v/>
      </c>
      <c r="L699" s="59" t="str">
        <f>IF(NOT(ISERROR(VLOOKUP(B699,Deflatores!G$42:H$64,2,FALSE))),VLOOKUP(B699,Deflatores!G$42:H$64,2,FALSE),IF(OR(ISBLANK(C699),ISBLANK(B699)),"",VLOOKUP(C699,Deflatores!G$4:H$38,2,FALSE)*H699+VLOOKUP(C699,Deflatores!G$4:I$38,3,FALSE)))</f>
        <v/>
      </c>
      <c r="M699" s="60"/>
      <c r="N699" s="60"/>
      <c r="O699" s="61"/>
    </row>
    <row r="700" ht="12.0" customHeight="1">
      <c r="A700" s="53"/>
      <c r="B700" s="54"/>
      <c r="C700" s="54"/>
      <c r="D700" s="55"/>
      <c r="E700" s="55"/>
      <c r="F700" s="56" t="str">
        <f t="shared" si="7"/>
        <v/>
      </c>
      <c r="G700" s="55" t="str">
        <f t="shared" si="8"/>
        <v/>
      </c>
      <c r="H700" s="57" t="str">
        <f t="shared" si="9"/>
        <v/>
      </c>
      <c r="I700" s="58" t="str">
        <f t="shared" si="10"/>
        <v/>
      </c>
      <c r="J700" s="55" t="str">
        <f t="shared" si="11"/>
        <v/>
      </c>
      <c r="K700" s="59" t="str">
        <f t="shared" si="12"/>
        <v/>
      </c>
      <c r="L700" s="59" t="str">
        <f>IF(NOT(ISERROR(VLOOKUP(B700,Deflatores!G$42:H$64,2,FALSE))),VLOOKUP(B700,Deflatores!G$42:H$64,2,FALSE),IF(OR(ISBLANK(C700),ISBLANK(B700)),"",VLOOKUP(C700,Deflatores!G$4:H$38,2,FALSE)*H700+VLOOKUP(C700,Deflatores!G$4:I$38,3,FALSE)))</f>
        <v/>
      </c>
      <c r="M700" s="60"/>
      <c r="N700" s="60"/>
      <c r="O700" s="61"/>
    </row>
    <row r="701" ht="12.0" customHeight="1">
      <c r="A701" s="53"/>
      <c r="B701" s="54"/>
      <c r="C701" s="54"/>
      <c r="D701" s="55"/>
      <c r="E701" s="55"/>
      <c r="F701" s="56" t="str">
        <f t="shared" si="7"/>
        <v/>
      </c>
      <c r="G701" s="55" t="str">
        <f t="shared" si="8"/>
        <v/>
      </c>
      <c r="H701" s="57" t="str">
        <f t="shared" si="9"/>
        <v/>
      </c>
      <c r="I701" s="58" t="str">
        <f t="shared" si="10"/>
        <v/>
      </c>
      <c r="J701" s="55" t="str">
        <f t="shared" si="11"/>
        <v/>
      </c>
      <c r="K701" s="59" t="str">
        <f t="shared" si="12"/>
        <v/>
      </c>
      <c r="L701" s="59" t="str">
        <f>IF(NOT(ISERROR(VLOOKUP(B701,Deflatores!G$42:H$64,2,FALSE))),VLOOKUP(B701,Deflatores!G$42:H$64,2,FALSE),IF(OR(ISBLANK(C701),ISBLANK(B701)),"",VLOOKUP(C701,Deflatores!G$4:H$38,2,FALSE)*H701+VLOOKUP(C701,Deflatores!G$4:I$38,3,FALSE)))</f>
        <v/>
      </c>
      <c r="M701" s="60"/>
      <c r="N701" s="60"/>
      <c r="O701" s="61"/>
    </row>
    <row r="702" ht="12.0" customHeight="1">
      <c r="A702" s="53"/>
      <c r="B702" s="54"/>
      <c r="C702" s="54"/>
      <c r="D702" s="55"/>
      <c r="E702" s="55"/>
      <c r="F702" s="56" t="str">
        <f t="shared" si="7"/>
        <v/>
      </c>
      <c r="G702" s="55" t="str">
        <f t="shared" si="8"/>
        <v/>
      </c>
      <c r="H702" s="57" t="str">
        <f t="shared" si="9"/>
        <v/>
      </c>
      <c r="I702" s="58" t="str">
        <f t="shared" si="10"/>
        <v/>
      </c>
      <c r="J702" s="55" t="str">
        <f t="shared" si="11"/>
        <v/>
      </c>
      <c r="K702" s="59" t="str">
        <f t="shared" si="12"/>
        <v/>
      </c>
      <c r="L702" s="59" t="str">
        <f>IF(NOT(ISERROR(VLOOKUP(B702,Deflatores!G$42:H$64,2,FALSE))),VLOOKUP(B702,Deflatores!G$42:H$64,2,FALSE),IF(OR(ISBLANK(C702),ISBLANK(B702)),"",VLOOKUP(C702,Deflatores!G$4:H$38,2,FALSE)*H702+VLOOKUP(C702,Deflatores!G$4:I$38,3,FALSE)))</f>
        <v/>
      </c>
      <c r="M702" s="60"/>
      <c r="N702" s="60"/>
      <c r="O702" s="61"/>
    </row>
    <row r="703" ht="12.0" customHeight="1">
      <c r="A703" s="53"/>
      <c r="B703" s="54"/>
      <c r="C703" s="54"/>
      <c r="D703" s="55"/>
      <c r="E703" s="55"/>
      <c r="F703" s="56" t="str">
        <f t="shared" si="7"/>
        <v/>
      </c>
      <c r="G703" s="55" t="str">
        <f t="shared" si="8"/>
        <v/>
      </c>
      <c r="H703" s="57" t="str">
        <f t="shared" si="9"/>
        <v/>
      </c>
      <c r="I703" s="58" t="str">
        <f t="shared" si="10"/>
        <v/>
      </c>
      <c r="J703" s="55" t="str">
        <f t="shared" si="11"/>
        <v/>
      </c>
      <c r="K703" s="59" t="str">
        <f t="shared" si="12"/>
        <v/>
      </c>
      <c r="L703" s="59" t="str">
        <f>IF(NOT(ISERROR(VLOOKUP(B703,Deflatores!G$42:H$64,2,FALSE))),VLOOKUP(B703,Deflatores!G$42:H$64,2,FALSE),IF(OR(ISBLANK(C703),ISBLANK(B703)),"",VLOOKUP(C703,Deflatores!G$4:H$38,2,FALSE)*H703+VLOOKUP(C703,Deflatores!G$4:I$38,3,FALSE)))</f>
        <v/>
      </c>
      <c r="M703" s="60"/>
      <c r="N703" s="60"/>
      <c r="O703" s="61"/>
    </row>
    <row r="704" ht="12.0" customHeight="1">
      <c r="A704" s="53"/>
      <c r="B704" s="54"/>
      <c r="C704" s="54"/>
      <c r="D704" s="55"/>
      <c r="E704" s="55"/>
      <c r="F704" s="56" t="str">
        <f t="shared" si="7"/>
        <v/>
      </c>
      <c r="G704" s="55" t="str">
        <f t="shared" si="8"/>
        <v/>
      </c>
      <c r="H704" s="57" t="str">
        <f t="shared" si="9"/>
        <v/>
      </c>
      <c r="I704" s="58" t="str">
        <f t="shared" si="10"/>
        <v/>
      </c>
      <c r="J704" s="55" t="str">
        <f t="shared" si="11"/>
        <v/>
      </c>
      <c r="K704" s="59" t="str">
        <f t="shared" si="12"/>
        <v/>
      </c>
      <c r="L704" s="59" t="str">
        <f>IF(NOT(ISERROR(VLOOKUP(B704,Deflatores!G$42:H$64,2,FALSE))),VLOOKUP(B704,Deflatores!G$42:H$64,2,FALSE),IF(OR(ISBLANK(C704),ISBLANK(B704)),"",VLOOKUP(C704,Deflatores!G$4:H$38,2,FALSE)*H704+VLOOKUP(C704,Deflatores!G$4:I$38,3,FALSE)))</f>
        <v/>
      </c>
      <c r="M704" s="60"/>
      <c r="N704" s="60"/>
      <c r="O704" s="61"/>
    </row>
    <row r="705" ht="12.0" customHeight="1">
      <c r="A705" s="53"/>
      <c r="B705" s="54"/>
      <c r="C705" s="54"/>
      <c r="D705" s="55"/>
      <c r="E705" s="55"/>
      <c r="F705" s="56" t="str">
        <f t="shared" si="7"/>
        <v/>
      </c>
      <c r="G705" s="55" t="str">
        <f t="shared" si="8"/>
        <v/>
      </c>
      <c r="H705" s="57" t="str">
        <f t="shared" si="9"/>
        <v/>
      </c>
      <c r="I705" s="58" t="str">
        <f t="shared" si="10"/>
        <v/>
      </c>
      <c r="J705" s="55" t="str">
        <f t="shared" si="11"/>
        <v/>
      </c>
      <c r="K705" s="59" t="str">
        <f t="shared" si="12"/>
        <v/>
      </c>
      <c r="L705" s="59" t="str">
        <f>IF(NOT(ISERROR(VLOOKUP(B705,Deflatores!G$42:H$64,2,FALSE))),VLOOKUP(B705,Deflatores!G$42:H$64,2,FALSE),IF(OR(ISBLANK(C705),ISBLANK(B705)),"",VLOOKUP(C705,Deflatores!G$4:H$38,2,FALSE)*H705+VLOOKUP(C705,Deflatores!G$4:I$38,3,FALSE)))</f>
        <v/>
      </c>
      <c r="M705" s="60"/>
      <c r="N705" s="60"/>
      <c r="O705" s="61"/>
    </row>
    <row r="706" ht="12.0" customHeight="1">
      <c r="A706" s="53"/>
      <c r="B706" s="54"/>
      <c r="C706" s="54"/>
      <c r="D706" s="55"/>
      <c r="E706" s="55"/>
      <c r="F706" s="56" t="str">
        <f t="shared" si="7"/>
        <v/>
      </c>
      <c r="G706" s="55" t="str">
        <f t="shared" si="8"/>
        <v/>
      </c>
      <c r="H706" s="57" t="str">
        <f t="shared" si="9"/>
        <v/>
      </c>
      <c r="I706" s="58" t="str">
        <f t="shared" si="10"/>
        <v/>
      </c>
      <c r="J706" s="55" t="str">
        <f t="shared" si="11"/>
        <v/>
      </c>
      <c r="K706" s="59" t="str">
        <f t="shared" si="12"/>
        <v/>
      </c>
      <c r="L706" s="59" t="str">
        <f>IF(NOT(ISERROR(VLOOKUP(B706,Deflatores!G$42:H$64,2,FALSE))),VLOOKUP(B706,Deflatores!G$42:H$64,2,FALSE),IF(OR(ISBLANK(C706),ISBLANK(B706)),"",VLOOKUP(C706,Deflatores!G$4:H$38,2,FALSE)*H706+VLOOKUP(C706,Deflatores!G$4:I$38,3,FALSE)))</f>
        <v/>
      </c>
      <c r="M706" s="60"/>
      <c r="N706" s="60"/>
      <c r="O706" s="61"/>
    </row>
    <row r="707" ht="12.0" customHeight="1">
      <c r="A707" s="53"/>
      <c r="B707" s="54"/>
      <c r="C707" s="54"/>
      <c r="D707" s="55"/>
      <c r="E707" s="55"/>
      <c r="F707" s="56" t="str">
        <f t="shared" si="7"/>
        <v/>
      </c>
      <c r="G707" s="55" t="str">
        <f t="shared" si="8"/>
        <v/>
      </c>
      <c r="H707" s="57" t="str">
        <f t="shared" si="9"/>
        <v/>
      </c>
      <c r="I707" s="58" t="str">
        <f t="shared" si="10"/>
        <v/>
      </c>
      <c r="J707" s="55" t="str">
        <f t="shared" si="11"/>
        <v/>
      </c>
      <c r="K707" s="59" t="str">
        <f t="shared" si="12"/>
        <v/>
      </c>
      <c r="L707" s="59" t="str">
        <f>IF(NOT(ISERROR(VLOOKUP(B707,Deflatores!G$42:H$64,2,FALSE))),VLOOKUP(B707,Deflatores!G$42:H$64,2,FALSE),IF(OR(ISBLANK(C707),ISBLANK(B707)),"",VLOOKUP(C707,Deflatores!G$4:H$38,2,FALSE)*H707+VLOOKUP(C707,Deflatores!G$4:I$38,3,FALSE)))</f>
        <v/>
      </c>
      <c r="M707" s="60"/>
      <c r="N707" s="60"/>
      <c r="O707" s="61"/>
    </row>
    <row r="708" ht="12.0" customHeight="1">
      <c r="A708" s="53"/>
      <c r="B708" s="54"/>
      <c r="C708" s="54"/>
      <c r="D708" s="55"/>
      <c r="E708" s="55"/>
      <c r="F708" s="56" t="str">
        <f t="shared" si="7"/>
        <v/>
      </c>
      <c r="G708" s="55" t="str">
        <f t="shared" si="8"/>
        <v/>
      </c>
      <c r="H708" s="57" t="str">
        <f t="shared" si="9"/>
        <v/>
      </c>
      <c r="I708" s="58" t="str">
        <f t="shared" si="10"/>
        <v/>
      </c>
      <c r="J708" s="55" t="str">
        <f t="shared" si="11"/>
        <v/>
      </c>
      <c r="K708" s="59" t="str">
        <f t="shared" si="12"/>
        <v/>
      </c>
      <c r="L708" s="59" t="str">
        <f>IF(NOT(ISERROR(VLOOKUP(B708,Deflatores!G$42:H$64,2,FALSE))),VLOOKUP(B708,Deflatores!G$42:H$64,2,FALSE),IF(OR(ISBLANK(C708),ISBLANK(B708)),"",VLOOKUP(C708,Deflatores!G$4:H$38,2,FALSE)*H708+VLOOKUP(C708,Deflatores!G$4:I$38,3,FALSE)))</f>
        <v/>
      </c>
      <c r="M708" s="60"/>
      <c r="N708" s="60"/>
      <c r="O708" s="61"/>
    </row>
    <row r="709" ht="12.0" customHeight="1">
      <c r="A709" s="53"/>
      <c r="B709" s="54"/>
      <c r="C709" s="54"/>
      <c r="D709" s="55"/>
      <c r="E709" s="55"/>
      <c r="F709" s="56" t="str">
        <f t="shared" si="7"/>
        <v/>
      </c>
      <c r="G709" s="55" t="str">
        <f t="shared" si="8"/>
        <v/>
      </c>
      <c r="H709" s="57" t="str">
        <f t="shared" si="9"/>
        <v/>
      </c>
      <c r="I709" s="58" t="str">
        <f t="shared" si="10"/>
        <v/>
      </c>
      <c r="J709" s="55" t="str">
        <f t="shared" si="11"/>
        <v/>
      </c>
      <c r="K709" s="59" t="str">
        <f t="shared" si="12"/>
        <v/>
      </c>
      <c r="L709" s="59" t="str">
        <f>IF(NOT(ISERROR(VLOOKUP(B709,Deflatores!G$42:H$64,2,FALSE))),VLOOKUP(B709,Deflatores!G$42:H$64,2,FALSE),IF(OR(ISBLANK(C709),ISBLANK(B709)),"",VLOOKUP(C709,Deflatores!G$4:H$38,2,FALSE)*H709+VLOOKUP(C709,Deflatores!G$4:I$38,3,FALSE)))</f>
        <v/>
      </c>
      <c r="M709" s="60"/>
      <c r="N709" s="60"/>
      <c r="O709" s="61"/>
    </row>
    <row r="710" ht="12.0" customHeight="1">
      <c r="A710" s="53"/>
      <c r="B710" s="54"/>
      <c r="C710" s="54"/>
      <c r="D710" s="55"/>
      <c r="E710" s="55"/>
      <c r="F710" s="56" t="str">
        <f t="shared" si="7"/>
        <v/>
      </c>
      <c r="G710" s="55" t="str">
        <f t="shared" si="8"/>
        <v/>
      </c>
      <c r="H710" s="57" t="str">
        <f t="shared" si="9"/>
        <v/>
      </c>
      <c r="I710" s="58" t="str">
        <f t="shared" si="10"/>
        <v/>
      </c>
      <c r="J710" s="55" t="str">
        <f t="shared" si="11"/>
        <v/>
      </c>
      <c r="K710" s="59" t="str">
        <f t="shared" si="12"/>
        <v/>
      </c>
      <c r="L710" s="59" t="str">
        <f>IF(NOT(ISERROR(VLOOKUP(B710,Deflatores!G$42:H$64,2,FALSE))),VLOOKUP(B710,Deflatores!G$42:H$64,2,FALSE),IF(OR(ISBLANK(C710),ISBLANK(B710)),"",VLOOKUP(C710,Deflatores!G$4:H$38,2,FALSE)*H710+VLOOKUP(C710,Deflatores!G$4:I$38,3,FALSE)))</f>
        <v/>
      </c>
      <c r="M710" s="60"/>
      <c r="N710" s="60"/>
      <c r="O710" s="61"/>
    </row>
    <row r="711" ht="12.0" customHeight="1">
      <c r="A711" s="53"/>
      <c r="B711" s="54"/>
      <c r="C711" s="54"/>
      <c r="D711" s="55"/>
      <c r="E711" s="55"/>
      <c r="F711" s="56" t="str">
        <f t="shared" si="7"/>
        <v/>
      </c>
      <c r="G711" s="55" t="str">
        <f t="shared" si="8"/>
        <v/>
      </c>
      <c r="H711" s="57" t="str">
        <f t="shared" si="9"/>
        <v/>
      </c>
      <c r="I711" s="58" t="str">
        <f t="shared" si="10"/>
        <v/>
      </c>
      <c r="J711" s="55" t="str">
        <f t="shared" si="11"/>
        <v/>
      </c>
      <c r="K711" s="59" t="str">
        <f t="shared" si="12"/>
        <v/>
      </c>
      <c r="L711" s="59" t="str">
        <f>IF(NOT(ISERROR(VLOOKUP(B711,Deflatores!G$42:H$64,2,FALSE))),VLOOKUP(B711,Deflatores!G$42:H$64,2,FALSE),IF(OR(ISBLANK(C711),ISBLANK(B711)),"",VLOOKUP(C711,Deflatores!G$4:H$38,2,FALSE)*H711+VLOOKUP(C711,Deflatores!G$4:I$38,3,FALSE)))</f>
        <v/>
      </c>
      <c r="M711" s="60"/>
      <c r="N711" s="60"/>
      <c r="O711" s="61"/>
    </row>
    <row r="712" ht="12.0" customHeight="1">
      <c r="A712" s="53"/>
      <c r="B712" s="54"/>
      <c r="C712" s="54"/>
      <c r="D712" s="55"/>
      <c r="E712" s="55"/>
      <c r="F712" s="56" t="str">
        <f t="shared" si="7"/>
        <v/>
      </c>
      <c r="G712" s="55" t="str">
        <f t="shared" si="8"/>
        <v/>
      </c>
      <c r="H712" s="57" t="str">
        <f t="shared" si="9"/>
        <v/>
      </c>
      <c r="I712" s="58" t="str">
        <f t="shared" si="10"/>
        <v/>
      </c>
      <c r="J712" s="55" t="str">
        <f t="shared" si="11"/>
        <v/>
      </c>
      <c r="K712" s="59" t="str">
        <f t="shared" si="12"/>
        <v/>
      </c>
      <c r="L712" s="59" t="str">
        <f>IF(NOT(ISERROR(VLOOKUP(B712,Deflatores!G$42:H$64,2,FALSE))),VLOOKUP(B712,Deflatores!G$42:H$64,2,FALSE),IF(OR(ISBLANK(C712),ISBLANK(B712)),"",VLOOKUP(C712,Deflatores!G$4:H$38,2,FALSE)*H712+VLOOKUP(C712,Deflatores!G$4:I$38,3,FALSE)))</f>
        <v/>
      </c>
      <c r="M712" s="60"/>
      <c r="N712" s="60"/>
      <c r="O712" s="61"/>
    </row>
    <row r="713" ht="12.0" customHeight="1">
      <c r="A713" s="53"/>
      <c r="B713" s="54"/>
      <c r="C713" s="54"/>
      <c r="D713" s="55"/>
      <c r="E713" s="55"/>
      <c r="F713" s="56" t="str">
        <f t="shared" si="7"/>
        <v/>
      </c>
      <c r="G713" s="55" t="str">
        <f t="shared" si="8"/>
        <v/>
      </c>
      <c r="H713" s="57" t="str">
        <f t="shared" si="9"/>
        <v/>
      </c>
      <c r="I713" s="58" t="str">
        <f t="shared" si="10"/>
        <v/>
      </c>
      <c r="J713" s="55" t="str">
        <f t="shared" si="11"/>
        <v/>
      </c>
      <c r="K713" s="59" t="str">
        <f t="shared" si="12"/>
        <v/>
      </c>
      <c r="L713" s="59" t="str">
        <f>IF(NOT(ISERROR(VLOOKUP(B713,Deflatores!G$42:H$64,2,FALSE))),VLOOKUP(B713,Deflatores!G$42:H$64,2,FALSE),IF(OR(ISBLANK(C713),ISBLANK(B713)),"",VLOOKUP(C713,Deflatores!G$4:H$38,2,FALSE)*H713+VLOOKUP(C713,Deflatores!G$4:I$38,3,FALSE)))</f>
        <v/>
      </c>
      <c r="M713" s="60"/>
      <c r="N713" s="60"/>
      <c r="O713" s="61"/>
    </row>
    <row r="714" ht="12.0" customHeight="1">
      <c r="A714" s="53"/>
      <c r="B714" s="54"/>
      <c r="C714" s="54"/>
      <c r="D714" s="55"/>
      <c r="E714" s="55"/>
      <c r="F714" s="56" t="str">
        <f t="shared" si="7"/>
        <v/>
      </c>
      <c r="G714" s="55" t="str">
        <f t="shared" si="8"/>
        <v/>
      </c>
      <c r="H714" s="57" t="str">
        <f t="shared" si="9"/>
        <v/>
      </c>
      <c r="I714" s="58" t="str">
        <f t="shared" si="10"/>
        <v/>
      </c>
      <c r="J714" s="55" t="str">
        <f t="shared" si="11"/>
        <v/>
      </c>
      <c r="K714" s="59" t="str">
        <f t="shared" si="12"/>
        <v/>
      </c>
      <c r="L714" s="59" t="str">
        <f>IF(NOT(ISERROR(VLOOKUP(B714,Deflatores!G$42:H$64,2,FALSE))),VLOOKUP(B714,Deflatores!G$42:H$64,2,FALSE),IF(OR(ISBLANK(C714),ISBLANK(B714)),"",VLOOKUP(C714,Deflatores!G$4:H$38,2,FALSE)*H714+VLOOKUP(C714,Deflatores!G$4:I$38,3,FALSE)))</f>
        <v/>
      </c>
      <c r="M714" s="60"/>
      <c r="N714" s="60"/>
      <c r="O714" s="61"/>
    </row>
    <row r="715" ht="12.0" customHeight="1">
      <c r="A715" s="53"/>
      <c r="B715" s="54"/>
      <c r="C715" s="54"/>
      <c r="D715" s="55"/>
      <c r="E715" s="55"/>
      <c r="F715" s="56" t="str">
        <f t="shared" si="7"/>
        <v/>
      </c>
      <c r="G715" s="55" t="str">
        <f t="shared" si="8"/>
        <v/>
      </c>
      <c r="H715" s="57" t="str">
        <f t="shared" si="9"/>
        <v/>
      </c>
      <c r="I715" s="58" t="str">
        <f t="shared" si="10"/>
        <v/>
      </c>
      <c r="J715" s="55" t="str">
        <f t="shared" si="11"/>
        <v/>
      </c>
      <c r="K715" s="59" t="str">
        <f t="shared" si="12"/>
        <v/>
      </c>
      <c r="L715" s="59" t="str">
        <f>IF(NOT(ISERROR(VLOOKUP(B715,Deflatores!G$42:H$64,2,FALSE))),VLOOKUP(B715,Deflatores!G$42:H$64,2,FALSE),IF(OR(ISBLANK(C715),ISBLANK(B715)),"",VLOOKUP(C715,Deflatores!G$4:H$38,2,FALSE)*H715+VLOOKUP(C715,Deflatores!G$4:I$38,3,FALSE)))</f>
        <v/>
      </c>
      <c r="M715" s="60"/>
      <c r="N715" s="60"/>
      <c r="O715" s="61"/>
    </row>
    <row r="716" ht="12.0" customHeight="1">
      <c r="A716" s="53"/>
      <c r="B716" s="54"/>
      <c r="C716" s="54"/>
      <c r="D716" s="55"/>
      <c r="E716" s="55"/>
      <c r="F716" s="56" t="str">
        <f t="shared" si="7"/>
        <v/>
      </c>
      <c r="G716" s="55" t="str">
        <f t="shared" si="8"/>
        <v/>
      </c>
      <c r="H716" s="57" t="str">
        <f t="shared" si="9"/>
        <v/>
      </c>
      <c r="I716" s="58" t="str">
        <f t="shared" si="10"/>
        <v/>
      </c>
      <c r="J716" s="55" t="str">
        <f t="shared" si="11"/>
        <v/>
      </c>
      <c r="K716" s="59" t="str">
        <f t="shared" si="12"/>
        <v/>
      </c>
      <c r="L716" s="59" t="str">
        <f>IF(NOT(ISERROR(VLOOKUP(B716,Deflatores!G$42:H$64,2,FALSE))),VLOOKUP(B716,Deflatores!G$42:H$64,2,FALSE),IF(OR(ISBLANK(C716),ISBLANK(B716)),"",VLOOKUP(C716,Deflatores!G$4:H$38,2,FALSE)*H716+VLOOKUP(C716,Deflatores!G$4:I$38,3,FALSE)))</f>
        <v/>
      </c>
      <c r="M716" s="60"/>
      <c r="N716" s="60"/>
      <c r="O716" s="61"/>
    </row>
    <row r="717" ht="12.0" customHeight="1">
      <c r="A717" s="53"/>
      <c r="B717" s="54"/>
      <c r="C717" s="54"/>
      <c r="D717" s="55"/>
      <c r="E717" s="55"/>
      <c r="F717" s="56" t="str">
        <f t="shared" si="7"/>
        <v/>
      </c>
      <c r="G717" s="55" t="str">
        <f t="shared" si="8"/>
        <v/>
      </c>
      <c r="H717" s="57" t="str">
        <f t="shared" si="9"/>
        <v/>
      </c>
      <c r="I717" s="58" t="str">
        <f t="shared" si="10"/>
        <v/>
      </c>
      <c r="J717" s="55" t="str">
        <f t="shared" si="11"/>
        <v/>
      </c>
      <c r="K717" s="59" t="str">
        <f t="shared" si="12"/>
        <v/>
      </c>
      <c r="L717" s="59" t="str">
        <f>IF(NOT(ISERROR(VLOOKUP(B717,Deflatores!G$42:H$64,2,FALSE))),VLOOKUP(B717,Deflatores!G$42:H$64,2,FALSE),IF(OR(ISBLANK(C717),ISBLANK(B717)),"",VLOOKUP(C717,Deflatores!G$4:H$38,2,FALSE)*H717+VLOOKUP(C717,Deflatores!G$4:I$38,3,FALSE)))</f>
        <v/>
      </c>
      <c r="M717" s="60"/>
      <c r="N717" s="60"/>
      <c r="O717" s="61"/>
    </row>
    <row r="718" ht="12.0" customHeight="1">
      <c r="A718" s="53"/>
      <c r="B718" s="54"/>
      <c r="C718" s="54"/>
      <c r="D718" s="55"/>
      <c r="E718" s="55"/>
      <c r="F718" s="56" t="str">
        <f t="shared" si="7"/>
        <v/>
      </c>
      <c r="G718" s="55" t="str">
        <f t="shared" si="8"/>
        <v/>
      </c>
      <c r="H718" s="57" t="str">
        <f t="shared" si="9"/>
        <v/>
      </c>
      <c r="I718" s="58" t="str">
        <f t="shared" si="10"/>
        <v/>
      </c>
      <c r="J718" s="55" t="str">
        <f t="shared" si="11"/>
        <v/>
      </c>
      <c r="K718" s="59" t="str">
        <f t="shared" si="12"/>
        <v/>
      </c>
      <c r="L718" s="59" t="str">
        <f>IF(NOT(ISERROR(VLOOKUP(B718,Deflatores!G$42:H$64,2,FALSE))),VLOOKUP(B718,Deflatores!G$42:H$64,2,FALSE),IF(OR(ISBLANK(C718),ISBLANK(B718)),"",VLOOKUP(C718,Deflatores!G$4:H$38,2,FALSE)*H718+VLOOKUP(C718,Deflatores!G$4:I$38,3,FALSE)))</f>
        <v/>
      </c>
      <c r="M718" s="60"/>
      <c r="N718" s="60"/>
      <c r="O718" s="61"/>
    </row>
    <row r="719" ht="12.0" customHeight="1">
      <c r="A719" s="53"/>
      <c r="B719" s="54"/>
      <c r="C719" s="54"/>
      <c r="D719" s="55"/>
      <c r="E719" s="55"/>
      <c r="F719" s="56" t="str">
        <f t="shared" si="7"/>
        <v/>
      </c>
      <c r="G719" s="55" t="str">
        <f t="shared" si="8"/>
        <v/>
      </c>
      <c r="H719" s="57" t="str">
        <f t="shared" si="9"/>
        <v/>
      </c>
      <c r="I719" s="58" t="str">
        <f t="shared" si="10"/>
        <v/>
      </c>
      <c r="J719" s="55" t="str">
        <f t="shared" si="11"/>
        <v/>
      </c>
      <c r="K719" s="59" t="str">
        <f t="shared" si="12"/>
        <v/>
      </c>
      <c r="L719" s="59" t="str">
        <f>IF(NOT(ISERROR(VLOOKUP(B719,Deflatores!G$42:H$64,2,FALSE))),VLOOKUP(B719,Deflatores!G$42:H$64,2,FALSE),IF(OR(ISBLANK(C719),ISBLANK(B719)),"",VLOOKUP(C719,Deflatores!G$4:H$38,2,FALSE)*H719+VLOOKUP(C719,Deflatores!G$4:I$38,3,FALSE)))</f>
        <v/>
      </c>
      <c r="M719" s="60"/>
      <c r="N719" s="60"/>
      <c r="O719" s="61"/>
    </row>
    <row r="720" ht="12.0" customHeight="1">
      <c r="A720" s="53"/>
      <c r="B720" s="54"/>
      <c r="C720" s="54"/>
      <c r="D720" s="55"/>
      <c r="E720" s="55"/>
      <c r="F720" s="56" t="str">
        <f t="shared" si="7"/>
        <v/>
      </c>
      <c r="G720" s="55" t="str">
        <f t="shared" si="8"/>
        <v/>
      </c>
      <c r="H720" s="57" t="str">
        <f t="shared" si="9"/>
        <v/>
      </c>
      <c r="I720" s="58" t="str">
        <f t="shared" si="10"/>
        <v/>
      </c>
      <c r="J720" s="55" t="str">
        <f t="shared" si="11"/>
        <v/>
      </c>
      <c r="K720" s="59" t="str">
        <f t="shared" si="12"/>
        <v/>
      </c>
      <c r="L720" s="59" t="str">
        <f>IF(NOT(ISERROR(VLOOKUP(B720,Deflatores!G$42:H$64,2,FALSE))),VLOOKUP(B720,Deflatores!G$42:H$64,2,FALSE),IF(OR(ISBLANK(C720),ISBLANK(B720)),"",VLOOKUP(C720,Deflatores!G$4:H$38,2,FALSE)*H720+VLOOKUP(C720,Deflatores!G$4:I$38,3,FALSE)))</f>
        <v/>
      </c>
      <c r="M720" s="60"/>
      <c r="N720" s="60"/>
      <c r="O720" s="61"/>
    </row>
    <row r="721" ht="12.0" customHeight="1">
      <c r="A721" s="53"/>
      <c r="B721" s="54"/>
      <c r="C721" s="54"/>
      <c r="D721" s="55"/>
      <c r="E721" s="55"/>
      <c r="F721" s="56" t="str">
        <f t="shared" si="7"/>
        <v/>
      </c>
      <c r="G721" s="55" t="str">
        <f t="shared" si="8"/>
        <v/>
      </c>
      <c r="H721" s="57" t="str">
        <f t="shared" si="9"/>
        <v/>
      </c>
      <c r="I721" s="58" t="str">
        <f t="shared" si="10"/>
        <v/>
      </c>
      <c r="J721" s="55" t="str">
        <f t="shared" si="11"/>
        <v/>
      </c>
      <c r="K721" s="59" t="str">
        <f t="shared" si="12"/>
        <v/>
      </c>
      <c r="L721" s="59" t="str">
        <f>IF(NOT(ISERROR(VLOOKUP(B721,Deflatores!G$42:H$64,2,FALSE))),VLOOKUP(B721,Deflatores!G$42:H$64,2,FALSE),IF(OR(ISBLANK(C721),ISBLANK(B721)),"",VLOOKUP(C721,Deflatores!G$4:H$38,2,FALSE)*H721+VLOOKUP(C721,Deflatores!G$4:I$38,3,FALSE)))</f>
        <v/>
      </c>
      <c r="M721" s="60"/>
      <c r="N721" s="60"/>
      <c r="O721" s="61"/>
    </row>
    <row r="722" ht="12.0" customHeight="1">
      <c r="A722" s="53"/>
      <c r="B722" s="54"/>
      <c r="C722" s="54"/>
      <c r="D722" s="55"/>
      <c r="E722" s="55"/>
      <c r="F722" s="56" t="str">
        <f t="shared" si="7"/>
        <v/>
      </c>
      <c r="G722" s="55" t="str">
        <f t="shared" si="8"/>
        <v/>
      </c>
      <c r="H722" s="57" t="str">
        <f t="shared" si="9"/>
        <v/>
      </c>
      <c r="I722" s="58" t="str">
        <f t="shared" si="10"/>
        <v/>
      </c>
      <c r="J722" s="55" t="str">
        <f t="shared" si="11"/>
        <v/>
      </c>
      <c r="K722" s="59" t="str">
        <f t="shared" si="12"/>
        <v/>
      </c>
      <c r="L722" s="59" t="str">
        <f>IF(NOT(ISERROR(VLOOKUP(B722,Deflatores!G$42:H$64,2,FALSE))),VLOOKUP(B722,Deflatores!G$42:H$64,2,FALSE),IF(OR(ISBLANK(C722),ISBLANK(B722)),"",VLOOKUP(C722,Deflatores!G$4:H$38,2,FALSE)*H722+VLOOKUP(C722,Deflatores!G$4:I$38,3,FALSE)))</f>
        <v/>
      </c>
      <c r="M722" s="60"/>
      <c r="N722" s="60"/>
      <c r="O722" s="61"/>
    </row>
    <row r="723" ht="12.0" customHeight="1">
      <c r="A723" s="53"/>
      <c r="B723" s="54"/>
      <c r="C723" s="54"/>
      <c r="D723" s="55"/>
      <c r="E723" s="55"/>
      <c r="F723" s="56" t="str">
        <f t="shared" si="7"/>
        <v/>
      </c>
      <c r="G723" s="55" t="str">
        <f t="shared" si="8"/>
        <v/>
      </c>
      <c r="H723" s="57" t="str">
        <f t="shared" si="9"/>
        <v/>
      </c>
      <c r="I723" s="58" t="str">
        <f t="shared" si="10"/>
        <v/>
      </c>
      <c r="J723" s="55" t="str">
        <f t="shared" si="11"/>
        <v/>
      </c>
      <c r="K723" s="59" t="str">
        <f t="shared" si="12"/>
        <v/>
      </c>
      <c r="L723" s="59" t="str">
        <f>IF(NOT(ISERROR(VLOOKUP(B723,Deflatores!G$42:H$64,2,FALSE))),VLOOKUP(B723,Deflatores!G$42:H$64,2,FALSE),IF(OR(ISBLANK(C723),ISBLANK(B723)),"",VLOOKUP(C723,Deflatores!G$4:H$38,2,FALSE)*H723+VLOOKUP(C723,Deflatores!G$4:I$38,3,FALSE)))</f>
        <v/>
      </c>
      <c r="M723" s="60"/>
      <c r="N723" s="60"/>
      <c r="O723" s="61"/>
    </row>
    <row r="724" ht="12.0" customHeight="1">
      <c r="A724" s="53"/>
      <c r="B724" s="54"/>
      <c r="C724" s="54"/>
      <c r="D724" s="55"/>
      <c r="E724" s="55"/>
      <c r="F724" s="56" t="str">
        <f t="shared" si="7"/>
        <v/>
      </c>
      <c r="G724" s="55" t="str">
        <f t="shared" si="8"/>
        <v/>
      </c>
      <c r="H724" s="57" t="str">
        <f t="shared" si="9"/>
        <v/>
      </c>
      <c r="I724" s="58" t="str">
        <f t="shared" si="10"/>
        <v/>
      </c>
      <c r="J724" s="55" t="str">
        <f t="shared" si="11"/>
        <v/>
      </c>
      <c r="K724" s="59" t="str">
        <f t="shared" si="12"/>
        <v/>
      </c>
      <c r="L724" s="59" t="str">
        <f>IF(NOT(ISERROR(VLOOKUP(B724,Deflatores!G$42:H$64,2,FALSE))),VLOOKUP(B724,Deflatores!G$42:H$64,2,FALSE),IF(OR(ISBLANK(C724),ISBLANK(B724)),"",VLOOKUP(C724,Deflatores!G$4:H$38,2,FALSE)*H724+VLOOKUP(C724,Deflatores!G$4:I$38,3,FALSE)))</f>
        <v/>
      </c>
      <c r="M724" s="60"/>
      <c r="N724" s="60"/>
      <c r="O724" s="61"/>
    </row>
    <row r="725" ht="12.0" customHeight="1">
      <c r="A725" s="53"/>
      <c r="B725" s="54"/>
      <c r="C725" s="54"/>
      <c r="D725" s="55"/>
      <c r="E725" s="55"/>
      <c r="F725" s="56" t="str">
        <f t="shared" si="7"/>
        <v/>
      </c>
      <c r="G725" s="55" t="str">
        <f t="shared" si="8"/>
        <v/>
      </c>
      <c r="H725" s="57" t="str">
        <f t="shared" si="9"/>
        <v/>
      </c>
      <c r="I725" s="58" t="str">
        <f t="shared" si="10"/>
        <v/>
      </c>
      <c r="J725" s="55" t="str">
        <f t="shared" si="11"/>
        <v/>
      </c>
      <c r="K725" s="59" t="str">
        <f t="shared" si="12"/>
        <v/>
      </c>
      <c r="L725" s="59" t="str">
        <f>IF(NOT(ISERROR(VLOOKUP(B725,Deflatores!G$42:H$64,2,FALSE))),VLOOKUP(B725,Deflatores!G$42:H$64,2,FALSE),IF(OR(ISBLANK(C725),ISBLANK(B725)),"",VLOOKUP(C725,Deflatores!G$4:H$38,2,FALSE)*H725+VLOOKUP(C725,Deflatores!G$4:I$38,3,FALSE)))</f>
        <v/>
      </c>
      <c r="M725" s="60"/>
      <c r="N725" s="60"/>
      <c r="O725" s="61"/>
    </row>
    <row r="726" ht="12.0" customHeight="1">
      <c r="A726" s="53"/>
      <c r="B726" s="54"/>
      <c r="C726" s="54"/>
      <c r="D726" s="55"/>
      <c r="E726" s="55"/>
      <c r="F726" s="56" t="str">
        <f t="shared" si="7"/>
        <v/>
      </c>
      <c r="G726" s="55" t="str">
        <f t="shared" si="8"/>
        <v/>
      </c>
      <c r="H726" s="57" t="str">
        <f t="shared" si="9"/>
        <v/>
      </c>
      <c r="I726" s="58" t="str">
        <f t="shared" si="10"/>
        <v/>
      </c>
      <c r="J726" s="55" t="str">
        <f t="shared" si="11"/>
        <v/>
      </c>
      <c r="K726" s="59" t="str">
        <f t="shared" si="12"/>
        <v/>
      </c>
      <c r="L726" s="59" t="str">
        <f>IF(NOT(ISERROR(VLOOKUP(B726,Deflatores!G$42:H$64,2,FALSE))),VLOOKUP(B726,Deflatores!G$42:H$64,2,FALSE),IF(OR(ISBLANK(C726),ISBLANK(B726)),"",VLOOKUP(C726,Deflatores!G$4:H$38,2,FALSE)*H726+VLOOKUP(C726,Deflatores!G$4:I$38,3,FALSE)))</f>
        <v/>
      </c>
      <c r="M726" s="60"/>
      <c r="N726" s="60"/>
      <c r="O726" s="61"/>
    </row>
    <row r="727" ht="12.0" customHeight="1">
      <c r="A727" s="53"/>
      <c r="B727" s="54"/>
      <c r="C727" s="54"/>
      <c r="D727" s="55"/>
      <c r="E727" s="55"/>
      <c r="F727" s="56" t="str">
        <f t="shared" si="7"/>
        <v/>
      </c>
      <c r="G727" s="55" t="str">
        <f t="shared" si="8"/>
        <v/>
      </c>
      <c r="H727" s="57" t="str">
        <f t="shared" si="9"/>
        <v/>
      </c>
      <c r="I727" s="58" t="str">
        <f t="shared" si="10"/>
        <v/>
      </c>
      <c r="J727" s="55" t="str">
        <f t="shared" si="11"/>
        <v/>
      </c>
      <c r="K727" s="59" t="str">
        <f t="shared" si="12"/>
        <v/>
      </c>
      <c r="L727" s="59" t="str">
        <f>IF(NOT(ISERROR(VLOOKUP(B727,Deflatores!G$42:H$64,2,FALSE))),VLOOKUP(B727,Deflatores!G$42:H$64,2,FALSE),IF(OR(ISBLANK(C727),ISBLANK(B727)),"",VLOOKUP(C727,Deflatores!G$4:H$38,2,FALSE)*H727+VLOOKUP(C727,Deflatores!G$4:I$38,3,FALSE)))</f>
        <v/>
      </c>
      <c r="M727" s="60"/>
      <c r="N727" s="60"/>
      <c r="O727" s="61"/>
    </row>
    <row r="728" ht="12.0" customHeight="1">
      <c r="A728" s="53"/>
      <c r="B728" s="54"/>
      <c r="C728" s="54"/>
      <c r="D728" s="55"/>
      <c r="E728" s="55"/>
      <c r="F728" s="56" t="str">
        <f t="shared" si="7"/>
        <v/>
      </c>
      <c r="G728" s="55" t="str">
        <f t="shared" si="8"/>
        <v/>
      </c>
      <c r="H728" s="57" t="str">
        <f t="shared" si="9"/>
        <v/>
      </c>
      <c r="I728" s="58" t="str">
        <f t="shared" si="10"/>
        <v/>
      </c>
      <c r="J728" s="55" t="str">
        <f t="shared" si="11"/>
        <v/>
      </c>
      <c r="K728" s="59" t="str">
        <f t="shared" si="12"/>
        <v/>
      </c>
      <c r="L728" s="59" t="str">
        <f>IF(NOT(ISERROR(VLOOKUP(B728,Deflatores!G$42:H$64,2,FALSE))),VLOOKUP(B728,Deflatores!G$42:H$64,2,FALSE),IF(OR(ISBLANK(C728),ISBLANK(B728)),"",VLOOKUP(C728,Deflatores!G$4:H$38,2,FALSE)*H728+VLOOKUP(C728,Deflatores!G$4:I$38,3,FALSE)))</f>
        <v/>
      </c>
      <c r="M728" s="60"/>
      <c r="N728" s="60"/>
      <c r="O728" s="61"/>
    </row>
    <row r="729" ht="12.0" customHeight="1">
      <c r="A729" s="53"/>
      <c r="B729" s="54"/>
      <c r="C729" s="54"/>
      <c r="D729" s="55"/>
      <c r="E729" s="55"/>
      <c r="F729" s="56" t="str">
        <f t="shared" si="7"/>
        <v/>
      </c>
      <c r="G729" s="55" t="str">
        <f t="shared" si="8"/>
        <v/>
      </c>
      <c r="H729" s="57" t="str">
        <f t="shared" si="9"/>
        <v/>
      </c>
      <c r="I729" s="58" t="str">
        <f t="shared" si="10"/>
        <v/>
      </c>
      <c r="J729" s="55" t="str">
        <f t="shared" si="11"/>
        <v/>
      </c>
      <c r="K729" s="59" t="str">
        <f t="shared" si="12"/>
        <v/>
      </c>
      <c r="L729" s="59" t="str">
        <f>IF(NOT(ISERROR(VLOOKUP(B729,Deflatores!G$42:H$64,2,FALSE))),VLOOKUP(B729,Deflatores!G$42:H$64,2,FALSE),IF(OR(ISBLANK(C729),ISBLANK(B729)),"",VLOOKUP(C729,Deflatores!G$4:H$38,2,FALSE)*H729+VLOOKUP(C729,Deflatores!G$4:I$38,3,FALSE)))</f>
        <v/>
      </c>
      <c r="M729" s="60"/>
      <c r="N729" s="60"/>
      <c r="O729" s="61"/>
    </row>
    <row r="730" ht="12.0" customHeight="1">
      <c r="A730" s="53"/>
      <c r="B730" s="54"/>
      <c r="C730" s="54"/>
      <c r="D730" s="55"/>
      <c r="E730" s="55"/>
      <c r="F730" s="56" t="str">
        <f t="shared" si="7"/>
        <v/>
      </c>
      <c r="G730" s="55" t="str">
        <f t="shared" si="8"/>
        <v/>
      </c>
      <c r="H730" s="57" t="str">
        <f t="shared" si="9"/>
        <v/>
      </c>
      <c r="I730" s="58" t="str">
        <f t="shared" si="10"/>
        <v/>
      </c>
      <c r="J730" s="55" t="str">
        <f t="shared" si="11"/>
        <v/>
      </c>
      <c r="K730" s="59" t="str">
        <f t="shared" si="12"/>
        <v/>
      </c>
      <c r="L730" s="59" t="str">
        <f>IF(NOT(ISERROR(VLOOKUP(B730,Deflatores!G$42:H$64,2,FALSE))),VLOOKUP(B730,Deflatores!G$42:H$64,2,FALSE),IF(OR(ISBLANK(C730),ISBLANK(B730)),"",VLOOKUP(C730,Deflatores!G$4:H$38,2,FALSE)*H730+VLOOKUP(C730,Deflatores!G$4:I$38,3,FALSE)))</f>
        <v/>
      </c>
      <c r="M730" s="60"/>
      <c r="N730" s="60"/>
      <c r="O730" s="61"/>
    </row>
    <row r="731" ht="12.0" customHeight="1">
      <c r="A731" s="53"/>
      <c r="B731" s="54"/>
      <c r="C731" s="54"/>
      <c r="D731" s="55"/>
      <c r="E731" s="55"/>
      <c r="F731" s="56" t="str">
        <f t="shared" si="7"/>
        <v/>
      </c>
      <c r="G731" s="55" t="str">
        <f t="shared" si="8"/>
        <v/>
      </c>
      <c r="H731" s="57" t="str">
        <f t="shared" si="9"/>
        <v/>
      </c>
      <c r="I731" s="58" t="str">
        <f t="shared" si="10"/>
        <v/>
      </c>
      <c r="J731" s="55" t="str">
        <f t="shared" si="11"/>
        <v/>
      </c>
      <c r="K731" s="59" t="str">
        <f t="shared" si="12"/>
        <v/>
      </c>
      <c r="L731" s="59" t="str">
        <f>IF(NOT(ISERROR(VLOOKUP(B731,Deflatores!G$42:H$64,2,FALSE))),VLOOKUP(B731,Deflatores!G$42:H$64,2,FALSE),IF(OR(ISBLANK(C731),ISBLANK(B731)),"",VLOOKUP(C731,Deflatores!G$4:H$38,2,FALSE)*H731+VLOOKUP(C731,Deflatores!G$4:I$38,3,FALSE)))</f>
        <v/>
      </c>
      <c r="M731" s="60"/>
      <c r="N731" s="60"/>
      <c r="O731" s="61"/>
    </row>
    <row r="732" ht="12.0" customHeight="1">
      <c r="A732" s="53"/>
      <c r="B732" s="54"/>
      <c r="C732" s="54"/>
      <c r="D732" s="55"/>
      <c r="E732" s="55"/>
      <c r="F732" s="56" t="str">
        <f t="shared" si="7"/>
        <v/>
      </c>
      <c r="G732" s="55" t="str">
        <f t="shared" si="8"/>
        <v/>
      </c>
      <c r="H732" s="57" t="str">
        <f t="shared" si="9"/>
        <v/>
      </c>
      <c r="I732" s="58" t="str">
        <f t="shared" si="10"/>
        <v/>
      </c>
      <c r="J732" s="55" t="str">
        <f t="shared" si="11"/>
        <v/>
      </c>
      <c r="K732" s="59" t="str">
        <f t="shared" si="12"/>
        <v/>
      </c>
      <c r="L732" s="59" t="str">
        <f>IF(NOT(ISERROR(VLOOKUP(B732,Deflatores!G$42:H$64,2,FALSE))),VLOOKUP(B732,Deflatores!G$42:H$64,2,FALSE),IF(OR(ISBLANK(C732),ISBLANK(B732)),"",VLOOKUP(C732,Deflatores!G$4:H$38,2,FALSE)*H732+VLOOKUP(C732,Deflatores!G$4:I$38,3,FALSE)))</f>
        <v/>
      </c>
      <c r="M732" s="60"/>
      <c r="N732" s="60"/>
      <c r="O732" s="61"/>
    </row>
    <row r="733" ht="12.0" customHeight="1">
      <c r="A733" s="53"/>
      <c r="B733" s="54"/>
      <c r="C733" s="54"/>
      <c r="D733" s="55"/>
      <c r="E733" s="55"/>
      <c r="F733" s="56" t="str">
        <f t="shared" si="7"/>
        <v/>
      </c>
      <c r="G733" s="55" t="str">
        <f t="shared" si="8"/>
        <v/>
      </c>
      <c r="H733" s="57" t="str">
        <f t="shared" si="9"/>
        <v/>
      </c>
      <c r="I733" s="58" t="str">
        <f t="shared" si="10"/>
        <v/>
      </c>
      <c r="J733" s="55" t="str">
        <f t="shared" si="11"/>
        <v/>
      </c>
      <c r="K733" s="59" t="str">
        <f t="shared" si="12"/>
        <v/>
      </c>
      <c r="L733" s="59" t="str">
        <f>IF(NOT(ISERROR(VLOOKUP(B733,Deflatores!G$42:H$64,2,FALSE))),VLOOKUP(B733,Deflatores!G$42:H$64,2,FALSE),IF(OR(ISBLANK(C733),ISBLANK(B733)),"",VLOOKUP(C733,Deflatores!G$4:H$38,2,FALSE)*H733+VLOOKUP(C733,Deflatores!G$4:I$38,3,FALSE)))</f>
        <v/>
      </c>
      <c r="M733" s="60"/>
      <c r="N733" s="60"/>
      <c r="O733" s="61"/>
    </row>
    <row r="734" ht="12.0" customHeight="1">
      <c r="A734" s="53"/>
      <c r="B734" s="54"/>
      <c r="C734" s="54"/>
      <c r="D734" s="55"/>
      <c r="E734" s="55"/>
      <c r="F734" s="56" t="str">
        <f t="shared" si="7"/>
        <v/>
      </c>
      <c r="G734" s="55" t="str">
        <f t="shared" si="8"/>
        <v/>
      </c>
      <c r="H734" s="57" t="str">
        <f t="shared" si="9"/>
        <v/>
      </c>
      <c r="I734" s="58" t="str">
        <f t="shared" si="10"/>
        <v/>
      </c>
      <c r="J734" s="55" t="str">
        <f t="shared" si="11"/>
        <v/>
      </c>
      <c r="K734" s="59" t="str">
        <f t="shared" si="12"/>
        <v/>
      </c>
      <c r="L734" s="59" t="str">
        <f>IF(NOT(ISERROR(VLOOKUP(B734,Deflatores!G$42:H$64,2,FALSE))),VLOOKUP(B734,Deflatores!G$42:H$64,2,FALSE),IF(OR(ISBLANK(C734),ISBLANK(B734)),"",VLOOKUP(C734,Deflatores!G$4:H$38,2,FALSE)*H734+VLOOKUP(C734,Deflatores!G$4:I$38,3,FALSE)))</f>
        <v/>
      </c>
      <c r="M734" s="60"/>
      <c r="N734" s="60"/>
      <c r="O734" s="61"/>
    </row>
    <row r="735" ht="12.0" customHeight="1">
      <c r="A735" s="53"/>
      <c r="B735" s="54"/>
      <c r="C735" s="54"/>
      <c r="D735" s="55"/>
      <c r="E735" s="55"/>
      <c r="F735" s="56" t="str">
        <f t="shared" si="7"/>
        <v/>
      </c>
      <c r="G735" s="55" t="str">
        <f t="shared" si="8"/>
        <v/>
      </c>
      <c r="H735" s="57" t="str">
        <f t="shared" si="9"/>
        <v/>
      </c>
      <c r="I735" s="58" t="str">
        <f t="shared" si="10"/>
        <v/>
      </c>
      <c r="J735" s="55" t="str">
        <f t="shared" si="11"/>
        <v/>
      </c>
      <c r="K735" s="59" t="str">
        <f t="shared" si="12"/>
        <v/>
      </c>
      <c r="L735" s="59" t="str">
        <f>IF(NOT(ISERROR(VLOOKUP(B735,Deflatores!G$42:H$64,2,FALSE))),VLOOKUP(B735,Deflatores!G$42:H$64,2,FALSE),IF(OR(ISBLANK(C735),ISBLANK(B735)),"",VLOOKUP(C735,Deflatores!G$4:H$38,2,FALSE)*H735+VLOOKUP(C735,Deflatores!G$4:I$38,3,FALSE)))</f>
        <v/>
      </c>
      <c r="M735" s="60"/>
      <c r="N735" s="60"/>
      <c r="O735" s="61"/>
    </row>
    <row r="736" ht="12.0" customHeight="1">
      <c r="A736" s="53"/>
      <c r="B736" s="54"/>
      <c r="C736" s="54"/>
      <c r="D736" s="55"/>
      <c r="E736" s="55"/>
      <c r="F736" s="56" t="str">
        <f t="shared" si="7"/>
        <v/>
      </c>
      <c r="G736" s="55" t="str">
        <f t="shared" si="8"/>
        <v/>
      </c>
      <c r="H736" s="57" t="str">
        <f t="shared" si="9"/>
        <v/>
      </c>
      <c r="I736" s="58" t="str">
        <f t="shared" si="10"/>
        <v/>
      </c>
      <c r="J736" s="55" t="str">
        <f t="shared" si="11"/>
        <v/>
      </c>
      <c r="K736" s="59" t="str">
        <f t="shared" si="12"/>
        <v/>
      </c>
      <c r="L736" s="59" t="str">
        <f>IF(NOT(ISERROR(VLOOKUP(B736,Deflatores!G$42:H$64,2,FALSE))),VLOOKUP(B736,Deflatores!G$42:H$64,2,FALSE),IF(OR(ISBLANK(C736),ISBLANK(B736)),"",VLOOKUP(C736,Deflatores!G$4:H$38,2,FALSE)*H736+VLOOKUP(C736,Deflatores!G$4:I$38,3,FALSE)))</f>
        <v/>
      </c>
      <c r="M736" s="60"/>
      <c r="N736" s="60"/>
      <c r="O736" s="61"/>
    </row>
    <row r="737" ht="12.0" customHeight="1">
      <c r="A737" s="53"/>
      <c r="B737" s="54"/>
      <c r="C737" s="54"/>
      <c r="D737" s="55"/>
      <c r="E737" s="55"/>
      <c r="F737" s="56" t="str">
        <f t="shared" si="7"/>
        <v/>
      </c>
      <c r="G737" s="55" t="str">
        <f t="shared" si="8"/>
        <v/>
      </c>
      <c r="H737" s="57" t="str">
        <f t="shared" si="9"/>
        <v/>
      </c>
      <c r="I737" s="58" t="str">
        <f t="shared" si="10"/>
        <v/>
      </c>
      <c r="J737" s="55" t="str">
        <f t="shared" si="11"/>
        <v/>
      </c>
      <c r="K737" s="59" t="str">
        <f t="shared" si="12"/>
        <v/>
      </c>
      <c r="L737" s="59" t="str">
        <f>IF(NOT(ISERROR(VLOOKUP(B737,Deflatores!G$42:H$64,2,FALSE))),VLOOKUP(B737,Deflatores!G$42:H$64,2,FALSE),IF(OR(ISBLANK(C737),ISBLANK(B737)),"",VLOOKUP(C737,Deflatores!G$4:H$38,2,FALSE)*H737+VLOOKUP(C737,Deflatores!G$4:I$38,3,FALSE)))</f>
        <v/>
      </c>
      <c r="M737" s="60"/>
      <c r="N737" s="60"/>
      <c r="O737" s="61"/>
    </row>
    <row r="738" ht="12.0" customHeight="1">
      <c r="A738" s="53"/>
      <c r="B738" s="54"/>
      <c r="C738" s="54"/>
      <c r="D738" s="55"/>
      <c r="E738" s="55"/>
      <c r="F738" s="56" t="str">
        <f t="shared" si="7"/>
        <v/>
      </c>
      <c r="G738" s="55" t="str">
        <f t="shared" si="8"/>
        <v/>
      </c>
      <c r="H738" s="57" t="str">
        <f t="shared" si="9"/>
        <v/>
      </c>
      <c r="I738" s="58" t="str">
        <f t="shared" si="10"/>
        <v/>
      </c>
      <c r="J738" s="55" t="str">
        <f t="shared" si="11"/>
        <v/>
      </c>
      <c r="K738" s="59" t="str">
        <f t="shared" si="12"/>
        <v/>
      </c>
      <c r="L738" s="59" t="str">
        <f>IF(NOT(ISERROR(VLOOKUP(B738,Deflatores!G$42:H$64,2,FALSE))),VLOOKUP(B738,Deflatores!G$42:H$64,2,FALSE),IF(OR(ISBLANK(C738),ISBLANK(B738)),"",VLOOKUP(C738,Deflatores!G$4:H$38,2,FALSE)*H738+VLOOKUP(C738,Deflatores!G$4:I$38,3,FALSE)))</f>
        <v/>
      </c>
      <c r="M738" s="60"/>
      <c r="N738" s="60"/>
      <c r="O738" s="61"/>
    </row>
    <row r="739" ht="12.0" customHeight="1">
      <c r="A739" s="53"/>
      <c r="B739" s="54"/>
      <c r="C739" s="54"/>
      <c r="D739" s="55"/>
      <c r="E739" s="55"/>
      <c r="F739" s="56" t="str">
        <f t="shared" si="7"/>
        <v/>
      </c>
      <c r="G739" s="55" t="str">
        <f t="shared" si="8"/>
        <v/>
      </c>
      <c r="H739" s="57" t="str">
        <f t="shared" si="9"/>
        <v/>
      </c>
      <c r="I739" s="58" t="str">
        <f t="shared" si="10"/>
        <v/>
      </c>
      <c r="J739" s="55" t="str">
        <f t="shared" si="11"/>
        <v/>
      </c>
      <c r="K739" s="59" t="str">
        <f t="shared" si="12"/>
        <v/>
      </c>
      <c r="L739" s="59" t="str">
        <f>IF(NOT(ISERROR(VLOOKUP(B739,Deflatores!G$42:H$64,2,FALSE))),VLOOKUP(B739,Deflatores!G$42:H$64,2,FALSE),IF(OR(ISBLANK(C739),ISBLANK(B739)),"",VLOOKUP(C739,Deflatores!G$4:H$38,2,FALSE)*H739+VLOOKUP(C739,Deflatores!G$4:I$38,3,FALSE)))</f>
        <v/>
      </c>
      <c r="M739" s="60"/>
      <c r="N739" s="60"/>
      <c r="O739" s="61"/>
    </row>
    <row r="740" ht="12.0" customHeight="1">
      <c r="A740" s="53"/>
      <c r="B740" s="54"/>
      <c r="C740" s="54"/>
      <c r="D740" s="55"/>
      <c r="E740" s="55"/>
      <c r="F740" s="56" t="str">
        <f t="shared" si="7"/>
        <v/>
      </c>
      <c r="G740" s="55" t="str">
        <f t="shared" si="8"/>
        <v/>
      </c>
      <c r="H740" s="57" t="str">
        <f t="shared" si="9"/>
        <v/>
      </c>
      <c r="I740" s="58" t="str">
        <f t="shared" si="10"/>
        <v/>
      </c>
      <c r="J740" s="55" t="str">
        <f t="shared" si="11"/>
        <v/>
      </c>
      <c r="K740" s="59" t="str">
        <f t="shared" si="12"/>
        <v/>
      </c>
      <c r="L740" s="59" t="str">
        <f>IF(NOT(ISERROR(VLOOKUP(B740,Deflatores!G$42:H$64,2,FALSE))),VLOOKUP(B740,Deflatores!G$42:H$64,2,FALSE),IF(OR(ISBLANK(C740),ISBLANK(B740)),"",VLOOKUP(C740,Deflatores!G$4:H$38,2,FALSE)*H740+VLOOKUP(C740,Deflatores!G$4:I$38,3,FALSE)))</f>
        <v/>
      </c>
      <c r="M740" s="60"/>
      <c r="N740" s="60"/>
      <c r="O740" s="61"/>
    </row>
    <row r="741" ht="12.0" customHeight="1">
      <c r="A741" s="53"/>
      <c r="B741" s="54"/>
      <c r="C741" s="54"/>
      <c r="D741" s="55"/>
      <c r="E741" s="55"/>
      <c r="F741" s="56" t="str">
        <f t="shared" si="7"/>
        <v/>
      </c>
      <c r="G741" s="55" t="str">
        <f t="shared" si="8"/>
        <v/>
      </c>
      <c r="H741" s="57" t="str">
        <f t="shared" si="9"/>
        <v/>
      </c>
      <c r="I741" s="58" t="str">
        <f t="shared" si="10"/>
        <v/>
      </c>
      <c r="J741" s="55" t="str">
        <f t="shared" si="11"/>
        <v/>
      </c>
      <c r="K741" s="59" t="str">
        <f t="shared" si="12"/>
        <v/>
      </c>
      <c r="L741" s="59" t="str">
        <f>IF(NOT(ISERROR(VLOOKUP(B741,Deflatores!G$42:H$64,2,FALSE))),VLOOKUP(B741,Deflatores!G$42:H$64,2,FALSE),IF(OR(ISBLANK(C741),ISBLANK(B741)),"",VLOOKUP(C741,Deflatores!G$4:H$38,2,FALSE)*H741+VLOOKUP(C741,Deflatores!G$4:I$38,3,FALSE)))</f>
        <v/>
      </c>
      <c r="M741" s="60"/>
      <c r="N741" s="60"/>
      <c r="O741" s="61"/>
    </row>
    <row r="742" ht="12.0" customHeight="1">
      <c r="A742" s="53"/>
      <c r="B742" s="54"/>
      <c r="C742" s="54"/>
      <c r="D742" s="55"/>
      <c r="E742" s="55"/>
      <c r="F742" s="56" t="str">
        <f t="shared" si="7"/>
        <v/>
      </c>
      <c r="G742" s="55" t="str">
        <f t="shared" si="8"/>
        <v/>
      </c>
      <c r="H742" s="57" t="str">
        <f t="shared" si="9"/>
        <v/>
      </c>
      <c r="I742" s="58" t="str">
        <f t="shared" si="10"/>
        <v/>
      </c>
      <c r="J742" s="55" t="str">
        <f t="shared" si="11"/>
        <v/>
      </c>
      <c r="K742" s="59" t="str">
        <f t="shared" si="12"/>
        <v/>
      </c>
      <c r="L742" s="59" t="str">
        <f>IF(NOT(ISERROR(VLOOKUP(B742,Deflatores!G$42:H$64,2,FALSE))),VLOOKUP(B742,Deflatores!G$42:H$64,2,FALSE),IF(OR(ISBLANK(C742),ISBLANK(B742)),"",VLOOKUP(C742,Deflatores!G$4:H$38,2,FALSE)*H742+VLOOKUP(C742,Deflatores!G$4:I$38,3,FALSE)))</f>
        <v/>
      </c>
      <c r="M742" s="60"/>
      <c r="N742" s="60"/>
      <c r="O742" s="61"/>
    </row>
    <row r="743" ht="12.0" customHeight="1">
      <c r="A743" s="53"/>
      <c r="B743" s="54"/>
      <c r="C743" s="54"/>
      <c r="D743" s="55"/>
      <c r="E743" s="55"/>
      <c r="F743" s="56" t="str">
        <f t="shared" si="7"/>
        <v/>
      </c>
      <c r="G743" s="55" t="str">
        <f t="shared" si="8"/>
        <v/>
      </c>
      <c r="H743" s="57" t="str">
        <f t="shared" si="9"/>
        <v/>
      </c>
      <c r="I743" s="58" t="str">
        <f t="shared" si="10"/>
        <v/>
      </c>
      <c r="J743" s="55" t="str">
        <f t="shared" si="11"/>
        <v/>
      </c>
      <c r="K743" s="59" t="str">
        <f t="shared" si="12"/>
        <v/>
      </c>
      <c r="L743" s="59" t="str">
        <f>IF(NOT(ISERROR(VLOOKUP(B743,Deflatores!G$42:H$64,2,FALSE))),VLOOKUP(B743,Deflatores!G$42:H$64,2,FALSE),IF(OR(ISBLANK(C743),ISBLANK(B743)),"",VLOOKUP(C743,Deflatores!G$4:H$38,2,FALSE)*H743+VLOOKUP(C743,Deflatores!G$4:I$38,3,FALSE)))</f>
        <v/>
      </c>
      <c r="M743" s="60"/>
      <c r="N743" s="60"/>
      <c r="O743" s="61"/>
    </row>
    <row r="744" ht="12.0" customHeight="1">
      <c r="A744" s="53"/>
      <c r="B744" s="54"/>
      <c r="C744" s="54"/>
      <c r="D744" s="55"/>
      <c r="E744" s="55"/>
      <c r="F744" s="56" t="str">
        <f t="shared" si="7"/>
        <v/>
      </c>
      <c r="G744" s="55" t="str">
        <f t="shared" si="8"/>
        <v/>
      </c>
      <c r="H744" s="57" t="str">
        <f t="shared" si="9"/>
        <v/>
      </c>
      <c r="I744" s="58" t="str">
        <f t="shared" si="10"/>
        <v/>
      </c>
      <c r="J744" s="55" t="str">
        <f t="shared" si="11"/>
        <v/>
      </c>
      <c r="K744" s="59" t="str">
        <f t="shared" si="12"/>
        <v/>
      </c>
      <c r="L744" s="59" t="str">
        <f>IF(NOT(ISERROR(VLOOKUP(B744,Deflatores!G$42:H$64,2,FALSE))),VLOOKUP(B744,Deflatores!G$42:H$64,2,FALSE),IF(OR(ISBLANK(C744),ISBLANK(B744)),"",VLOOKUP(C744,Deflatores!G$4:H$38,2,FALSE)*H744+VLOOKUP(C744,Deflatores!G$4:I$38,3,FALSE)))</f>
        <v/>
      </c>
      <c r="M744" s="60"/>
      <c r="N744" s="60"/>
      <c r="O744" s="61"/>
    </row>
    <row r="745" ht="12.0" customHeight="1">
      <c r="A745" s="53"/>
      <c r="B745" s="54"/>
      <c r="C745" s="54"/>
      <c r="D745" s="55"/>
      <c r="E745" s="55"/>
      <c r="F745" s="56" t="str">
        <f t="shared" si="7"/>
        <v/>
      </c>
      <c r="G745" s="55" t="str">
        <f t="shared" si="8"/>
        <v/>
      </c>
      <c r="H745" s="57" t="str">
        <f t="shared" si="9"/>
        <v/>
      </c>
      <c r="I745" s="58" t="str">
        <f t="shared" si="10"/>
        <v/>
      </c>
      <c r="J745" s="55" t="str">
        <f t="shared" si="11"/>
        <v/>
      </c>
      <c r="K745" s="59" t="str">
        <f t="shared" si="12"/>
        <v/>
      </c>
      <c r="L745" s="59" t="str">
        <f>IF(NOT(ISERROR(VLOOKUP(B745,Deflatores!G$42:H$64,2,FALSE))),VLOOKUP(B745,Deflatores!G$42:H$64,2,FALSE),IF(OR(ISBLANK(C745),ISBLANK(B745)),"",VLOOKUP(C745,Deflatores!G$4:H$38,2,FALSE)*H745+VLOOKUP(C745,Deflatores!G$4:I$38,3,FALSE)))</f>
        <v/>
      </c>
      <c r="M745" s="60"/>
      <c r="N745" s="60"/>
      <c r="O745" s="61"/>
    </row>
    <row r="746" ht="12.0" customHeight="1">
      <c r="A746" s="53"/>
      <c r="B746" s="54"/>
      <c r="C746" s="54"/>
      <c r="D746" s="55"/>
      <c r="E746" s="55"/>
      <c r="F746" s="56" t="str">
        <f t="shared" si="7"/>
        <v/>
      </c>
      <c r="G746" s="55" t="str">
        <f t="shared" si="8"/>
        <v/>
      </c>
      <c r="H746" s="57" t="str">
        <f t="shared" si="9"/>
        <v/>
      </c>
      <c r="I746" s="58" t="str">
        <f t="shared" si="10"/>
        <v/>
      </c>
      <c r="J746" s="55" t="str">
        <f t="shared" si="11"/>
        <v/>
      </c>
      <c r="K746" s="59" t="str">
        <f t="shared" si="12"/>
        <v/>
      </c>
      <c r="L746" s="59" t="str">
        <f>IF(NOT(ISERROR(VLOOKUP(B746,Deflatores!G$42:H$64,2,FALSE))),VLOOKUP(B746,Deflatores!G$42:H$64,2,FALSE),IF(OR(ISBLANK(C746),ISBLANK(B746)),"",VLOOKUP(C746,Deflatores!G$4:H$38,2,FALSE)*H746+VLOOKUP(C746,Deflatores!G$4:I$38,3,FALSE)))</f>
        <v/>
      </c>
      <c r="M746" s="60"/>
      <c r="N746" s="60"/>
      <c r="O746" s="61"/>
    </row>
    <row r="747" ht="12.0" customHeight="1">
      <c r="A747" s="53"/>
      <c r="B747" s="54"/>
      <c r="C747" s="54"/>
      <c r="D747" s="55"/>
      <c r="E747" s="55"/>
      <c r="F747" s="56" t="str">
        <f t="shared" si="7"/>
        <v/>
      </c>
      <c r="G747" s="55" t="str">
        <f t="shared" si="8"/>
        <v/>
      </c>
      <c r="H747" s="57" t="str">
        <f t="shared" si="9"/>
        <v/>
      </c>
      <c r="I747" s="58" t="str">
        <f t="shared" si="10"/>
        <v/>
      </c>
      <c r="J747" s="55" t="str">
        <f t="shared" si="11"/>
        <v/>
      </c>
      <c r="K747" s="59" t="str">
        <f t="shared" si="12"/>
        <v/>
      </c>
      <c r="L747" s="59" t="str">
        <f>IF(NOT(ISERROR(VLOOKUP(B747,Deflatores!G$42:H$64,2,FALSE))),VLOOKUP(B747,Deflatores!G$42:H$64,2,FALSE),IF(OR(ISBLANK(C747),ISBLANK(B747)),"",VLOOKUP(C747,Deflatores!G$4:H$38,2,FALSE)*H747+VLOOKUP(C747,Deflatores!G$4:I$38,3,FALSE)))</f>
        <v/>
      </c>
      <c r="M747" s="60"/>
      <c r="N747" s="60"/>
      <c r="O747" s="61"/>
    </row>
    <row r="748" ht="12.0" customHeight="1">
      <c r="A748" s="53"/>
      <c r="B748" s="54"/>
      <c r="C748" s="54"/>
      <c r="D748" s="55"/>
      <c r="E748" s="55"/>
      <c r="F748" s="56" t="str">
        <f t="shared" si="7"/>
        <v/>
      </c>
      <c r="G748" s="55" t="str">
        <f t="shared" si="8"/>
        <v/>
      </c>
      <c r="H748" s="57" t="str">
        <f t="shared" si="9"/>
        <v/>
      </c>
      <c r="I748" s="58" t="str">
        <f t="shared" si="10"/>
        <v/>
      </c>
      <c r="J748" s="55" t="str">
        <f t="shared" si="11"/>
        <v/>
      </c>
      <c r="K748" s="59" t="str">
        <f t="shared" si="12"/>
        <v/>
      </c>
      <c r="L748" s="59" t="str">
        <f>IF(NOT(ISERROR(VLOOKUP(B748,Deflatores!G$42:H$64,2,FALSE))),VLOOKUP(B748,Deflatores!G$42:H$64,2,FALSE),IF(OR(ISBLANK(C748),ISBLANK(B748)),"",VLOOKUP(C748,Deflatores!G$4:H$38,2,FALSE)*H748+VLOOKUP(C748,Deflatores!G$4:I$38,3,FALSE)))</f>
        <v/>
      </c>
      <c r="M748" s="60"/>
      <c r="N748" s="60"/>
      <c r="O748" s="61"/>
    </row>
    <row r="749" ht="12.0" customHeight="1">
      <c r="A749" s="53"/>
      <c r="B749" s="54"/>
      <c r="C749" s="54"/>
      <c r="D749" s="55"/>
      <c r="E749" s="55"/>
      <c r="F749" s="56" t="str">
        <f t="shared" si="7"/>
        <v/>
      </c>
      <c r="G749" s="55" t="str">
        <f t="shared" si="8"/>
        <v/>
      </c>
      <c r="H749" s="57" t="str">
        <f t="shared" si="9"/>
        <v/>
      </c>
      <c r="I749" s="58" t="str">
        <f t="shared" si="10"/>
        <v/>
      </c>
      <c r="J749" s="55" t="str">
        <f t="shared" si="11"/>
        <v/>
      </c>
      <c r="K749" s="59" t="str">
        <f t="shared" si="12"/>
        <v/>
      </c>
      <c r="L749" s="59" t="str">
        <f>IF(NOT(ISERROR(VLOOKUP(B749,Deflatores!G$42:H$64,2,FALSE))),VLOOKUP(B749,Deflatores!G$42:H$64,2,FALSE),IF(OR(ISBLANK(C749),ISBLANK(B749)),"",VLOOKUP(C749,Deflatores!G$4:H$38,2,FALSE)*H749+VLOOKUP(C749,Deflatores!G$4:I$38,3,FALSE)))</f>
        <v/>
      </c>
      <c r="M749" s="60"/>
      <c r="N749" s="60"/>
      <c r="O749" s="61"/>
    </row>
    <row r="750" ht="12.0" customHeight="1">
      <c r="A750" s="53"/>
      <c r="B750" s="54"/>
      <c r="C750" s="54"/>
      <c r="D750" s="55"/>
      <c r="E750" s="55"/>
      <c r="F750" s="56" t="str">
        <f t="shared" si="7"/>
        <v/>
      </c>
      <c r="G750" s="55" t="str">
        <f t="shared" si="8"/>
        <v/>
      </c>
      <c r="H750" s="57" t="str">
        <f t="shared" si="9"/>
        <v/>
      </c>
      <c r="I750" s="58" t="str">
        <f t="shared" si="10"/>
        <v/>
      </c>
      <c r="J750" s="55" t="str">
        <f t="shared" si="11"/>
        <v/>
      </c>
      <c r="K750" s="59" t="str">
        <f t="shared" si="12"/>
        <v/>
      </c>
      <c r="L750" s="59" t="str">
        <f>IF(NOT(ISERROR(VLOOKUP(B750,Deflatores!G$42:H$64,2,FALSE))),VLOOKUP(B750,Deflatores!G$42:H$64,2,FALSE),IF(OR(ISBLANK(C750),ISBLANK(B750)),"",VLOOKUP(C750,Deflatores!G$4:H$38,2,FALSE)*H750+VLOOKUP(C750,Deflatores!G$4:I$38,3,FALSE)))</f>
        <v/>
      </c>
      <c r="M750" s="60"/>
      <c r="N750" s="60"/>
      <c r="O750" s="61"/>
    </row>
    <row r="751" ht="12.0" customHeight="1">
      <c r="A751" s="53"/>
      <c r="B751" s="54"/>
      <c r="C751" s="54"/>
      <c r="D751" s="55"/>
      <c r="E751" s="55"/>
      <c r="F751" s="56" t="str">
        <f t="shared" si="7"/>
        <v/>
      </c>
      <c r="G751" s="55" t="str">
        <f t="shared" si="8"/>
        <v/>
      </c>
      <c r="H751" s="57" t="str">
        <f t="shared" si="9"/>
        <v/>
      </c>
      <c r="I751" s="58" t="str">
        <f t="shared" si="10"/>
        <v/>
      </c>
      <c r="J751" s="55" t="str">
        <f t="shared" si="11"/>
        <v/>
      </c>
      <c r="K751" s="59" t="str">
        <f t="shared" si="12"/>
        <v/>
      </c>
      <c r="L751" s="59" t="str">
        <f>IF(NOT(ISERROR(VLOOKUP(B751,Deflatores!G$42:H$64,2,FALSE))),VLOOKUP(B751,Deflatores!G$42:H$64,2,FALSE),IF(OR(ISBLANK(C751),ISBLANK(B751)),"",VLOOKUP(C751,Deflatores!G$4:H$38,2,FALSE)*H751+VLOOKUP(C751,Deflatores!G$4:I$38,3,FALSE)))</f>
        <v/>
      </c>
      <c r="M751" s="60"/>
      <c r="N751" s="60"/>
      <c r="O751" s="61"/>
    </row>
    <row r="752" ht="12.0" customHeight="1">
      <c r="A752" s="53"/>
      <c r="B752" s="54"/>
      <c r="C752" s="54"/>
      <c r="D752" s="55"/>
      <c r="E752" s="55"/>
      <c r="F752" s="56" t="str">
        <f t="shared" si="7"/>
        <v/>
      </c>
      <c r="G752" s="55" t="str">
        <f t="shared" si="8"/>
        <v/>
      </c>
      <c r="H752" s="57" t="str">
        <f t="shared" si="9"/>
        <v/>
      </c>
      <c r="I752" s="58" t="str">
        <f t="shared" si="10"/>
        <v/>
      </c>
      <c r="J752" s="55" t="str">
        <f t="shared" si="11"/>
        <v/>
      </c>
      <c r="K752" s="59" t="str">
        <f t="shared" si="12"/>
        <v/>
      </c>
      <c r="L752" s="59" t="str">
        <f>IF(NOT(ISERROR(VLOOKUP(B752,Deflatores!G$42:H$64,2,FALSE))),VLOOKUP(B752,Deflatores!G$42:H$64,2,FALSE),IF(OR(ISBLANK(C752),ISBLANK(B752)),"",VLOOKUP(C752,Deflatores!G$4:H$38,2,FALSE)*H752+VLOOKUP(C752,Deflatores!G$4:I$38,3,FALSE)))</f>
        <v/>
      </c>
      <c r="M752" s="60"/>
      <c r="N752" s="60"/>
      <c r="O752" s="61"/>
    </row>
    <row r="753" ht="12.0" customHeight="1">
      <c r="A753" s="53"/>
      <c r="B753" s="54"/>
      <c r="C753" s="54"/>
      <c r="D753" s="55"/>
      <c r="E753" s="55"/>
      <c r="F753" s="56" t="str">
        <f t="shared" si="7"/>
        <v/>
      </c>
      <c r="G753" s="55" t="str">
        <f t="shared" si="8"/>
        <v/>
      </c>
      <c r="H753" s="57" t="str">
        <f t="shared" si="9"/>
        <v/>
      </c>
      <c r="I753" s="58" t="str">
        <f t="shared" si="10"/>
        <v/>
      </c>
      <c r="J753" s="55" t="str">
        <f t="shared" si="11"/>
        <v/>
      </c>
      <c r="K753" s="59" t="str">
        <f t="shared" si="12"/>
        <v/>
      </c>
      <c r="L753" s="59" t="str">
        <f>IF(NOT(ISERROR(VLOOKUP(B753,Deflatores!G$42:H$64,2,FALSE))),VLOOKUP(B753,Deflatores!G$42:H$64,2,FALSE),IF(OR(ISBLANK(C753),ISBLANK(B753)),"",VLOOKUP(C753,Deflatores!G$4:H$38,2,FALSE)*H753+VLOOKUP(C753,Deflatores!G$4:I$38,3,FALSE)))</f>
        <v/>
      </c>
      <c r="M753" s="60"/>
      <c r="N753" s="60"/>
      <c r="O753" s="61"/>
    </row>
    <row r="754" ht="12.0" customHeight="1">
      <c r="A754" s="53"/>
      <c r="B754" s="54"/>
      <c r="C754" s="54"/>
      <c r="D754" s="55"/>
      <c r="E754" s="55"/>
      <c r="F754" s="56" t="str">
        <f t="shared" si="7"/>
        <v/>
      </c>
      <c r="G754" s="55" t="str">
        <f t="shared" si="8"/>
        <v/>
      </c>
      <c r="H754" s="57" t="str">
        <f t="shared" si="9"/>
        <v/>
      </c>
      <c r="I754" s="58" t="str">
        <f t="shared" si="10"/>
        <v/>
      </c>
      <c r="J754" s="55" t="str">
        <f t="shared" si="11"/>
        <v/>
      </c>
      <c r="K754" s="59" t="str">
        <f t="shared" si="12"/>
        <v/>
      </c>
      <c r="L754" s="59" t="str">
        <f>IF(NOT(ISERROR(VLOOKUP(B754,Deflatores!G$42:H$64,2,FALSE))),VLOOKUP(B754,Deflatores!G$42:H$64,2,FALSE),IF(OR(ISBLANK(C754),ISBLANK(B754)),"",VLOOKUP(C754,Deflatores!G$4:H$38,2,FALSE)*H754+VLOOKUP(C754,Deflatores!G$4:I$38,3,FALSE)))</f>
        <v/>
      </c>
      <c r="M754" s="60"/>
      <c r="N754" s="60"/>
      <c r="O754" s="61"/>
    </row>
    <row r="755" ht="12.0" customHeight="1">
      <c r="A755" s="53"/>
      <c r="B755" s="54"/>
      <c r="C755" s="54"/>
      <c r="D755" s="55"/>
      <c r="E755" s="55"/>
      <c r="F755" s="56" t="str">
        <f t="shared" si="7"/>
        <v/>
      </c>
      <c r="G755" s="55" t="str">
        <f t="shared" si="8"/>
        <v/>
      </c>
      <c r="H755" s="57" t="str">
        <f t="shared" si="9"/>
        <v/>
      </c>
      <c r="I755" s="58" t="str">
        <f t="shared" si="10"/>
        <v/>
      </c>
      <c r="J755" s="55" t="str">
        <f t="shared" si="11"/>
        <v/>
      </c>
      <c r="K755" s="59" t="str">
        <f t="shared" si="12"/>
        <v/>
      </c>
      <c r="L755" s="59" t="str">
        <f>IF(NOT(ISERROR(VLOOKUP(B755,Deflatores!G$42:H$64,2,FALSE))),VLOOKUP(B755,Deflatores!G$42:H$64,2,FALSE),IF(OR(ISBLANK(C755),ISBLANK(B755)),"",VLOOKUP(C755,Deflatores!G$4:H$38,2,FALSE)*H755+VLOOKUP(C755,Deflatores!G$4:I$38,3,FALSE)))</f>
        <v/>
      </c>
      <c r="M755" s="60"/>
      <c r="N755" s="60"/>
      <c r="O755" s="61"/>
    </row>
    <row r="756" ht="12.0" customHeight="1">
      <c r="A756" s="53"/>
      <c r="B756" s="54"/>
      <c r="C756" s="54"/>
      <c r="D756" s="55"/>
      <c r="E756" s="55"/>
      <c r="F756" s="56" t="str">
        <f t="shared" si="7"/>
        <v/>
      </c>
      <c r="G756" s="55" t="str">
        <f t="shared" si="8"/>
        <v/>
      </c>
      <c r="H756" s="57" t="str">
        <f t="shared" si="9"/>
        <v/>
      </c>
      <c r="I756" s="58" t="str">
        <f t="shared" si="10"/>
        <v/>
      </c>
      <c r="J756" s="55" t="str">
        <f t="shared" si="11"/>
        <v/>
      </c>
      <c r="K756" s="59" t="str">
        <f t="shared" si="12"/>
        <v/>
      </c>
      <c r="L756" s="59" t="str">
        <f>IF(NOT(ISERROR(VLOOKUP(B756,Deflatores!G$42:H$64,2,FALSE))),VLOOKUP(B756,Deflatores!G$42:H$64,2,FALSE),IF(OR(ISBLANK(C756),ISBLANK(B756)),"",VLOOKUP(C756,Deflatores!G$4:H$38,2,FALSE)*H756+VLOOKUP(C756,Deflatores!G$4:I$38,3,FALSE)))</f>
        <v/>
      </c>
      <c r="M756" s="60"/>
      <c r="N756" s="60"/>
      <c r="O756" s="61"/>
    </row>
    <row r="757" ht="12.0" customHeight="1">
      <c r="A757" s="53"/>
      <c r="B757" s="54"/>
      <c r="C757" s="54"/>
      <c r="D757" s="55"/>
      <c r="E757" s="55"/>
      <c r="F757" s="56" t="str">
        <f t="shared" si="7"/>
        <v/>
      </c>
      <c r="G757" s="55" t="str">
        <f t="shared" si="8"/>
        <v/>
      </c>
      <c r="H757" s="57" t="str">
        <f t="shared" si="9"/>
        <v/>
      </c>
      <c r="I757" s="58" t="str">
        <f t="shared" si="10"/>
        <v/>
      </c>
      <c r="J757" s="55" t="str">
        <f t="shared" si="11"/>
        <v/>
      </c>
      <c r="K757" s="59" t="str">
        <f t="shared" si="12"/>
        <v/>
      </c>
      <c r="L757" s="59" t="str">
        <f>IF(NOT(ISERROR(VLOOKUP(B757,Deflatores!G$42:H$64,2,FALSE))),VLOOKUP(B757,Deflatores!G$42:H$64,2,FALSE),IF(OR(ISBLANK(C757),ISBLANK(B757)),"",VLOOKUP(C757,Deflatores!G$4:H$38,2,FALSE)*H757+VLOOKUP(C757,Deflatores!G$4:I$38,3,FALSE)))</f>
        <v/>
      </c>
      <c r="M757" s="60"/>
      <c r="N757" s="60"/>
      <c r="O757" s="61"/>
    </row>
    <row r="758" ht="12.0" customHeight="1">
      <c r="A758" s="53"/>
      <c r="B758" s="54"/>
      <c r="C758" s="54"/>
      <c r="D758" s="55"/>
      <c r="E758" s="55"/>
      <c r="F758" s="56" t="str">
        <f t="shared" si="7"/>
        <v/>
      </c>
      <c r="G758" s="55" t="str">
        <f t="shared" si="8"/>
        <v/>
      </c>
      <c r="H758" s="57" t="str">
        <f t="shared" si="9"/>
        <v/>
      </c>
      <c r="I758" s="58" t="str">
        <f t="shared" si="10"/>
        <v/>
      </c>
      <c r="J758" s="55" t="str">
        <f t="shared" si="11"/>
        <v/>
      </c>
      <c r="K758" s="59" t="str">
        <f t="shared" si="12"/>
        <v/>
      </c>
      <c r="L758" s="59" t="str">
        <f>IF(NOT(ISERROR(VLOOKUP(B758,Deflatores!G$42:H$64,2,FALSE))),VLOOKUP(B758,Deflatores!G$42:H$64,2,FALSE),IF(OR(ISBLANK(C758),ISBLANK(B758)),"",VLOOKUP(C758,Deflatores!G$4:H$38,2,FALSE)*H758+VLOOKUP(C758,Deflatores!G$4:I$38,3,FALSE)))</f>
        <v/>
      </c>
      <c r="M758" s="60"/>
      <c r="N758" s="60"/>
      <c r="O758" s="61"/>
    </row>
    <row r="759" ht="12.0" customHeight="1">
      <c r="A759" s="53"/>
      <c r="B759" s="54"/>
      <c r="C759" s="54"/>
      <c r="D759" s="55"/>
      <c r="E759" s="55"/>
      <c r="F759" s="56" t="str">
        <f t="shared" si="7"/>
        <v/>
      </c>
      <c r="G759" s="55" t="str">
        <f t="shared" si="8"/>
        <v/>
      </c>
      <c r="H759" s="57" t="str">
        <f t="shared" si="9"/>
        <v/>
      </c>
      <c r="I759" s="58" t="str">
        <f t="shared" si="10"/>
        <v/>
      </c>
      <c r="J759" s="55" t="str">
        <f t="shared" si="11"/>
        <v/>
      </c>
      <c r="K759" s="59" t="str">
        <f t="shared" si="12"/>
        <v/>
      </c>
      <c r="L759" s="59" t="str">
        <f>IF(NOT(ISERROR(VLOOKUP(B759,Deflatores!G$42:H$64,2,FALSE))),VLOOKUP(B759,Deflatores!G$42:H$64,2,FALSE),IF(OR(ISBLANK(C759),ISBLANK(B759)),"",VLOOKUP(C759,Deflatores!G$4:H$38,2,FALSE)*H759+VLOOKUP(C759,Deflatores!G$4:I$38,3,FALSE)))</f>
        <v/>
      </c>
      <c r="M759" s="60"/>
      <c r="N759" s="60"/>
      <c r="O759" s="61"/>
    </row>
    <row r="760" ht="12.0" customHeight="1">
      <c r="A760" s="53"/>
      <c r="B760" s="54"/>
      <c r="C760" s="54"/>
      <c r="D760" s="55"/>
      <c r="E760" s="55"/>
      <c r="F760" s="56" t="str">
        <f t="shared" si="7"/>
        <v/>
      </c>
      <c r="G760" s="55" t="str">
        <f t="shared" si="8"/>
        <v/>
      </c>
      <c r="H760" s="57" t="str">
        <f t="shared" si="9"/>
        <v/>
      </c>
      <c r="I760" s="58" t="str">
        <f t="shared" si="10"/>
        <v/>
      </c>
      <c r="J760" s="55" t="str">
        <f t="shared" si="11"/>
        <v/>
      </c>
      <c r="K760" s="59" t="str">
        <f t="shared" si="12"/>
        <v/>
      </c>
      <c r="L760" s="59" t="str">
        <f>IF(NOT(ISERROR(VLOOKUP(B760,Deflatores!G$42:H$64,2,FALSE))),VLOOKUP(B760,Deflatores!G$42:H$64,2,FALSE),IF(OR(ISBLANK(C760),ISBLANK(B760)),"",VLOOKUP(C760,Deflatores!G$4:H$38,2,FALSE)*H760+VLOOKUP(C760,Deflatores!G$4:I$38,3,FALSE)))</f>
        <v/>
      </c>
      <c r="M760" s="60"/>
      <c r="N760" s="60"/>
      <c r="O760" s="61"/>
    </row>
    <row r="761" ht="12.0" customHeight="1">
      <c r="A761" s="53"/>
      <c r="B761" s="54"/>
      <c r="C761" s="54"/>
      <c r="D761" s="55"/>
      <c r="E761" s="55"/>
      <c r="F761" s="56" t="str">
        <f t="shared" si="7"/>
        <v/>
      </c>
      <c r="G761" s="55" t="str">
        <f t="shared" si="8"/>
        <v/>
      </c>
      <c r="H761" s="57" t="str">
        <f t="shared" si="9"/>
        <v/>
      </c>
      <c r="I761" s="58" t="str">
        <f t="shared" si="10"/>
        <v/>
      </c>
      <c r="J761" s="55" t="str">
        <f t="shared" si="11"/>
        <v/>
      </c>
      <c r="K761" s="59" t="str">
        <f t="shared" si="12"/>
        <v/>
      </c>
      <c r="L761" s="59" t="str">
        <f>IF(NOT(ISERROR(VLOOKUP(B761,Deflatores!G$42:H$64,2,FALSE))),VLOOKUP(B761,Deflatores!G$42:H$64,2,FALSE),IF(OR(ISBLANK(C761),ISBLANK(B761)),"",VLOOKUP(C761,Deflatores!G$4:H$38,2,FALSE)*H761+VLOOKUP(C761,Deflatores!G$4:I$38,3,FALSE)))</f>
        <v/>
      </c>
      <c r="M761" s="60"/>
      <c r="N761" s="60"/>
      <c r="O761" s="61"/>
    </row>
    <row r="762" ht="12.0" customHeight="1">
      <c r="A762" s="53"/>
      <c r="B762" s="54"/>
      <c r="C762" s="54"/>
      <c r="D762" s="55"/>
      <c r="E762" s="55"/>
      <c r="F762" s="56" t="str">
        <f t="shared" si="7"/>
        <v/>
      </c>
      <c r="G762" s="55" t="str">
        <f t="shared" si="8"/>
        <v/>
      </c>
      <c r="H762" s="57" t="str">
        <f t="shared" si="9"/>
        <v/>
      </c>
      <c r="I762" s="58" t="str">
        <f t="shared" si="10"/>
        <v/>
      </c>
      <c r="J762" s="55" t="str">
        <f t="shared" si="11"/>
        <v/>
      </c>
      <c r="K762" s="59" t="str">
        <f t="shared" si="12"/>
        <v/>
      </c>
      <c r="L762" s="59" t="str">
        <f>IF(NOT(ISERROR(VLOOKUP(B762,Deflatores!G$42:H$64,2,FALSE))),VLOOKUP(B762,Deflatores!G$42:H$64,2,FALSE),IF(OR(ISBLANK(C762),ISBLANK(B762)),"",VLOOKUP(C762,Deflatores!G$4:H$38,2,FALSE)*H762+VLOOKUP(C762,Deflatores!G$4:I$38,3,FALSE)))</f>
        <v/>
      </c>
      <c r="M762" s="60"/>
      <c r="N762" s="60"/>
      <c r="O762" s="61"/>
    </row>
    <row r="763" ht="12.0" customHeight="1">
      <c r="A763" s="53"/>
      <c r="B763" s="54"/>
      <c r="C763" s="54"/>
      <c r="D763" s="55"/>
      <c r="E763" s="55"/>
      <c r="F763" s="56" t="str">
        <f t="shared" si="7"/>
        <v/>
      </c>
      <c r="G763" s="55" t="str">
        <f t="shared" si="8"/>
        <v/>
      </c>
      <c r="H763" s="57" t="str">
        <f t="shared" si="9"/>
        <v/>
      </c>
      <c r="I763" s="58" t="str">
        <f t="shared" si="10"/>
        <v/>
      </c>
      <c r="J763" s="55" t="str">
        <f t="shared" si="11"/>
        <v/>
      </c>
      <c r="K763" s="59" t="str">
        <f t="shared" si="12"/>
        <v/>
      </c>
      <c r="L763" s="59" t="str">
        <f>IF(NOT(ISERROR(VLOOKUP(B763,Deflatores!G$42:H$64,2,FALSE))),VLOOKUP(B763,Deflatores!G$42:H$64,2,FALSE),IF(OR(ISBLANK(C763),ISBLANK(B763)),"",VLOOKUP(C763,Deflatores!G$4:H$38,2,FALSE)*H763+VLOOKUP(C763,Deflatores!G$4:I$38,3,FALSE)))</f>
        <v/>
      </c>
      <c r="M763" s="60"/>
      <c r="N763" s="60"/>
      <c r="O763" s="61"/>
    </row>
    <row r="764" ht="12.0" customHeight="1">
      <c r="A764" s="53"/>
      <c r="B764" s="54"/>
      <c r="C764" s="54"/>
      <c r="D764" s="55"/>
      <c r="E764" s="55"/>
      <c r="F764" s="56" t="str">
        <f t="shared" si="7"/>
        <v/>
      </c>
      <c r="G764" s="55" t="str">
        <f t="shared" si="8"/>
        <v/>
      </c>
      <c r="H764" s="57" t="str">
        <f t="shared" si="9"/>
        <v/>
      </c>
      <c r="I764" s="58" t="str">
        <f t="shared" si="10"/>
        <v/>
      </c>
      <c r="J764" s="55" t="str">
        <f t="shared" si="11"/>
        <v/>
      </c>
      <c r="K764" s="59" t="str">
        <f t="shared" si="12"/>
        <v/>
      </c>
      <c r="L764" s="59" t="str">
        <f>IF(NOT(ISERROR(VLOOKUP(B764,Deflatores!G$42:H$64,2,FALSE))),VLOOKUP(B764,Deflatores!G$42:H$64,2,FALSE),IF(OR(ISBLANK(C764),ISBLANK(B764)),"",VLOOKUP(C764,Deflatores!G$4:H$38,2,FALSE)*H764+VLOOKUP(C764,Deflatores!G$4:I$38,3,FALSE)))</f>
        <v/>
      </c>
      <c r="M764" s="60"/>
      <c r="N764" s="60"/>
      <c r="O764" s="61"/>
    </row>
    <row r="765" ht="12.0" customHeight="1">
      <c r="A765" s="53"/>
      <c r="B765" s="54"/>
      <c r="C765" s="54"/>
      <c r="D765" s="55"/>
      <c r="E765" s="55"/>
      <c r="F765" s="56" t="str">
        <f t="shared" si="7"/>
        <v/>
      </c>
      <c r="G765" s="55" t="str">
        <f t="shared" si="8"/>
        <v/>
      </c>
      <c r="H765" s="57" t="str">
        <f t="shared" si="9"/>
        <v/>
      </c>
      <c r="I765" s="58" t="str">
        <f t="shared" si="10"/>
        <v/>
      </c>
      <c r="J765" s="55" t="str">
        <f t="shared" si="11"/>
        <v/>
      </c>
      <c r="K765" s="59" t="str">
        <f t="shared" si="12"/>
        <v/>
      </c>
      <c r="L765" s="59" t="str">
        <f>IF(NOT(ISERROR(VLOOKUP(B765,Deflatores!G$42:H$64,2,FALSE))),VLOOKUP(B765,Deflatores!G$42:H$64,2,FALSE),IF(OR(ISBLANK(C765),ISBLANK(B765)),"",VLOOKUP(C765,Deflatores!G$4:H$38,2,FALSE)*H765+VLOOKUP(C765,Deflatores!G$4:I$38,3,FALSE)))</f>
        <v/>
      </c>
      <c r="M765" s="60"/>
      <c r="N765" s="60"/>
      <c r="O765" s="61"/>
    </row>
    <row r="766" ht="12.0" customHeight="1">
      <c r="A766" s="53"/>
      <c r="B766" s="54"/>
      <c r="C766" s="54"/>
      <c r="D766" s="55"/>
      <c r="E766" s="55"/>
      <c r="F766" s="56" t="str">
        <f t="shared" si="7"/>
        <v/>
      </c>
      <c r="G766" s="55" t="str">
        <f t="shared" si="8"/>
        <v/>
      </c>
      <c r="H766" s="57" t="str">
        <f t="shared" si="9"/>
        <v/>
      </c>
      <c r="I766" s="58" t="str">
        <f t="shared" si="10"/>
        <v/>
      </c>
      <c r="J766" s="55" t="str">
        <f t="shared" si="11"/>
        <v/>
      </c>
      <c r="K766" s="59" t="str">
        <f t="shared" si="12"/>
        <v/>
      </c>
      <c r="L766" s="59" t="str">
        <f>IF(NOT(ISERROR(VLOOKUP(B766,Deflatores!G$42:H$64,2,FALSE))),VLOOKUP(B766,Deflatores!G$42:H$64,2,FALSE),IF(OR(ISBLANK(C766),ISBLANK(B766)),"",VLOOKUP(C766,Deflatores!G$4:H$38,2,FALSE)*H766+VLOOKUP(C766,Deflatores!G$4:I$38,3,FALSE)))</f>
        <v/>
      </c>
      <c r="M766" s="60"/>
      <c r="N766" s="60"/>
      <c r="O766" s="61"/>
    </row>
    <row r="767" ht="12.0" customHeight="1">
      <c r="A767" s="53"/>
      <c r="B767" s="54"/>
      <c r="C767" s="54"/>
      <c r="D767" s="55"/>
      <c r="E767" s="55"/>
      <c r="F767" s="56" t="str">
        <f t="shared" si="7"/>
        <v/>
      </c>
      <c r="G767" s="55" t="str">
        <f t="shared" si="8"/>
        <v/>
      </c>
      <c r="H767" s="57" t="str">
        <f t="shared" si="9"/>
        <v/>
      </c>
      <c r="I767" s="58" t="str">
        <f t="shared" si="10"/>
        <v/>
      </c>
      <c r="J767" s="55" t="str">
        <f t="shared" si="11"/>
        <v/>
      </c>
      <c r="K767" s="59" t="str">
        <f t="shared" si="12"/>
        <v/>
      </c>
      <c r="L767" s="59" t="str">
        <f>IF(NOT(ISERROR(VLOOKUP(B767,Deflatores!G$42:H$64,2,FALSE))),VLOOKUP(B767,Deflatores!G$42:H$64,2,FALSE),IF(OR(ISBLANK(C767),ISBLANK(B767)),"",VLOOKUP(C767,Deflatores!G$4:H$38,2,FALSE)*H767+VLOOKUP(C767,Deflatores!G$4:I$38,3,FALSE)))</f>
        <v/>
      </c>
      <c r="M767" s="60"/>
      <c r="N767" s="60"/>
      <c r="O767" s="61"/>
    </row>
    <row r="768" ht="12.0" customHeight="1">
      <c r="A768" s="53"/>
      <c r="B768" s="54"/>
      <c r="C768" s="54"/>
      <c r="D768" s="55"/>
      <c r="E768" s="55"/>
      <c r="F768" s="56" t="str">
        <f t="shared" si="7"/>
        <v/>
      </c>
      <c r="G768" s="55" t="str">
        <f t="shared" si="8"/>
        <v/>
      </c>
      <c r="H768" s="57" t="str">
        <f t="shared" si="9"/>
        <v/>
      </c>
      <c r="I768" s="58" t="str">
        <f t="shared" si="10"/>
        <v/>
      </c>
      <c r="J768" s="55" t="str">
        <f t="shared" si="11"/>
        <v/>
      </c>
      <c r="K768" s="59" t="str">
        <f t="shared" si="12"/>
        <v/>
      </c>
      <c r="L768" s="59" t="str">
        <f>IF(NOT(ISERROR(VLOOKUP(B768,Deflatores!G$42:H$64,2,FALSE))),VLOOKUP(B768,Deflatores!G$42:H$64,2,FALSE),IF(OR(ISBLANK(C768),ISBLANK(B768)),"",VLOOKUP(C768,Deflatores!G$4:H$38,2,FALSE)*H768+VLOOKUP(C768,Deflatores!G$4:I$38,3,FALSE)))</f>
        <v/>
      </c>
      <c r="M768" s="60"/>
      <c r="N768" s="60"/>
      <c r="O768" s="61"/>
    </row>
    <row r="769" ht="12.0" customHeight="1">
      <c r="A769" s="53"/>
      <c r="B769" s="54"/>
      <c r="C769" s="54"/>
      <c r="D769" s="55"/>
      <c r="E769" s="55"/>
      <c r="F769" s="56" t="str">
        <f t="shared" si="7"/>
        <v/>
      </c>
      <c r="G769" s="55" t="str">
        <f t="shared" si="8"/>
        <v/>
      </c>
      <c r="H769" s="57" t="str">
        <f t="shared" si="9"/>
        <v/>
      </c>
      <c r="I769" s="58" t="str">
        <f t="shared" si="10"/>
        <v/>
      </c>
      <c r="J769" s="55" t="str">
        <f t="shared" si="11"/>
        <v/>
      </c>
      <c r="K769" s="59" t="str">
        <f t="shared" si="12"/>
        <v/>
      </c>
      <c r="L769" s="59" t="str">
        <f>IF(NOT(ISERROR(VLOOKUP(B769,Deflatores!G$42:H$64,2,FALSE))),VLOOKUP(B769,Deflatores!G$42:H$64,2,FALSE),IF(OR(ISBLANK(C769),ISBLANK(B769)),"",VLOOKUP(C769,Deflatores!G$4:H$38,2,FALSE)*H769+VLOOKUP(C769,Deflatores!G$4:I$38,3,FALSE)))</f>
        <v/>
      </c>
      <c r="M769" s="60"/>
      <c r="N769" s="60"/>
      <c r="O769" s="61"/>
    </row>
    <row r="770" ht="12.0" customHeight="1">
      <c r="A770" s="53"/>
      <c r="B770" s="54"/>
      <c r="C770" s="54"/>
      <c r="D770" s="55"/>
      <c r="E770" s="55"/>
      <c r="F770" s="56" t="str">
        <f t="shared" si="7"/>
        <v/>
      </c>
      <c r="G770" s="55" t="str">
        <f t="shared" si="8"/>
        <v/>
      </c>
      <c r="H770" s="57" t="str">
        <f t="shared" si="9"/>
        <v/>
      </c>
      <c r="I770" s="58" t="str">
        <f t="shared" si="10"/>
        <v/>
      </c>
      <c r="J770" s="55" t="str">
        <f t="shared" si="11"/>
        <v/>
      </c>
      <c r="K770" s="59" t="str">
        <f t="shared" si="12"/>
        <v/>
      </c>
      <c r="L770" s="59" t="str">
        <f>IF(NOT(ISERROR(VLOOKUP(B770,Deflatores!G$42:H$64,2,FALSE))),VLOOKUP(B770,Deflatores!G$42:H$64,2,FALSE),IF(OR(ISBLANK(C770),ISBLANK(B770)),"",VLOOKUP(C770,Deflatores!G$4:H$38,2,FALSE)*H770+VLOOKUP(C770,Deflatores!G$4:I$38,3,FALSE)))</f>
        <v/>
      </c>
      <c r="M770" s="60"/>
      <c r="N770" s="60"/>
      <c r="O770" s="61"/>
    </row>
    <row r="771" ht="12.0" customHeight="1">
      <c r="A771" s="53"/>
      <c r="B771" s="54"/>
      <c r="C771" s="54"/>
      <c r="D771" s="55"/>
      <c r="E771" s="55"/>
      <c r="F771" s="56" t="str">
        <f t="shared" si="7"/>
        <v/>
      </c>
      <c r="G771" s="55" t="str">
        <f t="shared" si="8"/>
        <v/>
      </c>
      <c r="H771" s="57" t="str">
        <f t="shared" si="9"/>
        <v/>
      </c>
      <c r="I771" s="58" t="str">
        <f t="shared" si="10"/>
        <v/>
      </c>
      <c r="J771" s="55" t="str">
        <f t="shared" si="11"/>
        <v/>
      </c>
      <c r="K771" s="59" t="str">
        <f t="shared" si="12"/>
        <v/>
      </c>
      <c r="L771" s="59" t="str">
        <f>IF(NOT(ISERROR(VLOOKUP(B771,Deflatores!G$42:H$64,2,FALSE))),VLOOKUP(B771,Deflatores!G$42:H$64,2,FALSE),IF(OR(ISBLANK(C771),ISBLANK(B771)),"",VLOOKUP(C771,Deflatores!G$4:H$38,2,FALSE)*H771+VLOOKUP(C771,Deflatores!G$4:I$38,3,FALSE)))</f>
        <v/>
      </c>
      <c r="M771" s="60"/>
      <c r="N771" s="60"/>
      <c r="O771" s="61"/>
    </row>
    <row r="772" ht="12.0" customHeight="1">
      <c r="A772" s="53"/>
      <c r="B772" s="54"/>
      <c r="C772" s="54"/>
      <c r="D772" s="55"/>
      <c r="E772" s="55"/>
      <c r="F772" s="56" t="str">
        <f t="shared" si="7"/>
        <v/>
      </c>
      <c r="G772" s="55" t="str">
        <f t="shared" si="8"/>
        <v/>
      </c>
      <c r="H772" s="57" t="str">
        <f t="shared" si="9"/>
        <v/>
      </c>
      <c r="I772" s="58" t="str">
        <f t="shared" si="10"/>
        <v/>
      </c>
      <c r="J772" s="55" t="str">
        <f t="shared" si="11"/>
        <v/>
      </c>
      <c r="K772" s="59" t="str">
        <f t="shared" si="12"/>
        <v/>
      </c>
      <c r="L772" s="59" t="str">
        <f>IF(NOT(ISERROR(VLOOKUP(B772,Deflatores!G$42:H$64,2,FALSE))),VLOOKUP(B772,Deflatores!G$42:H$64,2,FALSE),IF(OR(ISBLANK(C772),ISBLANK(B772)),"",VLOOKUP(C772,Deflatores!G$4:H$38,2,FALSE)*H772+VLOOKUP(C772,Deflatores!G$4:I$38,3,FALSE)))</f>
        <v/>
      </c>
      <c r="M772" s="60"/>
      <c r="N772" s="60"/>
      <c r="O772" s="61"/>
    </row>
    <row r="773" ht="12.0" customHeight="1">
      <c r="A773" s="53"/>
      <c r="B773" s="54"/>
      <c r="C773" s="54"/>
      <c r="D773" s="55"/>
      <c r="E773" s="55"/>
      <c r="F773" s="56" t="str">
        <f t="shared" si="7"/>
        <v/>
      </c>
      <c r="G773" s="55" t="str">
        <f t="shared" si="8"/>
        <v/>
      </c>
      <c r="H773" s="57" t="str">
        <f t="shared" si="9"/>
        <v/>
      </c>
      <c r="I773" s="58" t="str">
        <f t="shared" si="10"/>
        <v/>
      </c>
      <c r="J773" s="55" t="str">
        <f t="shared" si="11"/>
        <v/>
      </c>
      <c r="K773" s="59" t="str">
        <f t="shared" si="12"/>
        <v/>
      </c>
      <c r="L773" s="59" t="str">
        <f>IF(NOT(ISERROR(VLOOKUP(B773,Deflatores!G$42:H$64,2,FALSE))),VLOOKUP(B773,Deflatores!G$42:H$64,2,FALSE),IF(OR(ISBLANK(C773),ISBLANK(B773)),"",VLOOKUP(C773,Deflatores!G$4:H$38,2,FALSE)*H773+VLOOKUP(C773,Deflatores!G$4:I$38,3,FALSE)))</f>
        <v/>
      </c>
      <c r="M773" s="60"/>
      <c r="N773" s="60"/>
      <c r="O773" s="61"/>
    </row>
    <row r="774" ht="12.0" customHeight="1">
      <c r="A774" s="53"/>
      <c r="B774" s="54"/>
      <c r="C774" s="54"/>
      <c r="D774" s="55"/>
      <c r="E774" s="55"/>
      <c r="F774" s="56" t="str">
        <f t="shared" si="7"/>
        <v/>
      </c>
      <c r="G774" s="55" t="str">
        <f t="shared" si="8"/>
        <v/>
      </c>
      <c r="H774" s="57" t="str">
        <f t="shared" si="9"/>
        <v/>
      </c>
      <c r="I774" s="58" t="str">
        <f t="shared" si="10"/>
        <v/>
      </c>
      <c r="J774" s="55" t="str">
        <f t="shared" si="11"/>
        <v/>
      </c>
      <c r="K774" s="59" t="str">
        <f t="shared" si="12"/>
        <v/>
      </c>
      <c r="L774" s="59" t="str">
        <f>IF(NOT(ISERROR(VLOOKUP(B774,Deflatores!G$42:H$64,2,FALSE))),VLOOKUP(B774,Deflatores!G$42:H$64,2,FALSE),IF(OR(ISBLANK(C774),ISBLANK(B774)),"",VLOOKUP(C774,Deflatores!G$4:H$38,2,FALSE)*H774+VLOOKUP(C774,Deflatores!G$4:I$38,3,FALSE)))</f>
        <v/>
      </c>
      <c r="M774" s="60"/>
      <c r="N774" s="60"/>
      <c r="O774" s="61"/>
    </row>
    <row r="775" ht="12.0" customHeight="1">
      <c r="A775" s="53"/>
      <c r="B775" s="54"/>
      <c r="C775" s="54"/>
      <c r="D775" s="55"/>
      <c r="E775" s="55"/>
      <c r="F775" s="56" t="str">
        <f t="shared" si="7"/>
        <v/>
      </c>
      <c r="G775" s="55" t="str">
        <f t="shared" si="8"/>
        <v/>
      </c>
      <c r="H775" s="57" t="str">
        <f t="shared" si="9"/>
        <v/>
      </c>
      <c r="I775" s="58" t="str">
        <f t="shared" si="10"/>
        <v/>
      </c>
      <c r="J775" s="55" t="str">
        <f t="shared" si="11"/>
        <v/>
      </c>
      <c r="K775" s="59" t="str">
        <f t="shared" si="12"/>
        <v/>
      </c>
      <c r="L775" s="59" t="str">
        <f>IF(NOT(ISERROR(VLOOKUP(B775,Deflatores!G$42:H$64,2,FALSE))),VLOOKUP(B775,Deflatores!G$42:H$64,2,FALSE),IF(OR(ISBLANK(C775),ISBLANK(B775)),"",VLOOKUP(C775,Deflatores!G$4:H$38,2,FALSE)*H775+VLOOKUP(C775,Deflatores!G$4:I$38,3,FALSE)))</f>
        <v/>
      </c>
      <c r="M775" s="60"/>
      <c r="N775" s="60"/>
      <c r="O775" s="61"/>
    </row>
    <row r="776" ht="12.0" customHeight="1">
      <c r="A776" s="53"/>
      <c r="B776" s="54"/>
      <c r="C776" s="54"/>
      <c r="D776" s="55"/>
      <c r="E776" s="55"/>
      <c r="F776" s="56" t="str">
        <f t="shared" si="7"/>
        <v/>
      </c>
      <c r="G776" s="55" t="str">
        <f t="shared" si="8"/>
        <v/>
      </c>
      <c r="H776" s="57" t="str">
        <f t="shared" si="9"/>
        <v/>
      </c>
      <c r="I776" s="58" t="str">
        <f t="shared" si="10"/>
        <v/>
      </c>
      <c r="J776" s="55" t="str">
        <f t="shared" si="11"/>
        <v/>
      </c>
      <c r="K776" s="59" t="str">
        <f t="shared" si="12"/>
        <v/>
      </c>
      <c r="L776" s="59" t="str">
        <f>IF(NOT(ISERROR(VLOOKUP(B776,Deflatores!G$42:H$64,2,FALSE))),VLOOKUP(B776,Deflatores!G$42:H$64,2,FALSE),IF(OR(ISBLANK(C776),ISBLANK(B776)),"",VLOOKUP(C776,Deflatores!G$4:H$38,2,FALSE)*H776+VLOOKUP(C776,Deflatores!G$4:I$38,3,FALSE)))</f>
        <v/>
      </c>
      <c r="M776" s="60"/>
      <c r="N776" s="60"/>
      <c r="O776" s="61"/>
    </row>
    <row r="777" ht="12.0" customHeight="1">
      <c r="A777" s="53"/>
      <c r="B777" s="54"/>
      <c r="C777" s="54"/>
      <c r="D777" s="55"/>
      <c r="E777" s="55"/>
      <c r="F777" s="56" t="str">
        <f t="shared" si="7"/>
        <v/>
      </c>
      <c r="G777" s="55" t="str">
        <f t="shared" si="8"/>
        <v/>
      </c>
      <c r="H777" s="57" t="str">
        <f t="shared" si="9"/>
        <v/>
      </c>
      <c r="I777" s="58" t="str">
        <f t="shared" si="10"/>
        <v/>
      </c>
      <c r="J777" s="55" t="str">
        <f t="shared" si="11"/>
        <v/>
      </c>
      <c r="K777" s="59" t="str">
        <f t="shared" si="12"/>
        <v/>
      </c>
      <c r="L777" s="59" t="str">
        <f>IF(NOT(ISERROR(VLOOKUP(B777,Deflatores!G$42:H$64,2,FALSE))),VLOOKUP(B777,Deflatores!G$42:H$64,2,FALSE),IF(OR(ISBLANK(C777),ISBLANK(B777)),"",VLOOKUP(C777,Deflatores!G$4:H$38,2,FALSE)*H777+VLOOKUP(C777,Deflatores!G$4:I$38,3,FALSE)))</f>
        <v/>
      </c>
      <c r="M777" s="60"/>
      <c r="N777" s="60"/>
      <c r="O777" s="61"/>
    </row>
    <row r="778" ht="12.0" customHeight="1">
      <c r="A778" s="53"/>
      <c r="B778" s="54"/>
      <c r="C778" s="54"/>
      <c r="D778" s="55"/>
      <c r="E778" s="55"/>
      <c r="F778" s="56" t="str">
        <f t="shared" si="7"/>
        <v/>
      </c>
      <c r="G778" s="55" t="str">
        <f t="shared" si="8"/>
        <v/>
      </c>
      <c r="H778" s="57" t="str">
        <f t="shared" si="9"/>
        <v/>
      </c>
      <c r="I778" s="58" t="str">
        <f t="shared" si="10"/>
        <v/>
      </c>
      <c r="J778" s="55" t="str">
        <f t="shared" si="11"/>
        <v/>
      </c>
      <c r="K778" s="59" t="str">
        <f t="shared" si="12"/>
        <v/>
      </c>
      <c r="L778" s="59" t="str">
        <f>IF(NOT(ISERROR(VLOOKUP(B778,Deflatores!G$42:H$64,2,FALSE))),VLOOKUP(B778,Deflatores!G$42:H$64,2,FALSE),IF(OR(ISBLANK(C778),ISBLANK(B778)),"",VLOOKUP(C778,Deflatores!G$4:H$38,2,FALSE)*H778+VLOOKUP(C778,Deflatores!G$4:I$38,3,FALSE)))</f>
        <v/>
      </c>
      <c r="M778" s="60"/>
      <c r="N778" s="60"/>
      <c r="O778" s="61"/>
    </row>
    <row r="779" ht="12.0" customHeight="1">
      <c r="A779" s="53"/>
      <c r="B779" s="54"/>
      <c r="C779" s="54"/>
      <c r="D779" s="55"/>
      <c r="E779" s="55"/>
      <c r="F779" s="56" t="str">
        <f t="shared" si="7"/>
        <v/>
      </c>
      <c r="G779" s="55" t="str">
        <f t="shared" si="8"/>
        <v/>
      </c>
      <c r="H779" s="57" t="str">
        <f t="shared" si="9"/>
        <v/>
      </c>
      <c r="I779" s="58" t="str">
        <f t="shared" si="10"/>
        <v/>
      </c>
      <c r="J779" s="55" t="str">
        <f t="shared" si="11"/>
        <v/>
      </c>
      <c r="K779" s="59" t="str">
        <f t="shared" si="12"/>
        <v/>
      </c>
      <c r="L779" s="59" t="str">
        <f>IF(NOT(ISERROR(VLOOKUP(B779,Deflatores!G$42:H$64,2,FALSE))),VLOOKUP(B779,Deflatores!G$42:H$64,2,FALSE),IF(OR(ISBLANK(C779),ISBLANK(B779)),"",VLOOKUP(C779,Deflatores!G$4:H$38,2,FALSE)*H779+VLOOKUP(C779,Deflatores!G$4:I$38,3,FALSE)))</f>
        <v/>
      </c>
      <c r="M779" s="60"/>
      <c r="N779" s="60"/>
      <c r="O779" s="61"/>
    </row>
    <row r="780" ht="12.0" customHeight="1">
      <c r="A780" s="53"/>
      <c r="B780" s="54"/>
      <c r="C780" s="54"/>
      <c r="D780" s="55"/>
      <c r="E780" s="55"/>
      <c r="F780" s="56" t="str">
        <f t="shared" si="7"/>
        <v/>
      </c>
      <c r="G780" s="55" t="str">
        <f t="shared" si="8"/>
        <v/>
      </c>
      <c r="H780" s="57" t="str">
        <f t="shared" si="9"/>
        <v/>
      </c>
      <c r="I780" s="58" t="str">
        <f t="shared" si="10"/>
        <v/>
      </c>
      <c r="J780" s="55" t="str">
        <f t="shared" si="11"/>
        <v/>
      </c>
      <c r="K780" s="59" t="str">
        <f t="shared" si="12"/>
        <v/>
      </c>
      <c r="L780" s="59" t="str">
        <f>IF(NOT(ISERROR(VLOOKUP(B780,Deflatores!G$42:H$64,2,FALSE))),VLOOKUP(B780,Deflatores!G$42:H$64,2,FALSE),IF(OR(ISBLANK(C780),ISBLANK(B780)),"",VLOOKUP(C780,Deflatores!G$4:H$38,2,FALSE)*H780+VLOOKUP(C780,Deflatores!G$4:I$38,3,FALSE)))</f>
        <v/>
      </c>
      <c r="M780" s="60"/>
      <c r="N780" s="60"/>
      <c r="O780" s="61"/>
    </row>
    <row r="781" ht="12.0" customHeight="1">
      <c r="A781" s="53"/>
      <c r="B781" s="54"/>
      <c r="C781" s="54"/>
      <c r="D781" s="55"/>
      <c r="E781" s="55"/>
      <c r="F781" s="56" t="str">
        <f t="shared" si="7"/>
        <v/>
      </c>
      <c r="G781" s="55" t="str">
        <f t="shared" si="8"/>
        <v/>
      </c>
      <c r="H781" s="57" t="str">
        <f t="shared" si="9"/>
        <v/>
      </c>
      <c r="I781" s="58" t="str">
        <f t="shared" si="10"/>
        <v/>
      </c>
      <c r="J781" s="55" t="str">
        <f t="shared" si="11"/>
        <v/>
      </c>
      <c r="K781" s="59" t="str">
        <f t="shared" si="12"/>
        <v/>
      </c>
      <c r="L781" s="59" t="str">
        <f>IF(NOT(ISERROR(VLOOKUP(B781,Deflatores!G$42:H$64,2,FALSE))),VLOOKUP(B781,Deflatores!G$42:H$64,2,FALSE),IF(OR(ISBLANK(C781),ISBLANK(B781)),"",VLOOKUP(C781,Deflatores!G$4:H$38,2,FALSE)*H781+VLOOKUP(C781,Deflatores!G$4:I$38,3,FALSE)))</f>
        <v/>
      </c>
      <c r="M781" s="60"/>
      <c r="N781" s="60"/>
      <c r="O781" s="61"/>
    </row>
    <row r="782" ht="12.0" customHeight="1">
      <c r="A782" s="53"/>
      <c r="B782" s="54"/>
      <c r="C782" s="54"/>
      <c r="D782" s="55"/>
      <c r="E782" s="55"/>
      <c r="F782" s="56" t="str">
        <f t="shared" si="7"/>
        <v/>
      </c>
      <c r="G782" s="55" t="str">
        <f t="shared" si="8"/>
        <v/>
      </c>
      <c r="H782" s="57" t="str">
        <f t="shared" si="9"/>
        <v/>
      </c>
      <c r="I782" s="58" t="str">
        <f t="shared" si="10"/>
        <v/>
      </c>
      <c r="J782" s="55" t="str">
        <f t="shared" si="11"/>
        <v/>
      </c>
      <c r="K782" s="59" t="str">
        <f t="shared" si="12"/>
        <v/>
      </c>
      <c r="L782" s="59" t="str">
        <f>IF(NOT(ISERROR(VLOOKUP(B782,Deflatores!G$42:H$64,2,FALSE))),VLOOKUP(B782,Deflatores!G$42:H$64,2,FALSE),IF(OR(ISBLANK(C782),ISBLANK(B782)),"",VLOOKUP(C782,Deflatores!G$4:H$38,2,FALSE)*H782+VLOOKUP(C782,Deflatores!G$4:I$38,3,FALSE)))</f>
        <v/>
      </c>
      <c r="M782" s="60"/>
      <c r="N782" s="60"/>
      <c r="O782" s="61"/>
    </row>
    <row r="783" ht="12.0" customHeight="1">
      <c r="A783" s="53"/>
      <c r="B783" s="54"/>
      <c r="C783" s="54"/>
      <c r="D783" s="55"/>
      <c r="E783" s="55"/>
      <c r="F783" s="56" t="str">
        <f t="shared" si="7"/>
        <v/>
      </c>
      <c r="G783" s="55" t="str">
        <f t="shared" si="8"/>
        <v/>
      </c>
      <c r="H783" s="57" t="str">
        <f t="shared" si="9"/>
        <v/>
      </c>
      <c r="I783" s="58" t="str">
        <f t="shared" si="10"/>
        <v/>
      </c>
      <c r="J783" s="55" t="str">
        <f t="shared" si="11"/>
        <v/>
      </c>
      <c r="K783" s="59" t="str">
        <f t="shared" si="12"/>
        <v/>
      </c>
      <c r="L783" s="59" t="str">
        <f>IF(NOT(ISERROR(VLOOKUP(B783,Deflatores!G$42:H$64,2,FALSE))),VLOOKUP(B783,Deflatores!G$42:H$64,2,FALSE),IF(OR(ISBLANK(C783),ISBLANK(B783)),"",VLOOKUP(C783,Deflatores!G$4:H$38,2,FALSE)*H783+VLOOKUP(C783,Deflatores!G$4:I$38,3,FALSE)))</f>
        <v/>
      </c>
      <c r="M783" s="60"/>
      <c r="N783" s="60"/>
      <c r="O783" s="61"/>
    </row>
    <row r="784" ht="12.0" customHeight="1">
      <c r="A784" s="53"/>
      <c r="B784" s="54"/>
      <c r="C784" s="54"/>
      <c r="D784" s="55"/>
      <c r="E784" s="55"/>
      <c r="F784" s="56" t="str">
        <f t="shared" si="7"/>
        <v/>
      </c>
      <c r="G784" s="55" t="str">
        <f t="shared" si="8"/>
        <v/>
      </c>
      <c r="H784" s="57" t="str">
        <f t="shared" si="9"/>
        <v/>
      </c>
      <c r="I784" s="58" t="str">
        <f t="shared" si="10"/>
        <v/>
      </c>
      <c r="J784" s="55" t="str">
        <f t="shared" si="11"/>
        <v/>
      </c>
      <c r="K784" s="59" t="str">
        <f t="shared" si="12"/>
        <v/>
      </c>
      <c r="L784" s="59" t="str">
        <f>IF(NOT(ISERROR(VLOOKUP(B784,Deflatores!G$42:H$64,2,FALSE))),VLOOKUP(B784,Deflatores!G$42:H$64,2,FALSE),IF(OR(ISBLANK(C784),ISBLANK(B784)),"",VLOOKUP(C784,Deflatores!G$4:H$38,2,FALSE)*H784+VLOOKUP(C784,Deflatores!G$4:I$38,3,FALSE)))</f>
        <v/>
      </c>
      <c r="M784" s="60"/>
      <c r="N784" s="60"/>
      <c r="O784" s="61"/>
    </row>
    <row r="785" ht="12.0" customHeight="1">
      <c r="A785" s="53"/>
      <c r="B785" s="54"/>
      <c r="C785" s="54"/>
      <c r="D785" s="55"/>
      <c r="E785" s="55"/>
      <c r="F785" s="56" t="str">
        <f t="shared" si="7"/>
        <v/>
      </c>
      <c r="G785" s="55" t="str">
        <f t="shared" si="8"/>
        <v/>
      </c>
      <c r="H785" s="57" t="str">
        <f t="shared" si="9"/>
        <v/>
      </c>
      <c r="I785" s="58" t="str">
        <f t="shared" si="10"/>
        <v/>
      </c>
      <c r="J785" s="55" t="str">
        <f t="shared" si="11"/>
        <v/>
      </c>
      <c r="K785" s="59" t="str">
        <f t="shared" si="12"/>
        <v/>
      </c>
      <c r="L785" s="59" t="str">
        <f>IF(NOT(ISERROR(VLOOKUP(B785,Deflatores!G$42:H$64,2,FALSE))),VLOOKUP(B785,Deflatores!G$42:H$64,2,FALSE),IF(OR(ISBLANK(C785),ISBLANK(B785)),"",VLOOKUP(C785,Deflatores!G$4:H$38,2,FALSE)*H785+VLOOKUP(C785,Deflatores!G$4:I$38,3,FALSE)))</f>
        <v/>
      </c>
      <c r="M785" s="60"/>
      <c r="N785" s="60"/>
      <c r="O785" s="61"/>
    </row>
    <row r="786" ht="12.0" customHeight="1">
      <c r="A786" s="53"/>
      <c r="B786" s="54"/>
      <c r="C786" s="54"/>
      <c r="D786" s="55"/>
      <c r="E786" s="55"/>
      <c r="F786" s="56" t="str">
        <f t="shared" si="7"/>
        <v/>
      </c>
      <c r="G786" s="55" t="str">
        <f t="shared" si="8"/>
        <v/>
      </c>
      <c r="H786" s="57" t="str">
        <f t="shared" si="9"/>
        <v/>
      </c>
      <c r="I786" s="58" t="str">
        <f t="shared" si="10"/>
        <v/>
      </c>
      <c r="J786" s="55" t="str">
        <f t="shared" si="11"/>
        <v/>
      </c>
      <c r="K786" s="59" t="str">
        <f t="shared" si="12"/>
        <v/>
      </c>
      <c r="L786" s="59" t="str">
        <f>IF(NOT(ISERROR(VLOOKUP(B786,Deflatores!G$42:H$64,2,FALSE))),VLOOKUP(B786,Deflatores!G$42:H$64,2,FALSE),IF(OR(ISBLANK(C786),ISBLANK(B786)),"",VLOOKUP(C786,Deflatores!G$4:H$38,2,FALSE)*H786+VLOOKUP(C786,Deflatores!G$4:I$38,3,FALSE)))</f>
        <v/>
      </c>
      <c r="M786" s="60"/>
      <c r="N786" s="60"/>
      <c r="O786" s="61"/>
    </row>
    <row r="787" ht="12.0" customHeight="1">
      <c r="A787" s="53"/>
      <c r="B787" s="54"/>
      <c r="C787" s="54"/>
      <c r="D787" s="55"/>
      <c r="E787" s="55"/>
      <c r="F787" s="56" t="str">
        <f t="shared" si="7"/>
        <v/>
      </c>
      <c r="G787" s="55" t="str">
        <f t="shared" si="8"/>
        <v/>
      </c>
      <c r="H787" s="57" t="str">
        <f t="shared" si="9"/>
        <v/>
      </c>
      <c r="I787" s="58" t="str">
        <f t="shared" si="10"/>
        <v/>
      </c>
      <c r="J787" s="55" t="str">
        <f t="shared" si="11"/>
        <v/>
      </c>
      <c r="K787" s="59" t="str">
        <f t="shared" si="12"/>
        <v/>
      </c>
      <c r="L787" s="59" t="str">
        <f>IF(NOT(ISERROR(VLOOKUP(B787,Deflatores!G$42:H$64,2,FALSE))),VLOOKUP(B787,Deflatores!G$42:H$64,2,FALSE),IF(OR(ISBLANK(C787),ISBLANK(B787)),"",VLOOKUP(C787,Deflatores!G$4:H$38,2,FALSE)*H787+VLOOKUP(C787,Deflatores!G$4:I$38,3,FALSE)))</f>
        <v/>
      </c>
      <c r="M787" s="60"/>
      <c r="N787" s="60"/>
      <c r="O787" s="61"/>
    </row>
    <row r="788" ht="12.0" customHeight="1">
      <c r="A788" s="53"/>
      <c r="B788" s="54"/>
      <c r="C788" s="54"/>
      <c r="D788" s="55"/>
      <c r="E788" s="55"/>
      <c r="F788" s="56" t="str">
        <f t="shared" si="7"/>
        <v/>
      </c>
      <c r="G788" s="55" t="str">
        <f t="shared" si="8"/>
        <v/>
      </c>
      <c r="H788" s="57" t="str">
        <f t="shared" si="9"/>
        <v/>
      </c>
      <c r="I788" s="58" t="str">
        <f t="shared" si="10"/>
        <v/>
      </c>
      <c r="J788" s="55" t="str">
        <f t="shared" si="11"/>
        <v/>
      </c>
      <c r="K788" s="59" t="str">
        <f t="shared" si="12"/>
        <v/>
      </c>
      <c r="L788" s="59" t="str">
        <f>IF(NOT(ISERROR(VLOOKUP(B788,Deflatores!G$42:H$64,2,FALSE))),VLOOKUP(B788,Deflatores!G$42:H$64,2,FALSE),IF(OR(ISBLANK(C788),ISBLANK(B788)),"",VLOOKUP(C788,Deflatores!G$4:H$38,2,FALSE)*H788+VLOOKUP(C788,Deflatores!G$4:I$38,3,FALSE)))</f>
        <v/>
      </c>
      <c r="M788" s="60"/>
      <c r="N788" s="60"/>
      <c r="O788" s="61"/>
    </row>
    <row r="789" ht="12.0" customHeight="1">
      <c r="A789" s="53"/>
      <c r="B789" s="54"/>
      <c r="C789" s="54"/>
      <c r="D789" s="55"/>
      <c r="E789" s="55"/>
      <c r="F789" s="56" t="str">
        <f t="shared" si="7"/>
        <v/>
      </c>
      <c r="G789" s="55" t="str">
        <f t="shared" si="8"/>
        <v/>
      </c>
      <c r="H789" s="57" t="str">
        <f t="shared" si="9"/>
        <v/>
      </c>
      <c r="I789" s="58" t="str">
        <f t="shared" si="10"/>
        <v/>
      </c>
      <c r="J789" s="55" t="str">
        <f t="shared" si="11"/>
        <v/>
      </c>
      <c r="K789" s="59" t="str">
        <f t="shared" si="12"/>
        <v/>
      </c>
      <c r="L789" s="59" t="str">
        <f>IF(NOT(ISERROR(VLOOKUP(B789,Deflatores!G$42:H$64,2,FALSE))),VLOOKUP(B789,Deflatores!G$42:H$64,2,FALSE),IF(OR(ISBLANK(C789),ISBLANK(B789)),"",VLOOKUP(C789,Deflatores!G$4:H$38,2,FALSE)*H789+VLOOKUP(C789,Deflatores!G$4:I$38,3,FALSE)))</f>
        <v/>
      </c>
      <c r="M789" s="60"/>
      <c r="N789" s="60"/>
      <c r="O789" s="61"/>
    </row>
    <row r="790" ht="12.0" customHeight="1">
      <c r="A790" s="53"/>
      <c r="B790" s="54"/>
      <c r="C790" s="54"/>
      <c r="D790" s="55"/>
      <c r="E790" s="55"/>
      <c r="F790" s="56" t="str">
        <f t="shared" si="7"/>
        <v/>
      </c>
      <c r="G790" s="55" t="str">
        <f t="shared" si="8"/>
        <v/>
      </c>
      <c r="H790" s="57" t="str">
        <f t="shared" si="9"/>
        <v/>
      </c>
      <c r="I790" s="58" t="str">
        <f t="shared" si="10"/>
        <v/>
      </c>
      <c r="J790" s="55" t="str">
        <f t="shared" si="11"/>
        <v/>
      </c>
      <c r="K790" s="59" t="str">
        <f t="shared" si="12"/>
        <v/>
      </c>
      <c r="L790" s="59" t="str">
        <f>IF(NOT(ISERROR(VLOOKUP(B790,Deflatores!G$42:H$64,2,FALSE))),VLOOKUP(B790,Deflatores!G$42:H$64,2,FALSE),IF(OR(ISBLANK(C790),ISBLANK(B790)),"",VLOOKUP(C790,Deflatores!G$4:H$38,2,FALSE)*H790+VLOOKUP(C790,Deflatores!G$4:I$38,3,FALSE)))</f>
        <v/>
      </c>
      <c r="M790" s="60"/>
      <c r="N790" s="60"/>
      <c r="O790" s="61"/>
    </row>
    <row r="791" ht="12.0" customHeight="1">
      <c r="A791" s="53"/>
      <c r="B791" s="54"/>
      <c r="C791" s="54"/>
      <c r="D791" s="55"/>
      <c r="E791" s="55"/>
      <c r="F791" s="56" t="str">
        <f t="shared" si="7"/>
        <v/>
      </c>
      <c r="G791" s="55" t="str">
        <f t="shared" si="8"/>
        <v/>
      </c>
      <c r="H791" s="57" t="str">
        <f t="shared" si="9"/>
        <v/>
      </c>
      <c r="I791" s="58" t="str">
        <f t="shared" si="10"/>
        <v/>
      </c>
      <c r="J791" s="55" t="str">
        <f t="shared" si="11"/>
        <v/>
      </c>
      <c r="K791" s="59" t="str">
        <f t="shared" si="12"/>
        <v/>
      </c>
      <c r="L791" s="59" t="str">
        <f>IF(NOT(ISERROR(VLOOKUP(B791,Deflatores!G$42:H$64,2,FALSE))),VLOOKUP(B791,Deflatores!G$42:H$64,2,FALSE),IF(OR(ISBLANK(C791),ISBLANK(B791)),"",VLOOKUP(C791,Deflatores!G$4:H$38,2,FALSE)*H791+VLOOKUP(C791,Deflatores!G$4:I$38,3,FALSE)))</f>
        <v/>
      </c>
      <c r="M791" s="60"/>
      <c r="N791" s="60"/>
      <c r="O791" s="61"/>
    </row>
    <row r="792" ht="12.0" customHeight="1">
      <c r="A792" s="53"/>
      <c r="B792" s="54"/>
      <c r="C792" s="54"/>
      <c r="D792" s="55"/>
      <c r="E792" s="55"/>
      <c r="F792" s="56" t="str">
        <f t="shared" si="7"/>
        <v/>
      </c>
      <c r="G792" s="55" t="str">
        <f t="shared" si="8"/>
        <v/>
      </c>
      <c r="H792" s="57" t="str">
        <f t="shared" si="9"/>
        <v/>
      </c>
      <c r="I792" s="58" t="str">
        <f t="shared" si="10"/>
        <v/>
      </c>
      <c r="J792" s="55" t="str">
        <f t="shared" si="11"/>
        <v/>
      </c>
      <c r="K792" s="59" t="str">
        <f t="shared" si="12"/>
        <v/>
      </c>
      <c r="L792" s="59" t="str">
        <f>IF(NOT(ISERROR(VLOOKUP(B792,Deflatores!G$42:H$64,2,FALSE))),VLOOKUP(B792,Deflatores!G$42:H$64,2,FALSE),IF(OR(ISBLANK(C792),ISBLANK(B792)),"",VLOOKUP(C792,Deflatores!G$4:H$38,2,FALSE)*H792+VLOOKUP(C792,Deflatores!G$4:I$38,3,FALSE)))</f>
        <v/>
      </c>
      <c r="M792" s="60"/>
      <c r="N792" s="60"/>
      <c r="O792" s="61"/>
    </row>
    <row r="793" ht="12.0" customHeight="1">
      <c r="A793" s="53"/>
      <c r="B793" s="54"/>
      <c r="C793" s="54"/>
      <c r="D793" s="55"/>
      <c r="E793" s="55"/>
      <c r="F793" s="56" t="str">
        <f t="shared" si="7"/>
        <v/>
      </c>
      <c r="G793" s="55" t="str">
        <f t="shared" si="8"/>
        <v/>
      </c>
      <c r="H793" s="57" t="str">
        <f t="shared" si="9"/>
        <v/>
      </c>
      <c r="I793" s="58" t="str">
        <f t="shared" si="10"/>
        <v/>
      </c>
      <c r="J793" s="55" t="str">
        <f t="shared" si="11"/>
        <v/>
      </c>
      <c r="K793" s="59" t="str">
        <f t="shared" si="12"/>
        <v/>
      </c>
      <c r="L793" s="59" t="str">
        <f>IF(NOT(ISERROR(VLOOKUP(B793,Deflatores!G$42:H$64,2,FALSE))),VLOOKUP(B793,Deflatores!G$42:H$64,2,FALSE),IF(OR(ISBLANK(C793),ISBLANK(B793)),"",VLOOKUP(C793,Deflatores!G$4:H$38,2,FALSE)*H793+VLOOKUP(C793,Deflatores!G$4:I$38,3,FALSE)))</f>
        <v/>
      </c>
      <c r="M793" s="60"/>
      <c r="N793" s="60"/>
      <c r="O793" s="61"/>
    </row>
    <row r="794" ht="12.0" customHeight="1">
      <c r="A794" s="53"/>
      <c r="B794" s="54"/>
      <c r="C794" s="54"/>
      <c r="D794" s="55"/>
      <c r="E794" s="55"/>
      <c r="F794" s="56" t="str">
        <f t="shared" si="7"/>
        <v/>
      </c>
      <c r="G794" s="55" t="str">
        <f t="shared" si="8"/>
        <v/>
      </c>
      <c r="H794" s="57" t="str">
        <f t="shared" si="9"/>
        <v/>
      </c>
      <c r="I794" s="58" t="str">
        <f t="shared" si="10"/>
        <v/>
      </c>
      <c r="J794" s="55" t="str">
        <f t="shared" si="11"/>
        <v/>
      </c>
      <c r="K794" s="59" t="str">
        <f t="shared" si="12"/>
        <v/>
      </c>
      <c r="L794" s="59" t="str">
        <f>IF(NOT(ISERROR(VLOOKUP(B794,Deflatores!G$42:H$64,2,FALSE))),VLOOKUP(B794,Deflatores!G$42:H$64,2,FALSE),IF(OR(ISBLANK(C794),ISBLANK(B794)),"",VLOOKUP(C794,Deflatores!G$4:H$38,2,FALSE)*H794+VLOOKUP(C794,Deflatores!G$4:I$38,3,FALSE)))</f>
        <v/>
      </c>
      <c r="M794" s="60"/>
      <c r="N794" s="60"/>
      <c r="O794" s="61"/>
    </row>
    <row r="795" ht="12.0" customHeight="1">
      <c r="A795" s="53"/>
      <c r="B795" s="54"/>
      <c r="C795" s="54"/>
      <c r="D795" s="55"/>
      <c r="E795" s="55"/>
      <c r="F795" s="56" t="str">
        <f t="shared" si="7"/>
        <v/>
      </c>
      <c r="G795" s="55" t="str">
        <f t="shared" si="8"/>
        <v/>
      </c>
      <c r="H795" s="57" t="str">
        <f t="shared" si="9"/>
        <v/>
      </c>
      <c r="I795" s="58" t="str">
        <f t="shared" si="10"/>
        <v/>
      </c>
      <c r="J795" s="55" t="str">
        <f t="shared" si="11"/>
        <v/>
      </c>
      <c r="K795" s="59" t="str">
        <f t="shared" si="12"/>
        <v/>
      </c>
      <c r="L795" s="59" t="str">
        <f>IF(NOT(ISERROR(VLOOKUP(B795,Deflatores!G$42:H$64,2,FALSE))),VLOOKUP(B795,Deflatores!G$42:H$64,2,FALSE),IF(OR(ISBLANK(C795),ISBLANK(B795)),"",VLOOKUP(C795,Deflatores!G$4:H$38,2,FALSE)*H795+VLOOKUP(C795,Deflatores!G$4:I$38,3,FALSE)))</f>
        <v/>
      </c>
      <c r="M795" s="60"/>
      <c r="N795" s="60"/>
      <c r="O795" s="61"/>
    </row>
    <row r="796" ht="12.0" customHeight="1">
      <c r="A796" s="53"/>
      <c r="B796" s="54"/>
      <c r="C796" s="54"/>
      <c r="D796" s="55"/>
      <c r="E796" s="55"/>
      <c r="F796" s="56" t="str">
        <f t="shared" si="7"/>
        <v/>
      </c>
      <c r="G796" s="55" t="str">
        <f t="shared" si="8"/>
        <v/>
      </c>
      <c r="H796" s="57" t="str">
        <f t="shared" si="9"/>
        <v/>
      </c>
      <c r="I796" s="58" t="str">
        <f t="shared" si="10"/>
        <v/>
      </c>
      <c r="J796" s="55" t="str">
        <f t="shared" si="11"/>
        <v/>
      </c>
      <c r="K796" s="59" t="str">
        <f t="shared" si="12"/>
        <v/>
      </c>
      <c r="L796" s="59" t="str">
        <f>IF(NOT(ISERROR(VLOOKUP(B796,Deflatores!G$42:H$64,2,FALSE))),VLOOKUP(B796,Deflatores!G$42:H$64,2,FALSE),IF(OR(ISBLANK(C796),ISBLANK(B796)),"",VLOOKUP(C796,Deflatores!G$4:H$38,2,FALSE)*H796+VLOOKUP(C796,Deflatores!G$4:I$38,3,FALSE)))</f>
        <v/>
      </c>
      <c r="M796" s="60"/>
      <c r="N796" s="60"/>
      <c r="O796" s="61"/>
    </row>
    <row r="797" ht="12.0" customHeight="1">
      <c r="A797" s="53"/>
      <c r="B797" s="54"/>
      <c r="C797" s="54"/>
      <c r="D797" s="55"/>
      <c r="E797" s="55"/>
      <c r="F797" s="56" t="str">
        <f t="shared" si="7"/>
        <v/>
      </c>
      <c r="G797" s="55" t="str">
        <f t="shared" si="8"/>
        <v/>
      </c>
      <c r="H797" s="57" t="str">
        <f t="shared" si="9"/>
        <v/>
      </c>
      <c r="I797" s="58" t="str">
        <f t="shared" si="10"/>
        <v/>
      </c>
      <c r="J797" s="55" t="str">
        <f t="shared" si="11"/>
        <v/>
      </c>
      <c r="K797" s="59" t="str">
        <f t="shared" si="12"/>
        <v/>
      </c>
      <c r="L797" s="59" t="str">
        <f>IF(NOT(ISERROR(VLOOKUP(B797,Deflatores!G$42:H$64,2,FALSE))),VLOOKUP(B797,Deflatores!G$42:H$64,2,FALSE),IF(OR(ISBLANK(C797),ISBLANK(B797)),"",VLOOKUP(C797,Deflatores!G$4:H$38,2,FALSE)*H797+VLOOKUP(C797,Deflatores!G$4:I$38,3,FALSE)))</f>
        <v/>
      </c>
      <c r="M797" s="60"/>
      <c r="N797" s="60"/>
      <c r="O797" s="61"/>
    </row>
    <row r="798" ht="12.0" customHeight="1">
      <c r="A798" s="53"/>
      <c r="B798" s="54"/>
      <c r="C798" s="54"/>
      <c r="D798" s="55"/>
      <c r="E798" s="55"/>
      <c r="F798" s="56" t="str">
        <f t="shared" si="7"/>
        <v/>
      </c>
      <c r="G798" s="55" t="str">
        <f t="shared" si="8"/>
        <v/>
      </c>
      <c r="H798" s="57" t="str">
        <f t="shared" si="9"/>
        <v/>
      </c>
      <c r="I798" s="58" t="str">
        <f t="shared" si="10"/>
        <v/>
      </c>
      <c r="J798" s="55" t="str">
        <f t="shared" si="11"/>
        <v/>
      </c>
      <c r="K798" s="59" t="str">
        <f t="shared" si="12"/>
        <v/>
      </c>
      <c r="L798" s="59" t="str">
        <f>IF(NOT(ISERROR(VLOOKUP(B798,Deflatores!G$42:H$64,2,FALSE))),VLOOKUP(B798,Deflatores!G$42:H$64,2,FALSE),IF(OR(ISBLANK(C798),ISBLANK(B798)),"",VLOOKUP(C798,Deflatores!G$4:H$38,2,FALSE)*H798+VLOOKUP(C798,Deflatores!G$4:I$38,3,FALSE)))</f>
        <v/>
      </c>
      <c r="M798" s="60"/>
      <c r="N798" s="60"/>
      <c r="O798" s="61"/>
    </row>
    <row r="799" ht="12.0" customHeight="1">
      <c r="A799" s="53"/>
      <c r="B799" s="54"/>
      <c r="C799" s="54"/>
      <c r="D799" s="55"/>
      <c r="E799" s="55"/>
      <c r="F799" s="56" t="str">
        <f t="shared" si="7"/>
        <v/>
      </c>
      <c r="G799" s="55" t="str">
        <f t="shared" si="8"/>
        <v/>
      </c>
      <c r="H799" s="57" t="str">
        <f t="shared" si="9"/>
        <v/>
      </c>
      <c r="I799" s="58" t="str">
        <f t="shared" si="10"/>
        <v/>
      </c>
      <c r="J799" s="55" t="str">
        <f t="shared" si="11"/>
        <v/>
      </c>
      <c r="K799" s="59" t="str">
        <f t="shared" si="12"/>
        <v/>
      </c>
      <c r="L799" s="59" t="str">
        <f>IF(NOT(ISERROR(VLOOKUP(B799,Deflatores!G$42:H$64,2,FALSE))),VLOOKUP(B799,Deflatores!G$42:H$64,2,FALSE),IF(OR(ISBLANK(C799),ISBLANK(B799)),"",VLOOKUP(C799,Deflatores!G$4:H$38,2,FALSE)*H799+VLOOKUP(C799,Deflatores!G$4:I$38,3,FALSE)))</f>
        <v/>
      </c>
      <c r="M799" s="60"/>
      <c r="N799" s="60"/>
      <c r="O799" s="61"/>
    </row>
    <row r="800" ht="12.0" customHeight="1">
      <c r="A800" s="53"/>
      <c r="B800" s="54"/>
      <c r="C800" s="54"/>
      <c r="D800" s="55"/>
      <c r="E800" s="55"/>
      <c r="F800" s="56" t="str">
        <f t="shared" si="7"/>
        <v/>
      </c>
      <c r="G800" s="55" t="str">
        <f t="shared" si="8"/>
        <v/>
      </c>
      <c r="H800" s="57" t="str">
        <f t="shared" si="9"/>
        <v/>
      </c>
      <c r="I800" s="58" t="str">
        <f t="shared" si="10"/>
        <v/>
      </c>
      <c r="J800" s="55" t="str">
        <f t="shared" si="11"/>
        <v/>
      </c>
      <c r="K800" s="59" t="str">
        <f t="shared" si="12"/>
        <v/>
      </c>
      <c r="L800" s="59" t="str">
        <f>IF(NOT(ISERROR(VLOOKUP(B800,Deflatores!G$42:H$64,2,FALSE))),VLOOKUP(B800,Deflatores!G$42:H$64,2,FALSE),IF(OR(ISBLANK(C800),ISBLANK(B800)),"",VLOOKUP(C800,Deflatores!G$4:H$38,2,FALSE)*H800+VLOOKUP(C800,Deflatores!G$4:I$38,3,FALSE)))</f>
        <v/>
      </c>
      <c r="M800" s="60"/>
      <c r="N800" s="60"/>
      <c r="O800" s="61"/>
    </row>
    <row r="801" ht="12.0" customHeight="1">
      <c r="A801" s="53"/>
      <c r="B801" s="54"/>
      <c r="C801" s="54"/>
      <c r="D801" s="55"/>
      <c r="E801" s="55"/>
      <c r="F801" s="56" t="str">
        <f t="shared" si="7"/>
        <v/>
      </c>
      <c r="G801" s="55" t="str">
        <f t="shared" si="8"/>
        <v/>
      </c>
      <c r="H801" s="57" t="str">
        <f t="shared" si="9"/>
        <v/>
      </c>
      <c r="I801" s="58" t="str">
        <f t="shared" si="10"/>
        <v/>
      </c>
      <c r="J801" s="55" t="str">
        <f t="shared" si="11"/>
        <v/>
      </c>
      <c r="K801" s="59" t="str">
        <f t="shared" si="12"/>
        <v/>
      </c>
      <c r="L801" s="59" t="str">
        <f>IF(NOT(ISERROR(VLOOKUP(B801,Deflatores!G$42:H$64,2,FALSE))),VLOOKUP(B801,Deflatores!G$42:H$64,2,FALSE),IF(OR(ISBLANK(C801),ISBLANK(B801)),"",VLOOKUP(C801,Deflatores!G$4:H$38,2,FALSE)*H801+VLOOKUP(C801,Deflatores!G$4:I$38,3,FALSE)))</f>
        <v/>
      </c>
      <c r="M801" s="60"/>
      <c r="N801" s="60"/>
      <c r="O801" s="61"/>
    </row>
    <row r="802" ht="12.0" customHeight="1">
      <c r="A802" s="53"/>
      <c r="B802" s="54"/>
      <c r="C802" s="54"/>
      <c r="D802" s="55"/>
      <c r="E802" s="55"/>
      <c r="F802" s="56" t="str">
        <f t="shared" si="7"/>
        <v/>
      </c>
      <c r="G802" s="55" t="str">
        <f t="shared" si="8"/>
        <v/>
      </c>
      <c r="H802" s="57" t="str">
        <f t="shared" si="9"/>
        <v/>
      </c>
      <c r="I802" s="58" t="str">
        <f t="shared" si="10"/>
        <v/>
      </c>
      <c r="J802" s="55" t="str">
        <f t="shared" si="11"/>
        <v/>
      </c>
      <c r="K802" s="59" t="str">
        <f t="shared" si="12"/>
        <v/>
      </c>
      <c r="L802" s="59" t="str">
        <f>IF(NOT(ISERROR(VLOOKUP(B802,Deflatores!G$42:H$64,2,FALSE))),VLOOKUP(B802,Deflatores!G$42:H$64,2,FALSE),IF(OR(ISBLANK(C802),ISBLANK(B802)),"",VLOOKUP(C802,Deflatores!G$4:H$38,2,FALSE)*H802+VLOOKUP(C802,Deflatores!G$4:I$38,3,FALSE)))</f>
        <v/>
      </c>
      <c r="M802" s="60"/>
      <c r="N802" s="60"/>
      <c r="O802" s="61"/>
    </row>
    <row r="803" ht="12.0" customHeight="1">
      <c r="A803" s="53"/>
      <c r="B803" s="54"/>
      <c r="C803" s="54"/>
      <c r="D803" s="55"/>
      <c r="E803" s="55"/>
      <c r="F803" s="56" t="str">
        <f t="shared" si="7"/>
        <v/>
      </c>
      <c r="G803" s="55" t="str">
        <f t="shared" si="8"/>
        <v/>
      </c>
      <c r="H803" s="57" t="str">
        <f t="shared" si="9"/>
        <v/>
      </c>
      <c r="I803" s="58" t="str">
        <f t="shared" si="10"/>
        <v/>
      </c>
      <c r="J803" s="55" t="str">
        <f t="shared" si="11"/>
        <v/>
      </c>
      <c r="K803" s="59" t="str">
        <f t="shared" si="12"/>
        <v/>
      </c>
      <c r="L803" s="59" t="str">
        <f>IF(NOT(ISERROR(VLOOKUP(B803,Deflatores!G$42:H$64,2,FALSE))),VLOOKUP(B803,Deflatores!G$42:H$64,2,FALSE),IF(OR(ISBLANK(C803),ISBLANK(B803)),"",VLOOKUP(C803,Deflatores!G$4:H$38,2,FALSE)*H803+VLOOKUP(C803,Deflatores!G$4:I$38,3,FALSE)))</f>
        <v/>
      </c>
      <c r="M803" s="60"/>
      <c r="N803" s="60"/>
      <c r="O803" s="61"/>
    </row>
    <row r="804" ht="12.0" customHeight="1">
      <c r="A804" s="53"/>
      <c r="B804" s="54"/>
      <c r="C804" s="54"/>
      <c r="D804" s="55"/>
      <c r="E804" s="55"/>
      <c r="F804" s="56" t="str">
        <f t="shared" si="7"/>
        <v/>
      </c>
      <c r="G804" s="55" t="str">
        <f t="shared" si="8"/>
        <v/>
      </c>
      <c r="H804" s="57" t="str">
        <f t="shared" si="9"/>
        <v/>
      </c>
      <c r="I804" s="58" t="str">
        <f t="shared" si="10"/>
        <v/>
      </c>
      <c r="J804" s="55" t="str">
        <f t="shared" si="11"/>
        <v/>
      </c>
      <c r="K804" s="59" t="str">
        <f t="shared" si="12"/>
        <v/>
      </c>
      <c r="L804" s="59" t="str">
        <f>IF(NOT(ISERROR(VLOOKUP(B804,Deflatores!G$42:H$64,2,FALSE))),VLOOKUP(B804,Deflatores!G$42:H$64,2,FALSE),IF(OR(ISBLANK(C804),ISBLANK(B804)),"",VLOOKUP(C804,Deflatores!G$4:H$38,2,FALSE)*H804+VLOOKUP(C804,Deflatores!G$4:I$38,3,FALSE)))</f>
        <v/>
      </c>
      <c r="M804" s="60"/>
      <c r="N804" s="60"/>
      <c r="O804" s="61"/>
    </row>
    <row r="805" ht="12.0" customHeight="1">
      <c r="A805" s="53"/>
      <c r="B805" s="54"/>
      <c r="C805" s="54"/>
      <c r="D805" s="55"/>
      <c r="E805" s="55"/>
      <c r="F805" s="56" t="str">
        <f t="shared" si="7"/>
        <v/>
      </c>
      <c r="G805" s="55" t="str">
        <f t="shared" si="8"/>
        <v/>
      </c>
      <c r="H805" s="57" t="str">
        <f t="shared" si="9"/>
        <v/>
      </c>
      <c r="I805" s="58" t="str">
        <f t="shared" si="10"/>
        <v/>
      </c>
      <c r="J805" s="55" t="str">
        <f t="shared" si="11"/>
        <v/>
      </c>
      <c r="K805" s="59" t="str">
        <f t="shared" si="12"/>
        <v/>
      </c>
      <c r="L805" s="59" t="str">
        <f>IF(NOT(ISERROR(VLOOKUP(B805,Deflatores!G$42:H$64,2,FALSE))),VLOOKUP(B805,Deflatores!G$42:H$64,2,FALSE),IF(OR(ISBLANK(C805),ISBLANK(B805)),"",VLOOKUP(C805,Deflatores!G$4:H$38,2,FALSE)*H805+VLOOKUP(C805,Deflatores!G$4:I$38,3,FALSE)))</f>
        <v/>
      </c>
      <c r="M805" s="60"/>
      <c r="N805" s="60"/>
      <c r="O805" s="61"/>
    </row>
    <row r="806" ht="12.0" customHeight="1">
      <c r="A806" s="53"/>
      <c r="B806" s="54"/>
      <c r="C806" s="54"/>
      <c r="D806" s="55"/>
      <c r="E806" s="55"/>
      <c r="F806" s="56" t="str">
        <f t="shared" si="7"/>
        <v/>
      </c>
      <c r="G806" s="55" t="str">
        <f t="shared" si="8"/>
        <v/>
      </c>
      <c r="H806" s="57" t="str">
        <f t="shared" si="9"/>
        <v/>
      </c>
      <c r="I806" s="58" t="str">
        <f t="shared" si="10"/>
        <v/>
      </c>
      <c r="J806" s="55" t="str">
        <f t="shared" si="11"/>
        <v/>
      </c>
      <c r="K806" s="59" t="str">
        <f t="shared" si="12"/>
        <v/>
      </c>
      <c r="L806" s="59" t="str">
        <f>IF(NOT(ISERROR(VLOOKUP(B806,Deflatores!G$42:H$64,2,FALSE))),VLOOKUP(B806,Deflatores!G$42:H$64,2,FALSE),IF(OR(ISBLANK(C806),ISBLANK(B806)),"",VLOOKUP(C806,Deflatores!G$4:H$38,2,FALSE)*H806+VLOOKUP(C806,Deflatores!G$4:I$38,3,FALSE)))</f>
        <v/>
      </c>
      <c r="M806" s="60"/>
      <c r="N806" s="60"/>
      <c r="O806" s="61"/>
    </row>
    <row r="807" ht="12.0" customHeight="1">
      <c r="A807" s="53"/>
      <c r="B807" s="54"/>
      <c r="C807" s="54"/>
      <c r="D807" s="55"/>
      <c r="E807" s="55"/>
      <c r="F807" s="56" t="str">
        <f t="shared" si="7"/>
        <v/>
      </c>
      <c r="G807" s="55" t="str">
        <f t="shared" si="8"/>
        <v/>
      </c>
      <c r="H807" s="57" t="str">
        <f t="shared" si="9"/>
        <v/>
      </c>
      <c r="I807" s="58" t="str">
        <f t="shared" si="10"/>
        <v/>
      </c>
      <c r="J807" s="55" t="str">
        <f t="shared" si="11"/>
        <v/>
      </c>
      <c r="K807" s="59" t="str">
        <f t="shared" si="12"/>
        <v/>
      </c>
      <c r="L807" s="59" t="str">
        <f>IF(NOT(ISERROR(VLOOKUP(B807,Deflatores!G$42:H$64,2,FALSE))),VLOOKUP(B807,Deflatores!G$42:H$64,2,FALSE),IF(OR(ISBLANK(C807),ISBLANK(B807)),"",VLOOKUP(C807,Deflatores!G$4:H$38,2,FALSE)*H807+VLOOKUP(C807,Deflatores!G$4:I$38,3,FALSE)))</f>
        <v/>
      </c>
      <c r="M807" s="60"/>
      <c r="N807" s="60"/>
      <c r="O807" s="61"/>
    </row>
    <row r="808" ht="12.0" customHeight="1">
      <c r="A808" s="53"/>
      <c r="B808" s="54"/>
      <c r="C808" s="54"/>
      <c r="D808" s="55"/>
      <c r="E808" s="55"/>
      <c r="F808" s="56" t="str">
        <f t="shared" si="7"/>
        <v/>
      </c>
      <c r="G808" s="55" t="str">
        <f t="shared" si="8"/>
        <v/>
      </c>
      <c r="H808" s="57" t="str">
        <f t="shared" si="9"/>
        <v/>
      </c>
      <c r="I808" s="58" t="str">
        <f t="shared" si="10"/>
        <v/>
      </c>
      <c r="J808" s="55" t="str">
        <f t="shared" si="11"/>
        <v/>
      </c>
      <c r="K808" s="59" t="str">
        <f t="shared" si="12"/>
        <v/>
      </c>
      <c r="L808" s="59" t="str">
        <f>IF(NOT(ISERROR(VLOOKUP(B808,Deflatores!G$42:H$64,2,FALSE))),VLOOKUP(B808,Deflatores!G$42:H$64,2,FALSE),IF(OR(ISBLANK(C808),ISBLANK(B808)),"",VLOOKUP(C808,Deflatores!G$4:H$38,2,FALSE)*H808+VLOOKUP(C808,Deflatores!G$4:I$38,3,FALSE)))</f>
        <v/>
      </c>
      <c r="M808" s="60"/>
      <c r="N808" s="60"/>
      <c r="O808" s="61"/>
    </row>
    <row r="809" ht="12.0" customHeight="1">
      <c r="A809" s="69"/>
      <c r="B809" s="70"/>
      <c r="C809" s="70"/>
      <c r="D809" s="71"/>
      <c r="E809" s="71"/>
      <c r="F809" s="72" t="str">
        <f t="shared" si="7"/>
        <v/>
      </c>
      <c r="G809" s="73" t="str">
        <f t="shared" si="8"/>
        <v/>
      </c>
      <c r="H809" s="74" t="str">
        <f t="shared" si="9"/>
        <v/>
      </c>
      <c r="I809" s="75" t="str">
        <f t="shared" si="10"/>
        <v/>
      </c>
      <c r="J809" s="71" t="str">
        <f t="shared" si="11"/>
        <v/>
      </c>
      <c r="K809" s="76" t="str">
        <f t="shared" si="12"/>
        <v/>
      </c>
      <c r="L809" s="76" t="str">
        <f>IF(NOT(ISERROR(VLOOKUP(B809,Deflatores!G$42:H$64,2,FALSE))),VLOOKUP(B809,Deflatores!G$42:H$64,2,FALSE),IF(OR(ISBLANK(C809),ISBLANK(B809)),"",VLOOKUP(C809,Deflatores!G$4:H$38,2,FALSE)*H809+VLOOKUP(C809,Deflatores!G$4:I$38,3,FALSE)))</f>
        <v/>
      </c>
      <c r="M809" s="77"/>
      <c r="N809" s="77"/>
      <c r="O809" s="78"/>
    </row>
    <row r="810" ht="12.0" customHeight="1">
      <c r="N810" s="79"/>
    </row>
    <row r="811" ht="12.0" customHeight="1">
      <c r="N811" s="79"/>
    </row>
    <row r="812" ht="12.0" customHeight="1">
      <c r="N812" s="79"/>
    </row>
    <row r="813" ht="12.0" customHeight="1">
      <c r="N813" s="79"/>
    </row>
    <row r="814" ht="12.0" customHeight="1">
      <c r="N814" s="79"/>
    </row>
    <row r="815" ht="12.0" customHeight="1">
      <c r="N815" s="79"/>
    </row>
    <row r="816" ht="12.0" customHeight="1">
      <c r="N816" s="79"/>
    </row>
    <row r="817" ht="12.0" customHeight="1">
      <c r="N817" s="79"/>
    </row>
    <row r="818" ht="12.0" customHeight="1">
      <c r="N818" s="79"/>
    </row>
    <row r="819" ht="12.0" customHeight="1">
      <c r="N819" s="79"/>
    </row>
    <row r="820" ht="12.0" customHeight="1">
      <c r="N820" s="79"/>
    </row>
    <row r="821" ht="12.0" customHeight="1">
      <c r="N821" s="79"/>
    </row>
    <row r="822" ht="12.0" customHeight="1">
      <c r="N822" s="79"/>
    </row>
    <row r="823" ht="12.0" customHeight="1">
      <c r="N823" s="79"/>
    </row>
    <row r="824" ht="12.0" customHeight="1">
      <c r="N824" s="79"/>
    </row>
    <row r="825" ht="12.0" customHeight="1">
      <c r="N825" s="79"/>
    </row>
    <row r="826" ht="12.0" customHeight="1">
      <c r="N826" s="79"/>
    </row>
    <row r="827" ht="12.0" customHeight="1">
      <c r="N827" s="79"/>
    </row>
    <row r="828" ht="12.0" customHeight="1">
      <c r="N828" s="79"/>
    </row>
    <row r="829" ht="12.0" customHeight="1">
      <c r="N829" s="79"/>
    </row>
    <row r="830" ht="12.0" customHeight="1">
      <c r="N830" s="79"/>
    </row>
    <row r="831" ht="12.0" customHeight="1">
      <c r="N831" s="79"/>
    </row>
    <row r="832" ht="12.0" customHeight="1">
      <c r="N832" s="79"/>
    </row>
    <row r="833" ht="12.0" customHeight="1">
      <c r="N833" s="79"/>
    </row>
    <row r="834" ht="12.0" customHeight="1">
      <c r="N834" s="79"/>
    </row>
    <row r="835" ht="12.0" customHeight="1">
      <c r="N835" s="79"/>
    </row>
    <row r="836" ht="12.0" customHeight="1">
      <c r="N836" s="79"/>
    </row>
    <row r="837" ht="12.0" customHeight="1">
      <c r="N837" s="79"/>
    </row>
    <row r="838" ht="12.0" customHeight="1">
      <c r="N838" s="79"/>
    </row>
    <row r="839" ht="12.0" customHeight="1">
      <c r="N839" s="79"/>
    </row>
    <row r="840" ht="12.0" customHeight="1">
      <c r="N840" s="79"/>
    </row>
    <row r="841" ht="12.0" customHeight="1">
      <c r="N841" s="79"/>
    </row>
    <row r="842" ht="12.0" customHeight="1">
      <c r="N842" s="79"/>
    </row>
    <row r="843" ht="12.0" customHeight="1">
      <c r="N843" s="79"/>
    </row>
    <row r="844" ht="12.0" customHeight="1">
      <c r="N844" s="79"/>
    </row>
    <row r="845" ht="12.0" customHeight="1">
      <c r="N845" s="79"/>
    </row>
    <row r="846" ht="12.0" customHeight="1">
      <c r="N846" s="79"/>
    </row>
    <row r="847" ht="12.0" customHeight="1">
      <c r="N847" s="79"/>
    </row>
    <row r="848" ht="12.0" customHeight="1">
      <c r="N848" s="79"/>
    </row>
    <row r="849" ht="12.0" customHeight="1">
      <c r="N849" s="79"/>
    </row>
    <row r="850" ht="12.0" customHeight="1">
      <c r="N850" s="79"/>
    </row>
    <row r="851" ht="12.0" customHeight="1">
      <c r="N851" s="79"/>
    </row>
    <row r="852" ht="12.0" customHeight="1">
      <c r="N852" s="79"/>
    </row>
    <row r="853" ht="12.0" customHeight="1">
      <c r="N853" s="79"/>
    </row>
    <row r="854" ht="12.0" customHeight="1">
      <c r="N854" s="79"/>
    </row>
    <row r="855" ht="12.0" customHeight="1">
      <c r="N855" s="79"/>
    </row>
    <row r="856" ht="12.0" customHeight="1">
      <c r="N856" s="79"/>
    </row>
    <row r="857" ht="12.0" customHeight="1">
      <c r="N857" s="79"/>
    </row>
    <row r="858" ht="12.0" customHeight="1">
      <c r="N858" s="79"/>
    </row>
    <row r="859" ht="12.0" customHeight="1">
      <c r="N859" s="79"/>
    </row>
    <row r="860" ht="12.0" customHeight="1">
      <c r="N860" s="79"/>
    </row>
    <row r="861" ht="12.0" customHeight="1">
      <c r="N861" s="79"/>
    </row>
    <row r="862" ht="12.0" customHeight="1">
      <c r="N862" s="79"/>
    </row>
    <row r="863" ht="12.0" customHeight="1">
      <c r="N863" s="79"/>
    </row>
    <row r="864" ht="12.0" customHeight="1">
      <c r="N864" s="79"/>
    </row>
    <row r="865" ht="12.0" customHeight="1">
      <c r="N865" s="79"/>
    </row>
    <row r="866" ht="12.0" customHeight="1">
      <c r="N866" s="79"/>
    </row>
    <row r="867" ht="12.0" customHeight="1">
      <c r="N867" s="79"/>
    </row>
    <row r="868" ht="12.0" customHeight="1">
      <c r="N868" s="79"/>
    </row>
    <row r="869" ht="12.0" customHeight="1">
      <c r="N869" s="79"/>
    </row>
    <row r="870" ht="12.0" customHeight="1">
      <c r="N870" s="79"/>
    </row>
    <row r="871" ht="12.0" customHeight="1">
      <c r="N871" s="79"/>
    </row>
    <row r="872" ht="12.0" customHeight="1">
      <c r="N872" s="79"/>
    </row>
    <row r="873" ht="12.0" customHeight="1">
      <c r="N873" s="79"/>
    </row>
    <row r="874" ht="12.0" customHeight="1">
      <c r="N874" s="79"/>
    </row>
    <row r="875" ht="12.0" customHeight="1">
      <c r="N875" s="79"/>
    </row>
    <row r="876" ht="12.0" customHeight="1">
      <c r="N876" s="79"/>
    </row>
    <row r="877" ht="12.0" customHeight="1">
      <c r="N877" s="79"/>
    </row>
    <row r="878" ht="12.0" customHeight="1">
      <c r="N878" s="79"/>
    </row>
    <row r="879" ht="12.0" customHeight="1">
      <c r="N879" s="79"/>
    </row>
    <row r="880" ht="12.0" customHeight="1">
      <c r="N880" s="79"/>
    </row>
    <row r="881" ht="12.0" customHeight="1">
      <c r="N881" s="79"/>
    </row>
    <row r="882" ht="12.0" customHeight="1">
      <c r="N882" s="79"/>
    </row>
    <row r="883" ht="12.0" customHeight="1">
      <c r="N883" s="79"/>
    </row>
    <row r="884" ht="12.0" customHeight="1">
      <c r="N884" s="79"/>
    </row>
    <row r="885" ht="12.0" customHeight="1">
      <c r="N885" s="79"/>
    </row>
    <row r="886" ht="12.0" customHeight="1">
      <c r="N886" s="79"/>
    </row>
    <row r="887" ht="12.0" customHeight="1">
      <c r="N887" s="79"/>
    </row>
    <row r="888" ht="12.0" customHeight="1">
      <c r="N888" s="79"/>
    </row>
    <row r="889" ht="12.0" customHeight="1">
      <c r="N889" s="79"/>
    </row>
    <row r="890" ht="12.0" customHeight="1">
      <c r="N890" s="79"/>
    </row>
    <row r="891" ht="12.0" customHeight="1">
      <c r="N891" s="79"/>
    </row>
    <row r="892" ht="12.0" customHeight="1">
      <c r="N892" s="79"/>
    </row>
    <row r="893" ht="12.0" customHeight="1">
      <c r="N893" s="79"/>
    </row>
    <row r="894" ht="12.0" customHeight="1">
      <c r="N894" s="79"/>
    </row>
    <row r="895" ht="12.0" customHeight="1">
      <c r="N895" s="79"/>
    </row>
    <row r="896" ht="12.0" customHeight="1">
      <c r="N896" s="79"/>
    </row>
    <row r="897" ht="12.0" customHeight="1">
      <c r="N897" s="79"/>
    </row>
    <row r="898" ht="12.0" customHeight="1">
      <c r="N898" s="79"/>
    </row>
    <row r="899" ht="12.0" customHeight="1">
      <c r="N899" s="79"/>
    </row>
    <row r="900" ht="12.0" customHeight="1">
      <c r="N900" s="79"/>
    </row>
    <row r="901" ht="12.0" customHeight="1">
      <c r="N901" s="79"/>
    </row>
    <row r="902" ht="12.0" customHeight="1">
      <c r="N902" s="79"/>
    </row>
    <row r="903" ht="12.0" customHeight="1">
      <c r="N903" s="79"/>
    </row>
    <row r="904" ht="12.0" customHeight="1">
      <c r="N904" s="79"/>
    </row>
    <row r="905" ht="12.0" customHeight="1">
      <c r="N905" s="79"/>
    </row>
    <row r="906" ht="12.0" customHeight="1">
      <c r="N906" s="79"/>
    </row>
    <row r="907" ht="12.0" customHeight="1">
      <c r="N907" s="79"/>
    </row>
    <row r="908" ht="12.0" customHeight="1">
      <c r="N908" s="79"/>
    </row>
    <row r="909" ht="12.0" customHeight="1">
      <c r="N909" s="79"/>
    </row>
    <row r="910" ht="12.0" customHeight="1">
      <c r="N910" s="79"/>
    </row>
    <row r="911" ht="12.0" customHeight="1">
      <c r="N911" s="79"/>
    </row>
    <row r="912" ht="12.0" customHeight="1">
      <c r="N912" s="79"/>
    </row>
    <row r="913" ht="12.0" customHeight="1">
      <c r="N913" s="79"/>
    </row>
    <row r="914" ht="12.0" customHeight="1">
      <c r="N914" s="79"/>
    </row>
    <row r="915" ht="12.0" customHeight="1">
      <c r="N915" s="79"/>
    </row>
    <row r="916" ht="12.0" customHeight="1">
      <c r="N916" s="79"/>
    </row>
    <row r="917" ht="12.0" customHeight="1">
      <c r="N917" s="79"/>
    </row>
    <row r="918" ht="12.0" customHeight="1">
      <c r="N918" s="79"/>
    </row>
    <row r="919" ht="12.0" customHeight="1">
      <c r="N919" s="79"/>
    </row>
    <row r="920" ht="12.0" customHeight="1">
      <c r="N920" s="79"/>
    </row>
    <row r="921" ht="12.0" customHeight="1">
      <c r="N921" s="79"/>
    </row>
    <row r="922" ht="12.0" customHeight="1">
      <c r="N922" s="79"/>
    </row>
    <row r="923" ht="12.0" customHeight="1">
      <c r="N923" s="79"/>
    </row>
    <row r="924" ht="12.0" customHeight="1">
      <c r="N924" s="79"/>
    </row>
    <row r="925" ht="12.0" customHeight="1">
      <c r="N925" s="79"/>
    </row>
    <row r="926" ht="12.0" customHeight="1">
      <c r="N926" s="79"/>
    </row>
    <row r="927" ht="12.0" customHeight="1">
      <c r="N927" s="79"/>
    </row>
    <row r="928" ht="12.0" customHeight="1">
      <c r="N928" s="79"/>
    </row>
    <row r="929" ht="12.0" customHeight="1">
      <c r="N929" s="79"/>
    </row>
    <row r="930" ht="12.0" customHeight="1">
      <c r="N930" s="79"/>
    </row>
    <row r="931" ht="12.0" customHeight="1">
      <c r="N931" s="79"/>
    </row>
    <row r="932" ht="12.0" customHeight="1">
      <c r="N932" s="79"/>
    </row>
    <row r="933" ht="12.0" customHeight="1">
      <c r="N933" s="79"/>
    </row>
    <row r="934" ht="12.0" customHeight="1">
      <c r="N934" s="79"/>
    </row>
    <row r="935" ht="12.0" customHeight="1">
      <c r="N935" s="79"/>
    </row>
    <row r="936" ht="12.0" customHeight="1">
      <c r="N936" s="79"/>
    </row>
    <row r="937" ht="12.0" customHeight="1">
      <c r="N937" s="79"/>
    </row>
    <row r="938" ht="12.0" customHeight="1">
      <c r="N938" s="79"/>
    </row>
    <row r="939" ht="12.0" customHeight="1">
      <c r="N939" s="79"/>
    </row>
    <row r="940" ht="12.0" customHeight="1">
      <c r="N940" s="79"/>
    </row>
    <row r="941" ht="12.0" customHeight="1">
      <c r="N941" s="79"/>
    </row>
    <row r="942" ht="12.0" customHeight="1">
      <c r="N942" s="79"/>
    </row>
    <row r="943" ht="12.0" customHeight="1">
      <c r="N943" s="79"/>
    </row>
    <row r="944" ht="12.0" customHeight="1">
      <c r="N944" s="79"/>
    </row>
    <row r="945" ht="12.0" customHeight="1">
      <c r="N945" s="79"/>
    </row>
    <row r="946" ht="12.0" customHeight="1">
      <c r="N946" s="79"/>
    </row>
    <row r="947" ht="12.0" customHeight="1">
      <c r="N947" s="79"/>
    </row>
    <row r="948" ht="12.0" customHeight="1">
      <c r="N948" s="79"/>
    </row>
    <row r="949" ht="12.0" customHeight="1">
      <c r="N949" s="79"/>
    </row>
    <row r="950" ht="12.0" customHeight="1">
      <c r="N950" s="79"/>
    </row>
    <row r="951" ht="12.0" customHeight="1">
      <c r="N951" s="79"/>
    </row>
    <row r="952" ht="12.0" customHeight="1">
      <c r="N952" s="79"/>
    </row>
    <row r="953" ht="12.0" customHeight="1">
      <c r="N953" s="79"/>
    </row>
    <row r="954" ht="12.0" customHeight="1">
      <c r="N954" s="79"/>
    </row>
    <row r="955" ht="12.0" customHeight="1">
      <c r="N955" s="79"/>
    </row>
    <row r="956" ht="12.0" customHeight="1">
      <c r="N956" s="79"/>
    </row>
    <row r="957" ht="12.0" customHeight="1">
      <c r="N957" s="79"/>
    </row>
    <row r="958" ht="12.0" customHeight="1">
      <c r="N958" s="79"/>
    </row>
    <row r="959" ht="12.0" customHeight="1">
      <c r="N959" s="79"/>
    </row>
    <row r="960" ht="12.0" customHeight="1">
      <c r="N960" s="79"/>
    </row>
    <row r="961" ht="12.0" customHeight="1">
      <c r="N961" s="79"/>
    </row>
    <row r="962" ht="12.0" customHeight="1">
      <c r="N962" s="79"/>
    </row>
    <row r="963" ht="12.0" customHeight="1">
      <c r="N963" s="79"/>
    </row>
    <row r="964" ht="12.0" customHeight="1">
      <c r="N964" s="79"/>
    </row>
    <row r="965" ht="12.0" customHeight="1">
      <c r="N965" s="79"/>
    </row>
    <row r="966" ht="12.0" customHeight="1">
      <c r="N966" s="79"/>
    </row>
    <row r="967" ht="12.0" customHeight="1">
      <c r="N967" s="79"/>
    </row>
    <row r="968" ht="12.0" customHeight="1">
      <c r="N968" s="79"/>
    </row>
    <row r="969" ht="12.0" customHeight="1">
      <c r="N969" s="79"/>
    </row>
    <row r="970" ht="12.0" customHeight="1">
      <c r="N970" s="79"/>
    </row>
    <row r="971" ht="12.0" customHeight="1">
      <c r="N971" s="79"/>
    </row>
    <row r="972" ht="12.0" customHeight="1">
      <c r="N972" s="79"/>
    </row>
    <row r="973" ht="12.0" customHeight="1">
      <c r="N973" s="79"/>
    </row>
    <row r="974" ht="12.0" customHeight="1">
      <c r="N974" s="79"/>
    </row>
    <row r="975" ht="12.0" customHeight="1">
      <c r="N975" s="79"/>
    </row>
    <row r="976" ht="12.0" customHeight="1">
      <c r="N976" s="79"/>
    </row>
    <row r="977" ht="12.0" customHeight="1">
      <c r="N977" s="79"/>
    </row>
    <row r="978" ht="12.0" customHeight="1">
      <c r="N978" s="79"/>
    </row>
    <row r="979" ht="12.0" customHeight="1">
      <c r="N979" s="79"/>
    </row>
    <row r="980" ht="12.0" customHeight="1">
      <c r="N980" s="79"/>
    </row>
    <row r="981" ht="12.0" customHeight="1">
      <c r="N981" s="79"/>
    </row>
    <row r="982" ht="12.0" customHeight="1">
      <c r="N982" s="79"/>
    </row>
    <row r="983" ht="12.0" customHeight="1">
      <c r="N983" s="79"/>
    </row>
    <row r="984" ht="12.0" customHeight="1">
      <c r="N984" s="79"/>
    </row>
    <row r="985" ht="12.0" customHeight="1">
      <c r="N985" s="79"/>
    </row>
    <row r="986" ht="12.0" customHeight="1">
      <c r="N986" s="79"/>
    </row>
    <row r="987" ht="12.0" customHeight="1">
      <c r="N987" s="79"/>
    </row>
    <row r="988" ht="12.0" customHeight="1">
      <c r="N988" s="79"/>
    </row>
    <row r="989" ht="12.0" customHeight="1">
      <c r="N989" s="79"/>
    </row>
    <row r="990" ht="12.0" customHeight="1">
      <c r="N990" s="79"/>
    </row>
    <row r="991" ht="12.0" customHeight="1">
      <c r="N991" s="79"/>
    </row>
    <row r="992" ht="12.0" customHeight="1">
      <c r="N992" s="79"/>
    </row>
    <row r="993" ht="12.0" customHeight="1">
      <c r="N993" s="79"/>
    </row>
    <row r="994" ht="12.0" customHeight="1">
      <c r="N994" s="79"/>
    </row>
    <row r="995" ht="12.0" customHeight="1">
      <c r="N995" s="79"/>
    </row>
    <row r="996" ht="12.0" customHeight="1">
      <c r="N996" s="79"/>
    </row>
    <row r="997" ht="12.0" customHeight="1">
      <c r="N997" s="79"/>
    </row>
    <row r="998" ht="12.0" customHeight="1">
      <c r="N998" s="79"/>
    </row>
    <row r="999" ht="12.0" customHeight="1">
      <c r="N999" s="79"/>
    </row>
    <row r="1000" ht="12.0" customHeight="1">
      <c r="N1000" s="79"/>
    </row>
  </sheetData>
  <mergeCells count="7">
    <mergeCell ref="A1:O3"/>
    <mergeCell ref="B4:J4"/>
    <mergeCell ref="M4:O4"/>
    <mergeCell ref="B5:J5"/>
    <mergeCell ref="M5:O5"/>
    <mergeCell ref="B6:J6"/>
    <mergeCell ref="M6:O6"/>
  </mergeCells>
  <conditionalFormatting sqref="C8:C9 C101:C103 C111:C125 C127:C128 C143 C145 C151 C153:C154 C159:C161 C163 C166:C167 C212:C213 C220 C222 C224:C225 C235:C236 C240 C244 C251:C252 C270:C275 C285:C320 C323:C328 C337:C371 C384:C400 C402:C809">
    <cfRule type="cellIs" dxfId="0" priority="1" stopIfTrue="1" operator="equal">
      <formula>"I"</formula>
    </cfRule>
  </conditionalFormatting>
  <conditionalFormatting sqref="C8:C9 C101:C103 C111:C125 C127:C128 C143 C145 C151 C153:C154 C159:C161 C163 C166:C167 C212:C213 C220 C222 C224:C225 C235:C236 C240 C244 C251:C252 C270:C275 C285:C320 C323:C328 C337:C371 C384:C400 C402:C809">
    <cfRule type="cellIs" dxfId="1" priority="2" stopIfTrue="1" operator="equal">
      <formula>"A"</formula>
    </cfRule>
  </conditionalFormatting>
  <conditionalFormatting sqref="C8:C9 C101:C103 C111:C125 C127:C128 C143 C145 C151 C153:C154 C159:C161 C163 C166:C167 C212:C213 C220 C222 C224:C225 C235:C236 C240 C244 C251:C252 C270:C275 C285:C320 C323:C328 C337:C371 C384:C400 C402:C809">
    <cfRule type="cellIs" dxfId="2" priority="3" stopIfTrue="1" operator="equal">
      <formula>"E"</formula>
    </cfRule>
  </conditionalFormatting>
  <conditionalFormatting sqref="C329 C331:C336">
    <cfRule type="cellIs" dxfId="0" priority="4" stopIfTrue="1" operator="equal">
      <formula>"I"</formula>
    </cfRule>
  </conditionalFormatting>
  <conditionalFormatting sqref="C329 C331:C336">
    <cfRule type="cellIs" dxfId="1" priority="5" stopIfTrue="1" operator="equal">
      <formula>"A"</formula>
    </cfRule>
  </conditionalFormatting>
  <conditionalFormatting sqref="C329 C331:C336">
    <cfRule type="cellIs" dxfId="2" priority="6" stopIfTrue="1" operator="equal">
      <formula>"E"</formula>
    </cfRule>
  </conditionalFormatting>
  <conditionalFormatting sqref="C321:C322">
    <cfRule type="cellIs" dxfId="0" priority="7" stopIfTrue="1" operator="equal">
      <formula>"I"</formula>
    </cfRule>
  </conditionalFormatting>
  <conditionalFormatting sqref="C321:C322">
    <cfRule type="cellIs" dxfId="1" priority="8" stopIfTrue="1" operator="equal">
      <formula>"A"</formula>
    </cfRule>
  </conditionalFormatting>
  <conditionalFormatting sqref="C321:C322">
    <cfRule type="cellIs" dxfId="2" priority="9" stopIfTrue="1" operator="equal">
      <formula>"E"</formula>
    </cfRule>
  </conditionalFormatting>
  <conditionalFormatting sqref="C126">
    <cfRule type="cellIs" dxfId="0" priority="10" stopIfTrue="1" operator="equal">
      <formula>"I"</formula>
    </cfRule>
  </conditionalFormatting>
  <conditionalFormatting sqref="C126">
    <cfRule type="cellIs" dxfId="1" priority="11" stopIfTrue="1" operator="equal">
      <formula>"A"</formula>
    </cfRule>
  </conditionalFormatting>
  <conditionalFormatting sqref="C126">
    <cfRule type="cellIs" dxfId="2" priority="12" stopIfTrue="1" operator="equal">
      <formula>"E"</formula>
    </cfRule>
  </conditionalFormatting>
  <conditionalFormatting sqref="C375">
    <cfRule type="cellIs" dxfId="0" priority="13" stopIfTrue="1" operator="equal">
      <formula>"I"</formula>
    </cfRule>
  </conditionalFormatting>
  <conditionalFormatting sqref="C375">
    <cfRule type="cellIs" dxfId="1" priority="14" stopIfTrue="1" operator="equal">
      <formula>"A"</formula>
    </cfRule>
  </conditionalFormatting>
  <conditionalFormatting sqref="C375">
    <cfRule type="cellIs" dxfId="2" priority="15" stopIfTrue="1" operator="equal">
      <formula>"E"</formula>
    </cfRule>
  </conditionalFormatting>
  <conditionalFormatting sqref="C373:C374 C377:C383">
    <cfRule type="cellIs" dxfId="0" priority="16" stopIfTrue="1" operator="equal">
      <formula>"I"</formula>
    </cfRule>
  </conditionalFormatting>
  <conditionalFormatting sqref="C373:C374 C377:C383">
    <cfRule type="cellIs" dxfId="1" priority="17" stopIfTrue="1" operator="equal">
      <formula>"A"</formula>
    </cfRule>
  </conditionalFormatting>
  <conditionalFormatting sqref="C373:C374 C377:C383">
    <cfRule type="cellIs" dxfId="2" priority="18" stopIfTrue="1" operator="equal">
      <formula>"E"</formula>
    </cfRule>
  </conditionalFormatting>
  <conditionalFormatting sqref="C376">
    <cfRule type="cellIs" dxfId="0" priority="19" stopIfTrue="1" operator="equal">
      <formula>"I"</formula>
    </cfRule>
  </conditionalFormatting>
  <conditionalFormatting sqref="C376">
    <cfRule type="cellIs" dxfId="1" priority="20" stopIfTrue="1" operator="equal">
      <formula>"A"</formula>
    </cfRule>
  </conditionalFormatting>
  <conditionalFormatting sqref="C376">
    <cfRule type="cellIs" dxfId="2" priority="21" stopIfTrue="1" operator="equal">
      <formula>"E"</formula>
    </cfRule>
  </conditionalFormatting>
  <conditionalFormatting sqref="C284">
    <cfRule type="cellIs" dxfId="0" priority="22" stopIfTrue="1" operator="equal">
      <formula>"I"</formula>
    </cfRule>
  </conditionalFormatting>
  <conditionalFormatting sqref="C284">
    <cfRule type="cellIs" dxfId="1" priority="23" stopIfTrue="1" operator="equal">
      <formula>"A"</formula>
    </cfRule>
  </conditionalFormatting>
  <conditionalFormatting sqref="C284">
    <cfRule type="cellIs" dxfId="2" priority="24" stopIfTrue="1" operator="equal">
      <formula>"E"</formula>
    </cfRule>
  </conditionalFormatting>
  <conditionalFormatting sqref="C330">
    <cfRule type="cellIs" dxfId="0" priority="25" stopIfTrue="1" operator="equal">
      <formula>"I"</formula>
    </cfRule>
  </conditionalFormatting>
  <conditionalFormatting sqref="C330">
    <cfRule type="cellIs" dxfId="1" priority="26" stopIfTrue="1" operator="equal">
      <formula>"A"</formula>
    </cfRule>
  </conditionalFormatting>
  <conditionalFormatting sqref="C330">
    <cfRule type="cellIs" dxfId="2" priority="27" stopIfTrue="1" operator="equal">
      <formula>"E"</formula>
    </cfRule>
  </conditionalFormatting>
  <conditionalFormatting sqref="C171 C173 C175 C177:C178 C181 C188 C193 C196">
    <cfRule type="cellIs" dxfId="0" priority="28" stopIfTrue="1" operator="equal">
      <formula>"I"</formula>
    </cfRule>
  </conditionalFormatting>
  <conditionalFormatting sqref="C171 C173 C175 C177:C178 C181 C188 C193 C196">
    <cfRule type="cellIs" dxfId="1" priority="29" stopIfTrue="1" operator="equal">
      <formula>"A"</formula>
    </cfRule>
  </conditionalFormatting>
  <conditionalFormatting sqref="C171 C173 C175 C177:C178 C181 C188 C193 C196">
    <cfRule type="cellIs" dxfId="2" priority="30" stopIfTrue="1" operator="equal">
      <formula>"E"</formula>
    </cfRule>
  </conditionalFormatting>
  <conditionalFormatting sqref="C201:C204 C208:C209">
    <cfRule type="cellIs" dxfId="0" priority="31" stopIfTrue="1" operator="equal">
      <formula>"I"</formula>
    </cfRule>
  </conditionalFormatting>
  <conditionalFormatting sqref="C201:C204 C208:C209">
    <cfRule type="cellIs" dxfId="1" priority="32" stopIfTrue="1" operator="equal">
      <formula>"A"</formula>
    </cfRule>
  </conditionalFormatting>
  <conditionalFormatting sqref="C201:C204 C208:C209">
    <cfRule type="cellIs" dxfId="2" priority="33" stopIfTrue="1" operator="equal">
      <formula>"E"</formula>
    </cfRule>
  </conditionalFormatting>
  <conditionalFormatting sqref="C164">
    <cfRule type="cellIs" dxfId="0" priority="34" stopIfTrue="1" operator="equal">
      <formula>"I"</formula>
    </cfRule>
  </conditionalFormatting>
  <conditionalFormatting sqref="C164">
    <cfRule type="cellIs" dxfId="1" priority="35" stopIfTrue="1" operator="equal">
      <formula>"A"</formula>
    </cfRule>
  </conditionalFormatting>
  <conditionalFormatting sqref="C164">
    <cfRule type="cellIs" dxfId="2" priority="36" stopIfTrue="1" operator="equal">
      <formula>"E"</formula>
    </cfRule>
  </conditionalFormatting>
  <conditionalFormatting sqref="C238">
    <cfRule type="cellIs" dxfId="0" priority="37" stopIfTrue="1" operator="equal">
      <formula>"I"</formula>
    </cfRule>
  </conditionalFormatting>
  <conditionalFormatting sqref="C238">
    <cfRule type="cellIs" dxfId="1" priority="38" stopIfTrue="1" operator="equal">
      <formula>"A"</formula>
    </cfRule>
  </conditionalFormatting>
  <conditionalFormatting sqref="C238">
    <cfRule type="cellIs" dxfId="2" priority="39" stopIfTrue="1" operator="equal">
      <formula>"E"</formula>
    </cfRule>
  </conditionalFormatting>
  <conditionalFormatting sqref="C237">
    <cfRule type="cellIs" dxfId="0" priority="40" stopIfTrue="1" operator="equal">
      <formula>"I"</formula>
    </cfRule>
  </conditionalFormatting>
  <conditionalFormatting sqref="C237">
    <cfRule type="cellIs" dxfId="1" priority="41" stopIfTrue="1" operator="equal">
      <formula>"A"</formula>
    </cfRule>
  </conditionalFormatting>
  <conditionalFormatting sqref="C237">
    <cfRule type="cellIs" dxfId="2" priority="42" stopIfTrue="1" operator="equal">
      <formula>"E"</formula>
    </cfRule>
  </conditionalFormatting>
  <conditionalFormatting sqref="C267">
    <cfRule type="cellIs" dxfId="0" priority="43" stopIfTrue="1" operator="equal">
      <formula>"I"</formula>
    </cfRule>
  </conditionalFormatting>
  <conditionalFormatting sqref="C267">
    <cfRule type="cellIs" dxfId="1" priority="44" stopIfTrue="1" operator="equal">
      <formula>"A"</formula>
    </cfRule>
  </conditionalFormatting>
  <conditionalFormatting sqref="C267">
    <cfRule type="cellIs" dxfId="2" priority="45" stopIfTrue="1" operator="equal">
      <formula>"E"</formula>
    </cfRule>
  </conditionalFormatting>
  <conditionalFormatting sqref="C279:C283">
    <cfRule type="cellIs" dxfId="0" priority="46" stopIfTrue="1" operator="equal">
      <formula>"I"</formula>
    </cfRule>
  </conditionalFormatting>
  <conditionalFormatting sqref="C279:C283">
    <cfRule type="cellIs" dxfId="1" priority="47" stopIfTrue="1" operator="equal">
      <formula>"A"</formula>
    </cfRule>
  </conditionalFormatting>
  <conditionalFormatting sqref="C279:C283">
    <cfRule type="cellIs" dxfId="2" priority="48" stopIfTrue="1" operator="equal">
      <formula>"E"</formula>
    </cfRule>
  </conditionalFormatting>
  <conditionalFormatting sqref="C401">
    <cfRule type="cellIs" dxfId="0" priority="49" stopIfTrue="1" operator="equal">
      <formula>"I"</formula>
    </cfRule>
  </conditionalFormatting>
  <conditionalFormatting sqref="C401">
    <cfRule type="cellIs" dxfId="1" priority="50" stopIfTrue="1" operator="equal">
      <formula>"A"</formula>
    </cfRule>
  </conditionalFormatting>
  <conditionalFormatting sqref="C401">
    <cfRule type="cellIs" dxfId="2" priority="51" stopIfTrue="1" operator="equal">
      <formula>"E"</formula>
    </cfRule>
  </conditionalFormatting>
  <conditionalFormatting sqref="C372">
    <cfRule type="cellIs" dxfId="0" priority="52" stopIfTrue="1" operator="equal">
      <formula>"I"</formula>
    </cfRule>
  </conditionalFormatting>
  <conditionalFormatting sqref="C372">
    <cfRule type="cellIs" dxfId="1" priority="53" stopIfTrue="1" operator="equal">
      <formula>"A"</formula>
    </cfRule>
  </conditionalFormatting>
  <conditionalFormatting sqref="C372">
    <cfRule type="cellIs" dxfId="2" priority="54" stopIfTrue="1" operator="equal">
      <formula>"E"</formula>
    </cfRule>
  </conditionalFormatting>
  <conditionalFormatting sqref="C142">
    <cfRule type="cellIs" dxfId="0" priority="55" stopIfTrue="1" operator="equal">
      <formula>"I"</formula>
    </cfRule>
  </conditionalFormatting>
  <conditionalFormatting sqref="C142">
    <cfRule type="cellIs" dxfId="1" priority="56" stopIfTrue="1" operator="equal">
      <formula>"A"</formula>
    </cfRule>
  </conditionalFormatting>
  <conditionalFormatting sqref="C142">
    <cfRule type="cellIs" dxfId="2" priority="57" stopIfTrue="1" operator="equal">
      <formula>"E"</formula>
    </cfRule>
  </conditionalFormatting>
  <conditionalFormatting sqref="C122">
    <cfRule type="cellIs" dxfId="0" priority="58" stopIfTrue="1" operator="equal">
      <formula>"I"</formula>
    </cfRule>
  </conditionalFormatting>
  <conditionalFormatting sqref="C122">
    <cfRule type="cellIs" dxfId="1" priority="59" stopIfTrue="1" operator="equal">
      <formula>"A"</formula>
    </cfRule>
  </conditionalFormatting>
  <conditionalFormatting sqref="C122">
    <cfRule type="cellIs" dxfId="2" priority="60" stopIfTrue="1" operator="equal">
      <formula>"E"</formula>
    </cfRule>
  </conditionalFormatting>
  <conditionalFormatting sqref="C124">
    <cfRule type="cellIs" dxfId="0" priority="61" stopIfTrue="1" operator="equal">
      <formula>"I"</formula>
    </cfRule>
  </conditionalFormatting>
  <conditionalFormatting sqref="C124">
    <cfRule type="cellIs" dxfId="1" priority="62" stopIfTrue="1" operator="equal">
      <formula>"A"</formula>
    </cfRule>
  </conditionalFormatting>
  <conditionalFormatting sqref="C124">
    <cfRule type="cellIs" dxfId="2" priority="63" stopIfTrue="1" operator="equal">
      <formula>"E"</formula>
    </cfRule>
  </conditionalFormatting>
  <conditionalFormatting sqref="C120">
    <cfRule type="cellIs" dxfId="0" priority="64" stopIfTrue="1" operator="equal">
      <formula>"I"</formula>
    </cfRule>
  </conditionalFormatting>
  <conditionalFormatting sqref="C120">
    <cfRule type="cellIs" dxfId="1" priority="65" stopIfTrue="1" operator="equal">
      <formula>"A"</formula>
    </cfRule>
  </conditionalFormatting>
  <conditionalFormatting sqref="C120">
    <cfRule type="cellIs" dxfId="2" priority="66" stopIfTrue="1" operator="equal">
      <formula>"E"</formula>
    </cfRule>
  </conditionalFormatting>
  <conditionalFormatting sqref="C129">
    <cfRule type="cellIs" dxfId="0" priority="67" stopIfTrue="1" operator="equal">
      <formula>"I"</formula>
    </cfRule>
  </conditionalFormatting>
  <conditionalFormatting sqref="C129">
    <cfRule type="cellIs" dxfId="1" priority="68" stopIfTrue="1" operator="equal">
      <formula>"A"</formula>
    </cfRule>
  </conditionalFormatting>
  <conditionalFormatting sqref="C129">
    <cfRule type="cellIs" dxfId="2" priority="69" stopIfTrue="1" operator="equal">
      <formula>"E"</formula>
    </cfRule>
  </conditionalFormatting>
  <conditionalFormatting sqref="C130:C132">
    <cfRule type="cellIs" dxfId="0" priority="70" stopIfTrue="1" operator="equal">
      <formula>"I"</formula>
    </cfRule>
  </conditionalFormatting>
  <conditionalFormatting sqref="C130:C132">
    <cfRule type="cellIs" dxfId="1" priority="71" stopIfTrue="1" operator="equal">
      <formula>"A"</formula>
    </cfRule>
  </conditionalFormatting>
  <conditionalFormatting sqref="C130:C132">
    <cfRule type="cellIs" dxfId="2" priority="72" stopIfTrue="1" operator="equal">
      <formula>"E"</formula>
    </cfRule>
  </conditionalFormatting>
  <conditionalFormatting sqref="C135">
    <cfRule type="cellIs" dxfId="0" priority="73" stopIfTrue="1" operator="equal">
      <formula>"I"</formula>
    </cfRule>
  </conditionalFormatting>
  <conditionalFormatting sqref="C135">
    <cfRule type="cellIs" dxfId="1" priority="74" stopIfTrue="1" operator="equal">
      <formula>"A"</formula>
    </cfRule>
  </conditionalFormatting>
  <conditionalFormatting sqref="C135">
    <cfRule type="cellIs" dxfId="2" priority="75" stopIfTrue="1" operator="equal">
      <formula>"E"</formula>
    </cfRule>
  </conditionalFormatting>
  <conditionalFormatting sqref="C134">
    <cfRule type="cellIs" dxfId="0" priority="76" stopIfTrue="1" operator="equal">
      <formula>"I"</formula>
    </cfRule>
  </conditionalFormatting>
  <conditionalFormatting sqref="C134">
    <cfRule type="cellIs" dxfId="1" priority="77" stopIfTrue="1" operator="equal">
      <formula>"A"</formula>
    </cfRule>
  </conditionalFormatting>
  <conditionalFormatting sqref="C134">
    <cfRule type="cellIs" dxfId="2" priority="78" stopIfTrue="1" operator="equal">
      <formula>"E"</formula>
    </cfRule>
  </conditionalFormatting>
  <conditionalFormatting sqref="C140">
    <cfRule type="cellIs" dxfId="0" priority="79" stopIfTrue="1" operator="equal">
      <formula>"I"</formula>
    </cfRule>
  </conditionalFormatting>
  <conditionalFormatting sqref="C140">
    <cfRule type="cellIs" dxfId="1" priority="80" stopIfTrue="1" operator="equal">
      <formula>"A"</formula>
    </cfRule>
  </conditionalFormatting>
  <conditionalFormatting sqref="C140">
    <cfRule type="cellIs" dxfId="2" priority="81" stopIfTrue="1" operator="equal">
      <formula>"E"</formula>
    </cfRule>
  </conditionalFormatting>
  <conditionalFormatting sqref="C136">
    <cfRule type="cellIs" dxfId="0" priority="82" stopIfTrue="1" operator="equal">
      <formula>"I"</formula>
    </cfRule>
  </conditionalFormatting>
  <conditionalFormatting sqref="C136">
    <cfRule type="cellIs" dxfId="1" priority="83" stopIfTrue="1" operator="equal">
      <formula>"A"</formula>
    </cfRule>
  </conditionalFormatting>
  <conditionalFormatting sqref="C136">
    <cfRule type="cellIs" dxfId="2" priority="84" stopIfTrue="1" operator="equal">
      <formula>"E"</formula>
    </cfRule>
  </conditionalFormatting>
  <conditionalFormatting sqref="C137">
    <cfRule type="cellIs" dxfId="0" priority="85" stopIfTrue="1" operator="equal">
      <formula>"I"</formula>
    </cfRule>
  </conditionalFormatting>
  <conditionalFormatting sqref="C137">
    <cfRule type="cellIs" dxfId="1" priority="86" stopIfTrue="1" operator="equal">
      <formula>"A"</formula>
    </cfRule>
  </conditionalFormatting>
  <conditionalFormatting sqref="C137">
    <cfRule type="cellIs" dxfId="2" priority="87" stopIfTrue="1" operator="equal">
      <formula>"E"</formula>
    </cfRule>
  </conditionalFormatting>
  <conditionalFormatting sqref="C138">
    <cfRule type="cellIs" dxfId="0" priority="88" stopIfTrue="1" operator="equal">
      <formula>"I"</formula>
    </cfRule>
  </conditionalFormatting>
  <conditionalFormatting sqref="C138">
    <cfRule type="cellIs" dxfId="1" priority="89" stopIfTrue="1" operator="equal">
      <formula>"A"</formula>
    </cfRule>
  </conditionalFormatting>
  <conditionalFormatting sqref="C138">
    <cfRule type="cellIs" dxfId="2" priority="90" stopIfTrue="1" operator="equal">
      <formula>"E"</formula>
    </cfRule>
  </conditionalFormatting>
  <conditionalFormatting sqref="C147">
    <cfRule type="cellIs" dxfId="0" priority="91" stopIfTrue="1" operator="equal">
      <formula>"I"</formula>
    </cfRule>
  </conditionalFormatting>
  <conditionalFormatting sqref="C147">
    <cfRule type="cellIs" dxfId="1" priority="92" stopIfTrue="1" operator="equal">
      <formula>"A"</formula>
    </cfRule>
  </conditionalFormatting>
  <conditionalFormatting sqref="C147">
    <cfRule type="cellIs" dxfId="2" priority="93" stopIfTrue="1" operator="equal">
      <formula>"E"</formula>
    </cfRule>
  </conditionalFormatting>
  <conditionalFormatting sqref="C148">
    <cfRule type="cellIs" dxfId="0" priority="94" stopIfTrue="1" operator="equal">
      <formula>"I"</formula>
    </cfRule>
  </conditionalFormatting>
  <conditionalFormatting sqref="C148">
    <cfRule type="cellIs" dxfId="1" priority="95" stopIfTrue="1" operator="equal">
      <formula>"A"</formula>
    </cfRule>
  </conditionalFormatting>
  <conditionalFormatting sqref="C148">
    <cfRule type="cellIs" dxfId="2" priority="96" stopIfTrue="1" operator="equal">
      <formula>"E"</formula>
    </cfRule>
  </conditionalFormatting>
  <conditionalFormatting sqref="C149">
    <cfRule type="cellIs" dxfId="0" priority="97" stopIfTrue="1" operator="equal">
      <formula>"I"</formula>
    </cfRule>
  </conditionalFormatting>
  <conditionalFormatting sqref="C149">
    <cfRule type="cellIs" dxfId="1" priority="98" stopIfTrue="1" operator="equal">
      <formula>"A"</formula>
    </cfRule>
  </conditionalFormatting>
  <conditionalFormatting sqref="C149">
    <cfRule type="cellIs" dxfId="2" priority="99" stopIfTrue="1" operator="equal">
      <formula>"E"</formula>
    </cfRule>
  </conditionalFormatting>
  <conditionalFormatting sqref="C150">
    <cfRule type="cellIs" dxfId="0" priority="100" stopIfTrue="1" operator="equal">
      <formula>"I"</formula>
    </cfRule>
  </conditionalFormatting>
  <conditionalFormatting sqref="C150">
    <cfRule type="cellIs" dxfId="1" priority="101" stopIfTrue="1" operator="equal">
      <formula>"A"</formula>
    </cfRule>
  </conditionalFormatting>
  <conditionalFormatting sqref="C150">
    <cfRule type="cellIs" dxfId="2" priority="102" stopIfTrue="1" operator="equal">
      <formula>"E"</formula>
    </cfRule>
  </conditionalFormatting>
  <conditionalFormatting sqref="C141">
    <cfRule type="cellIs" dxfId="0" priority="103" stopIfTrue="1" operator="equal">
      <formula>"I"</formula>
    </cfRule>
  </conditionalFormatting>
  <conditionalFormatting sqref="C141">
    <cfRule type="cellIs" dxfId="1" priority="104" stopIfTrue="1" operator="equal">
      <formula>"A"</formula>
    </cfRule>
  </conditionalFormatting>
  <conditionalFormatting sqref="C141">
    <cfRule type="cellIs" dxfId="2" priority="105" stopIfTrue="1" operator="equal">
      <formula>"E"</formula>
    </cfRule>
  </conditionalFormatting>
  <conditionalFormatting sqref="C146">
    <cfRule type="cellIs" dxfId="0" priority="106" stopIfTrue="1" operator="equal">
      <formula>"I"</formula>
    </cfRule>
  </conditionalFormatting>
  <conditionalFormatting sqref="C146">
    <cfRule type="cellIs" dxfId="1" priority="107" stopIfTrue="1" operator="equal">
      <formula>"A"</formula>
    </cfRule>
  </conditionalFormatting>
  <conditionalFormatting sqref="C146">
    <cfRule type="cellIs" dxfId="2" priority="108" stopIfTrue="1" operator="equal">
      <formula>"E"</formula>
    </cfRule>
  </conditionalFormatting>
  <conditionalFormatting sqref="C152">
    <cfRule type="cellIs" dxfId="0" priority="109" stopIfTrue="1" operator="equal">
      <formula>"I"</formula>
    </cfRule>
  </conditionalFormatting>
  <conditionalFormatting sqref="C152">
    <cfRule type="cellIs" dxfId="1" priority="110" stopIfTrue="1" operator="equal">
      <formula>"A"</formula>
    </cfRule>
  </conditionalFormatting>
  <conditionalFormatting sqref="C152">
    <cfRule type="cellIs" dxfId="2" priority="111" stopIfTrue="1" operator="equal">
      <formula>"E"</formula>
    </cfRule>
  </conditionalFormatting>
  <conditionalFormatting sqref="C155">
    <cfRule type="cellIs" dxfId="0" priority="112" stopIfTrue="1" operator="equal">
      <formula>"I"</formula>
    </cfRule>
  </conditionalFormatting>
  <conditionalFormatting sqref="C155">
    <cfRule type="cellIs" dxfId="1" priority="113" stopIfTrue="1" operator="equal">
      <formula>"A"</formula>
    </cfRule>
  </conditionalFormatting>
  <conditionalFormatting sqref="C155">
    <cfRule type="cellIs" dxfId="2" priority="114" stopIfTrue="1" operator="equal">
      <formula>"E"</formula>
    </cfRule>
  </conditionalFormatting>
  <conditionalFormatting sqref="C157">
    <cfRule type="cellIs" dxfId="0" priority="115" stopIfTrue="1" operator="equal">
      <formula>"I"</formula>
    </cfRule>
  </conditionalFormatting>
  <conditionalFormatting sqref="C157">
    <cfRule type="cellIs" dxfId="1" priority="116" stopIfTrue="1" operator="equal">
      <formula>"A"</formula>
    </cfRule>
  </conditionalFormatting>
  <conditionalFormatting sqref="C157">
    <cfRule type="cellIs" dxfId="2" priority="117" stopIfTrue="1" operator="equal">
      <formula>"E"</formula>
    </cfRule>
  </conditionalFormatting>
  <conditionalFormatting sqref="C156">
    <cfRule type="cellIs" dxfId="0" priority="118" stopIfTrue="1" operator="equal">
      <formula>"I"</formula>
    </cfRule>
  </conditionalFormatting>
  <conditionalFormatting sqref="C156">
    <cfRule type="cellIs" dxfId="1" priority="119" stopIfTrue="1" operator="equal">
      <formula>"A"</formula>
    </cfRule>
  </conditionalFormatting>
  <conditionalFormatting sqref="C156">
    <cfRule type="cellIs" dxfId="2" priority="120" stopIfTrue="1" operator="equal">
      <formula>"E"</formula>
    </cfRule>
  </conditionalFormatting>
  <conditionalFormatting sqref="C158">
    <cfRule type="cellIs" dxfId="0" priority="121" stopIfTrue="1" operator="equal">
      <formula>"I"</formula>
    </cfRule>
  </conditionalFormatting>
  <conditionalFormatting sqref="C158">
    <cfRule type="cellIs" dxfId="1" priority="122" stopIfTrue="1" operator="equal">
      <formula>"A"</formula>
    </cfRule>
  </conditionalFormatting>
  <conditionalFormatting sqref="C158">
    <cfRule type="cellIs" dxfId="2" priority="123" stopIfTrue="1" operator="equal">
      <formula>"E"</formula>
    </cfRule>
  </conditionalFormatting>
  <conditionalFormatting sqref="C162">
    <cfRule type="cellIs" dxfId="0" priority="124" stopIfTrue="1" operator="equal">
      <formula>"I"</formula>
    </cfRule>
  </conditionalFormatting>
  <conditionalFormatting sqref="C162">
    <cfRule type="cellIs" dxfId="1" priority="125" stopIfTrue="1" operator="equal">
      <formula>"A"</formula>
    </cfRule>
  </conditionalFormatting>
  <conditionalFormatting sqref="C162">
    <cfRule type="cellIs" dxfId="2" priority="126" stopIfTrue="1" operator="equal">
      <formula>"E"</formula>
    </cfRule>
  </conditionalFormatting>
  <conditionalFormatting sqref="C169">
    <cfRule type="cellIs" dxfId="0" priority="127" stopIfTrue="1" operator="equal">
      <formula>"I"</formula>
    </cfRule>
  </conditionalFormatting>
  <conditionalFormatting sqref="C169">
    <cfRule type="cellIs" dxfId="1" priority="128" stopIfTrue="1" operator="equal">
      <formula>"A"</formula>
    </cfRule>
  </conditionalFormatting>
  <conditionalFormatting sqref="C169">
    <cfRule type="cellIs" dxfId="2" priority="129" stopIfTrue="1" operator="equal">
      <formula>"E"</formula>
    </cfRule>
  </conditionalFormatting>
  <conditionalFormatting sqref="C170">
    <cfRule type="cellIs" dxfId="0" priority="130" stopIfTrue="1" operator="equal">
      <formula>"I"</formula>
    </cfRule>
  </conditionalFormatting>
  <conditionalFormatting sqref="C170">
    <cfRule type="cellIs" dxfId="1" priority="131" stopIfTrue="1" operator="equal">
      <formula>"A"</formula>
    </cfRule>
  </conditionalFormatting>
  <conditionalFormatting sqref="C170">
    <cfRule type="cellIs" dxfId="2" priority="132" stopIfTrue="1" operator="equal">
      <formula>"E"</formula>
    </cfRule>
  </conditionalFormatting>
  <conditionalFormatting sqref="C172">
    <cfRule type="cellIs" dxfId="0" priority="133" stopIfTrue="1" operator="equal">
      <formula>"I"</formula>
    </cfRule>
  </conditionalFormatting>
  <conditionalFormatting sqref="C172">
    <cfRule type="cellIs" dxfId="1" priority="134" stopIfTrue="1" operator="equal">
      <formula>"A"</formula>
    </cfRule>
  </conditionalFormatting>
  <conditionalFormatting sqref="C172">
    <cfRule type="cellIs" dxfId="2" priority="135" stopIfTrue="1" operator="equal">
      <formula>"E"</formula>
    </cfRule>
  </conditionalFormatting>
  <conditionalFormatting sqref="C174">
    <cfRule type="cellIs" dxfId="0" priority="136" stopIfTrue="1" operator="equal">
      <formula>"I"</formula>
    </cfRule>
  </conditionalFormatting>
  <conditionalFormatting sqref="C174">
    <cfRule type="cellIs" dxfId="1" priority="137" stopIfTrue="1" operator="equal">
      <formula>"A"</formula>
    </cfRule>
  </conditionalFormatting>
  <conditionalFormatting sqref="C174">
    <cfRule type="cellIs" dxfId="2" priority="138" stopIfTrue="1" operator="equal">
      <formula>"E"</formula>
    </cfRule>
  </conditionalFormatting>
  <conditionalFormatting sqref="C179">
    <cfRule type="cellIs" dxfId="0" priority="139" stopIfTrue="1" operator="equal">
      <formula>"I"</formula>
    </cfRule>
  </conditionalFormatting>
  <conditionalFormatting sqref="C179">
    <cfRule type="cellIs" dxfId="1" priority="140" stopIfTrue="1" operator="equal">
      <formula>"A"</formula>
    </cfRule>
  </conditionalFormatting>
  <conditionalFormatting sqref="C179">
    <cfRule type="cellIs" dxfId="2" priority="141" stopIfTrue="1" operator="equal">
      <formula>"E"</formula>
    </cfRule>
  </conditionalFormatting>
  <conditionalFormatting sqref="C184">
    <cfRule type="cellIs" dxfId="0" priority="142" stopIfTrue="1" operator="equal">
      <formula>"I"</formula>
    </cfRule>
  </conditionalFormatting>
  <conditionalFormatting sqref="C184">
    <cfRule type="cellIs" dxfId="1" priority="143" stopIfTrue="1" operator="equal">
      <formula>"A"</formula>
    </cfRule>
  </conditionalFormatting>
  <conditionalFormatting sqref="C184">
    <cfRule type="cellIs" dxfId="2" priority="144" stopIfTrue="1" operator="equal">
      <formula>"E"</formula>
    </cfRule>
  </conditionalFormatting>
  <conditionalFormatting sqref="C182">
    <cfRule type="cellIs" dxfId="0" priority="145" stopIfTrue="1" operator="equal">
      <formula>"I"</formula>
    </cfRule>
  </conditionalFormatting>
  <conditionalFormatting sqref="C182">
    <cfRule type="cellIs" dxfId="1" priority="146" stopIfTrue="1" operator="equal">
      <formula>"A"</formula>
    </cfRule>
  </conditionalFormatting>
  <conditionalFormatting sqref="C182">
    <cfRule type="cellIs" dxfId="2" priority="147" stopIfTrue="1" operator="equal">
      <formula>"E"</formula>
    </cfRule>
  </conditionalFormatting>
  <conditionalFormatting sqref="C183">
    <cfRule type="cellIs" dxfId="0" priority="148" stopIfTrue="1" operator="equal">
      <formula>"I"</formula>
    </cfRule>
  </conditionalFormatting>
  <conditionalFormatting sqref="C183">
    <cfRule type="cellIs" dxfId="1" priority="149" stopIfTrue="1" operator="equal">
      <formula>"A"</formula>
    </cfRule>
  </conditionalFormatting>
  <conditionalFormatting sqref="C183">
    <cfRule type="cellIs" dxfId="2" priority="150" stopIfTrue="1" operator="equal">
      <formula>"E"</formula>
    </cfRule>
  </conditionalFormatting>
  <conditionalFormatting sqref="C185">
    <cfRule type="cellIs" dxfId="0" priority="151" stopIfTrue="1" operator="equal">
      <formula>"I"</formula>
    </cfRule>
  </conditionalFormatting>
  <conditionalFormatting sqref="C185">
    <cfRule type="cellIs" dxfId="1" priority="152" stopIfTrue="1" operator="equal">
      <formula>"A"</formula>
    </cfRule>
  </conditionalFormatting>
  <conditionalFormatting sqref="C185">
    <cfRule type="cellIs" dxfId="2" priority="153" stopIfTrue="1" operator="equal">
      <formula>"E"</formula>
    </cfRule>
  </conditionalFormatting>
  <conditionalFormatting sqref="C189">
    <cfRule type="cellIs" dxfId="0" priority="154" stopIfTrue="1" operator="equal">
      <formula>"I"</formula>
    </cfRule>
  </conditionalFormatting>
  <conditionalFormatting sqref="C189">
    <cfRule type="cellIs" dxfId="1" priority="155" stopIfTrue="1" operator="equal">
      <formula>"A"</formula>
    </cfRule>
  </conditionalFormatting>
  <conditionalFormatting sqref="C189">
    <cfRule type="cellIs" dxfId="2" priority="156" stopIfTrue="1" operator="equal">
      <formula>"E"</formula>
    </cfRule>
  </conditionalFormatting>
  <conditionalFormatting sqref="C190">
    <cfRule type="cellIs" dxfId="0" priority="157" stopIfTrue="1" operator="equal">
      <formula>"I"</formula>
    </cfRule>
  </conditionalFormatting>
  <conditionalFormatting sqref="C190">
    <cfRule type="cellIs" dxfId="1" priority="158" stopIfTrue="1" operator="equal">
      <formula>"A"</formula>
    </cfRule>
  </conditionalFormatting>
  <conditionalFormatting sqref="C190">
    <cfRule type="cellIs" dxfId="2" priority="159" stopIfTrue="1" operator="equal">
      <formula>"E"</formula>
    </cfRule>
  </conditionalFormatting>
  <conditionalFormatting sqref="C191">
    <cfRule type="cellIs" dxfId="0" priority="160" stopIfTrue="1" operator="equal">
      <formula>"I"</formula>
    </cfRule>
  </conditionalFormatting>
  <conditionalFormatting sqref="C191">
    <cfRule type="cellIs" dxfId="1" priority="161" stopIfTrue="1" operator="equal">
      <formula>"A"</formula>
    </cfRule>
  </conditionalFormatting>
  <conditionalFormatting sqref="C191">
    <cfRule type="cellIs" dxfId="2" priority="162" stopIfTrue="1" operator="equal">
      <formula>"E"</formula>
    </cfRule>
  </conditionalFormatting>
  <conditionalFormatting sqref="C192">
    <cfRule type="cellIs" dxfId="0" priority="163" stopIfTrue="1" operator="equal">
      <formula>"I"</formula>
    </cfRule>
  </conditionalFormatting>
  <conditionalFormatting sqref="C192">
    <cfRule type="cellIs" dxfId="1" priority="164" stopIfTrue="1" operator="equal">
      <formula>"A"</formula>
    </cfRule>
  </conditionalFormatting>
  <conditionalFormatting sqref="C192">
    <cfRule type="cellIs" dxfId="2" priority="165" stopIfTrue="1" operator="equal">
      <formula>"E"</formula>
    </cfRule>
  </conditionalFormatting>
  <conditionalFormatting sqref="C194">
    <cfRule type="cellIs" dxfId="0" priority="166" stopIfTrue="1" operator="equal">
      <formula>"I"</formula>
    </cfRule>
  </conditionalFormatting>
  <conditionalFormatting sqref="C194">
    <cfRule type="cellIs" dxfId="1" priority="167" stopIfTrue="1" operator="equal">
      <formula>"A"</formula>
    </cfRule>
  </conditionalFormatting>
  <conditionalFormatting sqref="C194">
    <cfRule type="cellIs" dxfId="2" priority="168" stopIfTrue="1" operator="equal">
      <formula>"E"</formula>
    </cfRule>
  </conditionalFormatting>
  <conditionalFormatting sqref="C200">
    <cfRule type="cellIs" dxfId="0" priority="169" stopIfTrue="1" operator="equal">
      <formula>"I"</formula>
    </cfRule>
  </conditionalFormatting>
  <conditionalFormatting sqref="C200">
    <cfRule type="cellIs" dxfId="1" priority="170" stopIfTrue="1" operator="equal">
      <formula>"A"</formula>
    </cfRule>
  </conditionalFormatting>
  <conditionalFormatting sqref="C200">
    <cfRule type="cellIs" dxfId="2" priority="171" stopIfTrue="1" operator="equal">
      <formula>"E"</formula>
    </cfRule>
  </conditionalFormatting>
  <conditionalFormatting sqref="C210">
    <cfRule type="cellIs" dxfId="0" priority="172" stopIfTrue="1" operator="equal">
      <formula>"I"</formula>
    </cfRule>
  </conditionalFormatting>
  <conditionalFormatting sqref="C210">
    <cfRule type="cellIs" dxfId="1" priority="173" stopIfTrue="1" operator="equal">
      <formula>"A"</formula>
    </cfRule>
  </conditionalFormatting>
  <conditionalFormatting sqref="C210">
    <cfRule type="cellIs" dxfId="2" priority="174" stopIfTrue="1" operator="equal">
      <formula>"E"</formula>
    </cfRule>
  </conditionalFormatting>
  <conditionalFormatting sqref="C168">
    <cfRule type="cellIs" dxfId="0" priority="175" stopIfTrue="1" operator="equal">
      <formula>"I"</formula>
    </cfRule>
  </conditionalFormatting>
  <conditionalFormatting sqref="C168">
    <cfRule type="cellIs" dxfId="1" priority="176" stopIfTrue="1" operator="equal">
      <formula>"A"</formula>
    </cfRule>
  </conditionalFormatting>
  <conditionalFormatting sqref="C168">
    <cfRule type="cellIs" dxfId="2" priority="177" stopIfTrue="1" operator="equal">
      <formula>"E"</formula>
    </cfRule>
  </conditionalFormatting>
  <conditionalFormatting sqref="C211">
    <cfRule type="cellIs" dxfId="0" priority="178" stopIfTrue="1" operator="equal">
      <formula>"I"</formula>
    </cfRule>
  </conditionalFormatting>
  <conditionalFormatting sqref="C211">
    <cfRule type="cellIs" dxfId="1" priority="179" stopIfTrue="1" operator="equal">
      <formula>"A"</formula>
    </cfRule>
  </conditionalFormatting>
  <conditionalFormatting sqref="C211">
    <cfRule type="cellIs" dxfId="2" priority="180" stopIfTrue="1" operator="equal">
      <formula>"E"</formula>
    </cfRule>
  </conditionalFormatting>
  <conditionalFormatting sqref="C214">
    <cfRule type="cellIs" dxfId="0" priority="181" stopIfTrue="1" operator="equal">
      <formula>"I"</formula>
    </cfRule>
  </conditionalFormatting>
  <conditionalFormatting sqref="C214">
    <cfRule type="cellIs" dxfId="1" priority="182" stopIfTrue="1" operator="equal">
      <formula>"A"</formula>
    </cfRule>
  </conditionalFormatting>
  <conditionalFormatting sqref="C214">
    <cfRule type="cellIs" dxfId="2" priority="183" stopIfTrue="1" operator="equal">
      <formula>"E"</formula>
    </cfRule>
  </conditionalFormatting>
  <conditionalFormatting sqref="C215:C217">
    <cfRule type="cellIs" dxfId="0" priority="184" stopIfTrue="1" operator="equal">
      <formula>"I"</formula>
    </cfRule>
  </conditionalFormatting>
  <conditionalFormatting sqref="C215:C217">
    <cfRule type="cellIs" dxfId="1" priority="185" stopIfTrue="1" operator="equal">
      <formula>"A"</formula>
    </cfRule>
  </conditionalFormatting>
  <conditionalFormatting sqref="C215:C217">
    <cfRule type="cellIs" dxfId="2" priority="186" stopIfTrue="1" operator="equal">
      <formula>"E"</formula>
    </cfRule>
  </conditionalFormatting>
  <conditionalFormatting sqref="C219">
    <cfRule type="cellIs" dxfId="0" priority="187" stopIfTrue="1" operator="equal">
      <formula>"I"</formula>
    </cfRule>
  </conditionalFormatting>
  <conditionalFormatting sqref="C219">
    <cfRule type="cellIs" dxfId="1" priority="188" stopIfTrue="1" operator="equal">
      <formula>"A"</formula>
    </cfRule>
  </conditionalFormatting>
  <conditionalFormatting sqref="C219">
    <cfRule type="cellIs" dxfId="2" priority="189" stopIfTrue="1" operator="equal">
      <formula>"E"</formula>
    </cfRule>
  </conditionalFormatting>
  <conditionalFormatting sqref="C218">
    <cfRule type="cellIs" dxfId="0" priority="190" stopIfTrue="1" operator="equal">
      <formula>"I"</formula>
    </cfRule>
  </conditionalFormatting>
  <conditionalFormatting sqref="C218">
    <cfRule type="cellIs" dxfId="1" priority="191" stopIfTrue="1" operator="equal">
      <formula>"A"</formula>
    </cfRule>
  </conditionalFormatting>
  <conditionalFormatting sqref="C218">
    <cfRule type="cellIs" dxfId="2" priority="192" stopIfTrue="1" operator="equal">
      <formula>"E"</formula>
    </cfRule>
  </conditionalFormatting>
  <conditionalFormatting sqref="C223">
    <cfRule type="cellIs" dxfId="0" priority="193" stopIfTrue="1" operator="equal">
      <formula>"I"</formula>
    </cfRule>
  </conditionalFormatting>
  <conditionalFormatting sqref="C223">
    <cfRule type="cellIs" dxfId="1" priority="194" stopIfTrue="1" operator="equal">
      <formula>"A"</formula>
    </cfRule>
  </conditionalFormatting>
  <conditionalFormatting sqref="C223">
    <cfRule type="cellIs" dxfId="2" priority="195" stopIfTrue="1" operator="equal">
      <formula>"E"</formula>
    </cfRule>
  </conditionalFormatting>
  <conditionalFormatting sqref="C231">
    <cfRule type="cellIs" dxfId="0" priority="196" stopIfTrue="1" operator="equal">
      <formula>"I"</formula>
    </cfRule>
  </conditionalFormatting>
  <conditionalFormatting sqref="C231">
    <cfRule type="cellIs" dxfId="1" priority="197" stopIfTrue="1" operator="equal">
      <formula>"A"</formula>
    </cfRule>
  </conditionalFormatting>
  <conditionalFormatting sqref="C231">
    <cfRule type="cellIs" dxfId="2" priority="198" stopIfTrue="1" operator="equal">
      <formula>"E"</formula>
    </cfRule>
  </conditionalFormatting>
  <conditionalFormatting sqref="C232">
    <cfRule type="cellIs" dxfId="0" priority="199" stopIfTrue="1" operator="equal">
      <formula>"I"</formula>
    </cfRule>
  </conditionalFormatting>
  <conditionalFormatting sqref="C232">
    <cfRule type="cellIs" dxfId="1" priority="200" stopIfTrue="1" operator="equal">
      <formula>"A"</formula>
    </cfRule>
  </conditionalFormatting>
  <conditionalFormatting sqref="C232">
    <cfRule type="cellIs" dxfId="2" priority="201" stopIfTrue="1" operator="equal">
      <formula>"E"</formula>
    </cfRule>
  </conditionalFormatting>
  <conditionalFormatting sqref="C227">
    <cfRule type="cellIs" dxfId="0" priority="202" stopIfTrue="1" operator="equal">
      <formula>"I"</formula>
    </cfRule>
  </conditionalFormatting>
  <conditionalFormatting sqref="C227">
    <cfRule type="cellIs" dxfId="1" priority="203" stopIfTrue="1" operator="equal">
      <formula>"A"</formula>
    </cfRule>
  </conditionalFormatting>
  <conditionalFormatting sqref="C227">
    <cfRule type="cellIs" dxfId="2" priority="204" stopIfTrue="1" operator="equal">
      <formula>"E"</formula>
    </cfRule>
  </conditionalFormatting>
  <conditionalFormatting sqref="C228">
    <cfRule type="cellIs" dxfId="0" priority="205" stopIfTrue="1" operator="equal">
      <formula>"I"</formula>
    </cfRule>
  </conditionalFormatting>
  <conditionalFormatting sqref="C228">
    <cfRule type="cellIs" dxfId="1" priority="206" stopIfTrue="1" operator="equal">
      <formula>"A"</formula>
    </cfRule>
  </conditionalFormatting>
  <conditionalFormatting sqref="C228">
    <cfRule type="cellIs" dxfId="2" priority="207" stopIfTrue="1" operator="equal">
      <formula>"E"</formula>
    </cfRule>
  </conditionalFormatting>
  <conditionalFormatting sqref="C229">
    <cfRule type="cellIs" dxfId="0" priority="208" stopIfTrue="1" operator="equal">
      <formula>"I"</formula>
    </cfRule>
  </conditionalFormatting>
  <conditionalFormatting sqref="C229">
    <cfRule type="cellIs" dxfId="1" priority="209" stopIfTrue="1" operator="equal">
      <formula>"A"</formula>
    </cfRule>
  </conditionalFormatting>
  <conditionalFormatting sqref="C229">
    <cfRule type="cellIs" dxfId="2" priority="210" stopIfTrue="1" operator="equal">
      <formula>"E"</formula>
    </cfRule>
  </conditionalFormatting>
  <conditionalFormatting sqref="C230">
    <cfRule type="cellIs" dxfId="0" priority="211" stopIfTrue="1" operator="equal">
      <formula>"I"</formula>
    </cfRule>
  </conditionalFormatting>
  <conditionalFormatting sqref="C230">
    <cfRule type="cellIs" dxfId="1" priority="212" stopIfTrue="1" operator="equal">
      <formula>"A"</formula>
    </cfRule>
  </conditionalFormatting>
  <conditionalFormatting sqref="C230">
    <cfRule type="cellIs" dxfId="2" priority="213" stopIfTrue="1" operator="equal">
      <formula>"E"</formula>
    </cfRule>
  </conditionalFormatting>
  <conditionalFormatting sqref="C233">
    <cfRule type="cellIs" dxfId="0" priority="214" stopIfTrue="1" operator="equal">
      <formula>"I"</formula>
    </cfRule>
  </conditionalFormatting>
  <conditionalFormatting sqref="C233">
    <cfRule type="cellIs" dxfId="1" priority="215" stopIfTrue="1" operator="equal">
      <formula>"A"</formula>
    </cfRule>
  </conditionalFormatting>
  <conditionalFormatting sqref="C233">
    <cfRule type="cellIs" dxfId="2" priority="216" stopIfTrue="1" operator="equal">
      <formula>"E"</formula>
    </cfRule>
  </conditionalFormatting>
  <conditionalFormatting sqref="C239">
    <cfRule type="cellIs" dxfId="0" priority="217" stopIfTrue="1" operator="equal">
      <formula>"I"</formula>
    </cfRule>
  </conditionalFormatting>
  <conditionalFormatting sqref="C239">
    <cfRule type="cellIs" dxfId="1" priority="218" stopIfTrue="1" operator="equal">
      <formula>"A"</formula>
    </cfRule>
  </conditionalFormatting>
  <conditionalFormatting sqref="C239">
    <cfRule type="cellIs" dxfId="2" priority="219" stopIfTrue="1" operator="equal">
      <formula>"E"</formula>
    </cfRule>
  </conditionalFormatting>
  <conditionalFormatting sqref="C241">
    <cfRule type="cellIs" dxfId="0" priority="220" stopIfTrue="1" operator="equal">
      <formula>"I"</formula>
    </cfRule>
  </conditionalFormatting>
  <conditionalFormatting sqref="C241">
    <cfRule type="cellIs" dxfId="1" priority="221" stopIfTrue="1" operator="equal">
      <formula>"A"</formula>
    </cfRule>
  </conditionalFormatting>
  <conditionalFormatting sqref="C241">
    <cfRule type="cellIs" dxfId="2" priority="222" stopIfTrue="1" operator="equal">
      <formula>"E"</formula>
    </cfRule>
  </conditionalFormatting>
  <conditionalFormatting sqref="C243">
    <cfRule type="cellIs" dxfId="0" priority="223" stopIfTrue="1" operator="equal">
      <formula>"I"</formula>
    </cfRule>
  </conditionalFormatting>
  <conditionalFormatting sqref="C243">
    <cfRule type="cellIs" dxfId="1" priority="224" stopIfTrue="1" operator="equal">
      <formula>"A"</formula>
    </cfRule>
  </conditionalFormatting>
  <conditionalFormatting sqref="C243">
    <cfRule type="cellIs" dxfId="2" priority="225" stopIfTrue="1" operator="equal">
      <formula>"E"</formula>
    </cfRule>
  </conditionalFormatting>
  <conditionalFormatting sqref="C242">
    <cfRule type="cellIs" dxfId="0" priority="226" stopIfTrue="1" operator="equal">
      <formula>"I"</formula>
    </cfRule>
  </conditionalFormatting>
  <conditionalFormatting sqref="C242">
    <cfRule type="cellIs" dxfId="1" priority="227" stopIfTrue="1" operator="equal">
      <formula>"A"</formula>
    </cfRule>
  </conditionalFormatting>
  <conditionalFormatting sqref="C242">
    <cfRule type="cellIs" dxfId="2" priority="228" stopIfTrue="1" operator="equal">
      <formula>"E"</formula>
    </cfRule>
  </conditionalFormatting>
  <conditionalFormatting sqref="C276">
    <cfRule type="cellIs" dxfId="0" priority="229" stopIfTrue="1" operator="equal">
      <formula>"I"</formula>
    </cfRule>
  </conditionalFormatting>
  <conditionalFormatting sqref="C276">
    <cfRule type="cellIs" dxfId="1" priority="230" stopIfTrue="1" operator="equal">
      <formula>"A"</formula>
    </cfRule>
  </conditionalFormatting>
  <conditionalFormatting sqref="C276">
    <cfRule type="cellIs" dxfId="2" priority="231" stopIfTrue="1" operator="equal">
      <formula>"E"</formula>
    </cfRule>
  </conditionalFormatting>
  <conditionalFormatting sqref="C278">
    <cfRule type="cellIs" dxfId="0" priority="232" stopIfTrue="1" operator="equal">
      <formula>"I"</formula>
    </cfRule>
  </conditionalFormatting>
  <conditionalFormatting sqref="C278">
    <cfRule type="cellIs" dxfId="1" priority="233" stopIfTrue="1" operator="equal">
      <formula>"A"</formula>
    </cfRule>
  </conditionalFormatting>
  <conditionalFormatting sqref="C278">
    <cfRule type="cellIs" dxfId="2" priority="234" stopIfTrue="1" operator="equal">
      <formula>"E"</formula>
    </cfRule>
  </conditionalFormatting>
  <conditionalFormatting sqref="C246">
    <cfRule type="cellIs" dxfId="0" priority="235" stopIfTrue="1" operator="equal">
      <formula>"I"</formula>
    </cfRule>
  </conditionalFormatting>
  <conditionalFormatting sqref="C246">
    <cfRule type="cellIs" dxfId="1" priority="236" stopIfTrue="1" operator="equal">
      <formula>"A"</formula>
    </cfRule>
  </conditionalFormatting>
  <conditionalFormatting sqref="C246">
    <cfRule type="cellIs" dxfId="2" priority="237" stopIfTrue="1" operator="equal">
      <formula>"E"</formula>
    </cfRule>
  </conditionalFormatting>
  <conditionalFormatting sqref="C268">
    <cfRule type="cellIs" dxfId="0" priority="238" stopIfTrue="1" operator="equal">
      <formula>"I"</formula>
    </cfRule>
  </conditionalFormatting>
  <conditionalFormatting sqref="C268">
    <cfRule type="cellIs" dxfId="1" priority="239" stopIfTrue="1" operator="equal">
      <formula>"A"</formula>
    </cfRule>
  </conditionalFormatting>
  <conditionalFormatting sqref="C268">
    <cfRule type="cellIs" dxfId="2" priority="240" stopIfTrue="1" operator="equal">
      <formula>"E"</formula>
    </cfRule>
  </conditionalFormatting>
  <conditionalFormatting sqref="C247:C250">
    <cfRule type="cellIs" dxfId="0" priority="241" stopIfTrue="1" operator="equal">
      <formula>"I"</formula>
    </cfRule>
  </conditionalFormatting>
  <conditionalFormatting sqref="C247:C250">
    <cfRule type="cellIs" dxfId="1" priority="242" stopIfTrue="1" operator="equal">
      <formula>"A"</formula>
    </cfRule>
  </conditionalFormatting>
  <conditionalFormatting sqref="C247:C250">
    <cfRule type="cellIs" dxfId="2" priority="243" stopIfTrue="1" operator="equal">
      <formula>"E"</formula>
    </cfRule>
  </conditionalFormatting>
  <conditionalFormatting sqref="C253">
    <cfRule type="cellIs" dxfId="0" priority="244" stopIfTrue="1" operator="equal">
      <formula>"I"</formula>
    </cfRule>
  </conditionalFormatting>
  <conditionalFormatting sqref="C253">
    <cfRule type="cellIs" dxfId="1" priority="245" stopIfTrue="1" operator="equal">
      <formula>"A"</formula>
    </cfRule>
  </conditionalFormatting>
  <conditionalFormatting sqref="C253">
    <cfRule type="cellIs" dxfId="2" priority="246" stopIfTrue="1" operator="equal">
      <formula>"E"</formula>
    </cfRule>
  </conditionalFormatting>
  <conditionalFormatting sqref="C254">
    <cfRule type="cellIs" dxfId="0" priority="247" stopIfTrue="1" operator="equal">
      <formula>"I"</formula>
    </cfRule>
  </conditionalFormatting>
  <conditionalFormatting sqref="C254">
    <cfRule type="cellIs" dxfId="1" priority="248" stopIfTrue="1" operator="equal">
      <formula>"A"</formula>
    </cfRule>
  </conditionalFormatting>
  <conditionalFormatting sqref="C254">
    <cfRule type="cellIs" dxfId="2" priority="249" stopIfTrue="1" operator="equal">
      <formula>"E"</formula>
    </cfRule>
  </conditionalFormatting>
  <conditionalFormatting sqref="C144">
    <cfRule type="cellIs" dxfId="0" priority="250" stopIfTrue="1" operator="equal">
      <formula>"I"</formula>
    </cfRule>
  </conditionalFormatting>
  <conditionalFormatting sqref="C144">
    <cfRule type="cellIs" dxfId="1" priority="251" stopIfTrue="1" operator="equal">
      <formula>"A"</formula>
    </cfRule>
  </conditionalFormatting>
  <conditionalFormatting sqref="C144">
    <cfRule type="cellIs" dxfId="2" priority="252" stopIfTrue="1" operator="equal">
      <formula>"E"</formula>
    </cfRule>
  </conditionalFormatting>
  <conditionalFormatting sqref="C187">
    <cfRule type="cellIs" dxfId="0" priority="253" stopIfTrue="1" operator="equal">
      <formula>"I"</formula>
    </cfRule>
  </conditionalFormatting>
  <conditionalFormatting sqref="C187">
    <cfRule type="cellIs" dxfId="1" priority="254" stopIfTrue="1" operator="equal">
      <formula>"A"</formula>
    </cfRule>
  </conditionalFormatting>
  <conditionalFormatting sqref="C187">
    <cfRule type="cellIs" dxfId="2" priority="255" stopIfTrue="1" operator="equal">
      <formula>"E"</formula>
    </cfRule>
  </conditionalFormatting>
  <conditionalFormatting sqref="C123">
    <cfRule type="cellIs" dxfId="0" priority="256" stopIfTrue="1" operator="equal">
      <formula>"I"</formula>
    </cfRule>
  </conditionalFormatting>
  <conditionalFormatting sqref="C123">
    <cfRule type="cellIs" dxfId="1" priority="257" stopIfTrue="1" operator="equal">
      <formula>"A"</formula>
    </cfRule>
  </conditionalFormatting>
  <conditionalFormatting sqref="C123">
    <cfRule type="cellIs" dxfId="2" priority="258" stopIfTrue="1" operator="equal">
      <formula>"E"</formula>
    </cfRule>
  </conditionalFormatting>
  <conditionalFormatting sqref="C165">
    <cfRule type="cellIs" dxfId="0" priority="259" stopIfTrue="1" operator="equal">
      <formula>"I"</formula>
    </cfRule>
  </conditionalFormatting>
  <conditionalFormatting sqref="C165">
    <cfRule type="cellIs" dxfId="1" priority="260" stopIfTrue="1" operator="equal">
      <formula>"A"</formula>
    </cfRule>
  </conditionalFormatting>
  <conditionalFormatting sqref="C165">
    <cfRule type="cellIs" dxfId="2" priority="261" stopIfTrue="1" operator="equal">
      <formula>"E"</formula>
    </cfRule>
  </conditionalFormatting>
  <conditionalFormatting sqref="C186">
    <cfRule type="cellIs" dxfId="0" priority="262" stopIfTrue="1" operator="equal">
      <formula>"I"</formula>
    </cfRule>
  </conditionalFormatting>
  <conditionalFormatting sqref="C186">
    <cfRule type="cellIs" dxfId="1" priority="263" stopIfTrue="1" operator="equal">
      <formula>"A"</formula>
    </cfRule>
  </conditionalFormatting>
  <conditionalFormatting sqref="C186">
    <cfRule type="cellIs" dxfId="2" priority="264" stopIfTrue="1" operator="equal">
      <formula>"E"</formula>
    </cfRule>
  </conditionalFormatting>
  <conditionalFormatting sqref="C57:C69">
    <cfRule type="cellIs" dxfId="0" priority="265" stopIfTrue="1" operator="equal">
      <formula>"I"</formula>
    </cfRule>
  </conditionalFormatting>
  <conditionalFormatting sqref="C57:C69">
    <cfRule type="cellIs" dxfId="1" priority="266" stopIfTrue="1" operator="equal">
      <formula>"A"</formula>
    </cfRule>
  </conditionalFormatting>
  <conditionalFormatting sqref="C57:C69">
    <cfRule type="cellIs" dxfId="2" priority="267" stopIfTrue="1" operator="equal">
      <formula>"E"</formula>
    </cfRule>
  </conditionalFormatting>
  <conditionalFormatting sqref="C195">
    <cfRule type="cellIs" dxfId="0" priority="268" stopIfTrue="1" operator="equal">
      <formula>"I"</formula>
    </cfRule>
  </conditionalFormatting>
  <conditionalFormatting sqref="C195">
    <cfRule type="cellIs" dxfId="1" priority="269" stopIfTrue="1" operator="equal">
      <formula>"A"</formula>
    </cfRule>
  </conditionalFormatting>
  <conditionalFormatting sqref="C195">
    <cfRule type="cellIs" dxfId="2" priority="270" stopIfTrue="1" operator="equal">
      <formula>"E"</formula>
    </cfRule>
  </conditionalFormatting>
  <conditionalFormatting sqref="C269">
    <cfRule type="cellIs" dxfId="0" priority="271" stopIfTrue="1" operator="equal">
      <formula>"I"</formula>
    </cfRule>
  </conditionalFormatting>
  <conditionalFormatting sqref="C269">
    <cfRule type="cellIs" dxfId="1" priority="272" stopIfTrue="1" operator="equal">
      <formula>"A"</formula>
    </cfRule>
  </conditionalFormatting>
  <conditionalFormatting sqref="C269">
    <cfRule type="cellIs" dxfId="2" priority="273" stopIfTrue="1" operator="equal">
      <formula>"E"</formula>
    </cfRule>
  </conditionalFormatting>
  <conditionalFormatting sqref="C71:C98">
    <cfRule type="cellIs" dxfId="0" priority="274" stopIfTrue="1" operator="equal">
      <formula>"I"</formula>
    </cfRule>
  </conditionalFormatting>
  <conditionalFormatting sqref="C71:C98">
    <cfRule type="cellIs" dxfId="1" priority="275" stopIfTrue="1" operator="equal">
      <formula>"A"</formula>
    </cfRule>
  </conditionalFormatting>
  <conditionalFormatting sqref="C71:C98">
    <cfRule type="cellIs" dxfId="2" priority="276" stopIfTrue="1" operator="equal">
      <formula>"E"</formula>
    </cfRule>
  </conditionalFormatting>
  <conditionalFormatting sqref="C176">
    <cfRule type="cellIs" dxfId="0" priority="277" stopIfTrue="1" operator="equal">
      <formula>"I"</formula>
    </cfRule>
  </conditionalFormatting>
  <conditionalFormatting sqref="C176">
    <cfRule type="cellIs" dxfId="1" priority="278" stopIfTrue="1" operator="equal">
      <formula>"A"</formula>
    </cfRule>
  </conditionalFormatting>
  <conditionalFormatting sqref="C176">
    <cfRule type="cellIs" dxfId="2" priority="279" stopIfTrue="1" operator="equal">
      <formula>"E"</formula>
    </cfRule>
  </conditionalFormatting>
  <conditionalFormatting sqref="C139">
    <cfRule type="cellIs" dxfId="0" priority="280" stopIfTrue="1" operator="equal">
      <formula>"I"</formula>
    </cfRule>
  </conditionalFormatting>
  <conditionalFormatting sqref="C139">
    <cfRule type="cellIs" dxfId="1" priority="281" stopIfTrue="1" operator="equal">
      <formula>"A"</formula>
    </cfRule>
  </conditionalFormatting>
  <conditionalFormatting sqref="C139">
    <cfRule type="cellIs" dxfId="2" priority="282" stopIfTrue="1" operator="equal">
      <formula>"E"</formula>
    </cfRule>
  </conditionalFormatting>
  <conditionalFormatting sqref="C180">
    <cfRule type="cellIs" dxfId="0" priority="283" stopIfTrue="1" operator="equal">
      <formula>"I"</formula>
    </cfRule>
  </conditionalFormatting>
  <conditionalFormatting sqref="C180">
    <cfRule type="cellIs" dxfId="1" priority="284" stopIfTrue="1" operator="equal">
      <formula>"A"</formula>
    </cfRule>
  </conditionalFormatting>
  <conditionalFormatting sqref="C180">
    <cfRule type="cellIs" dxfId="2" priority="285" stopIfTrue="1" operator="equal">
      <formula>"E"</formula>
    </cfRule>
  </conditionalFormatting>
  <conditionalFormatting sqref="C199">
    <cfRule type="cellIs" dxfId="0" priority="286" stopIfTrue="1" operator="equal">
      <formula>"I"</formula>
    </cfRule>
  </conditionalFormatting>
  <conditionalFormatting sqref="C199">
    <cfRule type="cellIs" dxfId="1" priority="287" stopIfTrue="1" operator="equal">
      <formula>"A"</formula>
    </cfRule>
  </conditionalFormatting>
  <conditionalFormatting sqref="C199">
    <cfRule type="cellIs" dxfId="2" priority="288" stopIfTrue="1" operator="equal">
      <formula>"E"</formula>
    </cfRule>
  </conditionalFormatting>
  <conditionalFormatting sqref="C197">
    <cfRule type="cellIs" dxfId="0" priority="289" stopIfTrue="1" operator="equal">
      <formula>"I"</formula>
    </cfRule>
  </conditionalFormatting>
  <conditionalFormatting sqref="C197">
    <cfRule type="cellIs" dxfId="1" priority="290" stopIfTrue="1" operator="equal">
      <formula>"A"</formula>
    </cfRule>
  </conditionalFormatting>
  <conditionalFormatting sqref="C197">
    <cfRule type="cellIs" dxfId="2" priority="291" stopIfTrue="1" operator="equal">
      <formula>"E"</formula>
    </cfRule>
  </conditionalFormatting>
  <conditionalFormatting sqref="C198">
    <cfRule type="cellIs" dxfId="0" priority="292" stopIfTrue="1" operator="equal">
      <formula>"I"</formula>
    </cfRule>
  </conditionalFormatting>
  <conditionalFormatting sqref="C198">
    <cfRule type="cellIs" dxfId="1" priority="293" stopIfTrue="1" operator="equal">
      <formula>"A"</formula>
    </cfRule>
  </conditionalFormatting>
  <conditionalFormatting sqref="C198">
    <cfRule type="cellIs" dxfId="2" priority="294" stopIfTrue="1" operator="equal">
      <formula>"E"</formula>
    </cfRule>
  </conditionalFormatting>
  <conditionalFormatting sqref="C133">
    <cfRule type="cellIs" dxfId="0" priority="295" stopIfTrue="1" operator="equal">
      <formula>"I"</formula>
    </cfRule>
  </conditionalFormatting>
  <conditionalFormatting sqref="C133">
    <cfRule type="cellIs" dxfId="1" priority="296" stopIfTrue="1" operator="equal">
      <formula>"A"</formula>
    </cfRule>
  </conditionalFormatting>
  <conditionalFormatting sqref="C133">
    <cfRule type="cellIs" dxfId="2" priority="297" stopIfTrue="1" operator="equal">
      <formula>"E"</formula>
    </cfRule>
  </conditionalFormatting>
  <conditionalFormatting sqref="C221">
    <cfRule type="cellIs" dxfId="0" priority="298" stopIfTrue="1" operator="equal">
      <formula>"I"</formula>
    </cfRule>
  </conditionalFormatting>
  <conditionalFormatting sqref="C221">
    <cfRule type="cellIs" dxfId="1" priority="299" stopIfTrue="1" operator="equal">
      <formula>"A"</formula>
    </cfRule>
  </conditionalFormatting>
  <conditionalFormatting sqref="C221">
    <cfRule type="cellIs" dxfId="2" priority="300" stopIfTrue="1" operator="equal">
      <formula>"E"</formula>
    </cfRule>
  </conditionalFormatting>
  <conditionalFormatting sqref="C226">
    <cfRule type="cellIs" dxfId="0" priority="301" stopIfTrue="1" operator="equal">
      <formula>"I"</formula>
    </cfRule>
  </conditionalFormatting>
  <conditionalFormatting sqref="C226">
    <cfRule type="cellIs" dxfId="1" priority="302" stopIfTrue="1" operator="equal">
      <formula>"A"</formula>
    </cfRule>
  </conditionalFormatting>
  <conditionalFormatting sqref="C226">
    <cfRule type="cellIs" dxfId="2" priority="303" stopIfTrue="1" operator="equal">
      <formula>"E"</formula>
    </cfRule>
  </conditionalFormatting>
  <conditionalFormatting sqref="C245">
    <cfRule type="cellIs" dxfId="0" priority="304" stopIfTrue="1" operator="equal">
      <formula>"I"</formula>
    </cfRule>
  </conditionalFormatting>
  <conditionalFormatting sqref="C245">
    <cfRule type="cellIs" dxfId="1" priority="305" stopIfTrue="1" operator="equal">
      <formula>"A"</formula>
    </cfRule>
  </conditionalFormatting>
  <conditionalFormatting sqref="C245">
    <cfRule type="cellIs" dxfId="2" priority="306" stopIfTrue="1" operator="equal">
      <formula>"E"</formula>
    </cfRule>
  </conditionalFormatting>
  <conditionalFormatting sqref="C234">
    <cfRule type="cellIs" dxfId="0" priority="307" stopIfTrue="1" operator="equal">
      <formula>"I"</formula>
    </cfRule>
  </conditionalFormatting>
  <conditionalFormatting sqref="C234">
    <cfRule type="cellIs" dxfId="1" priority="308" stopIfTrue="1" operator="equal">
      <formula>"A"</formula>
    </cfRule>
  </conditionalFormatting>
  <conditionalFormatting sqref="C234">
    <cfRule type="cellIs" dxfId="2" priority="309" stopIfTrue="1" operator="equal">
      <formula>"E"</formula>
    </cfRule>
  </conditionalFormatting>
  <conditionalFormatting sqref="C255:C266">
    <cfRule type="cellIs" dxfId="0" priority="310" stopIfTrue="1" operator="equal">
      <formula>"I"</formula>
    </cfRule>
  </conditionalFormatting>
  <conditionalFormatting sqref="C255:C266">
    <cfRule type="cellIs" dxfId="1" priority="311" stopIfTrue="1" operator="equal">
      <formula>"A"</formula>
    </cfRule>
  </conditionalFormatting>
  <conditionalFormatting sqref="C255:C266">
    <cfRule type="cellIs" dxfId="2" priority="312" stopIfTrue="1" operator="equal">
      <formula>"E"</formula>
    </cfRule>
  </conditionalFormatting>
  <conditionalFormatting sqref="C277">
    <cfRule type="cellIs" dxfId="0" priority="313" stopIfTrue="1" operator="equal">
      <formula>"I"</formula>
    </cfRule>
  </conditionalFormatting>
  <conditionalFormatting sqref="C277">
    <cfRule type="cellIs" dxfId="1" priority="314" stopIfTrue="1" operator="equal">
      <formula>"A"</formula>
    </cfRule>
  </conditionalFormatting>
  <conditionalFormatting sqref="C277">
    <cfRule type="cellIs" dxfId="2" priority="315" stopIfTrue="1" operator="equal">
      <formula>"E"</formula>
    </cfRule>
  </conditionalFormatting>
  <conditionalFormatting sqref="C104:C110">
    <cfRule type="cellIs" dxfId="0" priority="316" stopIfTrue="1" operator="equal">
      <formula>"I"</formula>
    </cfRule>
  </conditionalFormatting>
  <conditionalFormatting sqref="C104:C110">
    <cfRule type="cellIs" dxfId="1" priority="317" stopIfTrue="1" operator="equal">
      <formula>"A"</formula>
    </cfRule>
  </conditionalFormatting>
  <conditionalFormatting sqref="C104:C110">
    <cfRule type="cellIs" dxfId="2" priority="318" stopIfTrue="1" operator="equal">
      <formula>"E"</formula>
    </cfRule>
  </conditionalFormatting>
  <conditionalFormatting sqref="C11 C13:C16">
    <cfRule type="cellIs" dxfId="0" priority="319" stopIfTrue="1" operator="equal">
      <formula>"I"</formula>
    </cfRule>
  </conditionalFormatting>
  <conditionalFormatting sqref="C11 C13:C16">
    <cfRule type="cellIs" dxfId="1" priority="320" stopIfTrue="1" operator="equal">
      <formula>"A"</formula>
    </cfRule>
  </conditionalFormatting>
  <conditionalFormatting sqref="C11 C13:C16">
    <cfRule type="cellIs" dxfId="2" priority="321" stopIfTrue="1" operator="equal">
      <formula>"E"</formula>
    </cfRule>
  </conditionalFormatting>
  <conditionalFormatting sqref="C17">
    <cfRule type="cellIs" dxfId="0" priority="322" stopIfTrue="1" operator="equal">
      <formula>"I"</formula>
    </cfRule>
  </conditionalFormatting>
  <conditionalFormatting sqref="C17">
    <cfRule type="cellIs" dxfId="1" priority="323" stopIfTrue="1" operator="equal">
      <formula>"A"</formula>
    </cfRule>
  </conditionalFormatting>
  <conditionalFormatting sqref="C17">
    <cfRule type="cellIs" dxfId="2" priority="324" stopIfTrue="1" operator="equal">
      <formula>"E"</formula>
    </cfRule>
  </conditionalFormatting>
  <conditionalFormatting sqref="C10">
    <cfRule type="cellIs" dxfId="0" priority="325" stopIfTrue="1" operator="equal">
      <formula>"I"</formula>
    </cfRule>
  </conditionalFormatting>
  <conditionalFormatting sqref="C10">
    <cfRule type="cellIs" dxfId="1" priority="326" stopIfTrue="1" operator="equal">
      <formula>"A"</formula>
    </cfRule>
  </conditionalFormatting>
  <conditionalFormatting sqref="C10">
    <cfRule type="cellIs" dxfId="2" priority="327" stopIfTrue="1" operator="equal">
      <formula>"E"</formula>
    </cfRule>
  </conditionalFormatting>
  <conditionalFormatting sqref="C70">
    <cfRule type="cellIs" dxfId="0" priority="328" stopIfTrue="1" operator="equal">
      <formula>"I"</formula>
    </cfRule>
  </conditionalFormatting>
  <conditionalFormatting sqref="C70">
    <cfRule type="cellIs" dxfId="1" priority="329" stopIfTrue="1" operator="equal">
      <formula>"A"</formula>
    </cfRule>
  </conditionalFormatting>
  <conditionalFormatting sqref="C70">
    <cfRule type="cellIs" dxfId="2" priority="330" stopIfTrue="1" operator="equal">
      <formula>"E"</formula>
    </cfRule>
  </conditionalFormatting>
  <conditionalFormatting sqref="C100">
    <cfRule type="cellIs" dxfId="0" priority="331" stopIfTrue="1" operator="equal">
      <formula>"I"</formula>
    </cfRule>
  </conditionalFormatting>
  <conditionalFormatting sqref="C100">
    <cfRule type="cellIs" dxfId="1" priority="332" stopIfTrue="1" operator="equal">
      <formula>"A"</formula>
    </cfRule>
  </conditionalFormatting>
  <conditionalFormatting sqref="C100">
    <cfRule type="cellIs" dxfId="2" priority="333" stopIfTrue="1" operator="equal">
      <formula>"E"</formula>
    </cfRule>
  </conditionalFormatting>
  <conditionalFormatting sqref="C99">
    <cfRule type="cellIs" dxfId="0" priority="334" stopIfTrue="1" operator="equal">
      <formula>"I"</formula>
    </cfRule>
  </conditionalFormatting>
  <conditionalFormatting sqref="C99">
    <cfRule type="cellIs" dxfId="1" priority="335" stopIfTrue="1" operator="equal">
      <formula>"A"</formula>
    </cfRule>
  </conditionalFormatting>
  <conditionalFormatting sqref="C99">
    <cfRule type="cellIs" dxfId="2" priority="336" stopIfTrue="1" operator="equal">
      <formula>"E"</formula>
    </cfRule>
  </conditionalFormatting>
  <conditionalFormatting sqref="C28 C31 C33:C38">
    <cfRule type="cellIs" dxfId="0" priority="337" stopIfTrue="1" operator="equal">
      <formula>"I"</formula>
    </cfRule>
  </conditionalFormatting>
  <conditionalFormatting sqref="C28 C31 C33:C38">
    <cfRule type="cellIs" dxfId="1" priority="338" stopIfTrue="1" operator="equal">
      <formula>"A"</formula>
    </cfRule>
  </conditionalFormatting>
  <conditionalFormatting sqref="C28 C31 C33:C38">
    <cfRule type="cellIs" dxfId="2" priority="339" stopIfTrue="1" operator="equal">
      <formula>"E"</formula>
    </cfRule>
  </conditionalFormatting>
  <conditionalFormatting sqref="C26">
    <cfRule type="cellIs" dxfId="0" priority="340" stopIfTrue="1" operator="equal">
      <formula>"I"</formula>
    </cfRule>
  </conditionalFormatting>
  <conditionalFormatting sqref="C26">
    <cfRule type="cellIs" dxfId="1" priority="341" stopIfTrue="1" operator="equal">
      <formula>"A"</formula>
    </cfRule>
  </conditionalFormatting>
  <conditionalFormatting sqref="C26">
    <cfRule type="cellIs" dxfId="2" priority="342" stopIfTrue="1" operator="equal">
      <formula>"E"</formula>
    </cfRule>
  </conditionalFormatting>
  <conditionalFormatting sqref="C25">
    <cfRule type="cellIs" dxfId="0" priority="343" stopIfTrue="1" operator="equal">
      <formula>"I"</formula>
    </cfRule>
  </conditionalFormatting>
  <conditionalFormatting sqref="C25">
    <cfRule type="cellIs" dxfId="1" priority="344" stopIfTrue="1" operator="equal">
      <formula>"A"</formula>
    </cfRule>
  </conditionalFormatting>
  <conditionalFormatting sqref="C25">
    <cfRule type="cellIs" dxfId="2" priority="345" stopIfTrue="1" operator="equal">
      <formula>"E"</formula>
    </cfRule>
  </conditionalFormatting>
  <conditionalFormatting sqref="C27">
    <cfRule type="cellIs" dxfId="0" priority="346" stopIfTrue="1" operator="equal">
      <formula>"I"</formula>
    </cfRule>
  </conditionalFormatting>
  <conditionalFormatting sqref="C27">
    <cfRule type="cellIs" dxfId="1" priority="347" stopIfTrue="1" operator="equal">
      <formula>"A"</formula>
    </cfRule>
  </conditionalFormatting>
  <conditionalFormatting sqref="C27">
    <cfRule type="cellIs" dxfId="2" priority="348" stopIfTrue="1" operator="equal">
      <formula>"E"</formula>
    </cfRule>
  </conditionalFormatting>
  <conditionalFormatting sqref="C29">
    <cfRule type="cellIs" dxfId="0" priority="349" stopIfTrue="1" operator="equal">
      <formula>"I"</formula>
    </cfRule>
  </conditionalFormatting>
  <conditionalFormatting sqref="C29">
    <cfRule type="cellIs" dxfId="1" priority="350" stopIfTrue="1" operator="equal">
      <formula>"A"</formula>
    </cfRule>
  </conditionalFormatting>
  <conditionalFormatting sqref="C29">
    <cfRule type="cellIs" dxfId="2" priority="351" stopIfTrue="1" operator="equal">
      <formula>"E"</formula>
    </cfRule>
  </conditionalFormatting>
  <conditionalFormatting sqref="C20">
    <cfRule type="cellIs" dxfId="0" priority="352" stopIfTrue="1" operator="equal">
      <formula>"I"</formula>
    </cfRule>
  </conditionalFormatting>
  <conditionalFormatting sqref="C20">
    <cfRule type="cellIs" dxfId="1" priority="353" stopIfTrue="1" operator="equal">
      <formula>"A"</formula>
    </cfRule>
  </conditionalFormatting>
  <conditionalFormatting sqref="C20">
    <cfRule type="cellIs" dxfId="2" priority="354" stopIfTrue="1" operator="equal">
      <formula>"E"</formula>
    </cfRule>
  </conditionalFormatting>
  <conditionalFormatting sqref="C32">
    <cfRule type="cellIs" dxfId="0" priority="355" stopIfTrue="1" operator="equal">
      <formula>"I"</formula>
    </cfRule>
  </conditionalFormatting>
  <conditionalFormatting sqref="C32">
    <cfRule type="cellIs" dxfId="1" priority="356" stopIfTrue="1" operator="equal">
      <formula>"A"</formula>
    </cfRule>
  </conditionalFormatting>
  <conditionalFormatting sqref="C32">
    <cfRule type="cellIs" dxfId="2" priority="357" stopIfTrue="1" operator="equal">
      <formula>"E"</formula>
    </cfRule>
  </conditionalFormatting>
  <conditionalFormatting sqref="C18">
    <cfRule type="cellIs" dxfId="0" priority="358" stopIfTrue="1" operator="equal">
      <formula>"I"</formula>
    </cfRule>
  </conditionalFormatting>
  <conditionalFormatting sqref="C18">
    <cfRule type="cellIs" dxfId="1" priority="359" stopIfTrue="1" operator="equal">
      <formula>"A"</formula>
    </cfRule>
  </conditionalFormatting>
  <conditionalFormatting sqref="C18">
    <cfRule type="cellIs" dxfId="2" priority="360" stopIfTrue="1" operator="equal">
      <formula>"E"</formula>
    </cfRule>
  </conditionalFormatting>
  <conditionalFormatting sqref="C19">
    <cfRule type="cellIs" dxfId="0" priority="361" stopIfTrue="1" operator="equal">
      <formula>"I"</formula>
    </cfRule>
  </conditionalFormatting>
  <conditionalFormatting sqref="C19">
    <cfRule type="cellIs" dxfId="1" priority="362" stopIfTrue="1" operator="equal">
      <formula>"A"</formula>
    </cfRule>
  </conditionalFormatting>
  <conditionalFormatting sqref="C19">
    <cfRule type="cellIs" dxfId="2" priority="363" stopIfTrue="1" operator="equal">
      <formula>"E"</formula>
    </cfRule>
  </conditionalFormatting>
  <conditionalFormatting sqref="C23">
    <cfRule type="cellIs" dxfId="0" priority="364" stopIfTrue="1" operator="equal">
      <formula>"I"</formula>
    </cfRule>
  </conditionalFormatting>
  <conditionalFormatting sqref="C23">
    <cfRule type="cellIs" dxfId="1" priority="365" stopIfTrue="1" operator="equal">
      <formula>"A"</formula>
    </cfRule>
  </conditionalFormatting>
  <conditionalFormatting sqref="C23">
    <cfRule type="cellIs" dxfId="2" priority="366" stopIfTrue="1" operator="equal">
      <formula>"E"</formula>
    </cfRule>
  </conditionalFormatting>
  <conditionalFormatting sqref="C22">
    <cfRule type="cellIs" dxfId="0" priority="367" stopIfTrue="1" operator="equal">
      <formula>"I"</formula>
    </cfRule>
  </conditionalFormatting>
  <conditionalFormatting sqref="C22">
    <cfRule type="cellIs" dxfId="1" priority="368" stopIfTrue="1" operator="equal">
      <formula>"A"</formula>
    </cfRule>
  </conditionalFormatting>
  <conditionalFormatting sqref="C22">
    <cfRule type="cellIs" dxfId="2" priority="369" stopIfTrue="1" operator="equal">
      <formula>"E"</formula>
    </cfRule>
  </conditionalFormatting>
  <conditionalFormatting sqref="C24">
    <cfRule type="cellIs" dxfId="0" priority="370" stopIfTrue="1" operator="equal">
      <formula>"I"</formula>
    </cfRule>
  </conditionalFormatting>
  <conditionalFormatting sqref="C24">
    <cfRule type="cellIs" dxfId="1" priority="371" stopIfTrue="1" operator="equal">
      <formula>"A"</formula>
    </cfRule>
  </conditionalFormatting>
  <conditionalFormatting sqref="C24">
    <cfRule type="cellIs" dxfId="2" priority="372" stopIfTrue="1" operator="equal">
      <formula>"E"</formula>
    </cfRule>
  </conditionalFormatting>
  <conditionalFormatting sqref="C205">
    <cfRule type="cellIs" dxfId="0" priority="373" stopIfTrue="1" operator="equal">
      <formula>"I"</formula>
    </cfRule>
  </conditionalFormatting>
  <conditionalFormatting sqref="C205">
    <cfRule type="cellIs" dxfId="1" priority="374" stopIfTrue="1" operator="equal">
      <formula>"A"</formula>
    </cfRule>
  </conditionalFormatting>
  <conditionalFormatting sqref="C205">
    <cfRule type="cellIs" dxfId="2" priority="375" stopIfTrue="1" operator="equal">
      <formula>"E"</formula>
    </cfRule>
  </conditionalFormatting>
  <conditionalFormatting sqref="C206">
    <cfRule type="cellIs" dxfId="0" priority="376" stopIfTrue="1" operator="equal">
      <formula>"I"</formula>
    </cfRule>
  </conditionalFormatting>
  <conditionalFormatting sqref="C206">
    <cfRule type="cellIs" dxfId="1" priority="377" stopIfTrue="1" operator="equal">
      <formula>"A"</formula>
    </cfRule>
  </conditionalFormatting>
  <conditionalFormatting sqref="C206">
    <cfRule type="cellIs" dxfId="2" priority="378" stopIfTrue="1" operator="equal">
      <formula>"E"</formula>
    </cfRule>
  </conditionalFormatting>
  <conditionalFormatting sqref="C207">
    <cfRule type="cellIs" dxfId="0" priority="379" stopIfTrue="1" operator="equal">
      <formula>"I"</formula>
    </cfRule>
  </conditionalFormatting>
  <conditionalFormatting sqref="C207">
    <cfRule type="cellIs" dxfId="1" priority="380" stopIfTrue="1" operator="equal">
      <formula>"A"</formula>
    </cfRule>
  </conditionalFormatting>
  <conditionalFormatting sqref="C207">
    <cfRule type="cellIs" dxfId="2" priority="381" stopIfTrue="1" operator="equal">
      <formula>"E"</formula>
    </cfRule>
  </conditionalFormatting>
  <conditionalFormatting sqref="C49 C51 C53:C56">
    <cfRule type="cellIs" dxfId="0" priority="382" stopIfTrue="1" operator="equal">
      <formula>"I"</formula>
    </cfRule>
  </conditionalFormatting>
  <conditionalFormatting sqref="C49 C51 C53:C56">
    <cfRule type="cellIs" dxfId="1" priority="383" stopIfTrue="1" operator="equal">
      <formula>"A"</formula>
    </cfRule>
  </conditionalFormatting>
  <conditionalFormatting sqref="C49 C51 C53:C56">
    <cfRule type="cellIs" dxfId="2" priority="384" stopIfTrue="1" operator="equal">
      <formula>"E"</formula>
    </cfRule>
  </conditionalFormatting>
  <conditionalFormatting sqref="C43">
    <cfRule type="cellIs" dxfId="0" priority="385" stopIfTrue="1" operator="equal">
      <formula>"I"</formula>
    </cfRule>
  </conditionalFormatting>
  <conditionalFormatting sqref="C43">
    <cfRule type="cellIs" dxfId="1" priority="386" stopIfTrue="1" operator="equal">
      <formula>"A"</formula>
    </cfRule>
  </conditionalFormatting>
  <conditionalFormatting sqref="C43">
    <cfRule type="cellIs" dxfId="2" priority="387" stopIfTrue="1" operator="equal">
      <formula>"E"</formula>
    </cfRule>
  </conditionalFormatting>
  <conditionalFormatting sqref="C42">
    <cfRule type="cellIs" dxfId="0" priority="388" stopIfTrue="1" operator="equal">
      <formula>"I"</formula>
    </cfRule>
  </conditionalFormatting>
  <conditionalFormatting sqref="C42">
    <cfRule type="cellIs" dxfId="1" priority="389" stopIfTrue="1" operator="equal">
      <formula>"A"</formula>
    </cfRule>
  </conditionalFormatting>
  <conditionalFormatting sqref="C42">
    <cfRule type="cellIs" dxfId="2" priority="390" stopIfTrue="1" operator="equal">
      <formula>"E"</formula>
    </cfRule>
  </conditionalFormatting>
  <conditionalFormatting sqref="C48">
    <cfRule type="cellIs" dxfId="0" priority="391" stopIfTrue="1" operator="equal">
      <formula>"I"</formula>
    </cfRule>
  </conditionalFormatting>
  <conditionalFormatting sqref="C48">
    <cfRule type="cellIs" dxfId="1" priority="392" stopIfTrue="1" operator="equal">
      <formula>"A"</formula>
    </cfRule>
  </conditionalFormatting>
  <conditionalFormatting sqref="C48">
    <cfRule type="cellIs" dxfId="2" priority="393" stopIfTrue="1" operator="equal">
      <formula>"E"</formula>
    </cfRule>
  </conditionalFormatting>
  <conditionalFormatting sqref="C50">
    <cfRule type="cellIs" dxfId="0" priority="394" stopIfTrue="1" operator="equal">
      <formula>"I"</formula>
    </cfRule>
  </conditionalFormatting>
  <conditionalFormatting sqref="C50">
    <cfRule type="cellIs" dxfId="1" priority="395" stopIfTrue="1" operator="equal">
      <formula>"A"</formula>
    </cfRule>
  </conditionalFormatting>
  <conditionalFormatting sqref="C50">
    <cfRule type="cellIs" dxfId="2" priority="396" stopIfTrue="1" operator="equal">
      <formula>"E"</formula>
    </cfRule>
  </conditionalFormatting>
  <conditionalFormatting sqref="C52">
    <cfRule type="cellIs" dxfId="0" priority="397" stopIfTrue="1" operator="equal">
      <formula>"I"</formula>
    </cfRule>
  </conditionalFormatting>
  <conditionalFormatting sqref="C52">
    <cfRule type="cellIs" dxfId="1" priority="398" stopIfTrue="1" operator="equal">
      <formula>"A"</formula>
    </cfRule>
  </conditionalFormatting>
  <conditionalFormatting sqref="C52">
    <cfRule type="cellIs" dxfId="2" priority="399" stopIfTrue="1" operator="equal">
      <formula>"E"</formula>
    </cfRule>
  </conditionalFormatting>
  <conditionalFormatting sqref="C40">
    <cfRule type="cellIs" dxfId="0" priority="400" stopIfTrue="1" operator="equal">
      <formula>"I"</formula>
    </cfRule>
  </conditionalFormatting>
  <conditionalFormatting sqref="C40">
    <cfRule type="cellIs" dxfId="1" priority="401" stopIfTrue="1" operator="equal">
      <formula>"A"</formula>
    </cfRule>
  </conditionalFormatting>
  <conditionalFormatting sqref="C40">
    <cfRule type="cellIs" dxfId="2" priority="402" stopIfTrue="1" operator="equal">
      <formula>"E"</formula>
    </cfRule>
  </conditionalFormatting>
  <conditionalFormatting sqref="C41">
    <cfRule type="cellIs" dxfId="0" priority="403" stopIfTrue="1" operator="equal">
      <formula>"I"</formula>
    </cfRule>
  </conditionalFormatting>
  <conditionalFormatting sqref="C41">
    <cfRule type="cellIs" dxfId="1" priority="404" stopIfTrue="1" operator="equal">
      <formula>"A"</formula>
    </cfRule>
  </conditionalFormatting>
  <conditionalFormatting sqref="C41">
    <cfRule type="cellIs" dxfId="2" priority="405" stopIfTrue="1" operator="equal">
      <formula>"E"</formula>
    </cfRule>
  </conditionalFormatting>
  <conditionalFormatting sqref="C30">
    <cfRule type="cellIs" dxfId="0" priority="406" stopIfTrue="1" operator="equal">
      <formula>"I"</formula>
    </cfRule>
  </conditionalFormatting>
  <conditionalFormatting sqref="C30">
    <cfRule type="cellIs" dxfId="1" priority="407" stopIfTrue="1" operator="equal">
      <formula>"A"</formula>
    </cfRule>
  </conditionalFormatting>
  <conditionalFormatting sqref="C30">
    <cfRule type="cellIs" dxfId="2" priority="408" stopIfTrue="1" operator="equal">
      <formula>"E"</formula>
    </cfRule>
  </conditionalFormatting>
  <conditionalFormatting sqref="C21">
    <cfRule type="cellIs" dxfId="0" priority="409" stopIfTrue="1" operator="equal">
      <formula>"I"</formula>
    </cfRule>
  </conditionalFormatting>
  <conditionalFormatting sqref="C21">
    <cfRule type="cellIs" dxfId="1" priority="410" stopIfTrue="1" operator="equal">
      <formula>"A"</formula>
    </cfRule>
  </conditionalFormatting>
  <conditionalFormatting sqref="C21">
    <cfRule type="cellIs" dxfId="2" priority="411" stopIfTrue="1" operator="equal">
      <formula>"E"</formula>
    </cfRule>
  </conditionalFormatting>
  <conditionalFormatting sqref="C12">
    <cfRule type="cellIs" dxfId="0" priority="412" stopIfTrue="1" operator="equal">
      <formula>"I"</formula>
    </cfRule>
  </conditionalFormatting>
  <conditionalFormatting sqref="C12">
    <cfRule type="cellIs" dxfId="1" priority="413" stopIfTrue="1" operator="equal">
      <formula>"A"</formula>
    </cfRule>
  </conditionalFormatting>
  <conditionalFormatting sqref="C12">
    <cfRule type="cellIs" dxfId="2" priority="414" stopIfTrue="1" operator="equal">
      <formula>"E"</formula>
    </cfRule>
  </conditionalFormatting>
  <conditionalFormatting sqref="C39">
    <cfRule type="cellIs" dxfId="0" priority="415" stopIfTrue="1" operator="equal">
      <formula>"I"</formula>
    </cfRule>
  </conditionalFormatting>
  <conditionalFormatting sqref="C39">
    <cfRule type="cellIs" dxfId="1" priority="416" stopIfTrue="1" operator="equal">
      <formula>"A"</formula>
    </cfRule>
  </conditionalFormatting>
  <conditionalFormatting sqref="C39">
    <cfRule type="cellIs" dxfId="2" priority="417" stopIfTrue="1" operator="equal">
      <formula>"E"</formula>
    </cfRule>
  </conditionalFormatting>
  <conditionalFormatting sqref="C45">
    <cfRule type="cellIs" dxfId="0" priority="418" stopIfTrue="1" operator="equal">
      <formula>"I"</formula>
    </cfRule>
  </conditionalFormatting>
  <conditionalFormatting sqref="C45">
    <cfRule type="cellIs" dxfId="1" priority="419" stopIfTrue="1" operator="equal">
      <formula>"A"</formula>
    </cfRule>
  </conditionalFormatting>
  <conditionalFormatting sqref="C45">
    <cfRule type="cellIs" dxfId="2" priority="420" stopIfTrue="1" operator="equal">
      <formula>"E"</formula>
    </cfRule>
  </conditionalFormatting>
  <conditionalFormatting sqref="C44">
    <cfRule type="cellIs" dxfId="0" priority="421" stopIfTrue="1" operator="equal">
      <formula>"I"</formula>
    </cfRule>
  </conditionalFormatting>
  <conditionalFormatting sqref="C44">
    <cfRule type="cellIs" dxfId="1" priority="422" stopIfTrue="1" operator="equal">
      <formula>"A"</formula>
    </cfRule>
  </conditionalFormatting>
  <conditionalFormatting sqref="C44">
    <cfRule type="cellIs" dxfId="2" priority="423" stopIfTrue="1" operator="equal">
      <formula>"E"</formula>
    </cfRule>
  </conditionalFormatting>
  <conditionalFormatting sqref="C46">
    <cfRule type="cellIs" dxfId="0" priority="424" stopIfTrue="1" operator="equal">
      <formula>"I"</formula>
    </cfRule>
  </conditionalFormatting>
  <conditionalFormatting sqref="C46">
    <cfRule type="cellIs" dxfId="1" priority="425" stopIfTrue="1" operator="equal">
      <formula>"A"</formula>
    </cfRule>
  </conditionalFormatting>
  <conditionalFormatting sqref="C46">
    <cfRule type="cellIs" dxfId="2" priority="426" stopIfTrue="1" operator="equal">
      <formula>"E"</formula>
    </cfRule>
  </conditionalFormatting>
  <conditionalFormatting sqref="C47">
    <cfRule type="cellIs" dxfId="0" priority="427" stopIfTrue="1" operator="equal">
      <formula>"I"</formula>
    </cfRule>
  </conditionalFormatting>
  <conditionalFormatting sqref="C47">
    <cfRule type="cellIs" dxfId="1" priority="428" stopIfTrue="1" operator="equal">
      <formula>"A"</formula>
    </cfRule>
  </conditionalFormatting>
  <conditionalFormatting sqref="C47">
    <cfRule type="cellIs" dxfId="2" priority="429" stopIfTrue="1" operator="equal">
      <formula>"E"</formula>
    </cfRule>
  </conditionalFormatting>
  <dataValidations>
    <dataValidation type="list" allowBlank="1" showInputMessage="1" showErrorMessage="1" prompt="Tipo da Função - ALI, AIE, EE, SE, CE_x000a_ou_x000a_Itens não mensuráveis" sqref="B8:B809">
      <formula1>'Funções'!TiposDeFuncao</formula1>
    </dataValidation>
    <dataValidation type="list" allowBlank="1" showInputMessage="1" showErrorMessage="1" prompt="Tipo de Manutenção na Função - I, A, E _x000a_ou_x000a_Itens não mensuráveis" sqref="C8:C809">
      <formula1>'Funções'!TiposDeManutencao</formula1>
    </dataValidation>
  </dataValidations>
  <printOptions/>
  <pageMargins bottom="0.7486111111111111" footer="0.0" header="0.0" left="0.7083333333333334" right="0.7083333333333334" top="0.7479166666666667"/>
  <pageSetup fitToHeight="0" paperSize="9" orientation="landscape"/>
  <headerFooter>
    <oddFooter>&amp;CPágina &amp;P de </oddFooter>
  </headerFooter>
  <drawing r:id="rId2"/>
  <legacy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3" width="11.5"/>
    <col customWidth="1" min="4" max="4" width="10.75"/>
    <col customWidth="1" min="5" max="5" width="23.25"/>
    <col customWidth="1" min="6" max="6" width="53.25"/>
    <col customWidth="1" min="7" max="7" width="7.75"/>
    <col customWidth="1" min="8" max="8" width="13.25"/>
    <col customWidth="1" min="9" max="9" width="9.88"/>
    <col customWidth="1" min="10" max="11" width="10.5"/>
    <col customWidth="1" hidden="1" min="12" max="12" width="11.5"/>
    <col customWidth="1" min="13" max="26" width="11.5"/>
  </cols>
  <sheetData>
    <row r="1" ht="36.0" customHeight="1">
      <c r="A1" s="80" t="s">
        <v>149</v>
      </c>
      <c r="B1" s="81"/>
      <c r="C1" s="81"/>
      <c r="D1" s="81"/>
      <c r="E1" s="81"/>
      <c r="F1" s="81"/>
      <c r="G1" s="81"/>
      <c r="H1" s="81"/>
      <c r="I1" s="81"/>
      <c r="J1" s="81"/>
      <c r="K1" s="82"/>
      <c r="L1" s="83"/>
    </row>
    <row r="2" ht="14.25" customHeight="1">
      <c r="A2" s="84" t="s">
        <v>150</v>
      </c>
      <c r="B2" s="10"/>
      <c r="C2" s="10"/>
      <c r="D2" s="10"/>
      <c r="E2" s="10"/>
      <c r="F2" s="11"/>
      <c r="G2" s="85" t="s">
        <v>151</v>
      </c>
      <c r="H2" s="86" t="s">
        <v>152</v>
      </c>
      <c r="I2" s="11"/>
      <c r="J2" s="85" t="s">
        <v>3</v>
      </c>
      <c r="K2" s="87" t="s">
        <v>153</v>
      </c>
      <c r="L2" s="88"/>
    </row>
    <row r="3" ht="14.25" customHeight="1">
      <c r="A3" s="89" t="s">
        <v>154</v>
      </c>
      <c r="B3" s="86" t="s">
        <v>155</v>
      </c>
      <c r="C3" s="10"/>
      <c r="D3" s="10"/>
      <c r="E3" s="11"/>
      <c r="F3" s="90" t="s">
        <v>156</v>
      </c>
      <c r="G3" s="91"/>
      <c r="H3" s="90" t="s">
        <v>157</v>
      </c>
      <c r="I3" s="90" t="s">
        <v>158</v>
      </c>
      <c r="J3" s="91"/>
      <c r="K3" s="92"/>
      <c r="L3" s="88"/>
    </row>
    <row r="4" ht="12.0" customHeight="1">
      <c r="A4" s="32" t="s">
        <v>159</v>
      </c>
      <c r="B4" s="13" t="s">
        <v>160</v>
      </c>
      <c r="C4" s="10"/>
      <c r="D4" s="10"/>
      <c r="E4" s="11"/>
      <c r="F4" s="93"/>
      <c r="G4" s="94" t="s">
        <v>66</v>
      </c>
      <c r="H4" s="95">
        <v>1.0</v>
      </c>
      <c r="I4" s="96"/>
      <c r="J4" s="97">
        <f>SUMIF('Funções'!$C$8:$C$809,Deflatores!G4,'Funções'!$H$8:$H$809)</f>
        <v>259</v>
      </c>
      <c r="K4" s="98">
        <f>IF(H4="",COUNTIF('Funções'!C$8:C$809,G4)*I4,H4*J4)</f>
        <v>259</v>
      </c>
      <c r="L4" s="88"/>
    </row>
    <row r="5" ht="12.0" customHeight="1">
      <c r="A5" s="32" t="s">
        <v>161</v>
      </c>
      <c r="B5" s="13" t="s">
        <v>162</v>
      </c>
      <c r="C5" s="10"/>
      <c r="D5" s="10"/>
      <c r="E5" s="11"/>
      <c r="F5" s="93" t="s">
        <v>163</v>
      </c>
      <c r="G5" s="94" t="s">
        <v>164</v>
      </c>
      <c r="H5" s="95">
        <v>0.5</v>
      </c>
      <c r="I5" s="96"/>
      <c r="J5" s="97">
        <f>SUMIF('Funções'!$C$8:$C$809,Deflatores!G5,'Funções'!$H$8:$H$809)</f>
        <v>0</v>
      </c>
      <c r="K5" s="98">
        <f>IF(H5="",COUNTIF('Funções'!C$8:C$809,G5)*I5,H5*J5)</f>
        <v>0</v>
      </c>
      <c r="L5" s="88"/>
    </row>
    <row r="6" ht="12.0" customHeight="1">
      <c r="A6" s="32" t="s">
        <v>165</v>
      </c>
      <c r="B6" s="13" t="s">
        <v>166</v>
      </c>
      <c r="C6" s="10"/>
      <c r="D6" s="10"/>
      <c r="E6" s="11"/>
      <c r="F6" s="93" t="s">
        <v>163</v>
      </c>
      <c r="G6" s="94" t="s">
        <v>167</v>
      </c>
      <c r="H6" s="95">
        <v>0.4</v>
      </c>
      <c r="I6" s="96"/>
      <c r="J6" s="97">
        <f>SUMIF('Funções'!$C$8:$C$809,Deflatores!G6,'Funções'!$H$8:$H$809)</f>
        <v>0</v>
      </c>
      <c r="K6" s="98">
        <f>IF(H6="",COUNTIF('Funções'!C$8:C$809,G6)*I6,H6*J6)</f>
        <v>0</v>
      </c>
      <c r="L6" s="88"/>
    </row>
    <row r="7" ht="12.0" customHeight="1">
      <c r="A7" s="32"/>
      <c r="B7" s="13" t="s">
        <v>168</v>
      </c>
      <c r="C7" s="10"/>
      <c r="D7" s="10"/>
      <c r="E7" s="11"/>
      <c r="F7" s="93" t="s">
        <v>163</v>
      </c>
      <c r="G7" s="94" t="s">
        <v>44</v>
      </c>
      <c r="H7" s="95">
        <v>0.5</v>
      </c>
      <c r="I7" s="96"/>
      <c r="J7" s="97">
        <f>SUMIF('Funções'!$C$8:$C$809,Deflatores!G7,'Funções'!$H$8:$H$809)</f>
        <v>61</v>
      </c>
      <c r="K7" s="98">
        <f>IF(H7="",COUNTIF('Funções'!C$8:C$809,G7)*I7,H7*J7)</f>
        <v>30.5</v>
      </c>
      <c r="L7" s="88"/>
    </row>
    <row r="8" ht="12.0" customHeight="1">
      <c r="A8" s="32"/>
      <c r="B8" s="13" t="s">
        <v>169</v>
      </c>
      <c r="C8" s="10"/>
      <c r="D8" s="10"/>
      <c r="E8" s="11"/>
      <c r="F8" s="93" t="s">
        <v>163</v>
      </c>
      <c r="G8" s="94" t="s">
        <v>170</v>
      </c>
      <c r="H8" s="95">
        <v>0.75</v>
      </c>
      <c r="I8" s="96"/>
      <c r="J8" s="97">
        <f>SUMIF('Funções'!$C$8:$C$809,Deflatores!G8,'Funções'!$H$8:$H$809)</f>
        <v>0</v>
      </c>
      <c r="K8" s="98">
        <f>IF(H8="",COUNTIF('Funções'!C$8:C$809,G8)*I8,H8*J8)</f>
        <v>0</v>
      </c>
      <c r="L8" s="88"/>
    </row>
    <row r="9" ht="12.0" customHeight="1">
      <c r="A9" s="32"/>
      <c r="B9" s="13" t="s">
        <v>171</v>
      </c>
      <c r="C9" s="10"/>
      <c r="D9" s="10"/>
      <c r="E9" s="11"/>
      <c r="F9" s="93" t="s">
        <v>163</v>
      </c>
      <c r="G9" s="94" t="s">
        <v>172</v>
      </c>
      <c r="H9" s="95">
        <v>0.9</v>
      </c>
      <c r="I9" s="96"/>
      <c r="J9" s="97">
        <f>SUMIF('Funções'!$C$8:$C$809,Deflatores!G9,'Funções'!$H$8:$H$809)</f>
        <v>0</v>
      </c>
      <c r="K9" s="98">
        <f>IF(H9="",COUNTIF('Funções'!C$8:C$809,G9)*I9,H9*J9)</f>
        <v>0</v>
      </c>
      <c r="L9" s="88"/>
    </row>
    <row r="10" ht="12.0" customHeight="1">
      <c r="A10" s="32"/>
      <c r="B10" s="13" t="s">
        <v>173</v>
      </c>
      <c r="C10" s="10"/>
      <c r="D10" s="10"/>
      <c r="E10" s="11"/>
      <c r="F10" s="93" t="s">
        <v>174</v>
      </c>
      <c r="G10" s="94" t="s">
        <v>175</v>
      </c>
      <c r="H10" s="95">
        <v>1.0</v>
      </c>
      <c r="I10" s="96"/>
      <c r="J10" s="97">
        <f>SUMIF('Funções'!$C$8:$C$809,Deflatores!G10,'Funções'!$H$8:$H$809)</f>
        <v>0</v>
      </c>
      <c r="K10" s="98">
        <f>IF(H10="",COUNTIF('Funções'!C$8:C$809,G10)*I10,H10*J10)</f>
        <v>0</v>
      </c>
      <c r="L10" s="88"/>
    </row>
    <row r="11" ht="12.0" customHeight="1">
      <c r="A11" s="32"/>
      <c r="B11" s="13" t="s">
        <v>176</v>
      </c>
      <c r="C11" s="10"/>
      <c r="D11" s="10"/>
      <c r="E11" s="11"/>
      <c r="F11" s="93" t="s">
        <v>177</v>
      </c>
      <c r="G11" s="94" t="s">
        <v>178</v>
      </c>
      <c r="H11" s="95">
        <v>0.5</v>
      </c>
      <c r="I11" s="96"/>
      <c r="J11" s="97">
        <f>SUMIF('Funções'!$C$8:$C$809,Deflatores!G11,'Funções'!$H$8:$H$809)</f>
        <v>0</v>
      </c>
      <c r="K11" s="98">
        <f>IF(H11="",COUNTIF('Funções'!C$8:C$809,G11)*I11,H11*J11)</f>
        <v>0</v>
      </c>
      <c r="L11" s="88"/>
    </row>
    <row r="12" ht="13.5" customHeight="1">
      <c r="A12" s="32"/>
      <c r="B12" s="13" t="s">
        <v>179</v>
      </c>
      <c r="C12" s="10"/>
      <c r="D12" s="10"/>
      <c r="E12" s="11"/>
      <c r="F12" s="93" t="s">
        <v>177</v>
      </c>
      <c r="G12" s="94" t="s">
        <v>180</v>
      </c>
      <c r="H12" s="95">
        <v>0.5</v>
      </c>
      <c r="I12" s="96"/>
      <c r="J12" s="97">
        <f>SUMIF('Funções'!$C$8:$C$809,Deflatores!G12,'Funções'!$H$8:$H$809)</f>
        <v>0</v>
      </c>
      <c r="K12" s="98">
        <f>IF(H12="",COUNTIF('Funções'!C$8:C$809,G12)*I12,H12*J12)</f>
        <v>0</v>
      </c>
      <c r="L12" s="88"/>
    </row>
    <row r="13" ht="13.5" customHeight="1">
      <c r="A13" s="32"/>
      <c r="B13" s="13" t="s">
        <v>181</v>
      </c>
      <c r="C13" s="10"/>
      <c r="D13" s="10"/>
      <c r="E13" s="11"/>
      <c r="F13" s="93" t="s">
        <v>177</v>
      </c>
      <c r="G13" s="94" t="s">
        <v>182</v>
      </c>
      <c r="H13" s="95">
        <v>0.75</v>
      </c>
      <c r="I13" s="96"/>
      <c r="J13" s="97">
        <f>SUMIF('Funções'!$C$8:$C$809,Deflatores!G13,'Funções'!$H$8:$H$809)</f>
        <v>0</v>
      </c>
      <c r="K13" s="98">
        <f>IF(H13="",COUNTIF('Funções'!C$8:C$809,G13)*I13,H13*J13)</f>
        <v>0</v>
      </c>
      <c r="L13" s="88"/>
    </row>
    <row r="14" ht="13.5" customHeight="1">
      <c r="A14" s="32"/>
      <c r="B14" s="13" t="s">
        <v>183</v>
      </c>
      <c r="C14" s="10"/>
      <c r="D14" s="10"/>
      <c r="E14" s="11"/>
      <c r="F14" s="93" t="s">
        <v>177</v>
      </c>
      <c r="G14" s="94" t="s">
        <v>184</v>
      </c>
      <c r="H14" s="95">
        <v>0.9</v>
      </c>
      <c r="I14" s="96"/>
      <c r="J14" s="97">
        <f>SUMIF('Funções'!$C$8:$C$809,Deflatores!G14,'Funções'!$H$8:$H$809)</f>
        <v>0</v>
      </c>
      <c r="K14" s="98">
        <f>IF(H14="",COUNTIF('Funções'!C$8:C$809,G14)*I14,H14*J14)</f>
        <v>0</v>
      </c>
      <c r="L14" s="88"/>
    </row>
    <row r="15" ht="13.5" customHeight="1">
      <c r="A15" s="32"/>
      <c r="B15" s="13" t="s">
        <v>185</v>
      </c>
      <c r="C15" s="10"/>
      <c r="D15" s="10"/>
      <c r="E15" s="11"/>
      <c r="F15" s="93" t="s">
        <v>177</v>
      </c>
      <c r="G15" s="94" t="s">
        <v>186</v>
      </c>
      <c r="H15" s="95">
        <v>0.0</v>
      </c>
      <c r="I15" s="96"/>
      <c r="J15" s="97">
        <f>SUMIF('Funções'!$C$8:$C$809,Deflatores!G15,'Funções'!$H$8:$H$809)</f>
        <v>0</v>
      </c>
      <c r="K15" s="98">
        <f>IF(H15="",COUNTIF('Funções'!C$8:C$809,G15)*I15,H15*J15)</f>
        <v>0</v>
      </c>
      <c r="L15" s="88"/>
    </row>
    <row r="16" ht="13.5" customHeight="1">
      <c r="A16" s="32"/>
      <c r="B16" s="13" t="s">
        <v>187</v>
      </c>
      <c r="C16" s="10"/>
      <c r="D16" s="10"/>
      <c r="E16" s="11"/>
      <c r="F16" s="93" t="s">
        <v>188</v>
      </c>
      <c r="G16" s="94" t="s">
        <v>189</v>
      </c>
      <c r="H16" s="95">
        <v>1.0</v>
      </c>
      <c r="I16" s="96"/>
      <c r="J16" s="97">
        <f>SUMIF('Funções'!$C$8:$C$809,Deflatores!G16,'Funções'!$H$8:$H$809)</f>
        <v>0</v>
      </c>
      <c r="K16" s="98">
        <f>IF(H16="",COUNTIF('Funções'!C$8:C$809,G16)*I16,H16*J16)</f>
        <v>0</v>
      </c>
      <c r="L16" s="88"/>
    </row>
    <row r="17" ht="12.0" customHeight="1">
      <c r="A17" s="32"/>
      <c r="B17" s="13" t="s">
        <v>190</v>
      </c>
      <c r="C17" s="10"/>
      <c r="D17" s="10"/>
      <c r="E17" s="11"/>
      <c r="F17" s="93" t="s">
        <v>191</v>
      </c>
      <c r="G17" s="94" t="s">
        <v>192</v>
      </c>
      <c r="H17" s="95">
        <v>1.0</v>
      </c>
      <c r="I17" s="96"/>
      <c r="J17" s="97">
        <f>SUMIF('Funções'!$C$8:$C$809,Deflatores!G17,'Funções'!$H$8:$H$809)</f>
        <v>0</v>
      </c>
      <c r="K17" s="98">
        <f>IF(H17="",COUNTIF('Funções'!C$8:C$809,G17)*I17,H17*J17)</f>
        <v>0</v>
      </c>
      <c r="L17" s="88"/>
    </row>
    <row r="18" ht="13.5" customHeight="1">
      <c r="A18" s="32"/>
      <c r="B18" s="13" t="s">
        <v>193</v>
      </c>
      <c r="C18" s="10"/>
      <c r="D18" s="10"/>
      <c r="E18" s="11"/>
      <c r="F18" s="93" t="s">
        <v>191</v>
      </c>
      <c r="G18" s="94" t="s">
        <v>194</v>
      </c>
      <c r="H18" s="95">
        <v>0.3</v>
      </c>
      <c r="I18" s="96"/>
      <c r="J18" s="97">
        <f>SUMIF('Funções'!$C$8:$C$809,Deflatores!G18,'Funções'!$H$8:$H$809)</f>
        <v>0</v>
      </c>
      <c r="K18" s="98">
        <f>IF(H18="",COUNTIF('Funções'!C$8:C$809,G18)*I18,H18*J18)</f>
        <v>0</v>
      </c>
      <c r="L18" s="88"/>
    </row>
    <row r="19" ht="13.5" customHeight="1">
      <c r="A19" s="32"/>
      <c r="B19" s="13" t="s">
        <v>195</v>
      </c>
      <c r="C19" s="10"/>
      <c r="D19" s="10"/>
      <c r="E19" s="11"/>
      <c r="F19" s="93" t="s">
        <v>196</v>
      </c>
      <c r="G19" s="94" t="s">
        <v>197</v>
      </c>
      <c r="H19" s="95">
        <v>0.3</v>
      </c>
      <c r="I19" s="96"/>
      <c r="J19" s="97">
        <f>SUMIF('Funções'!$C$8:$C$809,Deflatores!G19,'Funções'!$H$8:$H$809)</f>
        <v>0</v>
      </c>
      <c r="K19" s="98">
        <f>IF(H19="",COUNTIF('Funções'!C$8:C$809,G19)*I19,H19*J19)</f>
        <v>0</v>
      </c>
      <c r="L19" s="88"/>
    </row>
    <row r="20" ht="13.5" customHeight="1">
      <c r="A20" s="32"/>
      <c r="B20" s="13" t="s">
        <v>198</v>
      </c>
      <c r="C20" s="10"/>
      <c r="D20" s="10"/>
      <c r="E20" s="11"/>
      <c r="F20" s="93" t="s">
        <v>199</v>
      </c>
      <c r="G20" s="94" t="s">
        <v>200</v>
      </c>
      <c r="H20" s="95">
        <v>0.3</v>
      </c>
      <c r="I20" s="96"/>
      <c r="J20" s="97">
        <f>SUMIF('Funções'!$C$8:$C$809,Deflatores!G20,'Funções'!$H$8:$H$809)</f>
        <v>0</v>
      </c>
      <c r="K20" s="98">
        <f>IF(H20="",COUNTIF('Funções'!C$8:C$809,G20)*I20,H20*J20)</f>
        <v>0</v>
      </c>
      <c r="L20" s="88"/>
    </row>
    <row r="21" ht="13.5" customHeight="1">
      <c r="A21" s="32"/>
      <c r="B21" s="13" t="s">
        <v>201</v>
      </c>
      <c r="C21" s="10"/>
      <c r="D21" s="10"/>
      <c r="E21" s="11"/>
      <c r="F21" s="93" t="s">
        <v>202</v>
      </c>
      <c r="G21" s="94" t="s">
        <v>203</v>
      </c>
      <c r="H21" s="95">
        <v>0.3</v>
      </c>
      <c r="I21" s="96"/>
      <c r="J21" s="97">
        <f>SUMIF('Funções'!$C$8:$C$809,Deflatores!G21,'Funções'!$H$8:$H$809)</f>
        <v>0</v>
      </c>
      <c r="K21" s="98">
        <f>IF(H21="",COUNTIF('Funções'!C$8:C$809,G21)*I21,H21*J21)</f>
        <v>0</v>
      </c>
      <c r="L21" s="88"/>
    </row>
    <row r="22" ht="12.0" customHeight="1">
      <c r="A22" s="32"/>
      <c r="B22" s="13" t="s">
        <v>204</v>
      </c>
      <c r="C22" s="10"/>
      <c r="D22" s="10"/>
      <c r="E22" s="11"/>
      <c r="F22" s="93" t="s">
        <v>205</v>
      </c>
      <c r="G22" s="94" t="s">
        <v>48</v>
      </c>
      <c r="H22" s="95"/>
      <c r="I22" s="96">
        <v>0.6</v>
      </c>
      <c r="J22" s="97">
        <f>SUMIF('Funções'!$C$8:$C$809,Deflatores!G22,'Funções'!$H$8:$H$809)</f>
        <v>8</v>
      </c>
      <c r="K22" s="98">
        <f>IF(H22="",COUNTIF('Funções'!C$8:C$809,G22)*I22,H22*J22)</f>
        <v>1.2</v>
      </c>
      <c r="L22" s="88"/>
    </row>
    <row r="23" ht="27.0" customHeight="1">
      <c r="A23" s="32"/>
      <c r="B23" s="99" t="s">
        <v>206</v>
      </c>
      <c r="C23" s="10"/>
      <c r="D23" s="10"/>
      <c r="E23" s="11"/>
      <c r="F23" s="100" t="s">
        <v>207</v>
      </c>
      <c r="G23" s="94" t="s">
        <v>208</v>
      </c>
      <c r="H23" s="95">
        <v>0.5</v>
      </c>
      <c r="I23" s="96"/>
      <c r="J23" s="97">
        <f>SUMIF('Funções'!$C$8:$C$809,Deflatores!G23,'Funções'!$H$8:$H$809)</f>
        <v>0</v>
      </c>
      <c r="K23" s="98">
        <f>IF(H23="",COUNTIF('Funções'!C$8:C$809,G23)*I23,H23*J23)</f>
        <v>0</v>
      </c>
      <c r="L23" s="88"/>
    </row>
    <row r="24" ht="27.0" customHeight="1">
      <c r="A24" s="32"/>
      <c r="B24" s="99" t="s">
        <v>209</v>
      </c>
      <c r="C24" s="10"/>
      <c r="D24" s="10"/>
      <c r="E24" s="11"/>
      <c r="F24" s="100" t="s">
        <v>207</v>
      </c>
      <c r="G24" s="94" t="s">
        <v>210</v>
      </c>
      <c r="H24" s="95">
        <v>0.5</v>
      </c>
      <c r="I24" s="96"/>
      <c r="J24" s="97">
        <f>SUMIF('Funções'!$C$8:$C$809,Deflatores!G24,'Funções'!$H$8:$H$809)</f>
        <v>0</v>
      </c>
      <c r="K24" s="98">
        <f>IF(H24="",COUNTIF('Funções'!C$8:C$809,G24)*I24,H24*J24)</f>
        <v>0</v>
      </c>
      <c r="L24" s="88"/>
    </row>
    <row r="25" ht="27.0" customHeight="1">
      <c r="A25" s="32"/>
      <c r="B25" s="99" t="s">
        <v>211</v>
      </c>
      <c r="C25" s="10"/>
      <c r="D25" s="10"/>
      <c r="E25" s="11"/>
      <c r="F25" s="100" t="s">
        <v>207</v>
      </c>
      <c r="G25" s="94" t="s">
        <v>212</v>
      </c>
      <c r="H25" s="95">
        <v>0.75</v>
      </c>
      <c r="I25" s="96"/>
      <c r="J25" s="97">
        <f>SUMIF('Funções'!$C$8:$C$809,Deflatores!G25,'Funções'!$H$8:$H$809)</f>
        <v>0</v>
      </c>
      <c r="K25" s="98">
        <f>IF(H25="",COUNTIF('Funções'!C$8:C$809,G25)*I25,H25*J25)</f>
        <v>0</v>
      </c>
      <c r="L25" s="88"/>
    </row>
    <row r="26" ht="13.5" customHeight="1">
      <c r="A26" s="32"/>
      <c r="B26" s="13" t="s">
        <v>213</v>
      </c>
      <c r="C26" s="10"/>
      <c r="D26" s="10"/>
      <c r="E26" s="11"/>
      <c r="F26" s="93" t="s">
        <v>214</v>
      </c>
      <c r="G26" s="94" t="s">
        <v>215</v>
      </c>
      <c r="H26" s="95">
        <v>1.0</v>
      </c>
      <c r="I26" s="96"/>
      <c r="J26" s="97">
        <f>SUMIF('Funções'!$C$8:$C$809,Deflatores!G26,'Funções'!$H$8:$H$809)</f>
        <v>0</v>
      </c>
      <c r="K26" s="98">
        <f>IF(H26="",COUNTIF('Funções'!C$8:C$809,G26)*I26,H26*J26)</f>
        <v>0</v>
      </c>
      <c r="L26" s="88"/>
    </row>
    <row r="27" ht="13.5" customHeight="1">
      <c r="A27" s="32"/>
      <c r="B27" s="13" t="s">
        <v>216</v>
      </c>
      <c r="C27" s="10"/>
      <c r="D27" s="10"/>
      <c r="E27" s="11"/>
      <c r="F27" s="93" t="s">
        <v>214</v>
      </c>
      <c r="G27" s="94" t="s">
        <v>217</v>
      </c>
      <c r="H27" s="95">
        <v>1.0</v>
      </c>
      <c r="I27" s="96"/>
      <c r="J27" s="97">
        <f>SUMIF('Funções'!$C$8:$C$809,Deflatores!G27,'Funções'!$H$8:$H$809)</f>
        <v>0</v>
      </c>
      <c r="K27" s="98">
        <f>IF(H27="",COUNTIF('Funções'!C$8:C$809,G27)*I27,H27*J27)</f>
        <v>0</v>
      </c>
      <c r="L27" s="88"/>
    </row>
    <row r="28" ht="13.5" customHeight="1">
      <c r="A28" s="32"/>
      <c r="B28" s="13" t="s">
        <v>218</v>
      </c>
      <c r="C28" s="10"/>
      <c r="D28" s="10"/>
      <c r="E28" s="11"/>
      <c r="F28" s="93" t="s">
        <v>214</v>
      </c>
      <c r="G28" s="94" t="s">
        <v>219</v>
      </c>
      <c r="H28" s="95">
        <v>0.6</v>
      </c>
      <c r="I28" s="96"/>
      <c r="J28" s="97">
        <f>SUMIF('Funções'!$C$8:$C$809,Deflatores!G28,'Funções'!$H$8:$H$809)</f>
        <v>0</v>
      </c>
      <c r="K28" s="98">
        <f>IF(H28="",COUNTIF('Funções'!C$8:C$809,G28)*I28,H28*J28)</f>
        <v>0</v>
      </c>
      <c r="L28" s="88"/>
    </row>
    <row r="29" ht="13.5" customHeight="1">
      <c r="A29" s="32"/>
      <c r="B29" s="13" t="s">
        <v>220</v>
      </c>
      <c r="C29" s="10"/>
      <c r="D29" s="10"/>
      <c r="E29" s="11"/>
      <c r="F29" s="93" t="s">
        <v>221</v>
      </c>
      <c r="G29" s="94" t="s">
        <v>222</v>
      </c>
      <c r="H29" s="95">
        <v>1.0</v>
      </c>
      <c r="I29" s="96"/>
      <c r="J29" s="97">
        <f>SUMIF('Funções'!$C$8:$C$809,Deflatores!G29,'Funções'!$H$8:$H$809)</f>
        <v>0</v>
      </c>
      <c r="K29" s="98">
        <f>IF(H29="",COUNTIF('Funções'!C$8:C$809,G29)*I29,H29*J29)</f>
        <v>0</v>
      </c>
      <c r="L29" s="88"/>
    </row>
    <row r="30" ht="13.5" customHeight="1">
      <c r="A30" s="32"/>
      <c r="B30" s="13" t="s">
        <v>223</v>
      </c>
      <c r="C30" s="10"/>
      <c r="D30" s="10"/>
      <c r="E30" s="11"/>
      <c r="F30" s="93" t="s">
        <v>224</v>
      </c>
      <c r="G30" s="94" t="s">
        <v>225</v>
      </c>
      <c r="H30" s="95">
        <v>0.1</v>
      </c>
      <c r="I30" s="96"/>
      <c r="J30" s="97">
        <f>SUMIF('Funções'!$C$8:$C$809,Deflatores!G30,'Funções'!$H$8:$H$809)</f>
        <v>0</v>
      </c>
      <c r="K30" s="98">
        <f>IF(H30="",COUNTIF('Funções'!C$8:C$809,G30)*I30,H30*J30)</f>
        <v>0</v>
      </c>
      <c r="L30" s="88"/>
    </row>
    <row r="31" ht="13.5" customHeight="1">
      <c r="A31" s="32"/>
      <c r="B31" s="13" t="s">
        <v>226</v>
      </c>
      <c r="C31" s="10"/>
      <c r="D31" s="10"/>
      <c r="E31" s="11"/>
      <c r="F31" s="93" t="s">
        <v>227</v>
      </c>
      <c r="G31" s="94" t="s">
        <v>228</v>
      </c>
      <c r="H31" s="95">
        <v>0.1</v>
      </c>
      <c r="I31" s="96"/>
      <c r="J31" s="97">
        <f>SUMIF('Funções'!$C$8:$C$809,Deflatores!G31,'Funções'!$H$8:$H$809)</f>
        <v>0</v>
      </c>
      <c r="K31" s="98">
        <f>IF(H31="",COUNTIF('Funções'!C$8:C$809,G31)*I31,H31*J31)</f>
        <v>0</v>
      </c>
      <c r="L31" s="88"/>
    </row>
    <row r="32" ht="13.5" customHeight="1">
      <c r="A32" s="32"/>
      <c r="B32" s="13" t="s">
        <v>229</v>
      </c>
      <c r="C32" s="101"/>
      <c r="D32" s="101"/>
      <c r="E32" s="102"/>
      <c r="F32" s="93" t="s">
        <v>230</v>
      </c>
      <c r="G32" s="94" t="s">
        <v>231</v>
      </c>
      <c r="H32" s="95">
        <v>0.25</v>
      </c>
      <c r="I32" s="96"/>
      <c r="J32" s="97">
        <f>SUMIF('Funções'!$C$8:$C$809,Deflatores!G32,'Funções'!$H$8:$H$809)</f>
        <v>0</v>
      </c>
      <c r="K32" s="98">
        <f>IF(H32="",COUNTIF('Funções'!C$8:C$809,G32)*I32,H32*J32)</f>
        <v>0</v>
      </c>
      <c r="L32" s="88"/>
    </row>
    <row r="33" ht="13.5" customHeight="1">
      <c r="A33" s="32"/>
      <c r="B33" s="13" t="s">
        <v>232</v>
      </c>
      <c r="C33" s="101"/>
      <c r="D33" s="101"/>
      <c r="E33" s="102"/>
      <c r="F33" s="93" t="s">
        <v>233</v>
      </c>
      <c r="G33" s="94" t="s">
        <v>234</v>
      </c>
      <c r="H33" s="95">
        <v>0.2</v>
      </c>
      <c r="I33" s="96"/>
      <c r="J33" s="97">
        <f>SUMIF('Funções'!$C$8:$C$809,Deflatores!G33,'Funções'!$H$8:$H$809)</f>
        <v>0</v>
      </c>
      <c r="K33" s="98">
        <f>IF(H33="",COUNTIF('Funções'!C$8:C$809,G33)*I33,H33*J33)</f>
        <v>0</v>
      </c>
      <c r="L33" s="88"/>
    </row>
    <row r="34" ht="13.5" customHeight="1">
      <c r="A34" s="32"/>
      <c r="B34" s="13" t="s">
        <v>235</v>
      </c>
      <c r="C34" s="101"/>
      <c r="D34" s="101"/>
      <c r="E34" s="102"/>
      <c r="F34" s="93" t="s">
        <v>233</v>
      </c>
      <c r="G34" s="94" t="s">
        <v>236</v>
      </c>
      <c r="H34" s="95">
        <v>0.15</v>
      </c>
      <c r="I34" s="96"/>
      <c r="J34" s="97">
        <f>SUMIF('Funções'!$C$8:$C$809,Deflatores!G34,'Funções'!$H$8:$H$809)</f>
        <v>0</v>
      </c>
      <c r="K34" s="98">
        <f>IF(H34="",COUNTIF('Funções'!C$8:C$809,G34)*I34,H34*J34)</f>
        <v>0</v>
      </c>
      <c r="L34" s="88"/>
    </row>
    <row r="35" ht="13.5" customHeight="1">
      <c r="A35" s="32"/>
      <c r="B35" s="13" t="s">
        <v>237</v>
      </c>
      <c r="C35" s="101"/>
      <c r="D35" s="101"/>
      <c r="E35" s="102"/>
      <c r="F35" s="93" t="s">
        <v>238</v>
      </c>
      <c r="G35" s="94" t="s">
        <v>239</v>
      </c>
      <c r="H35" s="95">
        <v>0.15</v>
      </c>
      <c r="I35" s="96"/>
      <c r="J35" s="97">
        <f>SUMIF('Funções'!$C$8:$C$809,Deflatores!G35,'Funções'!$H$8:$H$809)</f>
        <v>0</v>
      </c>
      <c r="K35" s="98">
        <f>IF(H35="",COUNTIF('Funções'!C$8:C$809,G35)*I35,H35*J35)</f>
        <v>0</v>
      </c>
      <c r="L35" s="88"/>
    </row>
    <row r="36" ht="13.5" customHeight="1">
      <c r="A36" s="32"/>
      <c r="B36" s="13" t="s">
        <v>240</v>
      </c>
      <c r="C36" s="10"/>
      <c r="D36" s="10"/>
      <c r="E36" s="11"/>
      <c r="F36" s="93" t="s">
        <v>241</v>
      </c>
      <c r="G36" s="94" t="s">
        <v>242</v>
      </c>
      <c r="H36" s="95">
        <v>1.0</v>
      </c>
      <c r="I36" s="96"/>
      <c r="J36" s="97">
        <f>SUMIF('Funções'!$C$8:$C$809,Deflatores!G36,'Funções'!$H$8:$H$809)</f>
        <v>0</v>
      </c>
      <c r="K36" s="98">
        <f>IF(H36="",COUNTIF('Funções'!C$8:C$809,G36)*I36,H36*J36)</f>
        <v>0</v>
      </c>
      <c r="L36" s="88"/>
    </row>
    <row r="37" ht="13.5" customHeight="1">
      <c r="A37" s="32"/>
      <c r="B37" s="13"/>
      <c r="C37" s="10"/>
      <c r="D37" s="10"/>
      <c r="E37" s="11"/>
      <c r="F37" s="93"/>
      <c r="G37" s="94" t="s">
        <v>243</v>
      </c>
      <c r="H37" s="95"/>
      <c r="I37" s="96"/>
      <c r="J37" s="97">
        <f>SUMIF('Funções'!$C$8:$C$809,Deflatores!G37,'Funções'!$H$8:$H$809)</f>
        <v>0</v>
      </c>
      <c r="K37" s="98">
        <f>IF(H37="",COUNTIF('Funções'!C$8:C$809,G37)*I37,H37*J37)</f>
        <v>0</v>
      </c>
      <c r="L37" s="88" t="s">
        <v>53</v>
      </c>
    </row>
    <row r="38" ht="13.5" customHeight="1">
      <c r="A38" s="32"/>
      <c r="B38" s="13"/>
      <c r="C38" s="10"/>
      <c r="D38" s="10"/>
      <c r="E38" s="11"/>
      <c r="F38" s="93"/>
      <c r="G38" s="94" t="s">
        <v>243</v>
      </c>
      <c r="H38" s="95"/>
      <c r="I38" s="96"/>
      <c r="J38" s="97">
        <f>SUMIF('Funções'!$C$8:$C$809,Deflatores!G38,'Funções'!$H$8:$H$809)</f>
        <v>0</v>
      </c>
      <c r="K38" s="98">
        <f>IF(H38="",COUNTIF('Funções'!C$8:C$809,G38)*I38,H38*J38)</f>
        <v>0</v>
      </c>
      <c r="L38" s="88" t="s">
        <v>144</v>
      </c>
    </row>
    <row r="39" ht="12.0" customHeight="1">
      <c r="A39" s="103"/>
      <c r="B39" s="104"/>
      <c r="C39" s="104"/>
      <c r="D39" s="104"/>
      <c r="E39" s="104"/>
      <c r="F39" s="104"/>
      <c r="G39" s="105"/>
      <c r="H39" s="106"/>
      <c r="I39" s="106"/>
      <c r="J39" s="107"/>
      <c r="K39" s="108"/>
      <c r="L39" s="88" t="s">
        <v>43</v>
      </c>
    </row>
    <row r="40" ht="14.25" customHeight="1">
      <c r="A40" s="84" t="s">
        <v>149</v>
      </c>
      <c r="B40" s="10"/>
      <c r="C40" s="10"/>
      <c r="D40" s="10"/>
      <c r="E40" s="10"/>
      <c r="F40" s="11"/>
      <c r="G40" s="85" t="s">
        <v>151</v>
      </c>
      <c r="H40" s="109" t="s">
        <v>152</v>
      </c>
      <c r="I40" s="110"/>
      <c r="J40" s="85" t="s">
        <v>244</v>
      </c>
      <c r="K40" s="87" t="s">
        <v>153</v>
      </c>
      <c r="L40" s="88" t="s">
        <v>47</v>
      </c>
    </row>
    <row r="41" ht="14.25" customHeight="1">
      <c r="A41" s="89" t="s">
        <v>154</v>
      </c>
      <c r="B41" s="86" t="s">
        <v>155</v>
      </c>
      <c r="C41" s="10"/>
      <c r="D41" s="10"/>
      <c r="E41" s="11"/>
      <c r="F41" s="90" t="s">
        <v>156</v>
      </c>
      <c r="G41" s="91"/>
      <c r="H41" s="111"/>
      <c r="I41" s="112"/>
      <c r="J41" s="91"/>
      <c r="K41" s="92"/>
      <c r="L41" s="88" t="s">
        <v>146</v>
      </c>
    </row>
    <row r="42" ht="13.5" customHeight="1">
      <c r="A42" s="113"/>
      <c r="B42" s="13" t="s">
        <v>245</v>
      </c>
      <c r="C42" s="10"/>
      <c r="D42" s="10"/>
      <c r="E42" s="11"/>
      <c r="F42" s="93" t="s">
        <v>246</v>
      </c>
      <c r="G42" s="94" t="s">
        <v>247</v>
      </c>
      <c r="H42" s="114">
        <v>0.6</v>
      </c>
      <c r="I42" s="11"/>
      <c r="J42" s="115">
        <f>COUNTIF('Funções'!B$8:B$809,G42)</f>
        <v>0</v>
      </c>
      <c r="K42" s="116">
        <f>SUMIF('Funções'!B$8:B$809,$G42,'Funções'!K$8:K$809)</f>
        <v>0</v>
      </c>
      <c r="L42" s="88" t="str">
        <f t="shared" ref="L42:L64" si="1">""&amp;G42</f>
        <v>PAG</v>
      </c>
    </row>
    <row r="43" ht="13.5" customHeight="1">
      <c r="A43" s="113"/>
      <c r="B43" s="13" t="s">
        <v>248</v>
      </c>
      <c r="C43" s="10"/>
      <c r="D43" s="10"/>
      <c r="E43" s="11"/>
      <c r="F43" s="93" t="s">
        <v>205</v>
      </c>
      <c r="G43" s="94" t="s">
        <v>249</v>
      </c>
      <c r="H43" s="114">
        <v>0.6</v>
      </c>
      <c r="I43" s="11"/>
      <c r="J43" s="115">
        <f>COUNTIF('Funções'!B$8:B$809,G43)</f>
        <v>0</v>
      </c>
      <c r="K43" s="116">
        <f>SUMIF('Funções'!B$8:B$809,$G43,'Funções'!K$8:K$809)</f>
        <v>0</v>
      </c>
      <c r="L43" s="88" t="str">
        <f t="shared" si="1"/>
        <v>COSNF</v>
      </c>
    </row>
    <row r="44" ht="13.5" customHeight="1">
      <c r="A44" s="113"/>
      <c r="B44" s="13" t="s">
        <v>250</v>
      </c>
      <c r="C44" s="10"/>
      <c r="D44" s="10"/>
      <c r="E44" s="11"/>
      <c r="F44" s="93"/>
      <c r="G44" s="94" t="s">
        <v>251</v>
      </c>
      <c r="H44" s="114">
        <v>0.0</v>
      </c>
      <c r="I44" s="11"/>
      <c r="J44" s="115">
        <f>COUNTIF('Funções'!B$8:B$809,G44)</f>
        <v>0</v>
      </c>
      <c r="K44" s="116">
        <f>SUMIF('Funções'!B$8:B$809,$G44,'Funções'!K$8:K$809)</f>
        <v>0</v>
      </c>
      <c r="L44" s="88" t="str">
        <f t="shared" si="1"/>
        <v>DC</v>
      </c>
    </row>
    <row r="45" ht="13.5" customHeight="1">
      <c r="A45" s="113"/>
      <c r="B45" s="13"/>
      <c r="C45" s="10"/>
      <c r="D45" s="10"/>
      <c r="E45" s="11"/>
      <c r="F45" s="93"/>
      <c r="G45" s="94" t="s">
        <v>243</v>
      </c>
      <c r="H45" s="114"/>
      <c r="I45" s="11"/>
      <c r="J45" s="115">
        <f>COUNTIF('Funções'!B$8:B$809,G45)</f>
        <v>0</v>
      </c>
      <c r="K45" s="116">
        <f>SUMIF('Funções'!B$8:B$809,$G45,'Funções'!K$8:K$809)</f>
        <v>0</v>
      </c>
      <c r="L45" s="88" t="str">
        <f t="shared" si="1"/>
        <v>           .</v>
      </c>
    </row>
    <row r="46" ht="13.5" customHeight="1">
      <c r="A46" s="113"/>
      <c r="B46" s="13"/>
      <c r="C46" s="10"/>
      <c r="D46" s="10"/>
      <c r="E46" s="11"/>
      <c r="F46" s="93"/>
      <c r="G46" s="94" t="s">
        <v>243</v>
      </c>
      <c r="H46" s="114"/>
      <c r="I46" s="11"/>
      <c r="J46" s="115">
        <f>COUNTIF('Funções'!B$8:B$809,G46)</f>
        <v>0</v>
      </c>
      <c r="K46" s="116">
        <f>SUMIF('Funções'!B$8:B$809,$G46,'Funções'!K$8:K$809)</f>
        <v>0</v>
      </c>
      <c r="L46" s="88" t="str">
        <f t="shared" si="1"/>
        <v>           .</v>
      </c>
    </row>
    <row r="47" ht="12.0" customHeight="1">
      <c r="A47" s="113"/>
      <c r="B47" s="13"/>
      <c r="C47" s="10"/>
      <c r="D47" s="10"/>
      <c r="E47" s="11"/>
      <c r="F47" s="93"/>
      <c r="G47" s="94" t="s">
        <v>243</v>
      </c>
      <c r="H47" s="114"/>
      <c r="I47" s="11"/>
      <c r="J47" s="115">
        <f>COUNTIF('Funções'!B$8:B$809,G47)</f>
        <v>0</v>
      </c>
      <c r="K47" s="116">
        <f>SUMIF('Funções'!B$8:B$809,$G47,'Funções'!K$8:K$809)</f>
        <v>0</v>
      </c>
      <c r="L47" s="88" t="str">
        <f t="shared" si="1"/>
        <v>           .</v>
      </c>
    </row>
    <row r="48" ht="12.0" customHeight="1">
      <c r="A48" s="113"/>
      <c r="B48" s="13"/>
      <c r="C48" s="10"/>
      <c r="D48" s="10"/>
      <c r="E48" s="11"/>
      <c r="F48" s="93"/>
      <c r="G48" s="94" t="s">
        <v>243</v>
      </c>
      <c r="H48" s="114"/>
      <c r="I48" s="11"/>
      <c r="J48" s="115">
        <f>COUNTIF('Funções'!B$8:B$809,G48)</f>
        <v>0</v>
      </c>
      <c r="K48" s="116">
        <f>SUMIF('Funções'!B$8:B$809,$G48,'Funções'!K$8:K$809)</f>
        <v>0</v>
      </c>
      <c r="L48" s="88" t="str">
        <f t="shared" si="1"/>
        <v>           .</v>
      </c>
    </row>
    <row r="49" ht="12.0" customHeight="1">
      <c r="A49" s="113"/>
      <c r="B49" s="13"/>
      <c r="C49" s="10"/>
      <c r="D49" s="10"/>
      <c r="E49" s="11"/>
      <c r="F49" s="93"/>
      <c r="G49" s="94" t="s">
        <v>243</v>
      </c>
      <c r="H49" s="114"/>
      <c r="I49" s="11"/>
      <c r="J49" s="115">
        <f>COUNTIF('Funções'!B$8:B$809,G49)</f>
        <v>0</v>
      </c>
      <c r="K49" s="116">
        <f>SUMIF('Funções'!B$8:B$809,$G49,'Funções'!K$8:K$809)</f>
        <v>0</v>
      </c>
      <c r="L49" s="88" t="str">
        <f t="shared" si="1"/>
        <v>           .</v>
      </c>
    </row>
    <row r="50" ht="12.0" customHeight="1">
      <c r="A50" s="113"/>
      <c r="B50" s="13"/>
      <c r="C50" s="10"/>
      <c r="D50" s="10"/>
      <c r="E50" s="11"/>
      <c r="F50" s="93"/>
      <c r="G50" s="94" t="s">
        <v>243</v>
      </c>
      <c r="H50" s="114"/>
      <c r="I50" s="11"/>
      <c r="J50" s="115">
        <f>COUNTIF('Funções'!B$8:B$809,G50)</f>
        <v>0</v>
      </c>
      <c r="K50" s="116">
        <f>SUMIF('Funções'!B$8:B$809,$G50,'Funções'!K$8:K$809)</f>
        <v>0</v>
      </c>
      <c r="L50" s="88" t="str">
        <f t="shared" si="1"/>
        <v>           .</v>
      </c>
    </row>
    <row r="51" ht="12.0" customHeight="1">
      <c r="A51" s="113"/>
      <c r="B51" s="13"/>
      <c r="C51" s="10"/>
      <c r="D51" s="10"/>
      <c r="E51" s="11"/>
      <c r="F51" s="93"/>
      <c r="G51" s="94" t="s">
        <v>243</v>
      </c>
      <c r="H51" s="114"/>
      <c r="I51" s="11"/>
      <c r="J51" s="115">
        <f>COUNTIF('Funções'!B$8:B$809,G51)</f>
        <v>0</v>
      </c>
      <c r="K51" s="116">
        <f>SUMIF('Funções'!B$8:B$809,$G51,'Funções'!K$8:K$809)</f>
        <v>0</v>
      </c>
      <c r="L51" s="88" t="str">
        <f t="shared" si="1"/>
        <v>           .</v>
      </c>
    </row>
    <row r="52" ht="12.0" customHeight="1">
      <c r="A52" s="113"/>
      <c r="B52" s="13"/>
      <c r="C52" s="10"/>
      <c r="D52" s="10"/>
      <c r="E52" s="11"/>
      <c r="F52" s="93"/>
      <c r="G52" s="94" t="s">
        <v>243</v>
      </c>
      <c r="H52" s="114"/>
      <c r="I52" s="11"/>
      <c r="J52" s="115">
        <f>COUNTIF('Funções'!B$8:B$809,G52)</f>
        <v>0</v>
      </c>
      <c r="K52" s="116">
        <f>SUMIF('Funções'!B$8:B$809,$G52,'Funções'!K$8:K$809)</f>
        <v>0</v>
      </c>
      <c r="L52" s="88" t="str">
        <f t="shared" si="1"/>
        <v>           .</v>
      </c>
    </row>
    <row r="53" ht="12.0" customHeight="1">
      <c r="A53" s="113"/>
      <c r="B53" s="13"/>
      <c r="C53" s="10"/>
      <c r="D53" s="10"/>
      <c r="E53" s="11"/>
      <c r="F53" s="93"/>
      <c r="G53" s="94" t="s">
        <v>243</v>
      </c>
      <c r="H53" s="114"/>
      <c r="I53" s="11"/>
      <c r="J53" s="115">
        <f>COUNTIF('Funções'!B$8:B$809,G53)</f>
        <v>0</v>
      </c>
      <c r="K53" s="116">
        <f>SUMIF('Funções'!B$8:B$809,$G53,'Funções'!K$8:K$809)</f>
        <v>0</v>
      </c>
      <c r="L53" s="88" t="str">
        <f t="shared" si="1"/>
        <v>           .</v>
      </c>
    </row>
    <row r="54" ht="12.0" customHeight="1">
      <c r="A54" s="113"/>
      <c r="B54" s="13"/>
      <c r="C54" s="10"/>
      <c r="D54" s="10"/>
      <c r="E54" s="11"/>
      <c r="F54" s="93"/>
      <c r="G54" s="94" t="s">
        <v>243</v>
      </c>
      <c r="H54" s="114"/>
      <c r="I54" s="11"/>
      <c r="J54" s="115">
        <f>COUNTIF('Funções'!B$8:B$809,G54)</f>
        <v>0</v>
      </c>
      <c r="K54" s="116">
        <f>SUMIF('Funções'!B$8:B$809,$G54,'Funções'!K$8:K$809)</f>
        <v>0</v>
      </c>
      <c r="L54" s="88" t="str">
        <f t="shared" si="1"/>
        <v>           .</v>
      </c>
    </row>
    <row r="55" ht="12.0" customHeight="1">
      <c r="A55" s="113"/>
      <c r="B55" s="13"/>
      <c r="C55" s="10"/>
      <c r="D55" s="10"/>
      <c r="E55" s="11"/>
      <c r="F55" s="93"/>
      <c r="G55" s="94" t="s">
        <v>243</v>
      </c>
      <c r="H55" s="114"/>
      <c r="I55" s="11"/>
      <c r="J55" s="115">
        <f>COUNTIF('Funções'!B$8:B$809,G55)</f>
        <v>0</v>
      </c>
      <c r="K55" s="116">
        <f>SUMIF('Funções'!B$8:B$809,$G55,'Funções'!K$8:K$809)</f>
        <v>0</v>
      </c>
      <c r="L55" s="88" t="str">
        <f t="shared" si="1"/>
        <v>           .</v>
      </c>
    </row>
    <row r="56" ht="12.0" customHeight="1">
      <c r="A56" s="113"/>
      <c r="B56" s="13"/>
      <c r="C56" s="10"/>
      <c r="D56" s="10"/>
      <c r="E56" s="11"/>
      <c r="F56" s="93"/>
      <c r="G56" s="94" t="s">
        <v>243</v>
      </c>
      <c r="H56" s="114"/>
      <c r="I56" s="11"/>
      <c r="J56" s="115">
        <f>COUNTIF('Funções'!B$8:B$809,G56)</f>
        <v>0</v>
      </c>
      <c r="K56" s="116">
        <f>SUMIF('Funções'!B$8:B$809,$G56,'Funções'!K$8:K$809)</f>
        <v>0</v>
      </c>
      <c r="L56" s="88" t="str">
        <f t="shared" si="1"/>
        <v>           .</v>
      </c>
    </row>
    <row r="57" ht="12.0" customHeight="1">
      <c r="A57" s="113"/>
      <c r="B57" s="13"/>
      <c r="C57" s="10"/>
      <c r="D57" s="10"/>
      <c r="E57" s="11"/>
      <c r="F57" s="93"/>
      <c r="G57" s="94" t="s">
        <v>243</v>
      </c>
      <c r="H57" s="114"/>
      <c r="I57" s="11"/>
      <c r="J57" s="115">
        <f>COUNTIF('Funções'!B$8:B$809,G57)</f>
        <v>0</v>
      </c>
      <c r="K57" s="116">
        <f>SUMIF('Funções'!B$8:B$809,$G57,'Funções'!K$8:K$809)</f>
        <v>0</v>
      </c>
      <c r="L57" s="88" t="str">
        <f t="shared" si="1"/>
        <v>           .</v>
      </c>
    </row>
    <row r="58" ht="12.0" customHeight="1">
      <c r="A58" s="113"/>
      <c r="B58" s="13"/>
      <c r="C58" s="10"/>
      <c r="D58" s="10"/>
      <c r="E58" s="11"/>
      <c r="F58" s="93"/>
      <c r="G58" s="94" t="s">
        <v>243</v>
      </c>
      <c r="H58" s="114"/>
      <c r="I58" s="11"/>
      <c r="J58" s="115">
        <f>COUNTIF('Funções'!B$8:B$809,G58)</f>
        <v>0</v>
      </c>
      <c r="K58" s="116">
        <f>SUMIF('Funções'!B$8:B$809,$G58,'Funções'!K$8:K$809)</f>
        <v>0</v>
      </c>
      <c r="L58" s="88" t="str">
        <f t="shared" si="1"/>
        <v>           .</v>
      </c>
    </row>
    <row r="59" ht="12.0" customHeight="1">
      <c r="A59" s="113"/>
      <c r="B59" s="13"/>
      <c r="C59" s="10"/>
      <c r="D59" s="10"/>
      <c r="E59" s="11"/>
      <c r="F59" s="93"/>
      <c r="G59" s="94" t="s">
        <v>243</v>
      </c>
      <c r="H59" s="114"/>
      <c r="I59" s="11"/>
      <c r="J59" s="115">
        <f>COUNTIF('Funções'!B$8:B$809,G59)</f>
        <v>0</v>
      </c>
      <c r="K59" s="116">
        <f>SUMIF('Funções'!B$8:B$809,$G59,'Funções'!K$8:K$809)</f>
        <v>0</v>
      </c>
      <c r="L59" s="88" t="str">
        <f t="shared" si="1"/>
        <v>           .</v>
      </c>
    </row>
    <row r="60" ht="12.0" customHeight="1">
      <c r="A60" s="113"/>
      <c r="B60" s="13"/>
      <c r="C60" s="10"/>
      <c r="D60" s="10"/>
      <c r="E60" s="11"/>
      <c r="F60" s="93"/>
      <c r="G60" s="94" t="s">
        <v>243</v>
      </c>
      <c r="H60" s="114"/>
      <c r="I60" s="11"/>
      <c r="J60" s="115">
        <f>COUNTIF('Funções'!B$8:B$809,G60)</f>
        <v>0</v>
      </c>
      <c r="K60" s="116">
        <f>SUMIF('Funções'!B$8:B$809,$G60,'Funções'!K$8:K$809)</f>
        <v>0</v>
      </c>
      <c r="L60" s="88" t="str">
        <f t="shared" si="1"/>
        <v>           .</v>
      </c>
    </row>
    <row r="61" ht="12.0" customHeight="1">
      <c r="A61" s="113"/>
      <c r="B61" s="13"/>
      <c r="C61" s="10"/>
      <c r="D61" s="10"/>
      <c r="E61" s="11"/>
      <c r="F61" s="93"/>
      <c r="G61" s="94" t="s">
        <v>243</v>
      </c>
      <c r="H61" s="114"/>
      <c r="I61" s="11"/>
      <c r="J61" s="115">
        <f>COUNTIF('Funções'!B$8:B$809,G61)</f>
        <v>0</v>
      </c>
      <c r="K61" s="116">
        <f>SUMIF('Funções'!B$8:B$809,$G61,'Funções'!K$8:K$809)</f>
        <v>0</v>
      </c>
      <c r="L61" s="88" t="str">
        <f t="shared" si="1"/>
        <v>           .</v>
      </c>
    </row>
    <row r="62" ht="12.0" customHeight="1">
      <c r="A62" s="113"/>
      <c r="B62" s="13"/>
      <c r="C62" s="10"/>
      <c r="D62" s="10"/>
      <c r="E62" s="11"/>
      <c r="F62" s="93"/>
      <c r="G62" s="94" t="s">
        <v>243</v>
      </c>
      <c r="H62" s="114"/>
      <c r="I62" s="11"/>
      <c r="J62" s="115">
        <f>COUNTIF('Funções'!B$8:B$809,G62)</f>
        <v>0</v>
      </c>
      <c r="K62" s="116">
        <f>SUMIF('Funções'!B$8:B$809,$G62,'Funções'!K$8:K$809)</f>
        <v>0</v>
      </c>
      <c r="L62" s="88" t="str">
        <f t="shared" si="1"/>
        <v>           .</v>
      </c>
    </row>
    <row r="63" ht="12.0" customHeight="1">
      <c r="A63" s="113"/>
      <c r="B63" s="13"/>
      <c r="C63" s="10"/>
      <c r="D63" s="10"/>
      <c r="E63" s="11"/>
      <c r="F63" s="93"/>
      <c r="G63" s="94" t="s">
        <v>243</v>
      </c>
      <c r="H63" s="114"/>
      <c r="I63" s="11"/>
      <c r="J63" s="115">
        <f>COUNTIF('Funções'!B$8:B$809,G63)</f>
        <v>0</v>
      </c>
      <c r="K63" s="116">
        <f>SUMIF('Funções'!B$8:B$809,$G63,'Funções'!K$8:K$809)</f>
        <v>0</v>
      </c>
      <c r="L63" s="88" t="str">
        <f t="shared" si="1"/>
        <v>           .</v>
      </c>
    </row>
    <row r="64" ht="12.0" customHeight="1">
      <c r="A64" s="117"/>
      <c r="B64" s="118"/>
      <c r="C64" s="119"/>
      <c r="D64" s="119"/>
      <c r="E64" s="120"/>
      <c r="F64" s="121"/>
      <c r="G64" s="122" t="s">
        <v>243</v>
      </c>
      <c r="H64" s="123"/>
      <c r="I64" s="120"/>
      <c r="J64" s="124">
        <f>COUNTIF('Funções'!B$8:B$809,G64)</f>
        <v>0</v>
      </c>
      <c r="K64" s="125">
        <f>SUMIF('Funções'!B$8:B$809,$G64,'Funções'!K$8:K$809)</f>
        <v>0</v>
      </c>
      <c r="L64" s="88" t="str">
        <f t="shared" si="1"/>
        <v>           .</v>
      </c>
    </row>
    <row r="65" ht="12.0" customHeight="1">
      <c r="G65" s="88"/>
      <c r="H65" s="126"/>
      <c r="I65" s="126"/>
      <c r="J65" s="127"/>
      <c r="K65" s="127"/>
      <c r="L65" s="88"/>
    </row>
    <row r="66" ht="12.0" customHeight="1">
      <c r="G66" s="88"/>
      <c r="H66" s="126"/>
      <c r="I66" s="126"/>
      <c r="J66" s="127"/>
      <c r="K66" s="127"/>
      <c r="L66" s="88"/>
    </row>
    <row r="67" ht="12.0" customHeight="1">
      <c r="G67" s="88"/>
      <c r="H67" s="126"/>
      <c r="I67" s="126"/>
      <c r="J67" s="127"/>
      <c r="K67" s="127"/>
      <c r="L67" s="88"/>
    </row>
    <row r="68" ht="12.0" customHeight="1">
      <c r="G68" s="88"/>
      <c r="H68" s="126"/>
      <c r="I68" s="126"/>
      <c r="J68" s="127"/>
      <c r="K68" s="127"/>
      <c r="L68" s="88"/>
    </row>
    <row r="69" ht="12.0" customHeight="1">
      <c r="G69" s="88"/>
      <c r="H69" s="126"/>
      <c r="I69" s="126"/>
      <c r="J69" s="127"/>
      <c r="K69" s="127"/>
      <c r="L69" s="88"/>
    </row>
    <row r="70" ht="12.0" customHeight="1">
      <c r="G70" s="88"/>
      <c r="H70" s="126"/>
      <c r="I70" s="126"/>
      <c r="J70" s="127"/>
      <c r="K70" s="127"/>
      <c r="L70" s="88"/>
    </row>
    <row r="71" ht="12.0" customHeight="1">
      <c r="G71" s="88"/>
      <c r="H71" s="126"/>
      <c r="I71" s="126"/>
      <c r="J71" s="127"/>
      <c r="K71" s="127"/>
      <c r="L71" s="88"/>
    </row>
    <row r="72" ht="12.0" customHeight="1">
      <c r="G72" s="88"/>
      <c r="H72" s="126"/>
      <c r="I72" s="126"/>
      <c r="J72" s="127"/>
      <c r="K72" s="127"/>
      <c r="L72" s="88"/>
    </row>
    <row r="73" ht="12.0" customHeight="1">
      <c r="G73" s="88"/>
      <c r="H73" s="126"/>
      <c r="I73" s="126"/>
      <c r="J73" s="127"/>
      <c r="K73" s="127"/>
      <c r="L73" s="88"/>
    </row>
    <row r="74" ht="12.0" customHeight="1">
      <c r="G74" s="88"/>
      <c r="H74" s="126"/>
      <c r="I74" s="126"/>
      <c r="J74" s="127"/>
      <c r="K74" s="127"/>
      <c r="L74" s="88"/>
    </row>
    <row r="75" ht="12.0" customHeight="1">
      <c r="G75" s="88"/>
      <c r="H75" s="126"/>
      <c r="I75" s="126"/>
      <c r="J75" s="127"/>
      <c r="K75" s="127"/>
      <c r="L75" s="88"/>
    </row>
    <row r="76" ht="12.0" customHeight="1">
      <c r="G76" s="88"/>
      <c r="H76" s="126"/>
      <c r="I76" s="126"/>
      <c r="J76" s="127"/>
      <c r="K76" s="127"/>
      <c r="L76" s="88"/>
    </row>
    <row r="77" ht="12.0" customHeight="1">
      <c r="G77" s="88"/>
      <c r="H77" s="126"/>
      <c r="I77" s="126"/>
      <c r="J77" s="127"/>
      <c r="K77" s="127"/>
      <c r="L77" s="88"/>
    </row>
    <row r="78" ht="12.0" customHeight="1">
      <c r="G78" s="88"/>
      <c r="H78" s="126"/>
      <c r="I78" s="126"/>
      <c r="J78" s="127"/>
      <c r="K78" s="127"/>
      <c r="L78" s="88"/>
    </row>
    <row r="79" ht="12.0" customHeight="1">
      <c r="G79" s="88"/>
      <c r="H79" s="126"/>
      <c r="I79" s="126"/>
      <c r="J79" s="127"/>
      <c r="K79" s="127"/>
      <c r="L79" s="88"/>
    </row>
    <row r="80" ht="12.0" customHeight="1">
      <c r="G80" s="88"/>
      <c r="H80" s="126"/>
      <c r="I80" s="126"/>
      <c r="J80" s="127"/>
      <c r="K80" s="127"/>
      <c r="L80" s="88"/>
    </row>
    <row r="81" ht="12.0" customHeight="1">
      <c r="G81" s="88"/>
      <c r="H81" s="126"/>
      <c r="I81" s="126"/>
      <c r="J81" s="127"/>
      <c r="K81" s="127"/>
      <c r="L81" s="88"/>
    </row>
    <row r="82" ht="12.0" customHeight="1">
      <c r="G82" s="88"/>
      <c r="H82" s="126"/>
      <c r="I82" s="126"/>
      <c r="J82" s="127"/>
      <c r="K82" s="127"/>
      <c r="L82" s="88"/>
    </row>
    <row r="83" ht="12.0" customHeight="1">
      <c r="G83" s="88"/>
      <c r="H83" s="126"/>
      <c r="I83" s="126"/>
      <c r="J83" s="127"/>
      <c r="K83" s="127"/>
      <c r="L83" s="88"/>
    </row>
    <row r="84" ht="12.0" customHeight="1">
      <c r="G84" s="88"/>
      <c r="H84" s="126"/>
      <c r="I84" s="126"/>
      <c r="J84" s="127"/>
      <c r="K84" s="127"/>
      <c r="L84" s="88"/>
    </row>
    <row r="85" ht="12.0" customHeight="1">
      <c r="G85" s="88"/>
      <c r="H85" s="126"/>
      <c r="I85" s="126"/>
      <c r="J85" s="127"/>
      <c r="K85" s="127"/>
      <c r="L85" s="88"/>
    </row>
    <row r="86" ht="12.0" customHeight="1">
      <c r="G86" s="88"/>
      <c r="H86" s="126"/>
      <c r="I86" s="126"/>
      <c r="J86" s="127"/>
      <c r="K86" s="127"/>
      <c r="L86" s="88"/>
    </row>
    <row r="87" ht="12.0" customHeight="1">
      <c r="G87" s="88"/>
      <c r="H87" s="126"/>
      <c r="I87" s="126"/>
      <c r="J87" s="127"/>
      <c r="K87" s="127"/>
      <c r="L87" s="88"/>
    </row>
    <row r="88" ht="12.0" customHeight="1">
      <c r="G88" s="88"/>
      <c r="H88" s="126"/>
      <c r="I88" s="126"/>
      <c r="J88" s="127"/>
      <c r="K88" s="127"/>
      <c r="L88" s="88"/>
    </row>
    <row r="89" ht="12.0" customHeight="1">
      <c r="G89" s="88"/>
      <c r="H89" s="126"/>
      <c r="I89" s="126"/>
      <c r="J89" s="127"/>
      <c r="K89" s="127"/>
      <c r="L89" s="88"/>
    </row>
    <row r="90" ht="12.0" customHeight="1">
      <c r="G90" s="88"/>
      <c r="H90" s="126"/>
      <c r="I90" s="126"/>
      <c r="J90" s="127"/>
      <c r="K90" s="127"/>
      <c r="L90" s="88"/>
    </row>
    <row r="91" ht="12.0" customHeight="1">
      <c r="G91" s="88"/>
      <c r="H91" s="126"/>
      <c r="I91" s="126"/>
      <c r="J91" s="127"/>
      <c r="K91" s="127"/>
      <c r="L91" s="88"/>
    </row>
    <row r="92" ht="12.0" customHeight="1">
      <c r="G92" s="88"/>
      <c r="H92" s="126"/>
      <c r="I92" s="126"/>
      <c r="J92" s="127"/>
      <c r="K92" s="127"/>
      <c r="L92" s="88"/>
    </row>
    <row r="93" ht="12.0" customHeight="1">
      <c r="G93" s="88"/>
      <c r="H93" s="126"/>
      <c r="I93" s="126"/>
      <c r="J93" s="127"/>
      <c r="K93" s="127"/>
      <c r="L93" s="88"/>
    </row>
    <row r="94" ht="12.0" customHeight="1">
      <c r="G94" s="88"/>
      <c r="H94" s="126"/>
      <c r="I94" s="126"/>
      <c r="J94" s="127"/>
      <c r="K94" s="127"/>
      <c r="L94" s="88"/>
    </row>
    <row r="95" ht="12.0" customHeight="1">
      <c r="G95" s="88"/>
      <c r="H95" s="126"/>
      <c r="I95" s="126"/>
      <c r="J95" s="127"/>
      <c r="K95" s="127"/>
      <c r="L95" s="88"/>
    </row>
    <row r="96" ht="12.0" customHeight="1">
      <c r="G96" s="88"/>
      <c r="H96" s="126"/>
      <c r="I96" s="126"/>
      <c r="J96" s="127"/>
      <c r="K96" s="127"/>
      <c r="L96" s="88"/>
    </row>
    <row r="97" ht="12.0" customHeight="1">
      <c r="G97" s="88"/>
      <c r="H97" s="126"/>
      <c r="I97" s="126"/>
      <c r="J97" s="127"/>
      <c r="K97" s="127"/>
      <c r="L97" s="88"/>
    </row>
    <row r="98" ht="12.0" customHeight="1">
      <c r="G98" s="88"/>
      <c r="H98" s="126"/>
      <c r="I98" s="126"/>
      <c r="J98" s="127"/>
      <c r="K98" s="127"/>
      <c r="L98" s="88"/>
    </row>
    <row r="99" ht="12.0" customHeight="1">
      <c r="G99" s="88"/>
      <c r="H99" s="126"/>
      <c r="I99" s="126"/>
      <c r="J99" s="127"/>
      <c r="K99" s="127"/>
      <c r="L99" s="88"/>
    </row>
    <row r="100" ht="12.0" customHeight="1">
      <c r="G100" s="88"/>
      <c r="H100" s="126"/>
      <c r="I100" s="126"/>
      <c r="J100" s="127"/>
      <c r="K100" s="127"/>
      <c r="L100" s="88"/>
    </row>
    <row r="101" ht="12.0" customHeight="1">
      <c r="G101" s="88"/>
      <c r="H101" s="126"/>
      <c r="I101" s="126"/>
      <c r="J101" s="127"/>
      <c r="K101" s="127"/>
      <c r="L101" s="88"/>
    </row>
    <row r="102" ht="12.0" customHeight="1">
      <c r="G102" s="88"/>
      <c r="H102" s="126"/>
      <c r="I102" s="126"/>
      <c r="J102" s="127"/>
      <c r="K102" s="127"/>
      <c r="L102" s="88"/>
    </row>
    <row r="103" ht="12.0" customHeight="1">
      <c r="G103" s="88"/>
      <c r="H103" s="126"/>
      <c r="I103" s="126"/>
      <c r="J103" s="127"/>
      <c r="K103" s="127"/>
      <c r="L103" s="88"/>
    </row>
    <row r="104" ht="12.0" customHeight="1">
      <c r="G104" s="88"/>
      <c r="H104" s="126"/>
      <c r="I104" s="126"/>
      <c r="J104" s="127"/>
      <c r="K104" s="127"/>
      <c r="L104" s="88"/>
    </row>
    <row r="105" ht="12.0" customHeight="1">
      <c r="G105" s="88"/>
      <c r="H105" s="126"/>
      <c r="I105" s="126"/>
      <c r="J105" s="127"/>
      <c r="K105" s="127"/>
      <c r="L105" s="88"/>
    </row>
    <row r="106" ht="12.0" customHeight="1">
      <c r="G106" s="88"/>
      <c r="H106" s="126"/>
      <c r="I106" s="126"/>
      <c r="J106" s="127"/>
      <c r="K106" s="127"/>
      <c r="L106" s="88"/>
    </row>
    <row r="107" ht="12.0" customHeight="1">
      <c r="G107" s="88"/>
      <c r="H107" s="126"/>
      <c r="I107" s="126"/>
      <c r="J107" s="127"/>
      <c r="K107" s="127"/>
      <c r="L107" s="88"/>
    </row>
    <row r="108" ht="12.0" customHeight="1">
      <c r="G108" s="88"/>
      <c r="H108" s="126"/>
      <c r="I108" s="126"/>
      <c r="J108" s="127"/>
      <c r="K108" s="127"/>
      <c r="L108" s="88"/>
    </row>
    <row r="109" ht="12.0" customHeight="1">
      <c r="G109" s="88"/>
      <c r="H109" s="126"/>
      <c r="I109" s="126"/>
      <c r="J109" s="127"/>
      <c r="K109" s="127"/>
      <c r="L109" s="88"/>
    </row>
    <row r="110" ht="12.0" customHeight="1">
      <c r="G110" s="88"/>
      <c r="H110" s="126"/>
      <c r="I110" s="126"/>
      <c r="J110" s="127"/>
      <c r="K110" s="127"/>
      <c r="L110" s="88"/>
    </row>
    <row r="111" ht="12.0" customHeight="1">
      <c r="G111" s="88"/>
      <c r="H111" s="126"/>
      <c r="I111" s="126"/>
      <c r="J111" s="127"/>
      <c r="K111" s="127"/>
      <c r="L111" s="88"/>
    </row>
    <row r="112" ht="12.0" customHeight="1">
      <c r="G112" s="88"/>
      <c r="H112" s="126"/>
      <c r="I112" s="126"/>
      <c r="J112" s="127"/>
      <c r="K112" s="127"/>
      <c r="L112" s="88"/>
    </row>
    <row r="113" ht="12.0" customHeight="1">
      <c r="G113" s="88"/>
      <c r="H113" s="126"/>
      <c r="I113" s="126"/>
      <c r="J113" s="127"/>
      <c r="K113" s="127"/>
      <c r="L113" s="88"/>
    </row>
    <row r="114" ht="12.0" customHeight="1">
      <c r="G114" s="88"/>
      <c r="H114" s="126"/>
      <c r="I114" s="126"/>
      <c r="J114" s="127"/>
      <c r="K114" s="127"/>
      <c r="L114" s="88"/>
    </row>
    <row r="115" ht="12.0" customHeight="1">
      <c r="G115" s="88"/>
      <c r="H115" s="126"/>
      <c r="I115" s="126"/>
      <c r="J115" s="127"/>
      <c r="K115" s="127"/>
      <c r="L115" s="88"/>
    </row>
    <row r="116" ht="12.0" customHeight="1">
      <c r="G116" s="88"/>
      <c r="H116" s="126"/>
      <c r="I116" s="126"/>
      <c r="J116" s="127"/>
      <c r="K116" s="127"/>
      <c r="L116" s="88"/>
    </row>
    <row r="117" ht="12.0" customHeight="1">
      <c r="G117" s="88"/>
      <c r="H117" s="126"/>
      <c r="I117" s="126"/>
      <c r="J117" s="127"/>
      <c r="K117" s="127"/>
      <c r="L117" s="88"/>
    </row>
    <row r="118" ht="12.0" customHeight="1">
      <c r="G118" s="88"/>
      <c r="H118" s="126"/>
      <c r="I118" s="126"/>
      <c r="J118" s="127"/>
      <c r="K118" s="127"/>
      <c r="L118" s="88"/>
    </row>
    <row r="119" ht="12.0" customHeight="1">
      <c r="G119" s="88"/>
      <c r="H119" s="126"/>
      <c r="I119" s="126"/>
      <c r="J119" s="127"/>
      <c r="K119" s="127"/>
      <c r="L119" s="88"/>
    </row>
    <row r="120" ht="12.0" customHeight="1">
      <c r="G120" s="88"/>
      <c r="H120" s="126"/>
      <c r="I120" s="126"/>
      <c r="J120" s="127"/>
      <c r="K120" s="127"/>
      <c r="L120" s="88"/>
    </row>
    <row r="121" ht="12.0" customHeight="1">
      <c r="G121" s="88"/>
      <c r="H121" s="126"/>
      <c r="I121" s="126"/>
      <c r="J121" s="127"/>
      <c r="K121" s="127"/>
      <c r="L121" s="88"/>
    </row>
    <row r="122" ht="12.0" customHeight="1">
      <c r="G122" s="88"/>
      <c r="H122" s="126"/>
      <c r="I122" s="126"/>
      <c r="J122" s="127"/>
      <c r="K122" s="127"/>
      <c r="L122" s="88"/>
    </row>
    <row r="123" ht="12.0" customHeight="1">
      <c r="G123" s="88"/>
      <c r="H123" s="126"/>
      <c r="I123" s="126"/>
      <c r="J123" s="127"/>
      <c r="K123" s="127"/>
      <c r="L123" s="88"/>
    </row>
    <row r="124" ht="12.0" customHeight="1">
      <c r="G124" s="88"/>
      <c r="H124" s="126"/>
      <c r="I124" s="126"/>
      <c r="J124" s="127"/>
      <c r="K124" s="127"/>
      <c r="L124" s="88"/>
    </row>
    <row r="125" ht="12.0" customHeight="1">
      <c r="G125" s="88"/>
      <c r="H125" s="126"/>
      <c r="I125" s="126"/>
      <c r="J125" s="127"/>
      <c r="K125" s="127"/>
      <c r="L125" s="88"/>
    </row>
    <row r="126" ht="12.0" customHeight="1">
      <c r="G126" s="88"/>
      <c r="H126" s="126"/>
      <c r="I126" s="126"/>
      <c r="J126" s="127"/>
      <c r="K126" s="127"/>
      <c r="L126" s="88"/>
    </row>
    <row r="127" ht="12.0" customHeight="1">
      <c r="G127" s="88"/>
      <c r="H127" s="126"/>
      <c r="I127" s="126"/>
      <c r="J127" s="127"/>
      <c r="K127" s="127"/>
      <c r="L127" s="88"/>
    </row>
    <row r="128" ht="12.0" customHeight="1">
      <c r="G128" s="88"/>
      <c r="H128" s="126"/>
      <c r="I128" s="126"/>
      <c r="J128" s="127"/>
      <c r="K128" s="127"/>
      <c r="L128" s="88"/>
    </row>
    <row r="129" ht="12.0" customHeight="1">
      <c r="G129" s="88"/>
      <c r="H129" s="126"/>
      <c r="I129" s="126"/>
      <c r="J129" s="127"/>
      <c r="K129" s="127"/>
      <c r="L129" s="88"/>
    </row>
    <row r="130" ht="12.0" customHeight="1">
      <c r="G130" s="88"/>
      <c r="H130" s="126"/>
      <c r="I130" s="126"/>
      <c r="J130" s="127"/>
      <c r="K130" s="127"/>
      <c r="L130" s="88"/>
    </row>
    <row r="131" ht="12.0" customHeight="1">
      <c r="G131" s="88"/>
      <c r="H131" s="126"/>
      <c r="I131" s="126"/>
      <c r="J131" s="127"/>
      <c r="K131" s="127"/>
      <c r="L131" s="88"/>
    </row>
    <row r="132" ht="12.0" customHeight="1">
      <c r="G132" s="88"/>
      <c r="H132" s="126"/>
      <c r="I132" s="126"/>
      <c r="J132" s="127"/>
      <c r="K132" s="127"/>
      <c r="L132" s="88"/>
    </row>
    <row r="133" ht="12.0" customHeight="1">
      <c r="G133" s="88"/>
      <c r="H133" s="126"/>
      <c r="I133" s="126"/>
      <c r="J133" s="127"/>
      <c r="K133" s="127"/>
      <c r="L133" s="88"/>
    </row>
    <row r="134" ht="12.0" customHeight="1">
      <c r="G134" s="88"/>
      <c r="H134" s="126"/>
      <c r="I134" s="126"/>
      <c r="J134" s="127"/>
      <c r="K134" s="127"/>
      <c r="L134" s="88"/>
    </row>
    <row r="135" ht="12.0" customHeight="1">
      <c r="G135" s="88"/>
      <c r="H135" s="126"/>
      <c r="I135" s="126"/>
      <c r="J135" s="127"/>
      <c r="K135" s="127"/>
      <c r="L135" s="88"/>
    </row>
    <row r="136" ht="12.0" customHeight="1">
      <c r="G136" s="88"/>
      <c r="H136" s="126"/>
      <c r="I136" s="126"/>
      <c r="J136" s="127"/>
      <c r="K136" s="127"/>
      <c r="L136" s="88"/>
    </row>
    <row r="137" ht="12.0" customHeight="1">
      <c r="G137" s="88"/>
      <c r="H137" s="126"/>
      <c r="I137" s="126"/>
      <c r="J137" s="127"/>
      <c r="K137" s="127"/>
      <c r="L137" s="88"/>
    </row>
    <row r="138" ht="12.0" customHeight="1">
      <c r="G138" s="88"/>
      <c r="H138" s="126"/>
      <c r="I138" s="126"/>
      <c r="J138" s="127"/>
      <c r="K138" s="127"/>
      <c r="L138" s="88"/>
    </row>
    <row r="139" ht="12.0" customHeight="1">
      <c r="G139" s="88"/>
      <c r="H139" s="126"/>
      <c r="I139" s="126"/>
      <c r="J139" s="127"/>
      <c r="K139" s="127"/>
      <c r="L139" s="88"/>
    </row>
    <row r="140" ht="12.0" customHeight="1">
      <c r="G140" s="88"/>
      <c r="H140" s="126"/>
      <c r="I140" s="126"/>
      <c r="J140" s="127"/>
      <c r="K140" s="127"/>
      <c r="L140" s="88"/>
    </row>
    <row r="141" ht="12.0" customHeight="1">
      <c r="G141" s="88"/>
      <c r="H141" s="126"/>
      <c r="I141" s="126"/>
      <c r="J141" s="127"/>
      <c r="K141" s="127"/>
      <c r="L141" s="88"/>
    </row>
    <row r="142" ht="12.0" customHeight="1">
      <c r="G142" s="88"/>
      <c r="H142" s="126"/>
      <c r="I142" s="126"/>
      <c r="J142" s="127"/>
      <c r="K142" s="127"/>
      <c r="L142" s="88"/>
    </row>
    <row r="143" ht="12.0" customHeight="1">
      <c r="G143" s="88"/>
      <c r="H143" s="126"/>
      <c r="I143" s="126"/>
      <c r="J143" s="127"/>
      <c r="K143" s="127"/>
      <c r="L143" s="88"/>
    </row>
    <row r="144" ht="12.0" customHeight="1">
      <c r="G144" s="88"/>
      <c r="H144" s="126"/>
      <c r="I144" s="126"/>
      <c r="J144" s="127"/>
      <c r="K144" s="127"/>
      <c r="L144" s="88"/>
    </row>
    <row r="145" ht="12.0" customHeight="1">
      <c r="G145" s="88"/>
      <c r="H145" s="126"/>
      <c r="I145" s="126"/>
      <c r="J145" s="127"/>
      <c r="K145" s="127"/>
      <c r="L145" s="88"/>
    </row>
    <row r="146" ht="12.0" customHeight="1">
      <c r="G146" s="88"/>
      <c r="H146" s="126"/>
      <c r="I146" s="126"/>
      <c r="J146" s="127"/>
      <c r="K146" s="127"/>
      <c r="L146" s="88"/>
    </row>
    <row r="147" ht="12.0" customHeight="1">
      <c r="G147" s="88"/>
      <c r="H147" s="126"/>
      <c r="I147" s="126"/>
      <c r="J147" s="127"/>
      <c r="K147" s="127"/>
      <c r="L147" s="88"/>
    </row>
    <row r="148" ht="12.0" customHeight="1">
      <c r="G148" s="88"/>
      <c r="H148" s="126"/>
      <c r="I148" s="126"/>
      <c r="J148" s="127"/>
      <c r="K148" s="127"/>
      <c r="L148" s="88"/>
    </row>
    <row r="149" ht="12.0" customHeight="1">
      <c r="G149" s="88"/>
      <c r="H149" s="126"/>
      <c r="I149" s="126"/>
      <c r="J149" s="127"/>
      <c r="K149" s="127"/>
      <c r="L149" s="88"/>
    </row>
    <row r="150" ht="12.0" customHeight="1">
      <c r="G150" s="88"/>
      <c r="H150" s="126"/>
      <c r="I150" s="126"/>
      <c r="J150" s="127"/>
      <c r="K150" s="127"/>
      <c r="L150" s="88"/>
    </row>
    <row r="151" ht="12.0" customHeight="1">
      <c r="G151" s="88"/>
      <c r="H151" s="126"/>
      <c r="I151" s="126"/>
      <c r="J151" s="127"/>
      <c r="K151" s="127"/>
      <c r="L151" s="88"/>
    </row>
    <row r="152" ht="12.0" customHeight="1">
      <c r="G152" s="88"/>
      <c r="H152" s="126"/>
      <c r="I152" s="126"/>
      <c r="J152" s="127"/>
      <c r="K152" s="127"/>
      <c r="L152" s="88"/>
    </row>
    <row r="153" ht="12.0" customHeight="1">
      <c r="G153" s="88"/>
      <c r="H153" s="126"/>
      <c r="I153" s="126"/>
      <c r="J153" s="127"/>
      <c r="K153" s="127"/>
      <c r="L153" s="88"/>
    </row>
    <row r="154" ht="12.0" customHeight="1">
      <c r="G154" s="88"/>
      <c r="H154" s="126"/>
      <c r="I154" s="126"/>
      <c r="J154" s="127"/>
      <c r="K154" s="127"/>
      <c r="L154" s="88"/>
    </row>
    <row r="155" ht="12.0" customHeight="1">
      <c r="G155" s="88"/>
      <c r="H155" s="126"/>
      <c r="I155" s="126"/>
      <c r="J155" s="127"/>
      <c r="K155" s="127"/>
      <c r="L155" s="88"/>
    </row>
    <row r="156" ht="12.0" customHeight="1">
      <c r="G156" s="88"/>
      <c r="H156" s="126"/>
      <c r="I156" s="126"/>
      <c r="J156" s="127"/>
      <c r="K156" s="127"/>
      <c r="L156" s="88"/>
    </row>
    <row r="157" ht="12.0" customHeight="1">
      <c r="G157" s="88"/>
      <c r="H157" s="126"/>
      <c r="I157" s="126"/>
      <c r="J157" s="127"/>
      <c r="K157" s="127"/>
      <c r="L157" s="88"/>
    </row>
    <row r="158" ht="12.0" customHeight="1">
      <c r="G158" s="88"/>
      <c r="H158" s="126"/>
      <c r="I158" s="126"/>
      <c r="J158" s="127"/>
      <c r="K158" s="127"/>
      <c r="L158" s="88"/>
    </row>
    <row r="159" ht="12.0" customHeight="1">
      <c r="G159" s="88"/>
      <c r="H159" s="126"/>
      <c r="I159" s="126"/>
      <c r="J159" s="127"/>
      <c r="K159" s="127"/>
      <c r="L159" s="88"/>
    </row>
    <row r="160" ht="12.0" customHeight="1">
      <c r="G160" s="88"/>
      <c r="H160" s="126"/>
      <c r="I160" s="126"/>
      <c r="J160" s="127"/>
      <c r="K160" s="127"/>
      <c r="L160" s="88"/>
    </row>
    <row r="161" ht="12.0" customHeight="1">
      <c r="G161" s="88"/>
      <c r="H161" s="126"/>
      <c r="I161" s="126"/>
      <c r="J161" s="127"/>
      <c r="K161" s="127"/>
      <c r="L161" s="88"/>
    </row>
    <row r="162" ht="12.0" customHeight="1">
      <c r="G162" s="88"/>
      <c r="H162" s="126"/>
      <c r="I162" s="126"/>
      <c r="J162" s="127"/>
      <c r="K162" s="127"/>
      <c r="L162" s="88"/>
    </row>
    <row r="163" ht="12.0" customHeight="1">
      <c r="G163" s="88"/>
      <c r="H163" s="126"/>
      <c r="I163" s="126"/>
      <c r="J163" s="127"/>
      <c r="K163" s="127"/>
      <c r="L163" s="88"/>
    </row>
    <row r="164" ht="12.0" customHeight="1">
      <c r="G164" s="88"/>
      <c r="H164" s="126"/>
      <c r="I164" s="126"/>
      <c r="J164" s="127"/>
      <c r="K164" s="127"/>
      <c r="L164" s="88"/>
    </row>
    <row r="165" ht="12.0" customHeight="1">
      <c r="G165" s="88"/>
      <c r="H165" s="126"/>
      <c r="I165" s="126"/>
      <c r="J165" s="127"/>
      <c r="K165" s="127"/>
      <c r="L165" s="88"/>
    </row>
    <row r="166" ht="12.0" customHeight="1">
      <c r="G166" s="88"/>
      <c r="H166" s="126"/>
      <c r="I166" s="126"/>
      <c r="J166" s="127"/>
      <c r="K166" s="127"/>
      <c r="L166" s="88"/>
    </row>
    <row r="167" ht="12.0" customHeight="1">
      <c r="G167" s="88"/>
      <c r="H167" s="126"/>
      <c r="I167" s="126"/>
      <c r="J167" s="127"/>
      <c r="K167" s="127"/>
      <c r="L167" s="88"/>
    </row>
    <row r="168" ht="12.0" customHeight="1">
      <c r="G168" s="88"/>
      <c r="H168" s="126"/>
      <c r="I168" s="126"/>
      <c r="J168" s="127"/>
      <c r="K168" s="127"/>
      <c r="L168" s="88"/>
    </row>
    <row r="169" ht="12.0" customHeight="1">
      <c r="G169" s="88"/>
      <c r="H169" s="126"/>
      <c r="I169" s="126"/>
      <c r="J169" s="127"/>
      <c r="K169" s="127"/>
      <c r="L169" s="88"/>
    </row>
    <row r="170" ht="12.0" customHeight="1">
      <c r="G170" s="88"/>
      <c r="H170" s="126"/>
      <c r="I170" s="126"/>
      <c r="J170" s="127"/>
      <c r="K170" s="127"/>
      <c r="L170" s="88"/>
    </row>
    <row r="171" ht="12.0" customHeight="1">
      <c r="G171" s="88"/>
      <c r="H171" s="126"/>
      <c r="I171" s="126"/>
      <c r="J171" s="127"/>
      <c r="K171" s="127"/>
      <c r="L171" s="88"/>
    </row>
    <row r="172" ht="12.0" customHeight="1">
      <c r="G172" s="88"/>
      <c r="H172" s="126"/>
      <c r="I172" s="126"/>
      <c r="J172" s="127"/>
      <c r="K172" s="127"/>
      <c r="L172" s="88"/>
    </row>
    <row r="173" ht="12.0" customHeight="1">
      <c r="G173" s="88"/>
      <c r="H173" s="126"/>
      <c r="I173" s="126"/>
      <c r="J173" s="127"/>
      <c r="K173" s="127"/>
      <c r="L173" s="88"/>
    </row>
    <row r="174" ht="12.0" customHeight="1">
      <c r="G174" s="88"/>
      <c r="H174" s="126"/>
      <c r="I174" s="126"/>
      <c r="J174" s="127"/>
      <c r="K174" s="127"/>
      <c r="L174" s="88"/>
    </row>
    <row r="175" ht="12.0" customHeight="1">
      <c r="G175" s="88"/>
      <c r="H175" s="126"/>
      <c r="I175" s="126"/>
      <c r="J175" s="127"/>
      <c r="K175" s="127"/>
      <c r="L175" s="88"/>
    </row>
    <row r="176" ht="12.0" customHeight="1">
      <c r="G176" s="88"/>
      <c r="H176" s="126"/>
      <c r="I176" s="126"/>
      <c r="J176" s="127"/>
      <c r="K176" s="127"/>
      <c r="L176" s="88"/>
    </row>
    <row r="177" ht="12.0" customHeight="1">
      <c r="G177" s="88"/>
      <c r="H177" s="126"/>
      <c r="I177" s="126"/>
      <c r="J177" s="127"/>
      <c r="K177" s="127"/>
      <c r="L177" s="88"/>
    </row>
    <row r="178" ht="12.0" customHeight="1">
      <c r="G178" s="88"/>
      <c r="H178" s="126"/>
      <c r="I178" s="126"/>
      <c r="J178" s="127"/>
      <c r="K178" s="127"/>
      <c r="L178" s="88"/>
    </row>
    <row r="179" ht="12.0" customHeight="1">
      <c r="G179" s="88"/>
      <c r="H179" s="126"/>
      <c r="I179" s="126"/>
      <c r="J179" s="127"/>
      <c r="K179" s="127"/>
      <c r="L179" s="88"/>
    </row>
    <row r="180" ht="12.0" customHeight="1">
      <c r="G180" s="88"/>
      <c r="H180" s="126"/>
      <c r="I180" s="126"/>
      <c r="J180" s="127"/>
      <c r="K180" s="127"/>
      <c r="L180" s="88"/>
    </row>
    <row r="181" ht="12.0" customHeight="1">
      <c r="G181" s="88"/>
      <c r="H181" s="126"/>
      <c r="I181" s="126"/>
      <c r="J181" s="127"/>
      <c r="K181" s="127"/>
      <c r="L181" s="88"/>
    </row>
    <row r="182" ht="12.0" customHeight="1">
      <c r="G182" s="88"/>
      <c r="H182" s="126"/>
      <c r="I182" s="126"/>
      <c r="J182" s="127"/>
      <c r="K182" s="127"/>
      <c r="L182" s="88"/>
    </row>
    <row r="183" ht="12.0" customHeight="1">
      <c r="G183" s="88"/>
      <c r="H183" s="126"/>
      <c r="I183" s="126"/>
      <c r="J183" s="127"/>
      <c r="K183" s="127"/>
      <c r="L183" s="88"/>
    </row>
    <row r="184" ht="12.0" customHeight="1">
      <c r="G184" s="88"/>
      <c r="H184" s="126"/>
      <c r="I184" s="126"/>
      <c r="J184" s="127"/>
      <c r="K184" s="127"/>
      <c r="L184" s="88"/>
    </row>
    <row r="185" ht="12.0" customHeight="1">
      <c r="G185" s="88"/>
      <c r="H185" s="126"/>
      <c r="I185" s="126"/>
      <c r="J185" s="127"/>
      <c r="K185" s="127"/>
      <c r="L185" s="88"/>
    </row>
    <row r="186" ht="12.0" customHeight="1">
      <c r="G186" s="88"/>
      <c r="H186" s="126"/>
      <c r="I186" s="126"/>
      <c r="J186" s="127"/>
      <c r="K186" s="127"/>
      <c r="L186" s="88"/>
    </row>
    <row r="187" ht="12.0" customHeight="1">
      <c r="G187" s="88"/>
      <c r="H187" s="126"/>
      <c r="I187" s="126"/>
      <c r="J187" s="127"/>
      <c r="K187" s="127"/>
      <c r="L187" s="88"/>
    </row>
    <row r="188" ht="12.0" customHeight="1">
      <c r="G188" s="88"/>
      <c r="H188" s="126"/>
      <c r="I188" s="126"/>
      <c r="J188" s="127"/>
      <c r="K188" s="127"/>
      <c r="L188" s="88"/>
    </row>
    <row r="189" ht="12.0" customHeight="1">
      <c r="G189" s="88"/>
      <c r="H189" s="126"/>
      <c r="I189" s="126"/>
      <c r="J189" s="127"/>
      <c r="K189" s="127"/>
      <c r="L189" s="88"/>
    </row>
    <row r="190" ht="12.0" customHeight="1">
      <c r="G190" s="88"/>
      <c r="H190" s="126"/>
      <c r="I190" s="126"/>
      <c r="J190" s="127"/>
      <c r="K190" s="127"/>
      <c r="L190" s="88"/>
    </row>
    <row r="191" ht="12.0" customHeight="1">
      <c r="G191" s="88"/>
      <c r="H191" s="126"/>
      <c r="I191" s="126"/>
      <c r="J191" s="127"/>
      <c r="K191" s="127"/>
      <c r="L191" s="88"/>
    </row>
    <row r="192" ht="12.0" customHeight="1">
      <c r="G192" s="88"/>
      <c r="H192" s="126"/>
      <c r="I192" s="126"/>
      <c r="J192" s="127"/>
      <c r="K192" s="127"/>
      <c r="L192" s="88"/>
    </row>
    <row r="193" ht="12.0" customHeight="1">
      <c r="G193" s="88"/>
      <c r="H193" s="126"/>
      <c r="I193" s="126"/>
      <c r="J193" s="127"/>
      <c r="K193" s="127"/>
      <c r="L193" s="88"/>
    </row>
    <row r="194" ht="12.0" customHeight="1">
      <c r="G194" s="88"/>
      <c r="H194" s="126"/>
      <c r="I194" s="126"/>
      <c r="J194" s="127"/>
      <c r="K194" s="127"/>
      <c r="L194" s="88"/>
    </row>
    <row r="195" ht="12.0" customHeight="1">
      <c r="G195" s="88"/>
      <c r="H195" s="126"/>
      <c r="I195" s="126"/>
      <c r="J195" s="127"/>
      <c r="K195" s="127"/>
      <c r="L195" s="88"/>
    </row>
    <row r="196" ht="12.0" customHeight="1">
      <c r="G196" s="88"/>
      <c r="H196" s="126"/>
      <c r="I196" s="126"/>
      <c r="J196" s="127"/>
      <c r="K196" s="127"/>
      <c r="L196" s="88"/>
    </row>
    <row r="197" ht="12.0" customHeight="1">
      <c r="G197" s="88"/>
      <c r="H197" s="126"/>
      <c r="I197" s="126"/>
      <c r="J197" s="127"/>
      <c r="K197" s="127"/>
      <c r="L197" s="88"/>
    </row>
    <row r="198" ht="12.0" customHeight="1">
      <c r="G198" s="88"/>
      <c r="H198" s="126"/>
      <c r="I198" s="126"/>
      <c r="J198" s="127"/>
      <c r="K198" s="127"/>
      <c r="L198" s="88"/>
    </row>
    <row r="199" ht="12.0" customHeight="1">
      <c r="G199" s="88"/>
      <c r="H199" s="126"/>
      <c r="I199" s="126"/>
      <c r="J199" s="127"/>
      <c r="K199" s="127"/>
      <c r="L199" s="88"/>
    </row>
    <row r="200" ht="12.0" customHeight="1">
      <c r="G200" s="88"/>
      <c r="H200" s="126"/>
      <c r="I200" s="126"/>
      <c r="J200" s="127"/>
      <c r="K200" s="127"/>
      <c r="L200" s="88"/>
    </row>
    <row r="201" ht="12.0" customHeight="1">
      <c r="G201" s="88"/>
      <c r="H201" s="126"/>
      <c r="I201" s="126"/>
      <c r="J201" s="127"/>
      <c r="K201" s="127"/>
      <c r="L201" s="88"/>
    </row>
    <row r="202" ht="12.0" customHeight="1">
      <c r="G202" s="88"/>
      <c r="H202" s="126"/>
      <c r="I202" s="126"/>
      <c r="J202" s="127"/>
      <c r="K202" s="127"/>
      <c r="L202" s="88"/>
    </row>
    <row r="203" ht="12.0" customHeight="1">
      <c r="G203" s="88"/>
      <c r="H203" s="126"/>
      <c r="I203" s="126"/>
      <c r="J203" s="127"/>
      <c r="K203" s="127"/>
      <c r="L203" s="88"/>
    </row>
    <row r="204" ht="12.0" customHeight="1">
      <c r="G204" s="88"/>
      <c r="H204" s="126"/>
      <c r="I204" s="126"/>
      <c r="J204" s="127"/>
      <c r="K204" s="127"/>
      <c r="L204" s="88"/>
    </row>
    <row r="205" ht="12.0" customHeight="1">
      <c r="G205" s="88"/>
      <c r="H205" s="126"/>
      <c r="I205" s="126"/>
      <c r="J205" s="127"/>
      <c r="K205" s="127"/>
      <c r="L205" s="88"/>
    </row>
    <row r="206" ht="12.0" customHeight="1">
      <c r="G206" s="88"/>
      <c r="H206" s="126"/>
      <c r="I206" s="126"/>
      <c r="J206" s="127"/>
      <c r="K206" s="127"/>
      <c r="L206" s="88"/>
    </row>
    <row r="207" ht="12.0" customHeight="1">
      <c r="G207" s="88"/>
      <c r="H207" s="126"/>
      <c r="I207" s="126"/>
      <c r="J207" s="127"/>
      <c r="K207" s="127"/>
      <c r="L207" s="88"/>
    </row>
    <row r="208" ht="12.0" customHeight="1">
      <c r="G208" s="88"/>
      <c r="H208" s="126"/>
      <c r="I208" s="126"/>
      <c r="J208" s="127"/>
      <c r="K208" s="127"/>
      <c r="L208" s="88"/>
    </row>
    <row r="209" ht="12.0" customHeight="1">
      <c r="G209" s="88"/>
      <c r="H209" s="126"/>
      <c r="I209" s="126"/>
      <c r="J209" s="127"/>
      <c r="K209" s="127"/>
      <c r="L209" s="88"/>
    </row>
    <row r="210" ht="12.0" customHeight="1">
      <c r="G210" s="88"/>
      <c r="H210" s="126"/>
      <c r="I210" s="126"/>
      <c r="J210" s="127"/>
      <c r="K210" s="127"/>
      <c r="L210" s="88"/>
    </row>
    <row r="211" ht="12.0" customHeight="1">
      <c r="G211" s="88"/>
      <c r="H211" s="126"/>
      <c r="I211" s="126"/>
      <c r="J211" s="127"/>
      <c r="K211" s="127"/>
      <c r="L211" s="88"/>
    </row>
    <row r="212" ht="12.0" customHeight="1">
      <c r="G212" s="88"/>
      <c r="H212" s="126"/>
      <c r="I212" s="126"/>
      <c r="J212" s="127"/>
      <c r="K212" s="127"/>
      <c r="L212" s="88"/>
    </row>
    <row r="213" ht="12.0" customHeight="1">
      <c r="G213" s="88"/>
      <c r="H213" s="126"/>
      <c r="I213" s="126"/>
      <c r="J213" s="127"/>
      <c r="K213" s="127"/>
      <c r="L213" s="88"/>
    </row>
    <row r="214" ht="12.0" customHeight="1">
      <c r="G214" s="88"/>
      <c r="H214" s="126"/>
      <c r="I214" s="126"/>
      <c r="J214" s="127"/>
      <c r="K214" s="127"/>
      <c r="L214" s="88"/>
    </row>
    <row r="215" ht="12.0" customHeight="1">
      <c r="G215" s="88"/>
      <c r="H215" s="126"/>
      <c r="I215" s="126"/>
      <c r="J215" s="127"/>
      <c r="K215" s="127"/>
      <c r="L215" s="88"/>
    </row>
    <row r="216" ht="12.0" customHeight="1">
      <c r="G216" s="88"/>
      <c r="H216" s="126"/>
      <c r="I216" s="126"/>
      <c r="J216" s="127"/>
      <c r="K216" s="127"/>
      <c r="L216" s="88"/>
    </row>
    <row r="217" ht="12.0" customHeight="1">
      <c r="G217" s="88"/>
      <c r="H217" s="126"/>
      <c r="I217" s="126"/>
      <c r="J217" s="127"/>
      <c r="K217" s="127"/>
      <c r="L217" s="88"/>
    </row>
    <row r="218" ht="12.0" customHeight="1">
      <c r="G218" s="88"/>
      <c r="H218" s="126"/>
      <c r="I218" s="126"/>
      <c r="J218" s="127"/>
      <c r="K218" s="127"/>
      <c r="L218" s="88"/>
    </row>
    <row r="219" ht="12.0" customHeight="1">
      <c r="G219" s="88"/>
      <c r="H219" s="126"/>
      <c r="I219" s="126"/>
      <c r="J219" s="127"/>
      <c r="K219" s="127"/>
      <c r="L219" s="88"/>
    </row>
    <row r="220" ht="12.0" customHeight="1">
      <c r="G220" s="88"/>
      <c r="H220" s="126"/>
      <c r="I220" s="126"/>
      <c r="J220" s="127"/>
      <c r="K220" s="127"/>
      <c r="L220" s="88"/>
    </row>
    <row r="221" ht="12.0" customHeight="1">
      <c r="G221" s="88"/>
      <c r="H221" s="126"/>
      <c r="I221" s="126"/>
      <c r="J221" s="127"/>
      <c r="K221" s="127"/>
      <c r="L221" s="88"/>
    </row>
    <row r="222" ht="12.0" customHeight="1">
      <c r="G222" s="88"/>
      <c r="H222" s="126"/>
      <c r="I222" s="126"/>
      <c r="J222" s="127"/>
      <c r="K222" s="127"/>
      <c r="L222" s="88"/>
    </row>
    <row r="223" ht="12.0" customHeight="1">
      <c r="G223" s="88"/>
      <c r="H223" s="126"/>
      <c r="I223" s="126"/>
      <c r="J223" s="127"/>
      <c r="K223" s="127"/>
      <c r="L223" s="88"/>
    </row>
    <row r="224" ht="12.0" customHeight="1">
      <c r="G224" s="88"/>
      <c r="H224" s="126"/>
      <c r="I224" s="126"/>
      <c r="J224" s="127"/>
      <c r="K224" s="127"/>
      <c r="L224" s="88"/>
    </row>
    <row r="225" ht="12.0" customHeight="1">
      <c r="G225" s="88"/>
      <c r="H225" s="126"/>
      <c r="I225" s="126"/>
      <c r="J225" s="127"/>
      <c r="K225" s="127"/>
      <c r="L225" s="88"/>
    </row>
    <row r="226" ht="12.0" customHeight="1">
      <c r="G226" s="88"/>
      <c r="H226" s="126"/>
      <c r="I226" s="126"/>
      <c r="J226" s="127"/>
      <c r="K226" s="127"/>
      <c r="L226" s="88"/>
    </row>
    <row r="227" ht="12.0" customHeight="1">
      <c r="G227" s="88"/>
      <c r="H227" s="126"/>
      <c r="I227" s="126"/>
      <c r="J227" s="127"/>
      <c r="K227" s="127"/>
      <c r="L227" s="88"/>
    </row>
    <row r="228" ht="12.0" customHeight="1">
      <c r="G228" s="88"/>
      <c r="H228" s="126"/>
      <c r="I228" s="126"/>
      <c r="J228" s="127"/>
      <c r="K228" s="127"/>
      <c r="L228" s="88"/>
    </row>
    <row r="229" ht="12.0" customHeight="1">
      <c r="G229" s="88"/>
      <c r="H229" s="126"/>
      <c r="I229" s="126"/>
      <c r="J229" s="127"/>
      <c r="K229" s="127"/>
      <c r="L229" s="88"/>
    </row>
    <row r="230" ht="12.0" customHeight="1">
      <c r="G230" s="88"/>
      <c r="H230" s="126"/>
      <c r="I230" s="126"/>
      <c r="J230" s="127"/>
      <c r="K230" s="127"/>
      <c r="L230" s="88"/>
    </row>
    <row r="231" ht="12.0" customHeight="1">
      <c r="G231" s="88"/>
      <c r="H231" s="126"/>
      <c r="I231" s="126"/>
      <c r="J231" s="127"/>
      <c r="K231" s="127"/>
      <c r="L231" s="88"/>
    </row>
    <row r="232" ht="12.0" customHeight="1">
      <c r="G232" s="88"/>
      <c r="H232" s="126"/>
      <c r="I232" s="126"/>
      <c r="J232" s="127"/>
      <c r="K232" s="127"/>
      <c r="L232" s="88"/>
    </row>
    <row r="233" ht="12.0" customHeight="1">
      <c r="G233" s="88"/>
      <c r="H233" s="126"/>
      <c r="I233" s="126"/>
      <c r="J233" s="127"/>
      <c r="K233" s="127"/>
      <c r="L233" s="88"/>
    </row>
    <row r="234" ht="12.0" customHeight="1">
      <c r="G234" s="88"/>
      <c r="H234" s="126"/>
      <c r="I234" s="126"/>
      <c r="J234" s="127"/>
      <c r="K234" s="127"/>
      <c r="L234" s="88"/>
    </row>
    <row r="235" ht="12.0" customHeight="1">
      <c r="G235" s="88"/>
      <c r="H235" s="126"/>
      <c r="I235" s="126"/>
      <c r="J235" s="127"/>
      <c r="K235" s="127"/>
      <c r="L235" s="88"/>
    </row>
    <row r="236" ht="12.0" customHeight="1">
      <c r="G236" s="88"/>
      <c r="H236" s="126"/>
      <c r="I236" s="126"/>
      <c r="J236" s="127"/>
      <c r="K236" s="127"/>
      <c r="L236" s="88"/>
    </row>
    <row r="237" ht="12.0" customHeight="1">
      <c r="G237" s="88"/>
      <c r="H237" s="126"/>
      <c r="I237" s="126"/>
      <c r="J237" s="127"/>
      <c r="K237" s="127"/>
      <c r="L237" s="88"/>
    </row>
    <row r="238" ht="12.0" customHeight="1">
      <c r="G238" s="88"/>
      <c r="H238" s="126"/>
      <c r="I238" s="126"/>
      <c r="J238" s="127"/>
      <c r="K238" s="127"/>
      <c r="L238" s="88"/>
    </row>
    <row r="239" ht="12.0" customHeight="1">
      <c r="G239" s="88"/>
      <c r="H239" s="126"/>
      <c r="I239" s="126"/>
      <c r="J239" s="127"/>
      <c r="K239" s="127"/>
      <c r="L239" s="88"/>
    </row>
    <row r="240" ht="12.0" customHeight="1">
      <c r="G240" s="88"/>
      <c r="H240" s="126"/>
      <c r="I240" s="126"/>
      <c r="J240" s="127"/>
      <c r="K240" s="127"/>
      <c r="L240" s="88"/>
    </row>
    <row r="241" ht="12.0" customHeight="1">
      <c r="G241" s="88"/>
      <c r="H241" s="126"/>
      <c r="I241" s="126"/>
      <c r="J241" s="127"/>
      <c r="K241" s="127"/>
      <c r="L241" s="88"/>
    </row>
    <row r="242" ht="12.0" customHeight="1">
      <c r="G242" s="88"/>
      <c r="H242" s="126"/>
      <c r="I242" s="126"/>
      <c r="J242" s="127"/>
      <c r="K242" s="127"/>
      <c r="L242" s="88"/>
    </row>
    <row r="243" ht="12.0" customHeight="1">
      <c r="G243" s="88"/>
      <c r="H243" s="126"/>
      <c r="I243" s="126"/>
      <c r="J243" s="127"/>
      <c r="K243" s="127"/>
      <c r="L243" s="88"/>
    </row>
    <row r="244" ht="12.0" customHeight="1">
      <c r="G244" s="88"/>
      <c r="H244" s="126"/>
      <c r="I244" s="126"/>
      <c r="J244" s="127"/>
      <c r="K244" s="127"/>
      <c r="L244" s="88"/>
    </row>
    <row r="245" ht="12.0" customHeight="1">
      <c r="G245" s="88"/>
      <c r="H245" s="126"/>
      <c r="I245" s="126"/>
      <c r="J245" s="127"/>
      <c r="K245" s="127"/>
      <c r="L245" s="88"/>
    </row>
    <row r="246" ht="12.0" customHeight="1">
      <c r="G246" s="88"/>
      <c r="H246" s="126"/>
      <c r="I246" s="126"/>
      <c r="J246" s="127"/>
      <c r="K246" s="127"/>
      <c r="L246" s="88"/>
    </row>
    <row r="247" ht="12.0" customHeight="1">
      <c r="G247" s="88"/>
      <c r="H247" s="126"/>
      <c r="I247" s="126"/>
      <c r="J247" s="127"/>
      <c r="K247" s="127"/>
      <c r="L247" s="88"/>
    </row>
    <row r="248" ht="12.0" customHeight="1">
      <c r="G248" s="88"/>
      <c r="H248" s="126"/>
      <c r="I248" s="126"/>
      <c r="J248" s="127"/>
      <c r="K248" s="127"/>
      <c r="L248" s="88"/>
    </row>
    <row r="249" ht="12.0" customHeight="1">
      <c r="G249" s="88"/>
      <c r="H249" s="126"/>
      <c r="I249" s="126"/>
      <c r="J249" s="127"/>
      <c r="K249" s="127"/>
      <c r="L249" s="88"/>
    </row>
    <row r="250" ht="12.0" customHeight="1">
      <c r="G250" s="88"/>
      <c r="H250" s="126"/>
      <c r="I250" s="126"/>
      <c r="J250" s="127"/>
      <c r="K250" s="127"/>
      <c r="L250" s="88"/>
    </row>
    <row r="251" ht="12.0" customHeight="1">
      <c r="G251" s="88"/>
      <c r="H251" s="126"/>
      <c r="I251" s="126"/>
      <c r="J251" s="127"/>
      <c r="K251" s="127"/>
      <c r="L251" s="88"/>
    </row>
    <row r="252" ht="12.0" customHeight="1">
      <c r="G252" s="88"/>
      <c r="H252" s="126"/>
      <c r="I252" s="126"/>
      <c r="J252" s="127"/>
      <c r="K252" s="127"/>
      <c r="L252" s="88"/>
    </row>
    <row r="253" ht="12.0" customHeight="1">
      <c r="G253" s="88"/>
      <c r="H253" s="126"/>
      <c r="I253" s="126"/>
      <c r="J253" s="127"/>
      <c r="K253" s="127"/>
      <c r="L253" s="88"/>
    </row>
    <row r="254" ht="12.0" customHeight="1">
      <c r="G254" s="88"/>
      <c r="H254" s="126"/>
      <c r="I254" s="126"/>
      <c r="J254" s="127"/>
      <c r="K254" s="127"/>
      <c r="L254" s="88"/>
    </row>
    <row r="255" ht="12.0" customHeight="1">
      <c r="G255" s="88"/>
      <c r="H255" s="126"/>
      <c r="I255" s="126"/>
      <c r="J255" s="127"/>
      <c r="K255" s="127"/>
      <c r="L255" s="88"/>
    </row>
    <row r="256" ht="12.0" customHeight="1">
      <c r="G256" s="88"/>
      <c r="H256" s="126"/>
      <c r="I256" s="126"/>
      <c r="J256" s="127"/>
      <c r="K256" s="127"/>
      <c r="L256" s="88"/>
    </row>
    <row r="257" ht="12.0" customHeight="1">
      <c r="G257" s="88"/>
      <c r="H257" s="126"/>
      <c r="I257" s="126"/>
      <c r="J257" s="127"/>
      <c r="K257" s="127"/>
      <c r="L257" s="88"/>
    </row>
    <row r="258" ht="12.0" customHeight="1">
      <c r="G258" s="88"/>
      <c r="H258" s="126"/>
      <c r="I258" s="126"/>
      <c r="J258" s="127"/>
      <c r="K258" s="127"/>
      <c r="L258" s="88"/>
    </row>
    <row r="259" ht="12.0" customHeight="1">
      <c r="G259" s="88"/>
      <c r="H259" s="126"/>
      <c r="I259" s="126"/>
      <c r="J259" s="127"/>
      <c r="K259" s="127"/>
      <c r="L259" s="88"/>
    </row>
    <row r="260" ht="12.0" customHeight="1">
      <c r="G260" s="88"/>
      <c r="H260" s="126"/>
      <c r="I260" s="126"/>
      <c r="J260" s="127"/>
      <c r="K260" s="127"/>
      <c r="L260" s="88"/>
    </row>
    <row r="261" ht="12.0" customHeight="1">
      <c r="G261" s="88"/>
      <c r="H261" s="126"/>
      <c r="I261" s="126"/>
      <c r="J261" s="127"/>
      <c r="K261" s="127"/>
      <c r="L261" s="88"/>
    </row>
    <row r="262" ht="12.0" customHeight="1">
      <c r="G262" s="88"/>
      <c r="H262" s="126"/>
      <c r="I262" s="126"/>
      <c r="J262" s="127"/>
      <c r="K262" s="127"/>
      <c r="L262" s="88"/>
    </row>
    <row r="263" ht="12.0" customHeight="1">
      <c r="G263" s="88"/>
      <c r="H263" s="126"/>
      <c r="I263" s="126"/>
      <c r="J263" s="127"/>
      <c r="K263" s="127"/>
      <c r="L263" s="88"/>
    </row>
    <row r="264" ht="12.0" customHeight="1">
      <c r="G264" s="88"/>
      <c r="H264" s="126"/>
      <c r="I264" s="126"/>
      <c r="J264" s="127"/>
      <c r="K264" s="127"/>
      <c r="L264" s="88"/>
    </row>
    <row r="265" ht="12.0" customHeight="1">
      <c r="G265" s="88"/>
      <c r="H265" s="126"/>
      <c r="I265" s="126"/>
      <c r="J265" s="127"/>
      <c r="K265" s="127"/>
      <c r="L265" s="88"/>
    </row>
    <row r="266" ht="12.0" customHeight="1">
      <c r="G266" s="88"/>
      <c r="H266" s="126"/>
      <c r="I266" s="126"/>
      <c r="J266" s="127"/>
      <c r="K266" s="127"/>
      <c r="L266" s="88"/>
    </row>
    <row r="267" ht="12.0" customHeight="1">
      <c r="G267" s="88"/>
      <c r="H267" s="126"/>
      <c r="I267" s="126"/>
      <c r="J267" s="127"/>
      <c r="K267" s="127"/>
      <c r="L267" s="88"/>
    </row>
    <row r="268" ht="12.0" customHeight="1">
      <c r="G268" s="88"/>
      <c r="H268" s="126"/>
      <c r="I268" s="126"/>
      <c r="J268" s="127"/>
      <c r="K268" s="127"/>
      <c r="L268" s="88"/>
    </row>
    <row r="269" ht="12.0" customHeight="1">
      <c r="G269" s="88"/>
      <c r="H269" s="126"/>
      <c r="I269" s="126"/>
      <c r="J269" s="127"/>
      <c r="K269" s="127"/>
      <c r="L269" s="88"/>
    </row>
    <row r="270" ht="12.0" customHeight="1">
      <c r="G270" s="88"/>
      <c r="H270" s="126"/>
      <c r="I270" s="126"/>
      <c r="J270" s="127"/>
      <c r="K270" s="127"/>
      <c r="L270" s="88"/>
    </row>
    <row r="271" ht="12.0" customHeight="1">
      <c r="G271" s="88"/>
      <c r="H271" s="126"/>
      <c r="I271" s="126"/>
      <c r="J271" s="127"/>
      <c r="K271" s="127"/>
      <c r="L271" s="88"/>
    </row>
    <row r="272" ht="12.0" customHeight="1">
      <c r="G272" s="88"/>
      <c r="H272" s="126"/>
      <c r="I272" s="126"/>
      <c r="J272" s="127"/>
      <c r="K272" s="127"/>
      <c r="L272" s="88"/>
    </row>
    <row r="273" ht="12.0" customHeight="1">
      <c r="G273" s="88"/>
      <c r="H273" s="126"/>
      <c r="I273" s="126"/>
      <c r="J273" s="127"/>
      <c r="K273" s="127"/>
      <c r="L273" s="88"/>
    </row>
    <row r="274" ht="12.0" customHeight="1">
      <c r="G274" s="88"/>
      <c r="H274" s="126"/>
      <c r="I274" s="126"/>
      <c r="J274" s="127"/>
      <c r="K274" s="127"/>
      <c r="L274" s="88"/>
    </row>
    <row r="275" ht="12.0" customHeight="1">
      <c r="G275" s="88"/>
      <c r="H275" s="126"/>
      <c r="I275" s="126"/>
      <c r="J275" s="127"/>
      <c r="K275" s="127"/>
      <c r="L275" s="88"/>
    </row>
    <row r="276" ht="12.0" customHeight="1">
      <c r="G276" s="88"/>
      <c r="H276" s="126"/>
      <c r="I276" s="126"/>
      <c r="J276" s="127"/>
      <c r="K276" s="127"/>
      <c r="L276" s="88"/>
    </row>
    <row r="277" ht="12.0" customHeight="1">
      <c r="G277" s="88"/>
      <c r="H277" s="126"/>
      <c r="I277" s="126"/>
      <c r="J277" s="127"/>
      <c r="K277" s="127"/>
      <c r="L277" s="88"/>
    </row>
    <row r="278" ht="12.0" customHeight="1">
      <c r="G278" s="88"/>
      <c r="H278" s="126"/>
      <c r="I278" s="126"/>
      <c r="J278" s="127"/>
      <c r="K278" s="127"/>
      <c r="L278" s="88"/>
    </row>
    <row r="279" ht="12.0" customHeight="1">
      <c r="G279" s="88"/>
      <c r="H279" s="126"/>
      <c r="I279" s="126"/>
      <c r="J279" s="127"/>
      <c r="K279" s="127"/>
      <c r="L279" s="88"/>
    </row>
    <row r="280" ht="12.0" customHeight="1">
      <c r="G280" s="88"/>
      <c r="H280" s="126"/>
      <c r="I280" s="126"/>
      <c r="J280" s="127"/>
      <c r="K280" s="127"/>
      <c r="L280" s="88"/>
    </row>
    <row r="281" ht="12.0" customHeight="1">
      <c r="G281" s="88"/>
      <c r="H281" s="126"/>
      <c r="I281" s="126"/>
      <c r="J281" s="127"/>
      <c r="K281" s="127"/>
      <c r="L281" s="88"/>
    </row>
    <row r="282" ht="12.0" customHeight="1">
      <c r="G282" s="88"/>
      <c r="H282" s="126"/>
      <c r="I282" s="126"/>
      <c r="J282" s="127"/>
      <c r="K282" s="127"/>
      <c r="L282" s="88"/>
    </row>
    <row r="283" ht="12.0" customHeight="1">
      <c r="G283" s="88"/>
      <c r="H283" s="126"/>
      <c r="I283" s="126"/>
      <c r="J283" s="127"/>
      <c r="K283" s="127"/>
      <c r="L283" s="88"/>
    </row>
    <row r="284" ht="12.0" customHeight="1">
      <c r="G284" s="88"/>
      <c r="H284" s="126"/>
      <c r="I284" s="126"/>
      <c r="J284" s="127"/>
      <c r="K284" s="127"/>
      <c r="L284" s="88"/>
    </row>
    <row r="285" ht="12.0" customHeight="1">
      <c r="G285" s="88"/>
      <c r="H285" s="126"/>
      <c r="I285" s="126"/>
      <c r="J285" s="127"/>
      <c r="K285" s="127"/>
      <c r="L285" s="88"/>
    </row>
    <row r="286" ht="12.0" customHeight="1">
      <c r="G286" s="88"/>
      <c r="H286" s="126"/>
      <c r="I286" s="126"/>
      <c r="J286" s="127"/>
      <c r="K286" s="127"/>
      <c r="L286" s="88"/>
    </row>
    <row r="287" ht="12.0" customHeight="1">
      <c r="G287" s="88"/>
      <c r="H287" s="126"/>
      <c r="I287" s="126"/>
      <c r="J287" s="127"/>
      <c r="K287" s="127"/>
      <c r="L287" s="88"/>
    </row>
    <row r="288" ht="12.0" customHeight="1">
      <c r="G288" s="88"/>
      <c r="H288" s="126"/>
      <c r="I288" s="126"/>
      <c r="J288" s="127"/>
      <c r="K288" s="127"/>
      <c r="L288" s="88"/>
    </row>
    <row r="289" ht="12.0" customHeight="1">
      <c r="G289" s="88"/>
      <c r="H289" s="126"/>
      <c r="I289" s="126"/>
      <c r="J289" s="127"/>
      <c r="K289" s="127"/>
      <c r="L289" s="88"/>
    </row>
    <row r="290" ht="12.0" customHeight="1">
      <c r="G290" s="88"/>
      <c r="H290" s="126"/>
      <c r="I290" s="126"/>
      <c r="J290" s="127"/>
      <c r="K290" s="127"/>
      <c r="L290" s="88"/>
    </row>
    <row r="291" ht="12.0" customHeight="1">
      <c r="G291" s="88"/>
      <c r="H291" s="126"/>
      <c r="I291" s="126"/>
      <c r="J291" s="127"/>
      <c r="K291" s="127"/>
      <c r="L291" s="88"/>
    </row>
    <row r="292" ht="12.0" customHeight="1">
      <c r="G292" s="88"/>
      <c r="H292" s="126"/>
      <c r="I292" s="126"/>
      <c r="J292" s="127"/>
      <c r="K292" s="127"/>
      <c r="L292" s="88"/>
    </row>
    <row r="293" ht="12.0" customHeight="1">
      <c r="G293" s="88"/>
      <c r="H293" s="126"/>
      <c r="I293" s="126"/>
      <c r="J293" s="127"/>
      <c r="K293" s="127"/>
      <c r="L293" s="88"/>
    </row>
    <row r="294" ht="12.0" customHeight="1">
      <c r="G294" s="88"/>
      <c r="H294" s="126"/>
      <c r="I294" s="126"/>
      <c r="J294" s="127"/>
      <c r="K294" s="127"/>
      <c r="L294" s="88"/>
    </row>
    <row r="295" ht="12.0" customHeight="1">
      <c r="G295" s="88"/>
      <c r="H295" s="126"/>
      <c r="I295" s="126"/>
      <c r="J295" s="127"/>
      <c r="K295" s="127"/>
      <c r="L295" s="88"/>
    </row>
    <row r="296" ht="12.0" customHeight="1">
      <c r="G296" s="88"/>
      <c r="H296" s="126"/>
      <c r="I296" s="126"/>
      <c r="J296" s="127"/>
      <c r="K296" s="127"/>
      <c r="L296" s="88"/>
    </row>
    <row r="297" ht="12.0" customHeight="1">
      <c r="G297" s="88"/>
      <c r="H297" s="126"/>
      <c r="I297" s="126"/>
      <c r="J297" s="127"/>
      <c r="K297" s="127"/>
      <c r="L297" s="88"/>
    </row>
    <row r="298" ht="12.0" customHeight="1">
      <c r="G298" s="88"/>
      <c r="H298" s="126"/>
      <c r="I298" s="126"/>
      <c r="J298" s="127"/>
      <c r="K298" s="127"/>
      <c r="L298" s="88"/>
    </row>
    <row r="299" ht="12.0" customHeight="1">
      <c r="G299" s="88"/>
      <c r="H299" s="126"/>
      <c r="I299" s="126"/>
      <c r="J299" s="127"/>
      <c r="K299" s="127"/>
      <c r="L299" s="88"/>
    </row>
    <row r="300" ht="12.0" customHeight="1">
      <c r="G300" s="88"/>
      <c r="H300" s="126"/>
      <c r="I300" s="126"/>
      <c r="J300" s="127"/>
      <c r="K300" s="127"/>
      <c r="L300" s="88"/>
    </row>
    <row r="301" ht="12.0" customHeight="1">
      <c r="G301" s="88"/>
      <c r="H301" s="126"/>
      <c r="I301" s="126"/>
      <c r="J301" s="127"/>
      <c r="K301" s="127"/>
      <c r="L301" s="88"/>
    </row>
    <row r="302" ht="12.0" customHeight="1">
      <c r="G302" s="88"/>
      <c r="H302" s="126"/>
      <c r="I302" s="126"/>
      <c r="J302" s="127"/>
      <c r="K302" s="127"/>
      <c r="L302" s="88"/>
    </row>
    <row r="303" ht="12.0" customHeight="1">
      <c r="G303" s="88"/>
      <c r="H303" s="126"/>
      <c r="I303" s="126"/>
      <c r="J303" s="127"/>
      <c r="K303" s="127"/>
      <c r="L303" s="88"/>
    </row>
    <row r="304" ht="12.0" customHeight="1">
      <c r="G304" s="88"/>
      <c r="H304" s="126"/>
      <c r="I304" s="126"/>
      <c r="J304" s="127"/>
      <c r="K304" s="127"/>
      <c r="L304" s="88"/>
    </row>
    <row r="305" ht="12.0" customHeight="1">
      <c r="G305" s="88"/>
      <c r="H305" s="126"/>
      <c r="I305" s="126"/>
      <c r="J305" s="127"/>
      <c r="K305" s="127"/>
      <c r="L305" s="88"/>
    </row>
    <row r="306" ht="12.0" customHeight="1">
      <c r="G306" s="88"/>
      <c r="H306" s="126"/>
      <c r="I306" s="126"/>
      <c r="J306" s="127"/>
      <c r="K306" s="127"/>
      <c r="L306" s="88"/>
    </row>
    <row r="307" ht="12.0" customHeight="1">
      <c r="G307" s="88"/>
      <c r="H307" s="126"/>
      <c r="I307" s="126"/>
      <c r="J307" s="127"/>
      <c r="K307" s="127"/>
      <c r="L307" s="88"/>
    </row>
    <row r="308" ht="12.0" customHeight="1">
      <c r="G308" s="88"/>
      <c r="H308" s="126"/>
      <c r="I308" s="126"/>
      <c r="J308" s="127"/>
      <c r="K308" s="127"/>
      <c r="L308" s="88"/>
    </row>
    <row r="309" ht="12.0" customHeight="1">
      <c r="G309" s="88"/>
      <c r="H309" s="126"/>
      <c r="I309" s="126"/>
      <c r="J309" s="127"/>
      <c r="K309" s="127"/>
      <c r="L309" s="88"/>
    </row>
    <row r="310" ht="12.0" customHeight="1">
      <c r="G310" s="88"/>
      <c r="H310" s="126"/>
      <c r="I310" s="126"/>
      <c r="J310" s="127"/>
      <c r="K310" s="127"/>
      <c r="L310" s="88"/>
    </row>
    <row r="311" ht="12.0" customHeight="1">
      <c r="G311" s="88"/>
      <c r="H311" s="126"/>
      <c r="I311" s="126"/>
      <c r="J311" s="127"/>
      <c r="K311" s="127"/>
      <c r="L311" s="88"/>
    </row>
    <row r="312" ht="12.0" customHeight="1">
      <c r="G312" s="88"/>
      <c r="H312" s="126"/>
      <c r="I312" s="126"/>
      <c r="J312" s="127"/>
      <c r="K312" s="127"/>
      <c r="L312" s="88"/>
    </row>
    <row r="313" ht="12.0" customHeight="1">
      <c r="G313" s="88"/>
      <c r="H313" s="126"/>
      <c r="I313" s="126"/>
      <c r="J313" s="127"/>
      <c r="K313" s="127"/>
      <c r="L313" s="88"/>
    </row>
    <row r="314" ht="12.0" customHeight="1">
      <c r="G314" s="88"/>
      <c r="H314" s="126"/>
      <c r="I314" s="126"/>
      <c r="J314" s="127"/>
      <c r="K314" s="127"/>
      <c r="L314" s="88"/>
    </row>
    <row r="315" ht="12.0" customHeight="1">
      <c r="G315" s="88"/>
      <c r="H315" s="126"/>
      <c r="I315" s="126"/>
      <c r="J315" s="127"/>
      <c r="K315" s="127"/>
      <c r="L315" s="88"/>
    </row>
    <row r="316" ht="12.0" customHeight="1">
      <c r="G316" s="88"/>
      <c r="H316" s="126"/>
      <c r="I316" s="126"/>
      <c r="J316" s="127"/>
      <c r="K316" s="127"/>
      <c r="L316" s="88"/>
    </row>
    <row r="317" ht="12.0" customHeight="1">
      <c r="G317" s="88"/>
      <c r="H317" s="126"/>
      <c r="I317" s="126"/>
      <c r="J317" s="127"/>
      <c r="K317" s="127"/>
      <c r="L317" s="88"/>
    </row>
    <row r="318" ht="12.0" customHeight="1">
      <c r="G318" s="88"/>
      <c r="H318" s="126"/>
      <c r="I318" s="126"/>
      <c r="J318" s="127"/>
      <c r="K318" s="127"/>
      <c r="L318" s="88"/>
    </row>
    <row r="319" ht="12.0" customHeight="1">
      <c r="G319" s="88"/>
      <c r="H319" s="126"/>
      <c r="I319" s="126"/>
      <c r="J319" s="127"/>
      <c r="K319" s="127"/>
      <c r="L319" s="88"/>
    </row>
    <row r="320" ht="12.0" customHeight="1">
      <c r="G320" s="88"/>
      <c r="H320" s="126"/>
      <c r="I320" s="126"/>
      <c r="J320" s="127"/>
      <c r="K320" s="127"/>
      <c r="L320" s="88"/>
    </row>
    <row r="321" ht="12.0" customHeight="1">
      <c r="G321" s="88"/>
      <c r="H321" s="126"/>
      <c r="I321" s="126"/>
      <c r="J321" s="127"/>
      <c r="K321" s="127"/>
      <c r="L321" s="88"/>
    </row>
    <row r="322" ht="12.0" customHeight="1">
      <c r="G322" s="88"/>
      <c r="H322" s="126"/>
      <c r="I322" s="126"/>
      <c r="J322" s="127"/>
      <c r="K322" s="127"/>
      <c r="L322" s="88"/>
    </row>
    <row r="323" ht="12.0" customHeight="1">
      <c r="G323" s="88"/>
      <c r="H323" s="126"/>
      <c r="I323" s="126"/>
      <c r="J323" s="127"/>
      <c r="K323" s="127"/>
      <c r="L323" s="88"/>
    </row>
    <row r="324" ht="12.0" customHeight="1">
      <c r="G324" s="88"/>
      <c r="H324" s="126"/>
      <c r="I324" s="126"/>
      <c r="J324" s="127"/>
      <c r="K324" s="127"/>
      <c r="L324" s="88"/>
    </row>
    <row r="325" ht="12.0" customHeight="1">
      <c r="G325" s="88"/>
      <c r="H325" s="126"/>
      <c r="I325" s="126"/>
      <c r="J325" s="127"/>
      <c r="K325" s="127"/>
      <c r="L325" s="88"/>
    </row>
    <row r="326" ht="12.0" customHeight="1">
      <c r="G326" s="88"/>
      <c r="H326" s="126"/>
      <c r="I326" s="126"/>
      <c r="J326" s="127"/>
      <c r="K326" s="127"/>
      <c r="L326" s="88"/>
    </row>
    <row r="327" ht="12.0" customHeight="1">
      <c r="G327" s="88"/>
      <c r="H327" s="126"/>
      <c r="I327" s="126"/>
      <c r="J327" s="127"/>
      <c r="K327" s="127"/>
      <c r="L327" s="88"/>
    </row>
    <row r="328" ht="12.0" customHeight="1">
      <c r="G328" s="88"/>
      <c r="H328" s="126"/>
      <c r="I328" s="126"/>
      <c r="J328" s="127"/>
      <c r="K328" s="127"/>
      <c r="L328" s="88"/>
    </row>
    <row r="329" ht="12.0" customHeight="1">
      <c r="G329" s="88"/>
      <c r="H329" s="126"/>
      <c r="I329" s="126"/>
      <c r="J329" s="127"/>
      <c r="K329" s="127"/>
      <c r="L329" s="88"/>
    </row>
    <row r="330" ht="12.0" customHeight="1">
      <c r="G330" s="88"/>
      <c r="H330" s="126"/>
      <c r="I330" s="126"/>
      <c r="J330" s="127"/>
      <c r="K330" s="127"/>
      <c r="L330" s="88"/>
    </row>
    <row r="331" ht="12.0" customHeight="1">
      <c r="G331" s="88"/>
      <c r="H331" s="126"/>
      <c r="I331" s="126"/>
      <c r="J331" s="127"/>
      <c r="K331" s="127"/>
      <c r="L331" s="88"/>
    </row>
    <row r="332" ht="12.0" customHeight="1">
      <c r="G332" s="88"/>
      <c r="H332" s="126"/>
      <c r="I332" s="126"/>
      <c r="J332" s="127"/>
      <c r="K332" s="127"/>
      <c r="L332" s="88"/>
    </row>
    <row r="333" ht="12.0" customHeight="1">
      <c r="G333" s="88"/>
      <c r="H333" s="126"/>
      <c r="I333" s="126"/>
      <c r="J333" s="127"/>
      <c r="K333" s="127"/>
      <c r="L333" s="88"/>
    </row>
    <row r="334" ht="12.0" customHeight="1">
      <c r="G334" s="88"/>
      <c r="H334" s="126"/>
      <c r="I334" s="126"/>
      <c r="J334" s="127"/>
      <c r="K334" s="127"/>
      <c r="L334" s="88"/>
    </row>
    <row r="335" ht="12.0" customHeight="1">
      <c r="G335" s="88"/>
      <c r="H335" s="126"/>
      <c r="I335" s="126"/>
      <c r="J335" s="127"/>
      <c r="K335" s="127"/>
      <c r="L335" s="88"/>
    </row>
    <row r="336" ht="12.0" customHeight="1">
      <c r="G336" s="88"/>
      <c r="H336" s="126"/>
      <c r="I336" s="126"/>
      <c r="J336" s="127"/>
      <c r="K336" s="127"/>
      <c r="L336" s="88"/>
    </row>
    <row r="337" ht="12.0" customHeight="1">
      <c r="G337" s="88"/>
      <c r="H337" s="126"/>
      <c r="I337" s="126"/>
      <c r="J337" s="127"/>
      <c r="K337" s="127"/>
      <c r="L337" s="88"/>
    </row>
    <row r="338" ht="12.0" customHeight="1">
      <c r="G338" s="88"/>
      <c r="H338" s="126"/>
      <c r="I338" s="126"/>
      <c r="J338" s="127"/>
      <c r="K338" s="127"/>
      <c r="L338" s="88"/>
    </row>
    <row r="339" ht="12.0" customHeight="1">
      <c r="G339" s="88"/>
      <c r="H339" s="126"/>
      <c r="I339" s="126"/>
      <c r="J339" s="127"/>
      <c r="K339" s="127"/>
      <c r="L339" s="88"/>
    </row>
    <row r="340" ht="12.0" customHeight="1">
      <c r="G340" s="88"/>
      <c r="H340" s="126"/>
      <c r="I340" s="126"/>
      <c r="J340" s="127"/>
      <c r="K340" s="127"/>
      <c r="L340" s="88"/>
    </row>
    <row r="341" ht="12.0" customHeight="1">
      <c r="G341" s="88"/>
      <c r="H341" s="126"/>
      <c r="I341" s="126"/>
      <c r="J341" s="127"/>
      <c r="K341" s="127"/>
      <c r="L341" s="88"/>
    </row>
    <row r="342" ht="12.0" customHeight="1">
      <c r="G342" s="88"/>
      <c r="H342" s="126"/>
      <c r="I342" s="126"/>
      <c r="J342" s="127"/>
      <c r="K342" s="127"/>
      <c r="L342" s="88"/>
    </row>
    <row r="343" ht="12.0" customHeight="1">
      <c r="G343" s="88"/>
      <c r="H343" s="126"/>
      <c r="I343" s="126"/>
      <c r="J343" s="127"/>
      <c r="K343" s="127"/>
      <c r="L343" s="88"/>
    </row>
    <row r="344" ht="12.0" customHeight="1">
      <c r="G344" s="88"/>
      <c r="H344" s="126"/>
      <c r="I344" s="126"/>
      <c r="J344" s="127"/>
      <c r="K344" s="127"/>
      <c r="L344" s="88"/>
    </row>
    <row r="345" ht="12.0" customHeight="1">
      <c r="G345" s="88"/>
      <c r="H345" s="126"/>
      <c r="I345" s="126"/>
      <c r="J345" s="127"/>
      <c r="K345" s="127"/>
      <c r="L345" s="88"/>
    </row>
    <row r="346" ht="12.0" customHeight="1">
      <c r="G346" s="88"/>
      <c r="H346" s="126"/>
      <c r="I346" s="126"/>
      <c r="J346" s="127"/>
      <c r="K346" s="127"/>
      <c r="L346" s="88"/>
    </row>
    <row r="347" ht="12.0" customHeight="1">
      <c r="G347" s="88"/>
      <c r="H347" s="126"/>
      <c r="I347" s="126"/>
      <c r="J347" s="127"/>
      <c r="K347" s="127"/>
      <c r="L347" s="88"/>
    </row>
    <row r="348" ht="12.0" customHeight="1">
      <c r="G348" s="88"/>
      <c r="H348" s="126"/>
      <c r="I348" s="126"/>
      <c r="J348" s="127"/>
      <c r="K348" s="127"/>
      <c r="L348" s="88"/>
    </row>
    <row r="349" ht="12.0" customHeight="1">
      <c r="G349" s="88"/>
      <c r="H349" s="126"/>
      <c r="I349" s="126"/>
      <c r="J349" s="127"/>
      <c r="K349" s="127"/>
      <c r="L349" s="88"/>
    </row>
    <row r="350" ht="12.0" customHeight="1">
      <c r="G350" s="88"/>
      <c r="H350" s="126"/>
      <c r="I350" s="126"/>
      <c r="J350" s="127"/>
      <c r="K350" s="127"/>
      <c r="L350" s="88"/>
    </row>
    <row r="351" ht="12.0" customHeight="1">
      <c r="G351" s="88"/>
      <c r="H351" s="126"/>
      <c r="I351" s="126"/>
      <c r="J351" s="127"/>
      <c r="K351" s="127"/>
      <c r="L351" s="88"/>
    </row>
    <row r="352" ht="12.0" customHeight="1">
      <c r="G352" s="88"/>
      <c r="H352" s="126"/>
      <c r="I352" s="126"/>
      <c r="J352" s="127"/>
      <c r="K352" s="127"/>
      <c r="L352" s="88"/>
    </row>
    <row r="353" ht="12.0" customHeight="1">
      <c r="G353" s="88"/>
      <c r="H353" s="126"/>
      <c r="I353" s="126"/>
      <c r="J353" s="127"/>
      <c r="K353" s="127"/>
      <c r="L353" s="88"/>
    </row>
    <row r="354" ht="12.0" customHeight="1">
      <c r="G354" s="88"/>
      <c r="H354" s="126"/>
      <c r="I354" s="126"/>
      <c r="J354" s="127"/>
      <c r="K354" s="127"/>
      <c r="L354" s="88"/>
    </row>
    <row r="355" ht="12.0" customHeight="1">
      <c r="G355" s="88"/>
      <c r="H355" s="126"/>
      <c r="I355" s="126"/>
      <c r="J355" s="127"/>
      <c r="K355" s="127"/>
      <c r="L355" s="88"/>
    </row>
    <row r="356" ht="12.0" customHeight="1">
      <c r="G356" s="88"/>
      <c r="H356" s="126"/>
      <c r="I356" s="126"/>
      <c r="J356" s="127"/>
      <c r="K356" s="127"/>
      <c r="L356" s="88"/>
    </row>
    <row r="357" ht="12.0" customHeight="1">
      <c r="G357" s="88"/>
      <c r="H357" s="126"/>
      <c r="I357" s="126"/>
      <c r="J357" s="127"/>
      <c r="K357" s="127"/>
      <c r="L357" s="88"/>
    </row>
    <row r="358" ht="12.0" customHeight="1">
      <c r="G358" s="88"/>
      <c r="H358" s="126"/>
      <c r="I358" s="126"/>
      <c r="J358" s="127"/>
      <c r="K358" s="127"/>
      <c r="L358" s="88"/>
    </row>
    <row r="359" ht="12.0" customHeight="1">
      <c r="G359" s="88"/>
      <c r="H359" s="126"/>
      <c r="I359" s="126"/>
      <c r="J359" s="127"/>
      <c r="K359" s="127"/>
      <c r="L359" s="88"/>
    </row>
    <row r="360" ht="12.0" customHeight="1">
      <c r="G360" s="88"/>
      <c r="H360" s="126"/>
      <c r="I360" s="126"/>
      <c r="J360" s="127"/>
      <c r="K360" s="127"/>
      <c r="L360" s="88"/>
    </row>
    <row r="361" ht="12.0" customHeight="1">
      <c r="G361" s="88"/>
      <c r="H361" s="126"/>
      <c r="I361" s="126"/>
      <c r="J361" s="127"/>
      <c r="K361" s="127"/>
      <c r="L361" s="88"/>
    </row>
    <row r="362" ht="12.0" customHeight="1">
      <c r="G362" s="88"/>
      <c r="H362" s="126"/>
      <c r="I362" s="126"/>
      <c r="J362" s="127"/>
      <c r="K362" s="127"/>
      <c r="L362" s="88"/>
    </row>
    <row r="363" ht="12.0" customHeight="1">
      <c r="G363" s="88"/>
      <c r="H363" s="126"/>
      <c r="I363" s="126"/>
      <c r="J363" s="127"/>
      <c r="K363" s="127"/>
      <c r="L363" s="88"/>
    </row>
    <row r="364" ht="12.0" customHeight="1">
      <c r="G364" s="88"/>
      <c r="H364" s="126"/>
      <c r="I364" s="126"/>
      <c r="J364" s="127"/>
      <c r="K364" s="127"/>
      <c r="L364" s="88"/>
    </row>
    <row r="365" ht="12.0" customHeight="1">
      <c r="G365" s="88"/>
      <c r="H365" s="126"/>
      <c r="I365" s="126"/>
      <c r="J365" s="127"/>
      <c r="K365" s="127"/>
      <c r="L365" s="88"/>
    </row>
    <row r="366" ht="12.0" customHeight="1">
      <c r="G366" s="88"/>
      <c r="H366" s="126"/>
      <c r="I366" s="126"/>
      <c r="J366" s="127"/>
      <c r="K366" s="127"/>
      <c r="L366" s="88"/>
    </row>
    <row r="367" ht="12.0" customHeight="1">
      <c r="G367" s="88"/>
      <c r="H367" s="126"/>
      <c r="I367" s="126"/>
      <c r="J367" s="127"/>
      <c r="K367" s="127"/>
      <c r="L367" s="88"/>
    </row>
    <row r="368" ht="12.0" customHeight="1">
      <c r="G368" s="88"/>
      <c r="H368" s="126"/>
      <c r="I368" s="126"/>
      <c r="J368" s="127"/>
      <c r="K368" s="127"/>
      <c r="L368" s="88"/>
    </row>
    <row r="369" ht="12.0" customHeight="1">
      <c r="G369" s="88"/>
      <c r="H369" s="126"/>
      <c r="I369" s="126"/>
      <c r="J369" s="127"/>
      <c r="K369" s="127"/>
      <c r="L369" s="88"/>
    </row>
    <row r="370" ht="12.0" customHeight="1">
      <c r="G370" s="88"/>
      <c r="H370" s="126"/>
      <c r="I370" s="126"/>
      <c r="J370" s="127"/>
      <c r="K370" s="127"/>
      <c r="L370" s="88"/>
    </row>
    <row r="371" ht="12.0" customHeight="1">
      <c r="G371" s="88"/>
      <c r="H371" s="126"/>
      <c r="I371" s="126"/>
      <c r="J371" s="127"/>
      <c r="K371" s="127"/>
      <c r="L371" s="88"/>
    </row>
    <row r="372" ht="12.0" customHeight="1">
      <c r="G372" s="88"/>
      <c r="H372" s="126"/>
      <c r="I372" s="126"/>
      <c r="J372" s="127"/>
      <c r="K372" s="127"/>
      <c r="L372" s="88"/>
    </row>
    <row r="373" ht="12.0" customHeight="1">
      <c r="G373" s="88"/>
      <c r="H373" s="126"/>
      <c r="I373" s="126"/>
      <c r="J373" s="127"/>
      <c r="K373" s="127"/>
      <c r="L373" s="88"/>
    </row>
    <row r="374" ht="12.0" customHeight="1">
      <c r="G374" s="88"/>
      <c r="H374" s="126"/>
      <c r="I374" s="126"/>
      <c r="J374" s="127"/>
      <c r="K374" s="127"/>
      <c r="L374" s="88"/>
    </row>
    <row r="375" ht="12.0" customHeight="1">
      <c r="G375" s="88"/>
      <c r="H375" s="126"/>
      <c r="I375" s="126"/>
      <c r="J375" s="127"/>
      <c r="K375" s="127"/>
      <c r="L375" s="88"/>
    </row>
    <row r="376" ht="12.0" customHeight="1">
      <c r="G376" s="88"/>
      <c r="H376" s="126"/>
      <c r="I376" s="126"/>
      <c r="J376" s="127"/>
      <c r="K376" s="127"/>
      <c r="L376" s="88"/>
    </row>
    <row r="377" ht="12.0" customHeight="1">
      <c r="G377" s="88"/>
      <c r="H377" s="126"/>
      <c r="I377" s="126"/>
      <c r="J377" s="127"/>
      <c r="K377" s="127"/>
      <c r="L377" s="88"/>
    </row>
    <row r="378" ht="12.0" customHeight="1">
      <c r="G378" s="88"/>
      <c r="H378" s="126"/>
      <c r="I378" s="126"/>
      <c r="J378" s="127"/>
      <c r="K378" s="127"/>
      <c r="L378" s="88"/>
    </row>
    <row r="379" ht="12.0" customHeight="1">
      <c r="G379" s="88"/>
      <c r="H379" s="126"/>
      <c r="I379" s="126"/>
      <c r="J379" s="127"/>
      <c r="K379" s="127"/>
      <c r="L379" s="88"/>
    </row>
    <row r="380" ht="12.0" customHeight="1">
      <c r="G380" s="88"/>
      <c r="H380" s="126"/>
      <c r="I380" s="126"/>
      <c r="J380" s="127"/>
      <c r="K380" s="127"/>
      <c r="L380" s="88"/>
    </row>
    <row r="381" ht="12.0" customHeight="1">
      <c r="G381" s="88"/>
      <c r="H381" s="126"/>
      <c r="I381" s="126"/>
      <c r="J381" s="127"/>
      <c r="K381" s="127"/>
      <c r="L381" s="88"/>
    </row>
    <row r="382" ht="12.0" customHeight="1">
      <c r="G382" s="88"/>
      <c r="H382" s="126"/>
      <c r="I382" s="126"/>
      <c r="J382" s="127"/>
      <c r="K382" s="127"/>
      <c r="L382" s="88"/>
    </row>
    <row r="383" ht="12.0" customHeight="1">
      <c r="G383" s="88"/>
      <c r="H383" s="126"/>
      <c r="I383" s="126"/>
      <c r="J383" s="127"/>
      <c r="K383" s="127"/>
      <c r="L383" s="88"/>
    </row>
    <row r="384" ht="12.0" customHeight="1">
      <c r="G384" s="88"/>
      <c r="H384" s="126"/>
      <c r="I384" s="126"/>
      <c r="J384" s="127"/>
      <c r="K384" s="127"/>
      <c r="L384" s="88"/>
    </row>
    <row r="385" ht="12.0" customHeight="1">
      <c r="G385" s="88"/>
      <c r="H385" s="126"/>
      <c r="I385" s="126"/>
      <c r="J385" s="127"/>
      <c r="K385" s="127"/>
      <c r="L385" s="88"/>
    </row>
    <row r="386" ht="12.0" customHeight="1">
      <c r="G386" s="88"/>
      <c r="H386" s="126"/>
      <c r="I386" s="126"/>
      <c r="J386" s="127"/>
      <c r="K386" s="127"/>
      <c r="L386" s="88"/>
    </row>
    <row r="387" ht="12.0" customHeight="1">
      <c r="G387" s="88"/>
      <c r="H387" s="126"/>
      <c r="I387" s="126"/>
      <c r="J387" s="127"/>
      <c r="K387" s="127"/>
      <c r="L387" s="88"/>
    </row>
    <row r="388" ht="12.0" customHeight="1">
      <c r="G388" s="88"/>
      <c r="H388" s="126"/>
      <c r="I388" s="126"/>
      <c r="J388" s="127"/>
      <c r="K388" s="127"/>
      <c r="L388" s="88"/>
    </row>
    <row r="389" ht="12.0" customHeight="1">
      <c r="G389" s="88"/>
      <c r="H389" s="126"/>
      <c r="I389" s="126"/>
      <c r="J389" s="127"/>
      <c r="K389" s="127"/>
      <c r="L389" s="88"/>
    </row>
    <row r="390" ht="12.0" customHeight="1">
      <c r="G390" s="88"/>
      <c r="H390" s="126"/>
      <c r="I390" s="126"/>
      <c r="J390" s="127"/>
      <c r="K390" s="127"/>
      <c r="L390" s="88"/>
    </row>
    <row r="391" ht="12.0" customHeight="1">
      <c r="G391" s="88"/>
      <c r="H391" s="126"/>
      <c r="I391" s="126"/>
      <c r="J391" s="127"/>
      <c r="K391" s="127"/>
      <c r="L391" s="88"/>
    </row>
    <row r="392" ht="12.0" customHeight="1">
      <c r="G392" s="88"/>
      <c r="H392" s="126"/>
      <c r="I392" s="126"/>
      <c r="J392" s="127"/>
      <c r="K392" s="127"/>
      <c r="L392" s="88"/>
    </row>
    <row r="393" ht="12.0" customHeight="1">
      <c r="G393" s="88"/>
      <c r="H393" s="126"/>
      <c r="I393" s="126"/>
      <c r="J393" s="127"/>
      <c r="K393" s="127"/>
      <c r="L393" s="88"/>
    </row>
    <row r="394" ht="12.0" customHeight="1">
      <c r="G394" s="88"/>
      <c r="H394" s="126"/>
      <c r="I394" s="126"/>
      <c r="J394" s="127"/>
      <c r="K394" s="127"/>
      <c r="L394" s="88"/>
    </row>
    <row r="395" ht="12.0" customHeight="1">
      <c r="G395" s="88"/>
      <c r="H395" s="126"/>
      <c r="I395" s="126"/>
      <c r="J395" s="127"/>
      <c r="K395" s="127"/>
      <c r="L395" s="88"/>
    </row>
    <row r="396" ht="12.0" customHeight="1">
      <c r="G396" s="88"/>
      <c r="H396" s="126"/>
      <c r="I396" s="126"/>
      <c r="J396" s="127"/>
      <c r="K396" s="127"/>
      <c r="L396" s="88"/>
    </row>
    <row r="397" ht="12.0" customHeight="1">
      <c r="G397" s="88"/>
      <c r="H397" s="126"/>
      <c r="I397" s="126"/>
      <c r="J397" s="127"/>
      <c r="K397" s="127"/>
      <c r="L397" s="88"/>
    </row>
    <row r="398" ht="12.0" customHeight="1">
      <c r="G398" s="88"/>
      <c r="H398" s="126"/>
      <c r="I398" s="126"/>
      <c r="J398" s="127"/>
      <c r="K398" s="127"/>
      <c r="L398" s="88"/>
    </row>
    <row r="399" ht="12.0" customHeight="1">
      <c r="G399" s="88"/>
      <c r="H399" s="126"/>
      <c r="I399" s="126"/>
      <c r="J399" s="127"/>
      <c r="K399" s="127"/>
      <c r="L399" s="88"/>
    </row>
    <row r="400" ht="12.0" customHeight="1">
      <c r="G400" s="88"/>
      <c r="H400" s="126"/>
      <c r="I400" s="126"/>
      <c r="J400" s="127"/>
      <c r="K400" s="127"/>
      <c r="L400" s="88"/>
    </row>
    <row r="401" ht="12.0" customHeight="1">
      <c r="G401" s="88"/>
      <c r="H401" s="126"/>
      <c r="I401" s="126"/>
      <c r="J401" s="127"/>
      <c r="K401" s="127"/>
      <c r="L401" s="88"/>
    </row>
    <row r="402" ht="12.0" customHeight="1">
      <c r="G402" s="88"/>
      <c r="H402" s="126"/>
      <c r="I402" s="126"/>
      <c r="J402" s="127"/>
      <c r="K402" s="127"/>
      <c r="L402" s="88"/>
    </row>
    <row r="403" ht="12.0" customHeight="1">
      <c r="G403" s="88"/>
      <c r="H403" s="126"/>
      <c r="I403" s="126"/>
      <c r="J403" s="127"/>
      <c r="K403" s="127"/>
      <c r="L403" s="88"/>
    </row>
    <row r="404" ht="12.0" customHeight="1">
      <c r="G404" s="88"/>
      <c r="H404" s="126"/>
      <c r="I404" s="126"/>
      <c r="J404" s="127"/>
      <c r="K404" s="127"/>
      <c r="L404" s="88"/>
    </row>
    <row r="405" ht="12.0" customHeight="1">
      <c r="G405" s="88"/>
      <c r="H405" s="126"/>
      <c r="I405" s="126"/>
      <c r="J405" s="127"/>
      <c r="K405" s="127"/>
      <c r="L405" s="88"/>
    </row>
    <row r="406" ht="12.0" customHeight="1">
      <c r="G406" s="88"/>
      <c r="H406" s="126"/>
      <c r="I406" s="126"/>
      <c r="J406" s="127"/>
      <c r="K406" s="127"/>
      <c r="L406" s="88"/>
    </row>
    <row r="407" ht="12.0" customHeight="1">
      <c r="G407" s="88"/>
      <c r="H407" s="126"/>
      <c r="I407" s="126"/>
      <c r="J407" s="127"/>
      <c r="K407" s="127"/>
      <c r="L407" s="88"/>
    </row>
    <row r="408" ht="12.0" customHeight="1">
      <c r="G408" s="88"/>
      <c r="H408" s="126"/>
      <c r="I408" s="126"/>
      <c r="J408" s="127"/>
      <c r="K408" s="127"/>
      <c r="L408" s="88"/>
    </row>
    <row r="409" ht="12.0" customHeight="1">
      <c r="G409" s="88"/>
      <c r="H409" s="126"/>
      <c r="I409" s="126"/>
      <c r="J409" s="127"/>
      <c r="K409" s="127"/>
      <c r="L409" s="88"/>
    </row>
    <row r="410" ht="12.0" customHeight="1">
      <c r="G410" s="88"/>
      <c r="H410" s="126"/>
      <c r="I410" s="126"/>
      <c r="J410" s="127"/>
      <c r="K410" s="127"/>
      <c r="L410" s="88"/>
    </row>
    <row r="411" ht="12.0" customHeight="1">
      <c r="G411" s="88"/>
      <c r="H411" s="126"/>
      <c r="I411" s="126"/>
      <c r="J411" s="127"/>
      <c r="K411" s="127"/>
      <c r="L411" s="88"/>
    </row>
    <row r="412" ht="12.0" customHeight="1">
      <c r="G412" s="88"/>
      <c r="H412" s="126"/>
      <c r="I412" s="126"/>
      <c r="J412" s="127"/>
      <c r="K412" s="127"/>
      <c r="L412" s="88"/>
    </row>
    <row r="413" ht="12.0" customHeight="1">
      <c r="G413" s="88"/>
      <c r="H413" s="126"/>
      <c r="I413" s="126"/>
      <c r="J413" s="127"/>
      <c r="K413" s="127"/>
      <c r="L413" s="88"/>
    </row>
    <row r="414" ht="12.0" customHeight="1">
      <c r="G414" s="88"/>
      <c r="H414" s="126"/>
      <c r="I414" s="126"/>
      <c r="J414" s="127"/>
      <c r="K414" s="127"/>
      <c r="L414" s="88"/>
    </row>
    <row r="415" ht="12.0" customHeight="1">
      <c r="G415" s="88"/>
      <c r="H415" s="126"/>
      <c r="I415" s="126"/>
      <c r="J415" s="127"/>
      <c r="K415" s="127"/>
      <c r="L415" s="88"/>
    </row>
    <row r="416" ht="12.0" customHeight="1">
      <c r="G416" s="88"/>
      <c r="H416" s="126"/>
      <c r="I416" s="126"/>
      <c r="J416" s="127"/>
      <c r="K416" s="127"/>
      <c r="L416" s="88"/>
    </row>
    <row r="417" ht="12.0" customHeight="1">
      <c r="G417" s="88"/>
      <c r="H417" s="126"/>
      <c r="I417" s="126"/>
      <c r="J417" s="127"/>
      <c r="K417" s="127"/>
      <c r="L417" s="88"/>
    </row>
    <row r="418" ht="12.0" customHeight="1">
      <c r="G418" s="88"/>
      <c r="H418" s="126"/>
      <c r="I418" s="126"/>
      <c r="J418" s="127"/>
      <c r="K418" s="127"/>
      <c r="L418" s="88"/>
    </row>
    <row r="419" ht="12.0" customHeight="1">
      <c r="G419" s="88"/>
      <c r="H419" s="126"/>
      <c r="I419" s="126"/>
      <c r="J419" s="127"/>
      <c r="K419" s="127"/>
      <c r="L419" s="88"/>
    </row>
    <row r="420" ht="12.0" customHeight="1">
      <c r="G420" s="88"/>
      <c r="H420" s="126"/>
      <c r="I420" s="126"/>
      <c r="J420" s="127"/>
      <c r="K420" s="127"/>
      <c r="L420" s="88"/>
    </row>
    <row r="421" ht="12.0" customHeight="1">
      <c r="G421" s="88"/>
      <c r="H421" s="126"/>
      <c r="I421" s="126"/>
      <c r="J421" s="127"/>
      <c r="K421" s="127"/>
      <c r="L421" s="88"/>
    </row>
    <row r="422" ht="12.0" customHeight="1">
      <c r="G422" s="88"/>
      <c r="H422" s="126"/>
      <c r="I422" s="126"/>
      <c r="J422" s="127"/>
      <c r="K422" s="127"/>
      <c r="L422" s="88"/>
    </row>
    <row r="423" ht="12.0" customHeight="1">
      <c r="G423" s="88"/>
      <c r="H423" s="126"/>
      <c r="I423" s="126"/>
      <c r="J423" s="127"/>
      <c r="K423" s="127"/>
      <c r="L423" s="88"/>
    </row>
    <row r="424" ht="12.0" customHeight="1">
      <c r="G424" s="88"/>
      <c r="H424" s="126"/>
      <c r="I424" s="126"/>
      <c r="J424" s="127"/>
      <c r="K424" s="127"/>
      <c r="L424" s="88"/>
    </row>
    <row r="425" ht="12.0" customHeight="1">
      <c r="G425" s="88"/>
      <c r="H425" s="126"/>
      <c r="I425" s="126"/>
      <c r="J425" s="127"/>
      <c r="K425" s="127"/>
      <c r="L425" s="88"/>
    </row>
    <row r="426" ht="12.0" customHeight="1">
      <c r="G426" s="88"/>
      <c r="H426" s="126"/>
      <c r="I426" s="126"/>
      <c r="J426" s="127"/>
      <c r="K426" s="127"/>
      <c r="L426" s="88"/>
    </row>
    <row r="427" ht="12.0" customHeight="1">
      <c r="G427" s="88"/>
      <c r="H427" s="126"/>
      <c r="I427" s="126"/>
      <c r="J427" s="127"/>
      <c r="K427" s="127"/>
      <c r="L427" s="88"/>
    </row>
    <row r="428" ht="12.0" customHeight="1">
      <c r="G428" s="88"/>
      <c r="H428" s="126"/>
      <c r="I428" s="126"/>
      <c r="J428" s="127"/>
      <c r="K428" s="127"/>
      <c r="L428" s="88"/>
    </row>
    <row r="429" ht="12.0" customHeight="1">
      <c r="G429" s="88"/>
      <c r="H429" s="126"/>
      <c r="I429" s="126"/>
      <c r="J429" s="127"/>
      <c r="K429" s="127"/>
      <c r="L429" s="88"/>
    </row>
    <row r="430" ht="12.0" customHeight="1">
      <c r="G430" s="88"/>
      <c r="H430" s="126"/>
      <c r="I430" s="126"/>
      <c r="J430" s="127"/>
      <c r="K430" s="127"/>
      <c r="L430" s="88"/>
    </row>
    <row r="431" ht="12.0" customHeight="1">
      <c r="G431" s="88"/>
      <c r="H431" s="126"/>
      <c r="I431" s="126"/>
      <c r="J431" s="127"/>
      <c r="K431" s="127"/>
      <c r="L431" s="88"/>
    </row>
    <row r="432" ht="12.0" customHeight="1">
      <c r="G432" s="88"/>
      <c r="H432" s="126"/>
      <c r="I432" s="126"/>
      <c r="J432" s="127"/>
      <c r="K432" s="127"/>
      <c r="L432" s="88"/>
    </row>
    <row r="433" ht="12.0" customHeight="1">
      <c r="G433" s="88"/>
      <c r="H433" s="126"/>
      <c r="I433" s="126"/>
      <c r="J433" s="127"/>
      <c r="K433" s="127"/>
      <c r="L433" s="88"/>
    </row>
    <row r="434" ht="12.0" customHeight="1">
      <c r="G434" s="88"/>
      <c r="H434" s="126"/>
      <c r="I434" s="126"/>
      <c r="J434" s="127"/>
      <c r="K434" s="127"/>
      <c r="L434" s="88"/>
    </row>
    <row r="435" ht="12.0" customHeight="1">
      <c r="G435" s="88"/>
      <c r="H435" s="126"/>
      <c r="I435" s="126"/>
      <c r="J435" s="127"/>
      <c r="K435" s="127"/>
      <c r="L435" s="88"/>
    </row>
    <row r="436" ht="12.0" customHeight="1">
      <c r="G436" s="88"/>
      <c r="H436" s="126"/>
      <c r="I436" s="126"/>
      <c r="J436" s="127"/>
      <c r="K436" s="127"/>
      <c r="L436" s="88"/>
    </row>
    <row r="437" ht="12.0" customHeight="1">
      <c r="G437" s="88"/>
      <c r="H437" s="126"/>
      <c r="I437" s="126"/>
      <c r="J437" s="127"/>
      <c r="K437" s="127"/>
      <c r="L437" s="88"/>
    </row>
    <row r="438" ht="12.0" customHeight="1">
      <c r="G438" s="88"/>
      <c r="H438" s="126"/>
      <c r="I438" s="126"/>
      <c r="J438" s="127"/>
      <c r="K438" s="127"/>
      <c r="L438" s="88"/>
    </row>
    <row r="439" ht="12.0" customHeight="1">
      <c r="G439" s="88"/>
      <c r="H439" s="126"/>
      <c r="I439" s="126"/>
      <c r="J439" s="127"/>
      <c r="K439" s="127"/>
      <c r="L439" s="88"/>
    </row>
    <row r="440" ht="12.0" customHeight="1">
      <c r="G440" s="88"/>
      <c r="H440" s="126"/>
      <c r="I440" s="126"/>
      <c r="J440" s="127"/>
      <c r="K440" s="127"/>
      <c r="L440" s="88"/>
    </row>
    <row r="441" ht="12.0" customHeight="1">
      <c r="G441" s="88"/>
      <c r="H441" s="126"/>
      <c r="I441" s="126"/>
      <c r="J441" s="127"/>
      <c r="K441" s="127"/>
      <c r="L441" s="88"/>
    </row>
    <row r="442" ht="12.0" customHeight="1">
      <c r="G442" s="88"/>
      <c r="H442" s="126"/>
      <c r="I442" s="126"/>
      <c r="J442" s="127"/>
      <c r="K442" s="127"/>
      <c r="L442" s="88"/>
    </row>
    <row r="443" ht="12.0" customHeight="1">
      <c r="G443" s="88"/>
      <c r="H443" s="126"/>
      <c r="I443" s="126"/>
      <c r="J443" s="127"/>
      <c r="K443" s="127"/>
      <c r="L443" s="88"/>
    </row>
    <row r="444" ht="12.0" customHeight="1">
      <c r="G444" s="88"/>
      <c r="H444" s="126"/>
      <c r="I444" s="126"/>
      <c r="J444" s="127"/>
      <c r="K444" s="127"/>
      <c r="L444" s="88"/>
    </row>
    <row r="445" ht="12.0" customHeight="1">
      <c r="G445" s="88"/>
      <c r="H445" s="126"/>
      <c r="I445" s="126"/>
      <c r="J445" s="127"/>
      <c r="K445" s="127"/>
      <c r="L445" s="88"/>
    </row>
    <row r="446" ht="12.0" customHeight="1">
      <c r="G446" s="88"/>
      <c r="H446" s="126"/>
      <c r="I446" s="126"/>
      <c r="J446" s="127"/>
      <c r="K446" s="127"/>
      <c r="L446" s="88"/>
    </row>
    <row r="447" ht="12.0" customHeight="1">
      <c r="G447" s="88"/>
      <c r="H447" s="126"/>
      <c r="I447" s="126"/>
      <c r="J447" s="127"/>
      <c r="K447" s="127"/>
      <c r="L447" s="88"/>
    </row>
    <row r="448" ht="12.0" customHeight="1">
      <c r="G448" s="88"/>
      <c r="H448" s="126"/>
      <c r="I448" s="126"/>
      <c r="J448" s="127"/>
      <c r="K448" s="127"/>
      <c r="L448" s="88"/>
    </row>
    <row r="449" ht="12.0" customHeight="1">
      <c r="G449" s="88"/>
      <c r="H449" s="126"/>
      <c r="I449" s="126"/>
      <c r="J449" s="127"/>
      <c r="K449" s="127"/>
      <c r="L449" s="88"/>
    </row>
    <row r="450" ht="12.0" customHeight="1">
      <c r="G450" s="88"/>
      <c r="H450" s="126"/>
      <c r="I450" s="126"/>
      <c r="J450" s="127"/>
      <c r="K450" s="127"/>
      <c r="L450" s="88"/>
    </row>
    <row r="451" ht="12.0" customHeight="1">
      <c r="G451" s="88"/>
      <c r="H451" s="126"/>
      <c r="I451" s="126"/>
      <c r="J451" s="127"/>
      <c r="K451" s="127"/>
      <c r="L451" s="88"/>
    </row>
    <row r="452" ht="12.0" customHeight="1">
      <c r="G452" s="88"/>
      <c r="H452" s="126"/>
      <c r="I452" s="126"/>
      <c r="J452" s="127"/>
      <c r="K452" s="127"/>
      <c r="L452" s="88"/>
    </row>
    <row r="453" ht="12.0" customHeight="1">
      <c r="G453" s="88"/>
      <c r="H453" s="126"/>
      <c r="I453" s="126"/>
      <c r="J453" s="127"/>
      <c r="K453" s="127"/>
      <c r="L453" s="88"/>
    </row>
    <row r="454" ht="12.0" customHeight="1">
      <c r="G454" s="88"/>
      <c r="H454" s="126"/>
      <c r="I454" s="126"/>
      <c r="J454" s="127"/>
      <c r="K454" s="127"/>
      <c r="L454" s="88"/>
    </row>
    <row r="455" ht="12.0" customHeight="1">
      <c r="G455" s="88"/>
      <c r="H455" s="126"/>
      <c r="I455" s="126"/>
      <c r="J455" s="127"/>
      <c r="K455" s="127"/>
      <c r="L455" s="88"/>
    </row>
    <row r="456" ht="12.0" customHeight="1">
      <c r="G456" s="88"/>
      <c r="H456" s="126"/>
      <c r="I456" s="126"/>
      <c r="J456" s="127"/>
      <c r="K456" s="127"/>
      <c r="L456" s="88"/>
    </row>
    <row r="457" ht="12.0" customHeight="1">
      <c r="G457" s="88"/>
      <c r="H457" s="126"/>
      <c r="I457" s="126"/>
      <c r="J457" s="127"/>
      <c r="K457" s="127"/>
      <c r="L457" s="88"/>
    </row>
    <row r="458" ht="12.0" customHeight="1">
      <c r="G458" s="88"/>
      <c r="H458" s="126"/>
      <c r="I458" s="126"/>
      <c r="J458" s="127"/>
      <c r="K458" s="127"/>
      <c r="L458" s="88"/>
    </row>
    <row r="459" ht="12.0" customHeight="1">
      <c r="G459" s="88"/>
      <c r="H459" s="126"/>
      <c r="I459" s="126"/>
      <c r="J459" s="127"/>
      <c r="K459" s="127"/>
      <c r="L459" s="88"/>
    </row>
    <row r="460" ht="12.0" customHeight="1">
      <c r="G460" s="88"/>
      <c r="H460" s="126"/>
      <c r="I460" s="126"/>
      <c r="J460" s="127"/>
      <c r="K460" s="127"/>
      <c r="L460" s="88"/>
    </row>
    <row r="461" ht="12.0" customHeight="1">
      <c r="G461" s="88"/>
      <c r="H461" s="126"/>
      <c r="I461" s="126"/>
      <c r="J461" s="127"/>
      <c r="K461" s="127"/>
      <c r="L461" s="88"/>
    </row>
    <row r="462" ht="12.0" customHeight="1">
      <c r="G462" s="88"/>
      <c r="H462" s="126"/>
      <c r="I462" s="126"/>
      <c r="J462" s="127"/>
      <c r="K462" s="127"/>
      <c r="L462" s="88"/>
    </row>
    <row r="463" ht="12.0" customHeight="1">
      <c r="G463" s="88"/>
      <c r="H463" s="126"/>
      <c r="I463" s="126"/>
      <c r="J463" s="127"/>
      <c r="K463" s="127"/>
      <c r="L463" s="88"/>
    </row>
    <row r="464" ht="12.0" customHeight="1">
      <c r="G464" s="88"/>
      <c r="H464" s="126"/>
      <c r="I464" s="126"/>
      <c r="J464" s="127"/>
      <c r="K464" s="127"/>
      <c r="L464" s="88"/>
    </row>
    <row r="465" ht="12.0" customHeight="1">
      <c r="G465" s="88"/>
      <c r="H465" s="126"/>
      <c r="I465" s="126"/>
      <c r="J465" s="127"/>
      <c r="K465" s="127"/>
      <c r="L465" s="88"/>
    </row>
    <row r="466" ht="12.0" customHeight="1">
      <c r="G466" s="88"/>
      <c r="H466" s="126"/>
      <c r="I466" s="126"/>
      <c r="J466" s="127"/>
      <c r="K466" s="127"/>
      <c r="L466" s="88"/>
    </row>
    <row r="467" ht="12.0" customHeight="1">
      <c r="G467" s="88"/>
      <c r="H467" s="126"/>
      <c r="I467" s="126"/>
      <c r="J467" s="127"/>
      <c r="K467" s="127"/>
      <c r="L467" s="88"/>
    </row>
    <row r="468" ht="12.0" customHeight="1">
      <c r="G468" s="88"/>
      <c r="H468" s="126"/>
      <c r="I468" s="126"/>
      <c r="J468" s="127"/>
      <c r="K468" s="127"/>
      <c r="L468" s="88"/>
    </row>
    <row r="469" ht="12.0" customHeight="1">
      <c r="G469" s="88"/>
      <c r="H469" s="126"/>
      <c r="I469" s="126"/>
      <c r="J469" s="127"/>
      <c r="K469" s="127"/>
      <c r="L469" s="88"/>
    </row>
    <row r="470" ht="12.0" customHeight="1">
      <c r="G470" s="88"/>
      <c r="H470" s="126"/>
      <c r="I470" s="126"/>
      <c r="J470" s="127"/>
      <c r="K470" s="127"/>
      <c r="L470" s="88"/>
    </row>
    <row r="471" ht="12.0" customHeight="1">
      <c r="G471" s="88"/>
      <c r="H471" s="126"/>
      <c r="I471" s="126"/>
      <c r="J471" s="127"/>
      <c r="K471" s="127"/>
      <c r="L471" s="88"/>
    </row>
    <row r="472" ht="12.0" customHeight="1">
      <c r="G472" s="88"/>
      <c r="H472" s="126"/>
      <c r="I472" s="126"/>
      <c r="J472" s="127"/>
      <c r="K472" s="127"/>
      <c r="L472" s="88"/>
    </row>
    <row r="473" ht="12.0" customHeight="1">
      <c r="G473" s="88"/>
      <c r="H473" s="126"/>
      <c r="I473" s="126"/>
      <c r="J473" s="127"/>
      <c r="K473" s="127"/>
      <c r="L473" s="88"/>
    </row>
    <row r="474" ht="12.0" customHeight="1">
      <c r="G474" s="88"/>
      <c r="H474" s="126"/>
      <c r="I474" s="126"/>
      <c r="J474" s="127"/>
      <c r="K474" s="127"/>
      <c r="L474" s="88"/>
    </row>
    <row r="475" ht="12.0" customHeight="1">
      <c r="G475" s="88"/>
      <c r="H475" s="126"/>
      <c r="I475" s="126"/>
      <c r="J475" s="127"/>
      <c r="K475" s="127"/>
      <c r="L475" s="88"/>
    </row>
    <row r="476" ht="12.0" customHeight="1">
      <c r="G476" s="88"/>
      <c r="H476" s="126"/>
      <c r="I476" s="126"/>
      <c r="J476" s="127"/>
      <c r="K476" s="127"/>
      <c r="L476" s="88"/>
    </row>
    <row r="477" ht="12.0" customHeight="1">
      <c r="G477" s="88"/>
      <c r="H477" s="126"/>
      <c r="I477" s="126"/>
      <c r="J477" s="127"/>
      <c r="K477" s="127"/>
      <c r="L477" s="88"/>
    </row>
    <row r="478" ht="12.0" customHeight="1">
      <c r="G478" s="88"/>
      <c r="H478" s="126"/>
      <c r="I478" s="126"/>
      <c r="J478" s="127"/>
      <c r="K478" s="127"/>
      <c r="L478" s="88"/>
    </row>
    <row r="479" ht="12.0" customHeight="1">
      <c r="G479" s="88"/>
      <c r="H479" s="126"/>
      <c r="I479" s="126"/>
      <c r="J479" s="127"/>
      <c r="K479" s="127"/>
      <c r="L479" s="88"/>
    </row>
    <row r="480" ht="12.0" customHeight="1">
      <c r="G480" s="88"/>
      <c r="H480" s="126"/>
      <c r="I480" s="126"/>
      <c r="J480" s="127"/>
      <c r="K480" s="127"/>
      <c r="L480" s="88"/>
    </row>
    <row r="481" ht="12.0" customHeight="1">
      <c r="G481" s="88"/>
      <c r="H481" s="126"/>
      <c r="I481" s="126"/>
      <c r="J481" s="127"/>
      <c r="K481" s="127"/>
      <c r="L481" s="88"/>
    </row>
    <row r="482" ht="12.0" customHeight="1">
      <c r="G482" s="88"/>
      <c r="H482" s="126"/>
      <c r="I482" s="126"/>
      <c r="J482" s="127"/>
      <c r="K482" s="127"/>
      <c r="L482" s="88"/>
    </row>
    <row r="483" ht="12.0" customHeight="1">
      <c r="G483" s="88"/>
      <c r="H483" s="126"/>
      <c r="I483" s="126"/>
      <c r="J483" s="127"/>
      <c r="K483" s="127"/>
      <c r="L483" s="88"/>
    </row>
    <row r="484" ht="12.0" customHeight="1">
      <c r="G484" s="88"/>
      <c r="H484" s="126"/>
      <c r="I484" s="126"/>
      <c r="J484" s="127"/>
      <c r="K484" s="127"/>
      <c r="L484" s="88"/>
    </row>
    <row r="485" ht="12.0" customHeight="1">
      <c r="G485" s="88"/>
      <c r="H485" s="126"/>
      <c r="I485" s="126"/>
      <c r="J485" s="127"/>
      <c r="K485" s="127"/>
      <c r="L485" s="88"/>
    </row>
    <row r="486" ht="12.0" customHeight="1">
      <c r="G486" s="88"/>
      <c r="H486" s="126"/>
      <c r="I486" s="126"/>
      <c r="J486" s="127"/>
      <c r="K486" s="127"/>
      <c r="L486" s="88"/>
    </row>
    <row r="487" ht="12.0" customHeight="1">
      <c r="G487" s="88"/>
      <c r="H487" s="126"/>
      <c r="I487" s="126"/>
      <c r="J487" s="127"/>
      <c r="K487" s="127"/>
      <c r="L487" s="88"/>
    </row>
    <row r="488" ht="12.0" customHeight="1">
      <c r="G488" s="88"/>
      <c r="H488" s="126"/>
      <c r="I488" s="126"/>
      <c r="J488" s="127"/>
      <c r="K488" s="127"/>
      <c r="L488" s="88"/>
    </row>
    <row r="489" ht="12.0" customHeight="1">
      <c r="G489" s="88"/>
      <c r="H489" s="126"/>
      <c r="I489" s="126"/>
      <c r="J489" s="127"/>
      <c r="K489" s="127"/>
      <c r="L489" s="88"/>
    </row>
    <row r="490" ht="12.0" customHeight="1">
      <c r="G490" s="88"/>
      <c r="H490" s="126"/>
      <c r="I490" s="126"/>
      <c r="J490" s="127"/>
      <c r="K490" s="127"/>
      <c r="L490" s="88"/>
    </row>
    <row r="491" ht="12.0" customHeight="1">
      <c r="G491" s="88"/>
      <c r="H491" s="126"/>
      <c r="I491" s="126"/>
      <c r="J491" s="127"/>
      <c r="K491" s="127"/>
      <c r="L491" s="88"/>
    </row>
    <row r="492" ht="12.0" customHeight="1">
      <c r="G492" s="88"/>
      <c r="H492" s="126"/>
      <c r="I492" s="126"/>
      <c r="J492" s="127"/>
      <c r="K492" s="127"/>
      <c r="L492" s="88"/>
    </row>
    <row r="493" ht="12.0" customHeight="1">
      <c r="G493" s="88"/>
      <c r="H493" s="126"/>
      <c r="I493" s="126"/>
      <c r="J493" s="127"/>
      <c r="K493" s="127"/>
      <c r="L493" s="88"/>
    </row>
    <row r="494" ht="12.0" customHeight="1">
      <c r="G494" s="88"/>
      <c r="H494" s="126"/>
      <c r="I494" s="126"/>
      <c r="J494" s="127"/>
      <c r="K494" s="127"/>
      <c r="L494" s="88"/>
    </row>
    <row r="495" ht="12.0" customHeight="1">
      <c r="G495" s="88"/>
      <c r="H495" s="126"/>
      <c r="I495" s="126"/>
      <c r="J495" s="127"/>
      <c r="K495" s="127"/>
      <c r="L495" s="88"/>
    </row>
    <row r="496" ht="12.0" customHeight="1">
      <c r="G496" s="88"/>
      <c r="H496" s="126"/>
      <c r="I496" s="126"/>
      <c r="J496" s="127"/>
      <c r="K496" s="127"/>
      <c r="L496" s="88"/>
    </row>
    <row r="497" ht="12.0" customHeight="1">
      <c r="G497" s="88"/>
      <c r="H497" s="126"/>
      <c r="I497" s="126"/>
      <c r="J497" s="127"/>
      <c r="K497" s="127"/>
      <c r="L497" s="88"/>
    </row>
    <row r="498" ht="12.0" customHeight="1">
      <c r="G498" s="88"/>
      <c r="H498" s="126"/>
      <c r="I498" s="126"/>
      <c r="J498" s="127"/>
      <c r="K498" s="127"/>
      <c r="L498" s="88"/>
    </row>
    <row r="499" ht="12.0" customHeight="1">
      <c r="G499" s="88"/>
      <c r="H499" s="126"/>
      <c r="I499" s="126"/>
      <c r="J499" s="127"/>
      <c r="K499" s="127"/>
      <c r="L499" s="88"/>
    </row>
    <row r="500" ht="12.0" customHeight="1">
      <c r="G500" s="88"/>
      <c r="H500" s="126"/>
      <c r="I500" s="126"/>
      <c r="J500" s="127"/>
      <c r="K500" s="127"/>
      <c r="L500" s="88"/>
    </row>
    <row r="501" ht="12.0" customHeight="1">
      <c r="G501" s="88"/>
      <c r="H501" s="126"/>
      <c r="I501" s="126"/>
      <c r="J501" s="127"/>
      <c r="K501" s="127"/>
      <c r="L501" s="88"/>
    </row>
    <row r="502" ht="12.0" customHeight="1">
      <c r="G502" s="88"/>
      <c r="H502" s="126"/>
      <c r="I502" s="126"/>
      <c r="J502" s="127"/>
      <c r="K502" s="127"/>
      <c r="L502" s="88"/>
    </row>
    <row r="503" ht="12.0" customHeight="1">
      <c r="G503" s="88"/>
      <c r="H503" s="126"/>
      <c r="I503" s="126"/>
      <c r="J503" s="127"/>
      <c r="K503" s="127"/>
      <c r="L503" s="88"/>
    </row>
    <row r="504" ht="12.0" customHeight="1">
      <c r="G504" s="88"/>
      <c r="H504" s="126"/>
      <c r="I504" s="126"/>
      <c r="J504" s="127"/>
      <c r="K504" s="127"/>
      <c r="L504" s="88"/>
    </row>
    <row r="505" ht="12.0" customHeight="1">
      <c r="G505" s="88"/>
      <c r="H505" s="126"/>
      <c r="I505" s="126"/>
      <c r="J505" s="127"/>
      <c r="K505" s="127"/>
      <c r="L505" s="88"/>
    </row>
    <row r="506" ht="12.0" customHeight="1">
      <c r="G506" s="88"/>
      <c r="H506" s="126"/>
      <c r="I506" s="126"/>
      <c r="J506" s="127"/>
      <c r="K506" s="127"/>
      <c r="L506" s="88"/>
    </row>
    <row r="507" ht="12.0" customHeight="1">
      <c r="G507" s="88"/>
      <c r="H507" s="126"/>
      <c r="I507" s="126"/>
      <c r="J507" s="127"/>
      <c r="K507" s="127"/>
      <c r="L507" s="88"/>
    </row>
    <row r="508" ht="12.0" customHeight="1">
      <c r="G508" s="88"/>
      <c r="H508" s="126"/>
      <c r="I508" s="126"/>
      <c r="J508" s="127"/>
      <c r="K508" s="127"/>
      <c r="L508" s="88"/>
    </row>
    <row r="509" ht="12.0" customHeight="1">
      <c r="G509" s="88"/>
      <c r="H509" s="126"/>
      <c r="I509" s="126"/>
      <c r="J509" s="127"/>
      <c r="K509" s="127"/>
      <c r="L509" s="88"/>
    </row>
    <row r="510" ht="12.0" customHeight="1">
      <c r="G510" s="88"/>
      <c r="H510" s="126"/>
      <c r="I510" s="126"/>
      <c r="J510" s="127"/>
      <c r="K510" s="127"/>
      <c r="L510" s="88"/>
    </row>
    <row r="511" ht="12.0" customHeight="1">
      <c r="G511" s="88"/>
      <c r="H511" s="126"/>
      <c r="I511" s="126"/>
      <c r="J511" s="127"/>
      <c r="K511" s="127"/>
      <c r="L511" s="88"/>
    </row>
    <row r="512" ht="12.0" customHeight="1">
      <c r="G512" s="88"/>
      <c r="H512" s="126"/>
      <c r="I512" s="126"/>
      <c r="J512" s="127"/>
      <c r="K512" s="127"/>
      <c r="L512" s="88"/>
    </row>
    <row r="513" ht="12.0" customHeight="1">
      <c r="G513" s="88"/>
      <c r="H513" s="126"/>
      <c r="I513" s="126"/>
      <c r="J513" s="127"/>
      <c r="K513" s="127"/>
      <c r="L513" s="88"/>
    </row>
    <row r="514" ht="12.0" customHeight="1">
      <c r="G514" s="88"/>
      <c r="H514" s="126"/>
      <c r="I514" s="126"/>
      <c r="J514" s="127"/>
      <c r="K514" s="127"/>
      <c r="L514" s="88"/>
    </row>
    <row r="515" ht="12.0" customHeight="1">
      <c r="G515" s="88"/>
      <c r="H515" s="126"/>
      <c r="I515" s="126"/>
      <c r="J515" s="127"/>
      <c r="K515" s="127"/>
      <c r="L515" s="88"/>
    </row>
    <row r="516" ht="12.0" customHeight="1">
      <c r="G516" s="88"/>
      <c r="H516" s="126"/>
      <c r="I516" s="126"/>
      <c r="J516" s="127"/>
      <c r="K516" s="127"/>
      <c r="L516" s="88"/>
    </row>
    <row r="517" ht="12.0" customHeight="1">
      <c r="G517" s="88"/>
      <c r="H517" s="126"/>
      <c r="I517" s="126"/>
      <c r="J517" s="127"/>
      <c r="K517" s="127"/>
      <c r="L517" s="88"/>
    </row>
    <row r="518" ht="12.0" customHeight="1">
      <c r="G518" s="88"/>
      <c r="H518" s="126"/>
      <c r="I518" s="126"/>
      <c r="J518" s="127"/>
      <c r="K518" s="127"/>
      <c r="L518" s="88"/>
    </row>
    <row r="519" ht="12.0" customHeight="1">
      <c r="G519" s="88"/>
      <c r="H519" s="126"/>
      <c r="I519" s="126"/>
      <c r="J519" s="127"/>
      <c r="K519" s="127"/>
      <c r="L519" s="88"/>
    </row>
    <row r="520" ht="12.0" customHeight="1">
      <c r="G520" s="88"/>
      <c r="H520" s="126"/>
      <c r="I520" s="126"/>
      <c r="J520" s="127"/>
      <c r="K520" s="127"/>
      <c r="L520" s="88"/>
    </row>
    <row r="521" ht="12.0" customHeight="1">
      <c r="G521" s="88"/>
      <c r="H521" s="126"/>
      <c r="I521" s="126"/>
      <c r="J521" s="127"/>
      <c r="K521" s="127"/>
      <c r="L521" s="88"/>
    </row>
    <row r="522" ht="12.0" customHeight="1">
      <c r="G522" s="88"/>
      <c r="H522" s="126"/>
      <c r="I522" s="126"/>
      <c r="J522" s="127"/>
      <c r="K522" s="127"/>
      <c r="L522" s="88"/>
    </row>
    <row r="523" ht="12.0" customHeight="1">
      <c r="G523" s="88"/>
      <c r="H523" s="126"/>
      <c r="I523" s="126"/>
      <c r="J523" s="127"/>
      <c r="K523" s="127"/>
      <c r="L523" s="88"/>
    </row>
    <row r="524" ht="12.0" customHeight="1">
      <c r="G524" s="88"/>
      <c r="H524" s="126"/>
      <c r="I524" s="126"/>
      <c r="J524" s="127"/>
      <c r="K524" s="127"/>
      <c r="L524" s="88"/>
    </row>
    <row r="525" ht="12.0" customHeight="1">
      <c r="G525" s="88"/>
      <c r="H525" s="126"/>
      <c r="I525" s="126"/>
      <c r="J525" s="127"/>
      <c r="K525" s="127"/>
      <c r="L525" s="88"/>
    </row>
    <row r="526" ht="12.0" customHeight="1">
      <c r="G526" s="88"/>
      <c r="H526" s="126"/>
      <c r="I526" s="126"/>
      <c r="J526" s="127"/>
      <c r="K526" s="127"/>
      <c r="L526" s="88"/>
    </row>
    <row r="527" ht="12.0" customHeight="1">
      <c r="G527" s="88"/>
      <c r="H527" s="126"/>
      <c r="I527" s="126"/>
      <c r="J527" s="127"/>
      <c r="K527" s="127"/>
      <c r="L527" s="88"/>
    </row>
    <row r="528" ht="12.0" customHeight="1">
      <c r="G528" s="88"/>
      <c r="H528" s="126"/>
      <c r="I528" s="126"/>
      <c r="J528" s="127"/>
      <c r="K528" s="127"/>
      <c r="L528" s="88"/>
    </row>
    <row r="529" ht="12.0" customHeight="1">
      <c r="G529" s="88"/>
      <c r="H529" s="126"/>
      <c r="I529" s="126"/>
      <c r="J529" s="127"/>
      <c r="K529" s="127"/>
      <c r="L529" s="88"/>
    </row>
    <row r="530" ht="12.0" customHeight="1">
      <c r="G530" s="88"/>
      <c r="H530" s="126"/>
      <c r="I530" s="126"/>
      <c r="J530" s="127"/>
      <c r="K530" s="127"/>
      <c r="L530" s="88"/>
    </row>
    <row r="531" ht="12.0" customHeight="1">
      <c r="G531" s="88"/>
      <c r="H531" s="126"/>
      <c r="I531" s="126"/>
      <c r="J531" s="127"/>
      <c r="K531" s="127"/>
      <c r="L531" s="88"/>
    </row>
    <row r="532" ht="12.0" customHeight="1">
      <c r="G532" s="88"/>
      <c r="H532" s="126"/>
      <c r="I532" s="126"/>
      <c r="J532" s="127"/>
      <c r="K532" s="127"/>
      <c r="L532" s="88"/>
    </row>
    <row r="533" ht="12.0" customHeight="1">
      <c r="G533" s="88"/>
      <c r="H533" s="126"/>
      <c r="I533" s="126"/>
      <c r="J533" s="127"/>
      <c r="K533" s="127"/>
      <c r="L533" s="88"/>
    </row>
    <row r="534" ht="12.0" customHeight="1">
      <c r="G534" s="88"/>
      <c r="H534" s="126"/>
      <c r="I534" s="126"/>
      <c r="J534" s="127"/>
      <c r="K534" s="127"/>
      <c r="L534" s="88"/>
    </row>
    <row r="535" ht="12.0" customHeight="1">
      <c r="G535" s="88"/>
      <c r="H535" s="126"/>
      <c r="I535" s="126"/>
      <c r="J535" s="127"/>
      <c r="K535" s="127"/>
      <c r="L535" s="88"/>
    </row>
    <row r="536" ht="12.0" customHeight="1">
      <c r="G536" s="88"/>
      <c r="H536" s="126"/>
      <c r="I536" s="126"/>
      <c r="J536" s="127"/>
      <c r="K536" s="127"/>
      <c r="L536" s="88"/>
    </row>
    <row r="537" ht="12.0" customHeight="1">
      <c r="G537" s="88"/>
      <c r="H537" s="126"/>
      <c r="I537" s="126"/>
      <c r="J537" s="127"/>
      <c r="K537" s="127"/>
      <c r="L537" s="88"/>
    </row>
    <row r="538" ht="12.0" customHeight="1">
      <c r="G538" s="88"/>
      <c r="H538" s="126"/>
      <c r="I538" s="126"/>
      <c r="J538" s="127"/>
      <c r="K538" s="127"/>
      <c r="L538" s="88"/>
    </row>
    <row r="539" ht="12.0" customHeight="1">
      <c r="G539" s="88"/>
      <c r="H539" s="126"/>
      <c r="I539" s="126"/>
      <c r="J539" s="127"/>
      <c r="K539" s="127"/>
      <c r="L539" s="88"/>
    </row>
    <row r="540" ht="12.0" customHeight="1">
      <c r="G540" s="88"/>
      <c r="H540" s="126"/>
      <c r="I540" s="126"/>
      <c r="J540" s="127"/>
      <c r="K540" s="127"/>
      <c r="L540" s="88"/>
    </row>
    <row r="541" ht="12.0" customHeight="1">
      <c r="G541" s="88"/>
      <c r="H541" s="126"/>
      <c r="I541" s="126"/>
      <c r="J541" s="127"/>
      <c r="K541" s="127"/>
      <c r="L541" s="88"/>
    </row>
    <row r="542" ht="12.0" customHeight="1">
      <c r="G542" s="88"/>
      <c r="H542" s="126"/>
      <c r="I542" s="126"/>
      <c r="J542" s="127"/>
      <c r="K542" s="127"/>
      <c r="L542" s="88"/>
    </row>
    <row r="543" ht="12.0" customHeight="1">
      <c r="G543" s="88"/>
      <c r="H543" s="126"/>
      <c r="I543" s="126"/>
      <c r="J543" s="127"/>
      <c r="K543" s="127"/>
      <c r="L543" s="88"/>
    </row>
    <row r="544" ht="12.0" customHeight="1">
      <c r="G544" s="88"/>
      <c r="H544" s="126"/>
      <c r="I544" s="126"/>
      <c r="J544" s="127"/>
      <c r="K544" s="127"/>
      <c r="L544" s="88"/>
    </row>
    <row r="545" ht="12.0" customHeight="1">
      <c r="G545" s="88"/>
      <c r="H545" s="126"/>
      <c r="I545" s="126"/>
      <c r="J545" s="127"/>
      <c r="K545" s="127"/>
      <c r="L545" s="88"/>
    </row>
    <row r="546" ht="12.0" customHeight="1">
      <c r="G546" s="88"/>
      <c r="H546" s="126"/>
      <c r="I546" s="126"/>
      <c r="J546" s="127"/>
      <c r="K546" s="127"/>
      <c r="L546" s="88"/>
    </row>
    <row r="547" ht="12.0" customHeight="1">
      <c r="G547" s="88"/>
      <c r="H547" s="126"/>
      <c r="I547" s="126"/>
      <c r="J547" s="127"/>
      <c r="K547" s="127"/>
      <c r="L547" s="88"/>
    </row>
    <row r="548" ht="12.0" customHeight="1">
      <c r="G548" s="88"/>
      <c r="H548" s="126"/>
      <c r="I548" s="126"/>
      <c r="J548" s="127"/>
      <c r="K548" s="127"/>
      <c r="L548" s="88"/>
    </row>
    <row r="549" ht="12.0" customHeight="1">
      <c r="G549" s="88"/>
      <c r="H549" s="126"/>
      <c r="I549" s="126"/>
      <c r="J549" s="127"/>
      <c r="K549" s="127"/>
      <c r="L549" s="88"/>
    </row>
    <row r="550" ht="12.0" customHeight="1">
      <c r="G550" s="88"/>
      <c r="H550" s="126"/>
      <c r="I550" s="126"/>
      <c r="J550" s="127"/>
      <c r="K550" s="127"/>
      <c r="L550" s="88"/>
    </row>
    <row r="551" ht="12.0" customHeight="1">
      <c r="G551" s="88"/>
      <c r="H551" s="126"/>
      <c r="I551" s="126"/>
      <c r="J551" s="127"/>
      <c r="K551" s="127"/>
      <c r="L551" s="88"/>
    </row>
    <row r="552" ht="12.0" customHeight="1">
      <c r="G552" s="88"/>
      <c r="H552" s="126"/>
      <c r="I552" s="126"/>
      <c r="J552" s="127"/>
      <c r="K552" s="127"/>
      <c r="L552" s="88"/>
    </row>
    <row r="553" ht="12.0" customHeight="1">
      <c r="G553" s="88"/>
      <c r="H553" s="126"/>
      <c r="I553" s="126"/>
      <c r="J553" s="127"/>
      <c r="K553" s="127"/>
      <c r="L553" s="88"/>
    </row>
    <row r="554" ht="12.0" customHeight="1">
      <c r="G554" s="88"/>
      <c r="H554" s="126"/>
      <c r="I554" s="126"/>
      <c r="J554" s="127"/>
      <c r="K554" s="127"/>
      <c r="L554" s="88"/>
    </row>
    <row r="555" ht="12.0" customHeight="1">
      <c r="G555" s="88"/>
      <c r="H555" s="126"/>
      <c r="I555" s="126"/>
      <c r="J555" s="127"/>
      <c r="K555" s="127"/>
      <c r="L555" s="88"/>
    </row>
    <row r="556" ht="12.0" customHeight="1">
      <c r="G556" s="88"/>
      <c r="H556" s="126"/>
      <c r="I556" s="126"/>
      <c r="J556" s="127"/>
      <c r="K556" s="127"/>
      <c r="L556" s="88"/>
    </row>
    <row r="557" ht="12.0" customHeight="1">
      <c r="G557" s="88"/>
      <c r="H557" s="126"/>
      <c r="I557" s="126"/>
      <c r="J557" s="127"/>
      <c r="K557" s="127"/>
      <c r="L557" s="88"/>
    </row>
    <row r="558" ht="12.0" customHeight="1">
      <c r="G558" s="88"/>
      <c r="H558" s="126"/>
      <c r="I558" s="126"/>
      <c r="J558" s="127"/>
      <c r="K558" s="127"/>
      <c r="L558" s="88"/>
    </row>
    <row r="559" ht="12.0" customHeight="1">
      <c r="G559" s="88"/>
      <c r="H559" s="126"/>
      <c r="I559" s="126"/>
      <c r="J559" s="127"/>
      <c r="K559" s="127"/>
      <c r="L559" s="88"/>
    </row>
    <row r="560" ht="12.0" customHeight="1">
      <c r="G560" s="88"/>
      <c r="H560" s="126"/>
      <c r="I560" s="126"/>
      <c r="J560" s="127"/>
      <c r="K560" s="127"/>
      <c r="L560" s="88"/>
    </row>
    <row r="561" ht="12.0" customHeight="1">
      <c r="G561" s="88"/>
      <c r="H561" s="126"/>
      <c r="I561" s="126"/>
      <c r="J561" s="127"/>
      <c r="K561" s="127"/>
      <c r="L561" s="88"/>
    </row>
    <row r="562" ht="12.0" customHeight="1">
      <c r="G562" s="88"/>
      <c r="H562" s="126"/>
      <c r="I562" s="126"/>
      <c r="J562" s="127"/>
      <c r="K562" s="127"/>
      <c r="L562" s="88"/>
    </row>
    <row r="563" ht="12.0" customHeight="1">
      <c r="G563" s="88"/>
      <c r="H563" s="126"/>
      <c r="I563" s="126"/>
      <c r="J563" s="127"/>
      <c r="K563" s="127"/>
      <c r="L563" s="88"/>
    </row>
    <row r="564" ht="12.0" customHeight="1">
      <c r="G564" s="88"/>
      <c r="H564" s="126"/>
      <c r="I564" s="126"/>
      <c r="J564" s="127"/>
      <c r="K564" s="127"/>
      <c r="L564" s="88"/>
    </row>
    <row r="565" ht="12.0" customHeight="1">
      <c r="G565" s="88"/>
      <c r="H565" s="126"/>
      <c r="I565" s="126"/>
      <c r="J565" s="127"/>
      <c r="K565" s="127"/>
      <c r="L565" s="88"/>
    </row>
    <row r="566" ht="12.0" customHeight="1">
      <c r="G566" s="88"/>
      <c r="H566" s="126"/>
      <c r="I566" s="126"/>
      <c r="J566" s="127"/>
      <c r="K566" s="127"/>
      <c r="L566" s="88"/>
    </row>
    <row r="567" ht="12.0" customHeight="1">
      <c r="G567" s="88"/>
      <c r="H567" s="126"/>
      <c r="I567" s="126"/>
      <c r="J567" s="127"/>
      <c r="K567" s="127"/>
      <c r="L567" s="88"/>
    </row>
    <row r="568" ht="12.0" customHeight="1">
      <c r="G568" s="88"/>
      <c r="H568" s="126"/>
      <c r="I568" s="126"/>
      <c r="J568" s="127"/>
      <c r="K568" s="127"/>
      <c r="L568" s="88"/>
    </row>
    <row r="569" ht="12.0" customHeight="1">
      <c r="G569" s="88"/>
      <c r="H569" s="126"/>
      <c r="I569" s="126"/>
      <c r="J569" s="127"/>
      <c r="K569" s="127"/>
      <c r="L569" s="88"/>
    </row>
    <row r="570" ht="12.0" customHeight="1">
      <c r="G570" s="88"/>
      <c r="H570" s="126"/>
      <c r="I570" s="126"/>
      <c r="J570" s="127"/>
      <c r="K570" s="127"/>
      <c r="L570" s="88"/>
    </row>
    <row r="571" ht="12.0" customHeight="1">
      <c r="G571" s="88"/>
      <c r="H571" s="126"/>
      <c r="I571" s="126"/>
      <c r="J571" s="127"/>
      <c r="K571" s="127"/>
      <c r="L571" s="88"/>
    </row>
    <row r="572" ht="12.0" customHeight="1">
      <c r="G572" s="88"/>
      <c r="H572" s="126"/>
      <c r="I572" s="126"/>
      <c r="J572" s="127"/>
      <c r="K572" s="127"/>
      <c r="L572" s="88"/>
    </row>
    <row r="573" ht="12.0" customHeight="1">
      <c r="G573" s="88"/>
      <c r="H573" s="126"/>
      <c r="I573" s="126"/>
      <c r="J573" s="127"/>
      <c r="K573" s="127"/>
      <c r="L573" s="88"/>
    </row>
    <row r="574" ht="12.0" customHeight="1">
      <c r="G574" s="88"/>
      <c r="H574" s="126"/>
      <c r="I574" s="126"/>
      <c r="J574" s="127"/>
      <c r="K574" s="127"/>
      <c r="L574" s="88"/>
    </row>
    <row r="575" ht="12.0" customHeight="1">
      <c r="G575" s="88"/>
      <c r="H575" s="126"/>
      <c r="I575" s="126"/>
      <c r="J575" s="127"/>
      <c r="K575" s="127"/>
      <c r="L575" s="88"/>
    </row>
    <row r="576" ht="12.0" customHeight="1">
      <c r="G576" s="88"/>
      <c r="H576" s="126"/>
      <c r="I576" s="126"/>
      <c r="J576" s="127"/>
      <c r="K576" s="127"/>
      <c r="L576" s="88"/>
    </row>
    <row r="577" ht="12.0" customHeight="1">
      <c r="G577" s="88"/>
      <c r="H577" s="126"/>
      <c r="I577" s="126"/>
      <c r="J577" s="127"/>
      <c r="K577" s="127"/>
      <c r="L577" s="88"/>
    </row>
    <row r="578" ht="12.0" customHeight="1">
      <c r="G578" s="88"/>
      <c r="H578" s="126"/>
      <c r="I578" s="126"/>
      <c r="J578" s="127"/>
      <c r="K578" s="127"/>
      <c r="L578" s="88"/>
    </row>
    <row r="579" ht="12.0" customHeight="1">
      <c r="G579" s="88"/>
      <c r="H579" s="126"/>
      <c r="I579" s="126"/>
      <c r="J579" s="127"/>
      <c r="K579" s="127"/>
      <c r="L579" s="88"/>
    </row>
    <row r="580" ht="12.0" customHeight="1">
      <c r="G580" s="88"/>
      <c r="H580" s="126"/>
      <c r="I580" s="126"/>
      <c r="J580" s="127"/>
      <c r="K580" s="127"/>
      <c r="L580" s="88"/>
    </row>
    <row r="581" ht="12.0" customHeight="1">
      <c r="G581" s="88"/>
      <c r="H581" s="126"/>
      <c r="I581" s="126"/>
      <c r="J581" s="127"/>
      <c r="K581" s="127"/>
      <c r="L581" s="88"/>
    </row>
    <row r="582" ht="12.0" customHeight="1">
      <c r="G582" s="88"/>
      <c r="H582" s="126"/>
      <c r="I582" s="126"/>
      <c r="J582" s="127"/>
      <c r="K582" s="127"/>
      <c r="L582" s="88"/>
    </row>
    <row r="583" ht="12.0" customHeight="1">
      <c r="G583" s="88"/>
      <c r="H583" s="126"/>
      <c r="I583" s="126"/>
      <c r="J583" s="127"/>
      <c r="K583" s="127"/>
      <c r="L583" s="88"/>
    </row>
    <row r="584" ht="12.0" customHeight="1">
      <c r="G584" s="88"/>
      <c r="H584" s="126"/>
      <c r="I584" s="126"/>
      <c r="J584" s="127"/>
      <c r="K584" s="127"/>
      <c r="L584" s="88"/>
    </row>
    <row r="585" ht="12.0" customHeight="1">
      <c r="G585" s="88"/>
      <c r="H585" s="126"/>
      <c r="I585" s="126"/>
      <c r="J585" s="127"/>
      <c r="K585" s="127"/>
      <c r="L585" s="88"/>
    </row>
    <row r="586" ht="12.0" customHeight="1">
      <c r="G586" s="88"/>
      <c r="H586" s="126"/>
      <c r="I586" s="126"/>
      <c r="J586" s="127"/>
      <c r="K586" s="127"/>
      <c r="L586" s="88"/>
    </row>
    <row r="587" ht="12.0" customHeight="1">
      <c r="G587" s="88"/>
      <c r="H587" s="126"/>
      <c r="I587" s="126"/>
      <c r="J587" s="127"/>
      <c r="K587" s="127"/>
      <c r="L587" s="88"/>
    </row>
    <row r="588" ht="12.0" customHeight="1">
      <c r="G588" s="88"/>
      <c r="H588" s="126"/>
      <c r="I588" s="126"/>
      <c r="J588" s="127"/>
      <c r="K588" s="127"/>
      <c r="L588" s="88"/>
    </row>
    <row r="589" ht="12.0" customHeight="1">
      <c r="G589" s="88"/>
      <c r="H589" s="126"/>
      <c r="I589" s="126"/>
      <c r="J589" s="127"/>
      <c r="K589" s="127"/>
      <c r="L589" s="88"/>
    </row>
    <row r="590" ht="12.0" customHeight="1">
      <c r="G590" s="88"/>
      <c r="H590" s="126"/>
      <c r="I590" s="126"/>
      <c r="J590" s="127"/>
      <c r="K590" s="127"/>
      <c r="L590" s="88"/>
    </row>
    <row r="591" ht="12.0" customHeight="1">
      <c r="G591" s="88"/>
      <c r="H591" s="126"/>
      <c r="I591" s="126"/>
      <c r="J591" s="127"/>
      <c r="K591" s="127"/>
      <c r="L591" s="88"/>
    </row>
    <row r="592" ht="12.0" customHeight="1">
      <c r="G592" s="88"/>
      <c r="H592" s="126"/>
      <c r="I592" s="126"/>
      <c r="J592" s="127"/>
      <c r="K592" s="127"/>
      <c r="L592" s="88"/>
    </row>
    <row r="593" ht="12.0" customHeight="1">
      <c r="G593" s="88"/>
      <c r="H593" s="126"/>
      <c r="I593" s="126"/>
      <c r="J593" s="127"/>
      <c r="K593" s="127"/>
      <c r="L593" s="88"/>
    </row>
    <row r="594" ht="12.0" customHeight="1">
      <c r="G594" s="88"/>
      <c r="H594" s="126"/>
      <c r="I594" s="126"/>
      <c r="J594" s="127"/>
      <c r="K594" s="127"/>
      <c r="L594" s="88"/>
    </row>
    <row r="595" ht="12.0" customHeight="1">
      <c r="G595" s="88"/>
      <c r="H595" s="126"/>
      <c r="I595" s="126"/>
      <c r="J595" s="127"/>
      <c r="K595" s="127"/>
      <c r="L595" s="88"/>
    </row>
    <row r="596" ht="12.0" customHeight="1">
      <c r="G596" s="88"/>
      <c r="H596" s="126"/>
      <c r="I596" s="126"/>
      <c r="J596" s="127"/>
      <c r="K596" s="127"/>
      <c r="L596" s="88"/>
    </row>
    <row r="597" ht="12.0" customHeight="1">
      <c r="G597" s="88"/>
      <c r="H597" s="126"/>
      <c r="I597" s="126"/>
      <c r="J597" s="127"/>
      <c r="K597" s="127"/>
      <c r="L597" s="88"/>
    </row>
    <row r="598" ht="12.0" customHeight="1">
      <c r="G598" s="88"/>
      <c r="H598" s="126"/>
      <c r="I598" s="126"/>
      <c r="J598" s="127"/>
      <c r="K598" s="127"/>
      <c r="L598" s="88"/>
    </row>
    <row r="599" ht="12.0" customHeight="1">
      <c r="G599" s="88"/>
      <c r="H599" s="126"/>
      <c r="I599" s="126"/>
      <c r="J599" s="127"/>
      <c r="K599" s="127"/>
      <c r="L599" s="88"/>
    </row>
    <row r="600" ht="12.0" customHeight="1">
      <c r="G600" s="88"/>
      <c r="H600" s="126"/>
      <c r="I600" s="126"/>
      <c r="J600" s="127"/>
      <c r="K600" s="127"/>
      <c r="L600" s="88"/>
    </row>
    <row r="601" ht="12.0" customHeight="1">
      <c r="G601" s="88"/>
      <c r="H601" s="126"/>
      <c r="I601" s="126"/>
      <c r="J601" s="127"/>
      <c r="K601" s="127"/>
      <c r="L601" s="88"/>
    </row>
    <row r="602" ht="12.0" customHeight="1">
      <c r="G602" s="88"/>
      <c r="H602" s="126"/>
      <c r="I602" s="126"/>
      <c r="J602" s="127"/>
      <c r="K602" s="127"/>
      <c r="L602" s="88"/>
    </row>
    <row r="603" ht="12.0" customHeight="1">
      <c r="G603" s="88"/>
      <c r="H603" s="126"/>
      <c r="I603" s="126"/>
      <c r="J603" s="127"/>
      <c r="K603" s="127"/>
      <c r="L603" s="88"/>
    </row>
    <row r="604" ht="12.0" customHeight="1">
      <c r="G604" s="88"/>
      <c r="H604" s="126"/>
      <c r="I604" s="126"/>
      <c r="J604" s="127"/>
      <c r="K604" s="127"/>
      <c r="L604" s="88"/>
    </row>
    <row r="605" ht="12.0" customHeight="1">
      <c r="G605" s="88"/>
      <c r="H605" s="126"/>
      <c r="I605" s="126"/>
      <c r="J605" s="127"/>
      <c r="K605" s="127"/>
      <c r="L605" s="88"/>
    </row>
    <row r="606" ht="12.0" customHeight="1">
      <c r="G606" s="88"/>
      <c r="H606" s="126"/>
      <c r="I606" s="126"/>
      <c r="J606" s="127"/>
      <c r="K606" s="127"/>
      <c r="L606" s="88"/>
    </row>
    <row r="607" ht="12.0" customHeight="1">
      <c r="G607" s="88"/>
      <c r="H607" s="126"/>
      <c r="I607" s="126"/>
      <c r="J607" s="127"/>
      <c r="K607" s="127"/>
      <c r="L607" s="88"/>
    </row>
    <row r="608" ht="12.0" customHeight="1">
      <c r="G608" s="88"/>
      <c r="H608" s="126"/>
      <c r="I608" s="126"/>
      <c r="J608" s="127"/>
      <c r="K608" s="127"/>
      <c r="L608" s="88"/>
    </row>
    <row r="609" ht="12.0" customHeight="1">
      <c r="G609" s="88"/>
      <c r="H609" s="126"/>
      <c r="I609" s="126"/>
      <c r="J609" s="127"/>
      <c r="K609" s="127"/>
      <c r="L609" s="88"/>
    </row>
    <row r="610" ht="12.0" customHeight="1">
      <c r="G610" s="88"/>
      <c r="H610" s="126"/>
      <c r="I610" s="126"/>
      <c r="J610" s="127"/>
      <c r="K610" s="127"/>
      <c r="L610" s="88"/>
    </row>
    <row r="611" ht="12.0" customHeight="1">
      <c r="G611" s="88"/>
      <c r="H611" s="126"/>
      <c r="I611" s="126"/>
      <c r="J611" s="127"/>
      <c r="K611" s="127"/>
      <c r="L611" s="88"/>
    </row>
    <row r="612" ht="12.0" customHeight="1">
      <c r="G612" s="88"/>
      <c r="H612" s="126"/>
      <c r="I612" s="126"/>
      <c r="J612" s="127"/>
      <c r="K612" s="127"/>
      <c r="L612" s="88"/>
    </row>
    <row r="613" ht="12.0" customHeight="1">
      <c r="G613" s="88"/>
      <c r="H613" s="126"/>
      <c r="I613" s="126"/>
      <c r="J613" s="127"/>
      <c r="K613" s="127"/>
      <c r="L613" s="88"/>
    </row>
    <row r="614" ht="12.0" customHeight="1">
      <c r="G614" s="88"/>
      <c r="H614" s="126"/>
      <c r="I614" s="126"/>
      <c r="J614" s="127"/>
      <c r="K614" s="127"/>
      <c r="L614" s="88"/>
    </row>
    <row r="615" ht="12.0" customHeight="1">
      <c r="G615" s="88"/>
      <c r="H615" s="126"/>
      <c r="I615" s="126"/>
      <c r="J615" s="127"/>
      <c r="K615" s="127"/>
      <c r="L615" s="88"/>
    </row>
    <row r="616" ht="12.0" customHeight="1">
      <c r="G616" s="88"/>
      <c r="H616" s="126"/>
      <c r="I616" s="126"/>
      <c r="J616" s="127"/>
      <c r="K616" s="127"/>
      <c r="L616" s="88"/>
    </row>
    <row r="617" ht="12.0" customHeight="1">
      <c r="G617" s="88"/>
      <c r="H617" s="126"/>
      <c r="I617" s="126"/>
      <c r="J617" s="127"/>
      <c r="K617" s="127"/>
      <c r="L617" s="88"/>
    </row>
    <row r="618" ht="12.0" customHeight="1">
      <c r="G618" s="88"/>
      <c r="H618" s="126"/>
      <c r="I618" s="126"/>
      <c r="J618" s="127"/>
      <c r="K618" s="127"/>
      <c r="L618" s="88"/>
    </row>
    <row r="619" ht="12.0" customHeight="1">
      <c r="G619" s="88"/>
      <c r="H619" s="126"/>
      <c r="I619" s="126"/>
      <c r="J619" s="127"/>
      <c r="K619" s="127"/>
      <c r="L619" s="88"/>
    </row>
    <row r="620" ht="12.0" customHeight="1">
      <c r="G620" s="88"/>
      <c r="H620" s="126"/>
      <c r="I620" s="126"/>
      <c r="J620" s="127"/>
      <c r="K620" s="127"/>
      <c r="L620" s="88"/>
    </row>
    <row r="621" ht="12.0" customHeight="1">
      <c r="G621" s="88"/>
      <c r="H621" s="126"/>
      <c r="I621" s="126"/>
      <c r="J621" s="127"/>
      <c r="K621" s="127"/>
      <c r="L621" s="88"/>
    </row>
    <row r="622" ht="12.0" customHeight="1">
      <c r="G622" s="88"/>
      <c r="H622" s="126"/>
      <c r="I622" s="126"/>
      <c r="J622" s="127"/>
      <c r="K622" s="127"/>
      <c r="L622" s="88"/>
    </row>
    <row r="623" ht="12.0" customHeight="1">
      <c r="G623" s="88"/>
      <c r="H623" s="126"/>
      <c r="I623" s="126"/>
      <c r="J623" s="127"/>
      <c r="K623" s="127"/>
      <c r="L623" s="88"/>
    </row>
    <row r="624" ht="12.0" customHeight="1">
      <c r="G624" s="88"/>
      <c r="H624" s="126"/>
      <c r="I624" s="126"/>
      <c r="J624" s="127"/>
      <c r="K624" s="127"/>
      <c r="L624" s="88"/>
    </row>
    <row r="625" ht="12.0" customHeight="1">
      <c r="G625" s="88"/>
      <c r="H625" s="126"/>
      <c r="I625" s="126"/>
      <c r="J625" s="127"/>
      <c r="K625" s="127"/>
      <c r="L625" s="88"/>
    </row>
    <row r="626" ht="12.0" customHeight="1">
      <c r="G626" s="88"/>
      <c r="H626" s="126"/>
      <c r="I626" s="126"/>
      <c r="J626" s="127"/>
      <c r="K626" s="127"/>
      <c r="L626" s="88"/>
    </row>
    <row r="627" ht="12.0" customHeight="1">
      <c r="G627" s="88"/>
      <c r="H627" s="126"/>
      <c r="I627" s="126"/>
      <c r="J627" s="127"/>
      <c r="K627" s="127"/>
      <c r="L627" s="88"/>
    </row>
    <row r="628" ht="12.0" customHeight="1">
      <c r="G628" s="88"/>
      <c r="H628" s="126"/>
      <c r="I628" s="126"/>
      <c r="J628" s="127"/>
      <c r="K628" s="127"/>
      <c r="L628" s="88"/>
    </row>
    <row r="629" ht="12.0" customHeight="1">
      <c r="G629" s="88"/>
      <c r="H629" s="126"/>
      <c r="I629" s="126"/>
      <c r="J629" s="127"/>
      <c r="K629" s="127"/>
      <c r="L629" s="88"/>
    </row>
    <row r="630" ht="12.0" customHeight="1">
      <c r="G630" s="88"/>
      <c r="H630" s="126"/>
      <c r="I630" s="126"/>
      <c r="J630" s="127"/>
      <c r="K630" s="127"/>
      <c r="L630" s="88"/>
    </row>
    <row r="631" ht="12.0" customHeight="1">
      <c r="G631" s="88"/>
      <c r="H631" s="126"/>
      <c r="I631" s="126"/>
      <c r="J631" s="127"/>
      <c r="K631" s="127"/>
      <c r="L631" s="88"/>
    </row>
    <row r="632" ht="12.0" customHeight="1">
      <c r="G632" s="88"/>
      <c r="H632" s="126"/>
      <c r="I632" s="126"/>
      <c r="J632" s="127"/>
      <c r="K632" s="127"/>
      <c r="L632" s="88"/>
    </row>
    <row r="633" ht="12.0" customHeight="1">
      <c r="G633" s="88"/>
      <c r="H633" s="126"/>
      <c r="I633" s="126"/>
      <c r="J633" s="127"/>
      <c r="K633" s="127"/>
      <c r="L633" s="88"/>
    </row>
    <row r="634" ht="12.0" customHeight="1">
      <c r="G634" s="88"/>
      <c r="H634" s="126"/>
      <c r="I634" s="126"/>
      <c r="J634" s="127"/>
      <c r="K634" s="127"/>
      <c r="L634" s="88"/>
    </row>
    <row r="635" ht="12.0" customHeight="1">
      <c r="G635" s="88"/>
      <c r="H635" s="126"/>
      <c r="I635" s="126"/>
      <c r="J635" s="127"/>
      <c r="K635" s="127"/>
      <c r="L635" s="88"/>
    </row>
    <row r="636" ht="12.0" customHeight="1">
      <c r="G636" s="88"/>
      <c r="H636" s="126"/>
      <c r="I636" s="126"/>
      <c r="J636" s="127"/>
      <c r="K636" s="127"/>
      <c r="L636" s="88"/>
    </row>
    <row r="637" ht="12.0" customHeight="1">
      <c r="G637" s="88"/>
      <c r="H637" s="126"/>
      <c r="I637" s="126"/>
      <c r="J637" s="127"/>
      <c r="K637" s="127"/>
      <c r="L637" s="88"/>
    </row>
    <row r="638" ht="12.0" customHeight="1">
      <c r="G638" s="88"/>
      <c r="H638" s="126"/>
      <c r="I638" s="126"/>
      <c r="J638" s="127"/>
      <c r="K638" s="127"/>
      <c r="L638" s="88"/>
    </row>
    <row r="639" ht="12.0" customHeight="1">
      <c r="G639" s="88"/>
      <c r="H639" s="126"/>
      <c r="I639" s="126"/>
      <c r="J639" s="127"/>
      <c r="K639" s="127"/>
      <c r="L639" s="88"/>
    </row>
    <row r="640" ht="12.0" customHeight="1">
      <c r="G640" s="88"/>
      <c r="H640" s="126"/>
      <c r="I640" s="126"/>
      <c r="J640" s="127"/>
      <c r="K640" s="127"/>
      <c r="L640" s="88"/>
    </row>
    <row r="641" ht="12.0" customHeight="1">
      <c r="G641" s="88"/>
      <c r="H641" s="126"/>
      <c r="I641" s="126"/>
      <c r="J641" s="127"/>
      <c r="K641" s="127"/>
      <c r="L641" s="88"/>
    </row>
    <row r="642" ht="12.0" customHeight="1">
      <c r="G642" s="88"/>
      <c r="H642" s="126"/>
      <c r="I642" s="126"/>
      <c r="J642" s="127"/>
      <c r="K642" s="127"/>
      <c r="L642" s="88"/>
    </row>
    <row r="643" ht="12.0" customHeight="1">
      <c r="G643" s="88"/>
      <c r="H643" s="126"/>
      <c r="I643" s="126"/>
      <c r="J643" s="127"/>
      <c r="K643" s="127"/>
      <c r="L643" s="88"/>
    </row>
    <row r="644" ht="12.0" customHeight="1">
      <c r="G644" s="88"/>
      <c r="H644" s="126"/>
      <c r="I644" s="126"/>
      <c r="J644" s="127"/>
      <c r="K644" s="127"/>
      <c r="L644" s="88"/>
    </row>
    <row r="645" ht="12.0" customHeight="1">
      <c r="G645" s="88"/>
      <c r="H645" s="126"/>
      <c r="I645" s="126"/>
      <c r="J645" s="127"/>
      <c r="K645" s="127"/>
      <c r="L645" s="88"/>
    </row>
    <row r="646" ht="12.0" customHeight="1">
      <c r="G646" s="88"/>
      <c r="H646" s="126"/>
      <c r="I646" s="126"/>
      <c r="J646" s="127"/>
      <c r="K646" s="127"/>
      <c r="L646" s="88"/>
    </row>
    <row r="647" ht="12.0" customHeight="1">
      <c r="G647" s="88"/>
      <c r="H647" s="126"/>
      <c r="I647" s="126"/>
      <c r="J647" s="127"/>
      <c r="K647" s="127"/>
      <c r="L647" s="88"/>
    </row>
    <row r="648" ht="12.0" customHeight="1">
      <c r="G648" s="88"/>
      <c r="H648" s="126"/>
      <c r="I648" s="126"/>
      <c r="J648" s="127"/>
      <c r="K648" s="127"/>
      <c r="L648" s="88"/>
    </row>
    <row r="649" ht="12.0" customHeight="1">
      <c r="G649" s="88"/>
      <c r="H649" s="126"/>
      <c r="I649" s="126"/>
      <c r="J649" s="127"/>
      <c r="K649" s="127"/>
      <c r="L649" s="88"/>
    </row>
    <row r="650" ht="12.0" customHeight="1">
      <c r="G650" s="88"/>
      <c r="H650" s="126"/>
      <c r="I650" s="126"/>
      <c r="J650" s="127"/>
      <c r="K650" s="127"/>
      <c r="L650" s="88"/>
    </row>
    <row r="651" ht="12.0" customHeight="1">
      <c r="G651" s="88"/>
      <c r="H651" s="126"/>
      <c r="I651" s="126"/>
      <c r="J651" s="127"/>
      <c r="K651" s="127"/>
      <c r="L651" s="88"/>
    </row>
    <row r="652" ht="12.0" customHeight="1">
      <c r="G652" s="88"/>
      <c r="H652" s="126"/>
      <c r="I652" s="126"/>
      <c r="J652" s="127"/>
      <c r="K652" s="127"/>
      <c r="L652" s="88"/>
    </row>
    <row r="653" ht="12.0" customHeight="1">
      <c r="G653" s="88"/>
      <c r="H653" s="126"/>
      <c r="I653" s="126"/>
      <c r="J653" s="127"/>
      <c r="K653" s="127"/>
      <c r="L653" s="88"/>
    </row>
    <row r="654" ht="12.0" customHeight="1">
      <c r="G654" s="88"/>
      <c r="H654" s="126"/>
      <c r="I654" s="126"/>
      <c r="J654" s="127"/>
      <c r="K654" s="127"/>
      <c r="L654" s="88"/>
    </row>
    <row r="655" ht="12.0" customHeight="1">
      <c r="G655" s="88"/>
      <c r="H655" s="126"/>
      <c r="I655" s="126"/>
      <c r="J655" s="127"/>
      <c r="K655" s="127"/>
      <c r="L655" s="88"/>
    </row>
    <row r="656" ht="12.0" customHeight="1">
      <c r="G656" s="88"/>
      <c r="H656" s="126"/>
      <c r="I656" s="126"/>
      <c r="J656" s="127"/>
      <c r="K656" s="127"/>
      <c r="L656" s="88"/>
    </row>
    <row r="657" ht="12.0" customHeight="1">
      <c r="G657" s="88"/>
      <c r="H657" s="126"/>
      <c r="I657" s="126"/>
      <c r="J657" s="127"/>
      <c r="K657" s="127"/>
      <c r="L657" s="88"/>
    </row>
    <row r="658" ht="12.0" customHeight="1">
      <c r="G658" s="88"/>
      <c r="H658" s="126"/>
      <c r="I658" s="126"/>
      <c r="J658" s="127"/>
      <c r="K658" s="127"/>
      <c r="L658" s="88"/>
    </row>
    <row r="659" ht="12.0" customHeight="1">
      <c r="G659" s="88"/>
      <c r="H659" s="126"/>
      <c r="I659" s="126"/>
      <c r="J659" s="127"/>
      <c r="K659" s="127"/>
      <c r="L659" s="88"/>
    </row>
    <row r="660" ht="12.0" customHeight="1">
      <c r="G660" s="88"/>
      <c r="H660" s="126"/>
      <c r="I660" s="126"/>
      <c r="J660" s="127"/>
      <c r="K660" s="127"/>
      <c r="L660" s="88"/>
    </row>
    <row r="661" ht="12.0" customHeight="1">
      <c r="G661" s="88"/>
      <c r="H661" s="126"/>
      <c r="I661" s="126"/>
      <c r="J661" s="127"/>
      <c r="K661" s="127"/>
      <c r="L661" s="88"/>
    </row>
    <row r="662" ht="12.0" customHeight="1">
      <c r="G662" s="88"/>
      <c r="H662" s="126"/>
      <c r="I662" s="126"/>
      <c r="J662" s="127"/>
      <c r="K662" s="127"/>
      <c r="L662" s="88"/>
    </row>
    <row r="663" ht="12.0" customHeight="1">
      <c r="G663" s="88"/>
      <c r="H663" s="126"/>
      <c r="I663" s="126"/>
      <c r="J663" s="127"/>
      <c r="K663" s="127"/>
      <c r="L663" s="88"/>
    </row>
    <row r="664" ht="12.0" customHeight="1">
      <c r="G664" s="88"/>
      <c r="H664" s="126"/>
      <c r="I664" s="126"/>
      <c r="J664" s="127"/>
      <c r="K664" s="127"/>
      <c r="L664" s="88"/>
    </row>
    <row r="665" ht="12.0" customHeight="1">
      <c r="G665" s="88"/>
      <c r="H665" s="126"/>
      <c r="I665" s="126"/>
      <c r="J665" s="127"/>
      <c r="K665" s="127"/>
      <c r="L665" s="88"/>
    </row>
    <row r="666" ht="12.0" customHeight="1">
      <c r="G666" s="88"/>
      <c r="H666" s="126"/>
      <c r="I666" s="126"/>
      <c r="J666" s="127"/>
      <c r="K666" s="127"/>
      <c r="L666" s="88"/>
    </row>
    <row r="667" ht="12.0" customHeight="1">
      <c r="G667" s="88"/>
      <c r="H667" s="126"/>
      <c r="I667" s="126"/>
      <c r="J667" s="127"/>
      <c r="K667" s="127"/>
      <c r="L667" s="88"/>
    </row>
    <row r="668" ht="12.0" customHeight="1">
      <c r="G668" s="88"/>
      <c r="H668" s="126"/>
      <c r="I668" s="126"/>
      <c r="J668" s="127"/>
      <c r="K668" s="127"/>
      <c r="L668" s="88"/>
    </row>
    <row r="669" ht="12.0" customHeight="1">
      <c r="G669" s="88"/>
      <c r="H669" s="126"/>
      <c r="I669" s="126"/>
      <c r="J669" s="127"/>
      <c r="K669" s="127"/>
      <c r="L669" s="88"/>
    </row>
    <row r="670" ht="12.0" customHeight="1">
      <c r="G670" s="88"/>
      <c r="H670" s="126"/>
      <c r="I670" s="126"/>
      <c r="J670" s="127"/>
      <c r="K670" s="127"/>
      <c r="L670" s="88"/>
    </row>
    <row r="671" ht="12.0" customHeight="1">
      <c r="G671" s="88"/>
      <c r="H671" s="126"/>
      <c r="I671" s="126"/>
      <c r="J671" s="127"/>
      <c r="K671" s="127"/>
      <c r="L671" s="88"/>
    </row>
    <row r="672" ht="12.0" customHeight="1">
      <c r="G672" s="88"/>
      <c r="H672" s="126"/>
      <c r="I672" s="126"/>
      <c r="J672" s="127"/>
      <c r="K672" s="127"/>
      <c r="L672" s="88"/>
    </row>
    <row r="673" ht="12.0" customHeight="1">
      <c r="G673" s="88"/>
      <c r="H673" s="126"/>
      <c r="I673" s="126"/>
      <c r="J673" s="127"/>
      <c r="K673" s="127"/>
      <c r="L673" s="88"/>
    </row>
    <row r="674" ht="12.0" customHeight="1">
      <c r="G674" s="88"/>
      <c r="H674" s="126"/>
      <c r="I674" s="126"/>
      <c r="J674" s="127"/>
      <c r="K674" s="127"/>
      <c r="L674" s="88"/>
    </row>
    <row r="675" ht="12.0" customHeight="1">
      <c r="G675" s="88"/>
      <c r="H675" s="126"/>
      <c r="I675" s="126"/>
      <c r="J675" s="127"/>
      <c r="K675" s="127"/>
      <c r="L675" s="88"/>
    </row>
    <row r="676" ht="12.0" customHeight="1">
      <c r="G676" s="88"/>
      <c r="H676" s="126"/>
      <c r="I676" s="126"/>
      <c r="J676" s="127"/>
      <c r="K676" s="127"/>
      <c r="L676" s="88"/>
    </row>
    <row r="677" ht="12.0" customHeight="1">
      <c r="G677" s="88"/>
      <c r="H677" s="126"/>
      <c r="I677" s="126"/>
      <c r="J677" s="127"/>
      <c r="K677" s="127"/>
      <c r="L677" s="88"/>
    </row>
    <row r="678" ht="12.0" customHeight="1">
      <c r="G678" s="88"/>
      <c r="H678" s="126"/>
      <c r="I678" s="126"/>
      <c r="J678" s="127"/>
      <c r="K678" s="127"/>
      <c r="L678" s="88"/>
    </row>
    <row r="679" ht="12.0" customHeight="1">
      <c r="G679" s="88"/>
      <c r="H679" s="126"/>
      <c r="I679" s="126"/>
      <c r="J679" s="127"/>
      <c r="K679" s="127"/>
      <c r="L679" s="88"/>
    </row>
    <row r="680" ht="12.0" customHeight="1">
      <c r="G680" s="88"/>
      <c r="H680" s="126"/>
      <c r="I680" s="126"/>
      <c r="J680" s="127"/>
      <c r="K680" s="127"/>
      <c r="L680" s="88"/>
    </row>
    <row r="681" ht="12.0" customHeight="1">
      <c r="G681" s="88"/>
      <c r="H681" s="126"/>
      <c r="I681" s="126"/>
      <c r="J681" s="127"/>
      <c r="K681" s="127"/>
      <c r="L681" s="88"/>
    </row>
    <row r="682" ht="12.0" customHeight="1">
      <c r="G682" s="88"/>
      <c r="H682" s="126"/>
      <c r="I682" s="126"/>
      <c r="J682" s="127"/>
      <c r="K682" s="127"/>
      <c r="L682" s="88"/>
    </row>
    <row r="683" ht="12.0" customHeight="1">
      <c r="G683" s="88"/>
      <c r="H683" s="126"/>
      <c r="I683" s="126"/>
      <c r="J683" s="127"/>
      <c r="K683" s="127"/>
      <c r="L683" s="88"/>
    </row>
    <row r="684" ht="12.0" customHeight="1">
      <c r="G684" s="88"/>
      <c r="H684" s="126"/>
      <c r="I684" s="126"/>
      <c r="J684" s="127"/>
      <c r="K684" s="127"/>
      <c r="L684" s="88"/>
    </row>
    <row r="685" ht="12.0" customHeight="1">
      <c r="G685" s="88"/>
      <c r="H685" s="126"/>
      <c r="I685" s="126"/>
      <c r="J685" s="127"/>
      <c r="K685" s="127"/>
      <c r="L685" s="88"/>
    </row>
    <row r="686" ht="12.0" customHeight="1">
      <c r="G686" s="88"/>
      <c r="H686" s="126"/>
      <c r="I686" s="126"/>
      <c r="J686" s="127"/>
      <c r="K686" s="127"/>
      <c r="L686" s="88"/>
    </row>
    <row r="687" ht="12.0" customHeight="1">
      <c r="G687" s="88"/>
      <c r="H687" s="126"/>
      <c r="I687" s="126"/>
      <c r="J687" s="127"/>
      <c r="K687" s="127"/>
      <c r="L687" s="88"/>
    </row>
    <row r="688" ht="12.0" customHeight="1">
      <c r="G688" s="88"/>
      <c r="H688" s="126"/>
      <c r="I688" s="126"/>
      <c r="J688" s="127"/>
      <c r="K688" s="127"/>
      <c r="L688" s="88"/>
    </row>
    <row r="689" ht="12.0" customHeight="1">
      <c r="G689" s="88"/>
      <c r="H689" s="126"/>
      <c r="I689" s="126"/>
      <c r="J689" s="127"/>
      <c r="K689" s="127"/>
      <c r="L689" s="88"/>
    </row>
    <row r="690" ht="12.0" customHeight="1">
      <c r="G690" s="88"/>
      <c r="H690" s="126"/>
      <c r="I690" s="126"/>
      <c r="J690" s="127"/>
      <c r="K690" s="127"/>
      <c r="L690" s="88"/>
    </row>
    <row r="691" ht="12.0" customHeight="1">
      <c r="G691" s="88"/>
      <c r="H691" s="126"/>
      <c r="I691" s="126"/>
      <c r="J691" s="127"/>
      <c r="K691" s="127"/>
      <c r="L691" s="88"/>
    </row>
    <row r="692" ht="12.0" customHeight="1">
      <c r="G692" s="88"/>
      <c r="H692" s="126"/>
      <c r="I692" s="126"/>
      <c r="J692" s="127"/>
      <c r="K692" s="127"/>
      <c r="L692" s="88"/>
    </row>
    <row r="693" ht="12.0" customHeight="1">
      <c r="G693" s="88"/>
      <c r="H693" s="126"/>
      <c r="I693" s="126"/>
      <c r="J693" s="127"/>
      <c r="K693" s="127"/>
      <c r="L693" s="88"/>
    </row>
    <row r="694" ht="12.0" customHeight="1">
      <c r="G694" s="88"/>
      <c r="H694" s="126"/>
      <c r="I694" s="126"/>
      <c r="J694" s="127"/>
      <c r="K694" s="127"/>
      <c r="L694" s="88"/>
    </row>
    <row r="695" ht="12.0" customHeight="1">
      <c r="G695" s="88"/>
      <c r="H695" s="126"/>
      <c r="I695" s="126"/>
      <c r="J695" s="127"/>
      <c r="K695" s="127"/>
      <c r="L695" s="88"/>
    </row>
    <row r="696" ht="12.0" customHeight="1">
      <c r="G696" s="88"/>
      <c r="H696" s="126"/>
      <c r="I696" s="126"/>
      <c r="J696" s="127"/>
      <c r="K696" s="127"/>
      <c r="L696" s="88"/>
    </row>
    <row r="697" ht="12.0" customHeight="1">
      <c r="G697" s="88"/>
      <c r="H697" s="126"/>
      <c r="I697" s="126"/>
      <c r="J697" s="127"/>
      <c r="K697" s="127"/>
      <c r="L697" s="88"/>
    </row>
    <row r="698" ht="12.0" customHeight="1">
      <c r="G698" s="88"/>
      <c r="H698" s="126"/>
      <c r="I698" s="126"/>
      <c r="J698" s="127"/>
      <c r="K698" s="127"/>
      <c r="L698" s="88"/>
    </row>
    <row r="699" ht="12.0" customHeight="1">
      <c r="G699" s="88"/>
      <c r="H699" s="126"/>
      <c r="I699" s="126"/>
      <c r="J699" s="127"/>
      <c r="K699" s="127"/>
      <c r="L699" s="88"/>
    </row>
    <row r="700" ht="12.0" customHeight="1">
      <c r="G700" s="88"/>
      <c r="H700" s="126"/>
      <c r="I700" s="126"/>
      <c r="J700" s="127"/>
      <c r="K700" s="127"/>
      <c r="L700" s="88"/>
    </row>
    <row r="701" ht="12.0" customHeight="1">
      <c r="G701" s="88"/>
      <c r="H701" s="126"/>
      <c r="I701" s="126"/>
      <c r="J701" s="127"/>
      <c r="K701" s="127"/>
      <c r="L701" s="88"/>
    </row>
    <row r="702" ht="12.0" customHeight="1">
      <c r="G702" s="88"/>
      <c r="H702" s="126"/>
      <c r="I702" s="126"/>
      <c r="J702" s="127"/>
      <c r="K702" s="127"/>
      <c r="L702" s="88"/>
    </row>
    <row r="703" ht="12.0" customHeight="1">
      <c r="G703" s="88"/>
      <c r="H703" s="126"/>
      <c r="I703" s="126"/>
      <c r="J703" s="127"/>
      <c r="K703" s="127"/>
      <c r="L703" s="88"/>
    </row>
    <row r="704" ht="12.0" customHeight="1">
      <c r="G704" s="88"/>
      <c r="H704" s="126"/>
      <c r="I704" s="126"/>
      <c r="J704" s="127"/>
      <c r="K704" s="127"/>
      <c r="L704" s="88"/>
    </row>
    <row r="705" ht="12.0" customHeight="1">
      <c r="G705" s="88"/>
      <c r="H705" s="126"/>
      <c r="I705" s="126"/>
      <c r="J705" s="127"/>
      <c r="K705" s="127"/>
      <c r="L705" s="88"/>
    </row>
    <row r="706" ht="12.0" customHeight="1">
      <c r="G706" s="88"/>
      <c r="H706" s="126"/>
      <c r="I706" s="126"/>
      <c r="J706" s="127"/>
      <c r="K706" s="127"/>
      <c r="L706" s="88"/>
    </row>
    <row r="707" ht="12.0" customHeight="1">
      <c r="G707" s="88"/>
      <c r="H707" s="126"/>
      <c r="I707" s="126"/>
      <c r="J707" s="127"/>
      <c r="K707" s="127"/>
      <c r="L707" s="88"/>
    </row>
    <row r="708" ht="12.0" customHeight="1">
      <c r="G708" s="88"/>
      <c r="H708" s="126"/>
      <c r="I708" s="126"/>
      <c r="J708" s="127"/>
      <c r="K708" s="127"/>
      <c r="L708" s="88"/>
    </row>
    <row r="709" ht="12.0" customHeight="1">
      <c r="G709" s="88"/>
      <c r="H709" s="126"/>
      <c r="I709" s="126"/>
      <c r="J709" s="127"/>
      <c r="K709" s="127"/>
      <c r="L709" s="88"/>
    </row>
    <row r="710" ht="12.0" customHeight="1">
      <c r="G710" s="88"/>
      <c r="H710" s="126"/>
      <c r="I710" s="126"/>
      <c r="J710" s="127"/>
      <c r="K710" s="127"/>
      <c r="L710" s="88"/>
    </row>
    <row r="711" ht="12.0" customHeight="1">
      <c r="G711" s="88"/>
      <c r="H711" s="126"/>
      <c r="I711" s="126"/>
      <c r="J711" s="127"/>
      <c r="K711" s="127"/>
      <c r="L711" s="88"/>
    </row>
    <row r="712" ht="12.0" customHeight="1">
      <c r="G712" s="88"/>
      <c r="H712" s="126"/>
      <c r="I712" s="126"/>
      <c r="J712" s="127"/>
      <c r="K712" s="127"/>
      <c r="L712" s="88"/>
    </row>
    <row r="713" ht="12.0" customHeight="1">
      <c r="G713" s="88"/>
      <c r="H713" s="126"/>
      <c r="I713" s="126"/>
      <c r="J713" s="127"/>
      <c r="K713" s="127"/>
      <c r="L713" s="88"/>
    </row>
    <row r="714" ht="12.0" customHeight="1">
      <c r="G714" s="88"/>
      <c r="H714" s="126"/>
      <c r="I714" s="126"/>
      <c r="J714" s="127"/>
      <c r="K714" s="127"/>
      <c r="L714" s="88"/>
    </row>
    <row r="715" ht="12.0" customHeight="1">
      <c r="G715" s="88"/>
      <c r="H715" s="126"/>
      <c r="I715" s="126"/>
      <c r="J715" s="127"/>
      <c r="K715" s="127"/>
      <c r="L715" s="88"/>
    </row>
    <row r="716" ht="12.0" customHeight="1">
      <c r="G716" s="88"/>
      <c r="H716" s="126"/>
      <c r="I716" s="126"/>
      <c r="J716" s="127"/>
      <c r="K716" s="127"/>
      <c r="L716" s="88"/>
    </row>
    <row r="717" ht="12.0" customHeight="1">
      <c r="G717" s="88"/>
      <c r="H717" s="126"/>
      <c r="I717" s="126"/>
      <c r="J717" s="127"/>
      <c r="K717" s="127"/>
      <c r="L717" s="88"/>
    </row>
    <row r="718" ht="12.0" customHeight="1">
      <c r="G718" s="88"/>
      <c r="H718" s="126"/>
      <c r="I718" s="126"/>
      <c r="J718" s="127"/>
      <c r="K718" s="127"/>
      <c r="L718" s="88"/>
    </row>
    <row r="719" ht="12.0" customHeight="1">
      <c r="G719" s="88"/>
      <c r="H719" s="126"/>
      <c r="I719" s="126"/>
      <c r="J719" s="127"/>
      <c r="K719" s="127"/>
      <c r="L719" s="88"/>
    </row>
    <row r="720" ht="12.0" customHeight="1">
      <c r="G720" s="88"/>
      <c r="H720" s="126"/>
      <c r="I720" s="126"/>
      <c r="J720" s="127"/>
      <c r="K720" s="127"/>
      <c r="L720" s="88"/>
    </row>
    <row r="721" ht="12.0" customHeight="1">
      <c r="G721" s="88"/>
      <c r="H721" s="126"/>
      <c r="I721" s="126"/>
      <c r="J721" s="127"/>
      <c r="K721" s="127"/>
      <c r="L721" s="88"/>
    </row>
    <row r="722" ht="12.0" customHeight="1">
      <c r="G722" s="88"/>
      <c r="H722" s="126"/>
      <c r="I722" s="126"/>
      <c r="J722" s="127"/>
      <c r="K722" s="127"/>
      <c r="L722" s="88"/>
    </row>
    <row r="723" ht="12.0" customHeight="1">
      <c r="G723" s="88"/>
      <c r="H723" s="126"/>
      <c r="I723" s="126"/>
      <c r="J723" s="127"/>
      <c r="K723" s="127"/>
      <c r="L723" s="88"/>
    </row>
    <row r="724" ht="12.0" customHeight="1">
      <c r="G724" s="88"/>
      <c r="H724" s="126"/>
      <c r="I724" s="126"/>
      <c r="J724" s="127"/>
      <c r="K724" s="127"/>
      <c r="L724" s="88"/>
    </row>
    <row r="725" ht="12.0" customHeight="1">
      <c r="G725" s="88"/>
      <c r="H725" s="126"/>
      <c r="I725" s="126"/>
      <c r="J725" s="127"/>
      <c r="K725" s="127"/>
      <c r="L725" s="88"/>
    </row>
    <row r="726" ht="12.0" customHeight="1">
      <c r="G726" s="88"/>
      <c r="H726" s="126"/>
      <c r="I726" s="126"/>
      <c r="J726" s="127"/>
      <c r="K726" s="127"/>
      <c r="L726" s="88"/>
    </row>
    <row r="727" ht="12.0" customHeight="1">
      <c r="G727" s="88"/>
      <c r="H727" s="126"/>
      <c r="I727" s="126"/>
      <c r="J727" s="127"/>
      <c r="K727" s="127"/>
      <c r="L727" s="88"/>
    </row>
    <row r="728" ht="12.0" customHeight="1">
      <c r="G728" s="88"/>
      <c r="H728" s="126"/>
      <c r="I728" s="126"/>
      <c r="J728" s="127"/>
      <c r="K728" s="127"/>
      <c r="L728" s="88"/>
    </row>
    <row r="729" ht="12.0" customHeight="1">
      <c r="G729" s="88"/>
      <c r="H729" s="126"/>
      <c r="I729" s="126"/>
      <c r="J729" s="127"/>
      <c r="K729" s="127"/>
      <c r="L729" s="88"/>
    </row>
    <row r="730" ht="12.0" customHeight="1">
      <c r="G730" s="88"/>
      <c r="H730" s="126"/>
      <c r="I730" s="126"/>
      <c r="J730" s="127"/>
      <c r="K730" s="127"/>
      <c r="L730" s="88"/>
    </row>
    <row r="731" ht="12.0" customHeight="1">
      <c r="G731" s="88"/>
      <c r="H731" s="126"/>
      <c r="I731" s="126"/>
      <c r="J731" s="127"/>
      <c r="K731" s="127"/>
      <c r="L731" s="88"/>
    </row>
    <row r="732" ht="12.0" customHeight="1">
      <c r="G732" s="88"/>
      <c r="H732" s="126"/>
      <c r="I732" s="126"/>
      <c r="J732" s="127"/>
      <c r="K732" s="127"/>
      <c r="L732" s="88"/>
    </row>
    <row r="733" ht="12.0" customHeight="1">
      <c r="G733" s="88"/>
      <c r="H733" s="126"/>
      <c r="I733" s="126"/>
      <c r="J733" s="127"/>
      <c r="K733" s="127"/>
      <c r="L733" s="88"/>
    </row>
    <row r="734" ht="12.0" customHeight="1">
      <c r="G734" s="88"/>
      <c r="H734" s="126"/>
      <c r="I734" s="126"/>
      <c r="J734" s="127"/>
      <c r="K734" s="127"/>
      <c r="L734" s="88"/>
    </row>
    <row r="735" ht="12.0" customHeight="1">
      <c r="G735" s="88"/>
      <c r="H735" s="126"/>
      <c r="I735" s="126"/>
      <c r="J735" s="127"/>
      <c r="K735" s="127"/>
      <c r="L735" s="88"/>
    </row>
    <row r="736" ht="12.0" customHeight="1">
      <c r="G736" s="88"/>
      <c r="H736" s="126"/>
      <c r="I736" s="126"/>
      <c r="J736" s="127"/>
      <c r="K736" s="127"/>
      <c r="L736" s="88"/>
    </row>
    <row r="737" ht="12.0" customHeight="1">
      <c r="G737" s="88"/>
      <c r="H737" s="126"/>
      <c r="I737" s="126"/>
      <c r="J737" s="127"/>
      <c r="K737" s="127"/>
      <c r="L737" s="88"/>
    </row>
    <row r="738" ht="12.0" customHeight="1">
      <c r="G738" s="88"/>
      <c r="H738" s="126"/>
      <c r="I738" s="126"/>
      <c r="J738" s="127"/>
      <c r="K738" s="127"/>
      <c r="L738" s="88"/>
    </row>
    <row r="739" ht="12.0" customHeight="1">
      <c r="G739" s="88"/>
      <c r="H739" s="126"/>
      <c r="I739" s="126"/>
      <c r="J739" s="127"/>
      <c r="K739" s="127"/>
      <c r="L739" s="88"/>
    </row>
    <row r="740" ht="12.0" customHeight="1">
      <c r="G740" s="88"/>
      <c r="H740" s="126"/>
      <c r="I740" s="126"/>
      <c r="J740" s="127"/>
      <c r="K740" s="127"/>
      <c r="L740" s="88"/>
    </row>
    <row r="741" ht="12.0" customHeight="1">
      <c r="G741" s="88"/>
      <c r="H741" s="126"/>
      <c r="I741" s="126"/>
      <c r="J741" s="127"/>
      <c r="K741" s="127"/>
      <c r="L741" s="88"/>
    </row>
    <row r="742" ht="12.0" customHeight="1">
      <c r="G742" s="88"/>
      <c r="H742" s="126"/>
      <c r="I742" s="126"/>
      <c r="J742" s="127"/>
      <c r="K742" s="127"/>
      <c r="L742" s="88"/>
    </row>
    <row r="743" ht="12.0" customHeight="1">
      <c r="G743" s="88"/>
      <c r="H743" s="126"/>
      <c r="I743" s="126"/>
      <c r="J743" s="127"/>
      <c r="K743" s="127"/>
      <c r="L743" s="88"/>
    </row>
    <row r="744" ht="12.0" customHeight="1">
      <c r="G744" s="88"/>
      <c r="H744" s="126"/>
      <c r="I744" s="126"/>
      <c r="J744" s="127"/>
      <c r="K744" s="127"/>
      <c r="L744" s="88"/>
    </row>
    <row r="745" ht="12.0" customHeight="1">
      <c r="G745" s="88"/>
      <c r="H745" s="126"/>
      <c r="I745" s="126"/>
      <c r="J745" s="127"/>
      <c r="K745" s="127"/>
      <c r="L745" s="88"/>
    </row>
    <row r="746" ht="12.0" customHeight="1">
      <c r="G746" s="88"/>
      <c r="H746" s="126"/>
      <c r="I746" s="126"/>
      <c r="J746" s="127"/>
      <c r="K746" s="127"/>
      <c r="L746" s="88"/>
    </row>
    <row r="747" ht="12.0" customHeight="1">
      <c r="G747" s="88"/>
      <c r="H747" s="126"/>
      <c r="I747" s="126"/>
      <c r="J747" s="127"/>
      <c r="K747" s="127"/>
      <c r="L747" s="88"/>
    </row>
    <row r="748" ht="12.0" customHeight="1">
      <c r="G748" s="88"/>
      <c r="H748" s="126"/>
      <c r="I748" s="126"/>
      <c r="J748" s="127"/>
      <c r="K748" s="127"/>
      <c r="L748" s="88"/>
    </row>
    <row r="749" ht="12.0" customHeight="1">
      <c r="G749" s="88"/>
      <c r="H749" s="126"/>
      <c r="I749" s="126"/>
      <c r="J749" s="127"/>
      <c r="K749" s="127"/>
      <c r="L749" s="88"/>
    </row>
    <row r="750" ht="12.0" customHeight="1">
      <c r="G750" s="88"/>
      <c r="H750" s="126"/>
      <c r="I750" s="126"/>
      <c r="J750" s="127"/>
      <c r="K750" s="127"/>
      <c r="L750" s="88"/>
    </row>
    <row r="751" ht="12.0" customHeight="1">
      <c r="G751" s="88"/>
      <c r="H751" s="126"/>
      <c r="I751" s="126"/>
      <c r="J751" s="127"/>
      <c r="K751" s="127"/>
      <c r="L751" s="88"/>
    </row>
    <row r="752" ht="12.0" customHeight="1">
      <c r="G752" s="88"/>
      <c r="H752" s="126"/>
      <c r="I752" s="126"/>
      <c r="J752" s="127"/>
      <c r="K752" s="127"/>
      <c r="L752" s="88"/>
    </row>
    <row r="753" ht="12.0" customHeight="1">
      <c r="G753" s="88"/>
      <c r="H753" s="126"/>
      <c r="I753" s="126"/>
      <c r="J753" s="127"/>
      <c r="K753" s="127"/>
      <c r="L753" s="88"/>
    </row>
    <row r="754" ht="12.0" customHeight="1">
      <c r="G754" s="88"/>
      <c r="H754" s="126"/>
      <c r="I754" s="126"/>
      <c r="J754" s="127"/>
      <c r="K754" s="127"/>
      <c r="L754" s="88"/>
    </row>
    <row r="755" ht="12.0" customHeight="1">
      <c r="G755" s="88"/>
      <c r="H755" s="126"/>
      <c r="I755" s="126"/>
      <c r="J755" s="127"/>
      <c r="K755" s="127"/>
      <c r="L755" s="88"/>
    </row>
    <row r="756" ht="12.0" customHeight="1">
      <c r="G756" s="88"/>
      <c r="H756" s="126"/>
      <c r="I756" s="126"/>
      <c r="J756" s="127"/>
      <c r="K756" s="127"/>
      <c r="L756" s="88"/>
    </row>
    <row r="757" ht="12.0" customHeight="1">
      <c r="G757" s="88"/>
      <c r="H757" s="126"/>
      <c r="I757" s="126"/>
      <c r="J757" s="127"/>
      <c r="K757" s="127"/>
      <c r="L757" s="88"/>
    </row>
    <row r="758" ht="12.0" customHeight="1">
      <c r="G758" s="88"/>
      <c r="H758" s="126"/>
      <c r="I758" s="126"/>
      <c r="J758" s="127"/>
      <c r="K758" s="127"/>
      <c r="L758" s="88"/>
    </row>
    <row r="759" ht="12.0" customHeight="1">
      <c r="G759" s="88"/>
      <c r="H759" s="126"/>
      <c r="I759" s="126"/>
      <c r="J759" s="127"/>
      <c r="K759" s="127"/>
      <c r="L759" s="88"/>
    </row>
    <row r="760" ht="12.0" customHeight="1">
      <c r="G760" s="88"/>
      <c r="H760" s="126"/>
      <c r="I760" s="126"/>
      <c r="J760" s="127"/>
      <c r="K760" s="127"/>
      <c r="L760" s="88"/>
    </row>
    <row r="761" ht="12.0" customHeight="1">
      <c r="G761" s="88"/>
      <c r="H761" s="126"/>
      <c r="I761" s="126"/>
      <c r="J761" s="127"/>
      <c r="K761" s="127"/>
      <c r="L761" s="88"/>
    </row>
    <row r="762" ht="12.0" customHeight="1">
      <c r="G762" s="88"/>
      <c r="H762" s="126"/>
      <c r="I762" s="126"/>
      <c r="J762" s="127"/>
      <c r="K762" s="127"/>
      <c r="L762" s="88"/>
    </row>
    <row r="763" ht="12.0" customHeight="1">
      <c r="G763" s="88"/>
      <c r="H763" s="126"/>
      <c r="I763" s="126"/>
      <c r="J763" s="127"/>
      <c r="K763" s="127"/>
      <c r="L763" s="88"/>
    </row>
    <row r="764" ht="12.0" customHeight="1">
      <c r="G764" s="88"/>
      <c r="H764" s="126"/>
      <c r="I764" s="126"/>
      <c r="J764" s="127"/>
      <c r="K764" s="127"/>
      <c r="L764" s="88"/>
    </row>
    <row r="765" ht="12.0" customHeight="1">
      <c r="G765" s="88"/>
      <c r="H765" s="126"/>
      <c r="I765" s="126"/>
      <c r="J765" s="127"/>
      <c r="K765" s="127"/>
      <c r="L765" s="88"/>
    </row>
    <row r="766" ht="12.0" customHeight="1">
      <c r="G766" s="88"/>
      <c r="H766" s="126"/>
      <c r="I766" s="126"/>
      <c r="J766" s="127"/>
      <c r="K766" s="127"/>
      <c r="L766" s="88"/>
    </row>
    <row r="767" ht="12.0" customHeight="1">
      <c r="G767" s="88"/>
      <c r="H767" s="126"/>
      <c r="I767" s="126"/>
      <c r="J767" s="127"/>
      <c r="K767" s="127"/>
      <c r="L767" s="88"/>
    </row>
    <row r="768" ht="12.0" customHeight="1">
      <c r="G768" s="88"/>
      <c r="H768" s="126"/>
      <c r="I768" s="126"/>
      <c r="J768" s="127"/>
      <c r="K768" s="127"/>
      <c r="L768" s="88"/>
    </row>
    <row r="769" ht="12.0" customHeight="1">
      <c r="G769" s="88"/>
      <c r="H769" s="126"/>
      <c r="I769" s="126"/>
      <c r="J769" s="127"/>
      <c r="K769" s="127"/>
      <c r="L769" s="88"/>
    </row>
    <row r="770" ht="12.0" customHeight="1">
      <c r="G770" s="88"/>
      <c r="H770" s="126"/>
      <c r="I770" s="126"/>
      <c r="J770" s="127"/>
      <c r="K770" s="127"/>
      <c r="L770" s="88"/>
    </row>
    <row r="771" ht="12.0" customHeight="1">
      <c r="G771" s="88"/>
      <c r="H771" s="126"/>
      <c r="I771" s="126"/>
      <c r="J771" s="127"/>
      <c r="K771" s="127"/>
      <c r="L771" s="88"/>
    </row>
    <row r="772" ht="12.0" customHeight="1">
      <c r="G772" s="88"/>
      <c r="H772" s="126"/>
      <c r="I772" s="126"/>
      <c r="J772" s="127"/>
      <c r="K772" s="127"/>
      <c r="L772" s="88"/>
    </row>
    <row r="773" ht="12.0" customHeight="1">
      <c r="G773" s="88"/>
      <c r="H773" s="126"/>
      <c r="I773" s="126"/>
      <c r="J773" s="127"/>
      <c r="K773" s="127"/>
      <c r="L773" s="88"/>
    </row>
    <row r="774" ht="12.0" customHeight="1">
      <c r="G774" s="88"/>
      <c r="H774" s="126"/>
      <c r="I774" s="126"/>
      <c r="J774" s="127"/>
      <c r="K774" s="127"/>
      <c r="L774" s="88"/>
    </row>
    <row r="775" ht="12.0" customHeight="1">
      <c r="G775" s="88"/>
      <c r="H775" s="126"/>
      <c r="I775" s="126"/>
      <c r="J775" s="127"/>
      <c r="K775" s="127"/>
      <c r="L775" s="88"/>
    </row>
    <row r="776" ht="12.0" customHeight="1">
      <c r="G776" s="88"/>
      <c r="H776" s="126"/>
      <c r="I776" s="126"/>
      <c r="J776" s="127"/>
      <c r="K776" s="127"/>
      <c r="L776" s="88"/>
    </row>
    <row r="777" ht="12.0" customHeight="1">
      <c r="G777" s="88"/>
      <c r="H777" s="126"/>
      <c r="I777" s="126"/>
      <c r="J777" s="127"/>
      <c r="K777" s="127"/>
      <c r="L777" s="88"/>
    </row>
    <row r="778" ht="12.0" customHeight="1">
      <c r="G778" s="88"/>
      <c r="H778" s="126"/>
      <c r="I778" s="126"/>
      <c r="J778" s="127"/>
      <c r="K778" s="127"/>
      <c r="L778" s="88"/>
    </row>
    <row r="779" ht="12.0" customHeight="1">
      <c r="G779" s="88"/>
      <c r="H779" s="126"/>
      <c r="I779" s="126"/>
      <c r="J779" s="127"/>
      <c r="K779" s="127"/>
      <c r="L779" s="88"/>
    </row>
    <row r="780" ht="12.0" customHeight="1">
      <c r="G780" s="88"/>
      <c r="H780" s="126"/>
      <c r="I780" s="126"/>
      <c r="J780" s="127"/>
      <c r="K780" s="127"/>
      <c r="L780" s="88"/>
    </row>
    <row r="781" ht="12.0" customHeight="1">
      <c r="G781" s="88"/>
      <c r="H781" s="126"/>
      <c r="I781" s="126"/>
      <c r="J781" s="127"/>
      <c r="K781" s="127"/>
      <c r="L781" s="88"/>
    </row>
    <row r="782" ht="12.0" customHeight="1">
      <c r="G782" s="88"/>
      <c r="H782" s="126"/>
      <c r="I782" s="126"/>
      <c r="J782" s="127"/>
      <c r="K782" s="127"/>
      <c r="L782" s="88"/>
    </row>
    <row r="783" ht="12.0" customHeight="1">
      <c r="G783" s="88"/>
      <c r="H783" s="126"/>
      <c r="I783" s="126"/>
      <c r="J783" s="127"/>
      <c r="K783" s="127"/>
      <c r="L783" s="88"/>
    </row>
    <row r="784" ht="12.0" customHeight="1">
      <c r="G784" s="88"/>
      <c r="H784" s="126"/>
      <c r="I784" s="126"/>
      <c r="J784" s="127"/>
      <c r="K784" s="127"/>
      <c r="L784" s="88"/>
    </row>
    <row r="785" ht="12.0" customHeight="1">
      <c r="G785" s="88"/>
      <c r="H785" s="126"/>
      <c r="I785" s="126"/>
      <c r="J785" s="127"/>
      <c r="K785" s="127"/>
      <c r="L785" s="88"/>
    </row>
    <row r="786" ht="12.0" customHeight="1">
      <c r="G786" s="88"/>
      <c r="H786" s="126"/>
      <c r="I786" s="126"/>
      <c r="J786" s="127"/>
      <c r="K786" s="127"/>
      <c r="L786" s="88"/>
    </row>
    <row r="787" ht="12.0" customHeight="1">
      <c r="G787" s="88"/>
      <c r="H787" s="126"/>
      <c r="I787" s="126"/>
      <c r="J787" s="127"/>
      <c r="K787" s="127"/>
      <c r="L787" s="88"/>
    </row>
    <row r="788" ht="12.0" customHeight="1">
      <c r="G788" s="88"/>
      <c r="H788" s="126"/>
      <c r="I788" s="126"/>
      <c r="J788" s="127"/>
      <c r="K788" s="127"/>
      <c r="L788" s="88"/>
    </row>
    <row r="789" ht="12.0" customHeight="1">
      <c r="G789" s="88"/>
      <c r="H789" s="126"/>
      <c r="I789" s="126"/>
      <c r="J789" s="127"/>
      <c r="K789" s="127"/>
      <c r="L789" s="88"/>
    </row>
    <row r="790" ht="12.0" customHeight="1">
      <c r="G790" s="88"/>
      <c r="H790" s="126"/>
      <c r="I790" s="126"/>
      <c r="J790" s="127"/>
      <c r="K790" s="127"/>
      <c r="L790" s="88"/>
    </row>
    <row r="791" ht="12.0" customHeight="1">
      <c r="G791" s="88"/>
      <c r="H791" s="126"/>
      <c r="I791" s="126"/>
      <c r="J791" s="127"/>
      <c r="K791" s="127"/>
      <c r="L791" s="88"/>
    </row>
    <row r="792" ht="12.0" customHeight="1">
      <c r="G792" s="88"/>
      <c r="H792" s="126"/>
      <c r="I792" s="126"/>
      <c r="J792" s="127"/>
      <c r="K792" s="127"/>
      <c r="L792" s="88"/>
    </row>
    <row r="793" ht="12.0" customHeight="1">
      <c r="G793" s="88"/>
      <c r="H793" s="126"/>
      <c r="I793" s="126"/>
      <c r="J793" s="127"/>
      <c r="K793" s="127"/>
      <c r="L793" s="88"/>
    </row>
    <row r="794" ht="12.0" customHeight="1">
      <c r="G794" s="88"/>
      <c r="H794" s="126"/>
      <c r="I794" s="126"/>
      <c r="J794" s="127"/>
      <c r="K794" s="127"/>
      <c r="L794" s="88"/>
    </row>
    <row r="795" ht="12.0" customHeight="1">
      <c r="G795" s="88"/>
      <c r="H795" s="126"/>
      <c r="I795" s="126"/>
      <c r="J795" s="127"/>
      <c r="K795" s="127"/>
      <c r="L795" s="88"/>
    </row>
    <row r="796" ht="12.0" customHeight="1">
      <c r="G796" s="88"/>
      <c r="H796" s="126"/>
      <c r="I796" s="126"/>
      <c r="J796" s="127"/>
      <c r="K796" s="127"/>
      <c r="L796" s="88"/>
    </row>
    <row r="797" ht="12.0" customHeight="1">
      <c r="G797" s="88"/>
      <c r="H797" s="126"/>
      <c r="I797" s="126"/>
      <c r="J797" s="127"/>
      <c r="K797" s="127"/>
      <c r="L797" s="88"/>
    </row>
    <row r="798" ht="12.0" customHeight="1">
      <c r="G798" s="88"/>
      <c r="H798" s="126"/>
      <c r="I798" s="126"/>
      <c r="J798" s="127"/>
      <c r="K798" s="127"/>
      <c r="L798" s="88"/>
    </row>
    <row r="799" ht="12.0" customHeight="1">
      <c r="G799" s="88"/>
      <c r="H799" s="126"/>
      <c r="I799" s="126"/>
      <c r="J799" s="127"/>
      <c r="K799" s="127"/>
      <c r="L799" s="88"/>
    </row>
    <row r="800" ht="12.0" customHeight="1">
      <c r="G800" s="88"/>
      <c r="H800" s="126"/>
      <c r="I800" s="126"/>
      <c r="J800" s="127"/>
      <c r="K800" s="127"/>
      <c r="L800" s="88"/>
    </row>
    <row r="801" ht="12.0" customHeight="1">
      <c r="G801" s="88"/>
      <c r="H801" s="126"/>
      <c r="I801" s="126"/>
      <c r="J801" s="127"/>
      <c r="K801" s="127"/>
      <c r="L801" s="88"/>
    </row>
    <row r="802" ht="12.0" customHeight="1">
      <c r="G802" s="88"/>
      <c r="H802" s="126"/>
      <c r="I802" s="126"/>
      <c r="J802" s="127"/>
      <c r="K802" s="127"/>
      <c r="L802" s="88"/>
    </row>
    <row r="803" ht="12.0" customHeight="1">
      <c r="G803" s="88"/>
      <c r="H803" s="126"/>
      <c r="I803" s="126"/>
      <c r="J803" s="127"/>
      <c r="K803" s="127"/>
      <c r="L803" s="88"/>
    </row>
    <row r="804" ht="12.0" customHeight="1">
      <c r="G804" s="88"/>
      <c r="H804" s="126"/>
      <c r="I804" s="126"/>
      <c r="J804" s="127"/>
      <c r="K804" s="127"/>
      <c r="L804" s="88"/>
    </row>
    <row r="805" ht="12.0" customHeight="1">
      <c r="G805" s="88"/>
      <c r="H805" s="126"/>
      <c r="I805" s="126"/>
      <c r="J805" s="127"/>
      <c r="K805" s="127"/>
      <c r="L805" s="88"/>
    </row>
    <row r="806" ht="12.0" customHeight="1">
      <c r="G806" s="88"/>
      <c r="H806" s="126"/>
      <c r="I806" s="126"/>
      <c r="J806" s="127"/>
      <c r="K806" s="127"/>
      <c r="L806" s="88"/>
    </row>
    <row r="807" ht="12.0" customHeight="1">
      <c r="G807" s="88"/>
      <c r="H807" s="126"/>
      <c r="I807" s="126"/>
      <c r="J807" s="127"/>
      <c r="K807" s="127"/>
      <c r="L807" s="88"/>
    </row>
    <row r="808" ht="12.0" customHeight="1">
      <c r="G808" s="88"/>
      <c r="H808" s="126"/>
      <c r="I808" s="126"/>
      <c r="J808" s="127"/>
      <c r="K808" s="127"/>
      <c r="L808" s="88"/>
    </row>
    <row r="809" ht="12.0" customHeight="1">
      <c r="G809" s="88"/>
      <c r="H809" s="126"/>
      <c r="I809" s="126"/>
      <c r="J809" s="127"/>
      <c r="K809" s="127"/>
      <c r="L809" s="88"/>
    </row>
    <row r="810" ht="12.0" customHeight="1">
      <c r="G810" s="88"/>
      <c r="H810" s="126"/>
      <c r="I810" s="126"/>
      <c r="J810" s="127"/>
      <c r="K810" s="127"/>
      <c r="L810" s="88"/>
    </row>
    <row r="811" ht="12.0" customHeight="1">
      <c r="G811" s="88"/>
      <c r="H811" s="126"/>
      <c r="I811" s="126"/>
      <c r="J811" s="127"/>
      <c r="K811" s="127"/>
      <c r="L811" s="88"/>
    </row>
    <row r="812" ht="12.0" customHeight="1">
      <c r="G812" s="88"/>
      <c r="H812" s="126"/>
      <c r="I812" s="126"/>
      <c r="J812" s="127"/>
      <c r="K812" s="127"/>
      <c r="L812" s="88"/>
    </row>
    <row r="813" ht="12.0" customHeight="1">
      <c r="G813" s="88"/>
      <c r="H813" s="126"/>
      <c r="I813" s="126"/>
      <c r="J813" s="127"/>
      <c r="K813" s="127"/>
      <c r="L813" s="88"/>
    </row>
    <row r="814" ht="12.0" customHeight="1">
      <c r="G814" s="88"/>
      <c r="H814" s="126"/>
      <c r="I814" s="126"/>
      <c r="J814" s="127"/>
      <c r="K814" s="127"/>
      <c r="L814" s="88"/>
    </row>
    <row r="815" ht="12.0" customHeight="1">
      <c r="G815" s="88"/>
      <c r="H815" s="126"/>
      <c r="I815" s="126"/>
      <c r="J815" s="127"/>
      <c r="K815" s="127"/>
      <c r="L815" s="88"/>
    </row>
    <row r="816" ht="12.0" customHeight="1">
      <c r="G816" s="88"/>
      <c r="H816" s="126"/>
      <c r="I816" s="126"/>
      <c r="J816" s="127"/>
      <c r="K816" s="127"/>
      <c r="L816" s="88"/>
    </row>
    <row r="817" ht="12.0" customHeight="1">
      <c r="G817" s="88"/>
      <c r="H817" s="126"/>
      <c r="I817" s="126"/>
      <c r="J817" s="127"/>
      <c r="K817" s="127"/>
      <c r="L817" s="88"/>
    </row>
    <row r="818" ht="12.0" customHeight="1">
      <c r="G818" s="88"/>
      <c r="H818" s="126"/>
      <c r="I818" s="126"/>
      <c r="J818" s="127"/>
      <c r="K818" s="127"/>
      <c r="L818" s="88"/>
    </row>
    <row r="819" ht="12.0" customHeight="1">
      <c r="G819" s="88"/>
      <c r="H819" s="126"/>
      <c r="I819" s="126"/>
      <c r="J819" s="127"/>
      <c r="K819" s="127"/>
      <c r="L819" s="88"/>
    </row>
    <row r="820" ht="12.0" customHeight="1">
      <c r="G820" s="88"/>
      <c r="H820" s="126"/>
      <c r="I820" s="126"/>
      <c r="J820" s="127"/>
      <c r="K820" s="127"/>
      <c r="L820" s="88"/>
    </row>
    <row r="821" ht="12.0" customHeight="1">
      <c r="G821" s="88"/>
      <c r="H821" s="126"/>
      <c r="I821" s="126"/>
      <c r="J821" s="127"/>
      <c r="K821" s="127"/>
      <c r="L821" s="88"/>
    </row>
    <row r="822" ht="12.0" customHeight="1">
      <c r="G822" s="88"/>
      <c r="H822" s="126"/>
      <c r="I822" s="126"/>
      <c r="J822" s="127"/>
      <c r="K822" s="127"/>
      <c r="L822" s="88"/>
    </row>
    <row r="823" ht="12.0" customHeight="1">
      <c r="G823" s="88"/>
      <c r="H823" s="126"/>
      <c r="I823" s="126"/>
      <c r="J823" s="127"/>
      <c r="K823" s="127"/>
      <c r="L823" s="88"/>
    </row>
    <row r="824" ht="12.0" customHeight="1">
      <c r="G824" s="88"/>
      <c r="H824" s="126"/>
      <c r="I824" s="126"/>
      <c r="J824" s="127"/>
      <c r="K824" s="127"/>
      <c r="L824" s="88"/>
    </row>
    <row r="825" ht="12.0" customHeight="1">
      <c r="G825" s="88"/>
      <c r="H825" s="126"/>
      <c r="I825" s="126"/>
      <c r="J825" s="127"/>
      <c r="K825" s="127"/>
      <c r="L825" s="88"/>
    </row>
    <row r="826" ht="12.0" customHeight="1">
      <c r="G826" s="88"/>
      <c r="H826" s="126"/>
      <c r="I826" s="126"/>
      <c r="J826" s="127"/>
      <c r="K826" s="127"/>
      <c r="L826" s="88"/>
    </row>
    <row r="827" ht="12.0" customHeight="1">
      <c r="G827" s="88"/>
      <c r="H827" s="126"/>
      <c r="I827" s="126"/>
      <c r="J827" s="127"/>
      <c r="K827" s="127"/>
      <c r="L827" s="88"/>
    </row>
    <row r="828" ht="12.0" customHeight="1">
      <c r="G828" s="88"/>
      <c r="H828" s="126"/>
      <c r="I828" s="126"/>
      <c r="J828" s="127"/>
      <c r="K828" s="127"/>
      <c r="L828" s="88"/>
    </row>
    <row r="829" ht="12.0" customHeight="1">
      <c r="G829" s="88"/>
      <c r="H829" s="126"/>
      <c r="I829" s="126"/>
      <c r="J829" s="127"/>
      <c r="K829" s="127"/>
      <c r="L829" s="88"/>
    </row>
    <row r="830" ht="12.0" customHeight="1">
      <c r="G830" s="88"/>
      <c r="H830" s="126"/>
      <c r="I830" s="126"/>
      <c r="J830" s="127"/>
      <c r="K830" s="127"/>
      <c r="L830" s="88"/>
    </row>
    <row r="831" ht="12.0" customHeight="1">
      <c r="G831" s="88"/>
      <c r="H831" s="126"/>
      <c r="I831" s="126"/>
      <c r="J831" s="127"/>
      <c r="K831" s="127"/>
      <c r="L831" s="88"/>
    </row>
    <row r="832" ht="12.0" customHeight="1">
      <c r="G832" s="88"/>
      <c r="H832" s="126"/>
      <c r="I832" s="126"/>
      <c r="J832" s="127"/>
      <c r="K832" s="127"/>
      <c r="L832" s="88"/>
    </row>
    <row r="833" ht="12.0" customHeight="1">
      <c r="G833" s="88"/>
      <c r="H833" s="126"/>
      <c r="I833" s="126"/>
      <c r="J833" s="127"/>
      <c r="K833" s="127"/>
      <c r="L833" s="88"/>
    </row>
    <row r="834" ht="12.0" customHeight="1">
      <c r="G834" s="88"/>
      <c r="H834" s="126"/>
      <c r="I834" s="126"/>
      <c r="J834" s="127"/>
      <c r="K834" s="127"/>
      <c r="L834" s="88"/>
    </row>
    <row r="835" ht="12.0" customHeight="1">
      <c r="G835" s="88"/>
      <c r="H835" s="126"/>
      <c r="I835" s="126"/>
      <c r="J835" s="127"/>
      <c r="K835" s="127"/>
      <c r="L835" s="88"/>
    </row>
    <row r="836" ht="12.0" customHeight="1">
      <c r="G836" s="88"/>
      <c r="H836" s="126"/>
      <c r="I836" s="126"/>
      <c r="J836" s="127"/>
      <c r="K836" s="127"/>
      <c r="L836" s="88"/>
    </row>
    <row r="837" ht="12.0" customHeight="1">
      <c r="G837" s="88"/>
      <c r="H837" s="126"/>
      <c r="I837" s="126"/>
      <c r="J837" s="127"/>
      <c r="K837" s="127"/>
      <c r="L837" s="88"/>
    </row>
    <row r="838" ht="12.0" customHeight="1">
      <c r="G838" s="88"/>
      <c r="H838" s="126"/>
      <c r="I838" s="126"/>
      <c r="J838" s="127"/>
      <c r="K838" s="127"/>
      <c r="L838" s="88"/>
    </row>
    <row r="839" ht="12.0" customHeight="1">
      <c r="G839" s="88"/>
      <c r="H839" s="126"/>
      <c r="I839" s="126"/>
      <c r="J839" s="127"/>
      <c r="K839" s="127"/>
      <c r="L839" s="88"/>
    </row>
    <row r="840" ht="12.0" customHeight="1">
      <c r="G840" s="88"/>
      <c r="H840" s="126"/>
      <c r="I840" s="126"/>
      <c r="J840" s="127"/>
      <c r="K840" s="127"/>
      <c r="L840" s="88"/>
    </row>
    <row r="841" ht="12.0" customHeight="1">
      <c r="G841" s="88"/>
      <c r="H841" s="126"/>
      <c r="I841" s="126"/>
      <c r="J841" s="127"/>
      <c r="K841" s="127"/>
      <c r="L841" s="88"/>
    </row>
    <row r="842" ht="12.0" customHeight="1">
      <c r="G842" s="88"/>
      <c r="H842" s="126"/>
      <c r="I842" s="126"/>
      <c r="J842" s="127"/>
      <c r="K842" s="127"/>
      <c r="L842" s="88"/>
    </row>
    <row r="843" ht="12.0" customHeight="1">
      <c r="G843" s="88"/>
      <c r="H843" s="126"/>
      <c r="I843" s="126"/>
      <c r="J843" s="127"/>
      <c r="K843" s="127"/>
      <c r="L843" s="88"/>
    </row>
    <row r="844" ht="12.0" customHeight="1">
      <c r="G844" s="88"/>
      <c r="H844" s="126"/>
      <c r="I844" s="126"/>
      <c r="J844" s="127"/>
      <c r="K844" s="127"/>
      <c r="L844" s="88"/>
    </row>
    <row r="845" ht="12.0" customHeight="1">
      <c r="G845" s="88"/>
      <c r="H845" s="126"/>
      <c r="I845" s="126"/>
      <c r="J845" s="127"/>
      <c r="K845" s="127"/>
      <c r="L845" s="88"/>
    </row>
    <row r="846" ht="12.0" customHeight="1">
      <c r="G846" s="88"/>
      <c r="H846" s="126"/>
      <c r="I846" s="126"/>
      <c r="J846" s="127"/>
      <c r="K846" s="127"/>
      <c r="L846" s="88"/>
    </row>
    <row r="847" ht="12.0" customHeight="1">
      <c r="G847" s="88"/>
      <c r="H847" s="126"/>
      <c r="I847" s="126"/>
      <c r="J847" s="127"/>
      <c r="K847" s="127"/>
      <c r="L847" s="88"/>
    </row>
    <row r="848" ht="12.0" customHeight="1">
      <c r="G848" s="88"/>
      <c r="H848" s="126"/>
      <c r="I848" s="126"/>
      <c r="J848" s="127"/>
      <c r="K848" s="127"/>
      <c r="L848" s="88"/>
    </row>
    <row r="849" ht="12.0" customHeight="1">
      <c r="G849" s="88"/>
      <c r="H849" s="126"/>
      <c r="I849" s="126"/>
      <c r="J849" s="127"/>
      <c r="K849" s="127"/>
      <c r="L849" s="88"/>
    </row>
    <row r="850" ht="12.0" customHeight="1">
      <c r="G850" s="88"/>
      <c r="H850" s="126"/>
      <c r="I850" s="126"/>
      <c r="J850" s="127"/>
      <c r="K850" s="127"/>
      <c r="L850" s="88"/>
    </row>
    <row r="851" ht="12.0" customHeight="1">
      <c r="G851" s="88"/>
      <c r="H851" s="126"/>
      <c r="I851" s="126"/>
      <c r="J851" s="127"/>
      <c r="K851" s="127"/>
      <c r="L851" s="88"/>
    </row>
    <row r="852" ht="12.0" customHeight="1">
      <c r="G852" s="88"/>
      <c r="H852" s="126"/>
      <c r="I852" s="126"/>
      <c r="J852" s="127"/>
      <c r="K852" s="127"/>
      <c r="L852" s="88"/>
    </row>
    <row r="853" ht="12.0" customHeight="1">
      <c r="G853" s="88"/>
      <c r="H853" s="126"/>
      <c r="I853" s="126"/>
      <c r="J853" s="127"/>
      <c r="K853" s="127"/>
      <c r="L853" s="88"/>
    </row>
    <row r="854" ht="12.0" customHeight="1">
      <c r="G854" s="88"/>
      <c r="H854" s="126"/>
      <c r="I854" s="126"/>
      <c r="J854" s="127"/>
      <c r="K854" s="127"/>
      <c r="L854" s="88"/>
    </row>
    <row r="855" ht="12.0" customHeight="1">
      <c r="G855" s="88"/>
      <c r="H855" s="126"/>
      <c r="I855" s="126"/>
      <c r="J855" s="127"/>
      <c r="K855" s="127"/>
      <c r="L855" s="88"/>
    </row>
    <row r="856" ht="12.0" customHeight="1">
      <c r="G856" s="88"/>
      <c r="H856" s="126"/>
      <c r="I856" s="126"/>
      <c r="J856" s="127"/>
      <c r="K856" s="127"/>
      <c r="L856" s="88"/>
    </row>
    <row r="857" ht="12.0" customHeight="1">
      <c r="G857" s="88"/>
      <c r="H857" s="126"/>
      <c r="I857" s="126"/>
      <c r="J857" s="127"/>
      <c r="K857" s="127"/>
      <c r="L857" s="88"/>
    </row>
    <row r="858" ht="12.0" customHeight="1">
      <c r="G858" s="88"/>
      <c r="H858" s="126"/>
      <c r="I858" s="126"/>
      <c r="J858" s="127"/>
      <c r="K858" s="127"/>
      <c r="L858" s="88"/>
    </row>
    <row r="859" ht="12.0" customHeight="1">
      <c r="G859" s="88"/>
      <c r="H859" s="126"/>
      <c r="I859" s="126"/>
      <c r="J859" s="127"/>
      <c r="K859" s="127"/>
      <c r="L859" s="88"/>
    </row>
    <row r="860" ht="12.0" customHeight="1">
      <c r="G860" s="88"/>
      <c r="H860" s="126"/>
      <c r="I860" s="126"/>
      <c r="J860" s="127"/>
      <c r="K860" s="127"/>
      <c r="L860" s="88"/>
    </row>
    <row r="861" ht="12.0" customHeight="1">
      <c r="G861" s="88"/>
      <c r="H861" s="126"/>
      <c r="I861" s="126"/>
      <c r="J861" s="127"/>
      <c r="K861" s="127"/>
      <c r="L861" s="88"/>
    </row>
    <row r="862" ht="12.0" customHeight="1">
      <c r="G862" s="88"/>
      <c r="H862" s="126"/>
      <c r="I862" s="126"/>
      <c r="J862" s="127"/>
      <c r="K862" s="127"/>
      <c r="L862" s="88"/>
    </row>
    <row r="863" ht="12.0" customHeight="1">
      <c r="G863" s="88"/>
      <c r="H863" s="126"/>
      <c r="I863" s="126"/>
      <c r="J863" s="127"/>
      <c r="K863" s="127"/>
      <c r="L863" s="88"/>
    </row>
    <row r="864" ht="12.0" customHeight="1">
      <c r="G864" s="88"/>
      <c r="H864" s="126"/>
      <c r="I864" s="126"/>
      <c r="J864" s="127"/>
      <c r="K864" s="127"/>
      <c r="L864" s="88"/>
    </row>
    <row r="865" ht="12.0" customHeight="1">
      <c r="G865" s="88"/>
      <c r="H865" s="126"/>
      <c r="I865" s="126"/>
      <c r="J865" s="127"/>
      <c r="K865" s="127"/>
      <c r="L865" s="88"/>
    </row>
    <row r="866" ht="12.0" customHeight="1">
      <c r="G866" s="88"/>
      <c r="H866" s="126"/>
      <c r="I866" s="126"/>
      <c r="J866" s="127"/>
      <c r="K866" s="127"/>
      <c r="L866" s="88"/>
    </row>
    <row r="867" ht="12.0" customHeight="1">
      <c r="G867" s="88"/>
      <c r="H867" s="126"/>
      <c r="I867" s="126"/>
      <c r="J867" s="127"/>
      <c r="K867" s="127"/>
      <c r="L867" s="88"/>
    </row>
    <row r="868" ht="12.0" customHeight="1">
      <c r="G868" s="88"/>
      <c r="H868" s="126"/>
      <c r="I868" s="126"/>
      <c r="J868" s="127"/>
      <c r="K868" s="127"/>
      <c r="L868" s="88"/>
    </row>
    <row r="869" ht="12.0" customHeight="1">
      <c r="G869" s="88"/>
      <c r="H869" s="126"/>
      <c r="I869" s="126"/>
      <c r="J869" s="127"/>
      <c r="K869" s="127"/>
      <c r="L869" s="88"/>
    </row>
    <row r="870" ht="12.0" customHeight="1">
      <c r="G870" s="88"/>
      <c r="H870" s="126"/>
      <c r="I870" s="126"/>
      <c r="J870" s="127"/>
      <c r="K870" s="127"/>
      <c r="L870" s="88"/>
    </row>
    <row r="871" ht="12.0" customHeight="1">
      <c r="G871" s="88"/>
      <c r="H871" s="126"/>
      <c r="I871" s="126"/>
      <c r="J871" s="127"/>
      <c r="K871" s="127"/>
      <c r="L871" s="88"/>
    </row>
    <row r="872" ht="12.0" customHeight="1">
      <c r="G872" s="88"/>
      <c r="H872" s="126"/>
      <c r="I872" s="126"/>
      <c r="J872" s="127"/>
      <c r="K872" s="127"/>
      <c r="L872" s="88"/>
    </row>
    <row r="873" ht="12.0" customHeight="1">
      <c r="G873" s="88"/>
      <c r="H873" s="126"/>
      <c r="I873" s="126"/>
      <c r="J873" s="127"/>
      <c r="K873" s="127"/>
      <c r="L873" s="88"/>
    </row>
    <row r="874" ht="12.0" customHeight="1">
      <c r="G874" s="88"/>
      <c r="H874" s="126"/>
      <c r="I874" s="126"/>
      <c r="J874" s="127"/>
      <c r="K874" s="127"/>
      <c r="L874" s="88"/>
    </row>
    <row r="875" ht="12.0" customHeight="1">
      <c r="G875" s="88"/>
      <c r="H875" s="126"/>
      <c r="I875" s="126"/>
      <c r="J875" s="127"/>
      <c r="K875" s="127"/>
      <c r="L875" s="88"/>
    </row>
    <row r="876" ht="12.0" customHeight="1">
      <c r="G876" s="88"/>
      <c r="H876" s="126"/>
      <c r="I876" s="126"/>
      <c r="J876" s="127"/>
      <c r="K876" s="127"/>
      <c r="L876" s="88"/>
    </row>
    <row r="877" ht="12.0" customHeight="1">
      <c r="G877" s="88"/>
      <c r="H877" s="126"/>
      <c r="I877" s="126"/>
      <c r="J877" s="127"/>
      <c r="K877" s="127"/>
      <c r="L877" s="88"/>
    </row>
    <row r="878" ht="12.0" customHeight="1">
      <c r="G878" s="88"/>
      <c r="H878" s="126"/>
      <c r="I878" s="126"/>
      <c r="J878" s="127"/>
      <c r="K878" s="127"/>
      <c r="L878" s="88"/>
    </row>
    <row r="879" ht="12.0" customHeight="1">
      <c r="G879" s="88"/>
      <c r="H879" s="126"/>
      <c r="I879" s="126"/>
      <c r="J879" s="127"/>
      <c r="K879" s="127"/>
      <c r="L879" s="88"/>
    </row>
    <row r="880" ht="12.0" customHeight="1">
      <c r="G880" s="88"/>
      <c r="H880" s="126"/>
      <c r="I880" s="126"/>
      <c r="J880" s="127"/>
      <c r="K880" s="127"/>
      <c r="L880" s="88"/>
    </row>
    <row r="881" ht="12.0" customHeight="1">
      <c r="G881" s="88"/>
      <c r="H881" s="126"/>
      <c r="I881" s="126"/>
      <c r="J881" s="127"/>
      <c r="K881" s="127"/>
      <c r="L881" s="88"/>
    </row>
    <row r="882" ht="12.0" customHeight="1">
      <c r="G882" s="88"/>
      <c r="H882" s="126"/>
      <c r="I882" s="126"/>
      <c r="J882" s="127"/>
      <c r="K882" s="127"/>
      <c r="L882" s="88"/>
    </row>
    <row r="883" ht="12.0" customHeight="1">
      <c r="G883" s="88"/>
      <c r="H883" s="126"/>
      <c r="I883" s="126"/>
      <c r="J883" s="127"/>
      <c r="K883" s="127"/>
      <c r="L883" s="88"/>
    </row>
    <row r="884" ht="12.0" customHeight="1">
      <c r="G884" s="88"/>
      <c r="H884" s="126"/>
      <c r="I884" s="126"/>
      <c r="J884" s="127"/>
      <c r="K884" s="127"/>
      <c r="L884" s="88"/>
    </row>
    <row r="885" ht="12.0" customHeight="1">
      <c r="G885" s="88"/>
      <c r="H885" s="126"/>
      <c r="I885" s="126"/>
      <c r="J885" s="127"/>
      <c r="K885" s="127"/>
      <c r="L885" s="88"/>
    </row>
    <row r="886" ht="12.0" customHeight="1">
      <c r="G886" s="88"/>
      <c r="H886" s="126"/>
      <c r="I886" s="126"/>
      <c r="J886" s="127"/>
      <c r="K886" s="127"/>
      <c r="L886" s="88"/>
    </row>
    <row r="887" ht="12.0" customHeight="1">
      <c r="G887" s="88"/>
      <c r="H887" s="126"/>
      <c r="I887" s="126"/>
      <c r="J887" s="127"/>
      <c r="K887" s="127"/>
      <c r="L887" s="88"/>
    </row>
    <row r="888" ht="12.0" customHeight="1">
      <c r="G888" s="88"/>
      <c r="H888" s="126"/>
      <c r="I888" s="126"/>
      <c r="J888" s="127"/>
      <c r="K888" s="127"/>
      <c r="L888" s="88"/>
    </row>
    <row r="889" ht="12.0" customHeight="1">
      <c r="G889" s="88"/>
      <c r="H889" s="126"/>
      <c r="I889" s="126"/>
      <c r="J889" s="127"/>
      <c r="K889" s="127"/>
      <c r="L889" s="88"/>
    </row>
    <row r="890" ht="12.0" customHeight="1">
      <c r="G890" s="88"/>
      <c r="H890" s="126"/>
      <c r="I890" s="126"/>
      <c r="J890" s="127"/>
      <c r="K890" s="127"/>
      <c r="L890" s="88"/>
    </row>
    <row r="891" ht="12.0" customHeight="1">
      <c r="G891" s="88"/>
      <c r="H891" s="126"/>
      <c r="I891" s="126"/>
      <c r="J891" s="127"/>
      <c r="K891" s="127"/>
      <c r="L891" s="88"/>
    </row>
    <row r="892" ht="12.0" customHeight="1">
      <c r="G892" s="88"/>
      <c r="H892" s="126"/>
      <c r="I892" s="126"/>
      <c r="J892" s="127"/>
      <c r="K892" s="127"/>
      <c r="L892" s="88"/>
    </row>
    <row r="893" ht="12.0" customHeight="1">
      <c r="G893" s="88"/>
      <c r="H893" s="126"/>
      <c r="I893" s="126"/>
      <c r="J893" s="127"/>
      <c r="K893" s="127"/>
      <c r="L893" s="88"/>
    </row>
    <row r="894" ht="12.0" customHeight="1">
      <c r="G894" s="88"/>
      <c r="H894" s="126"/>
      <c r="I894" s="126"/>
      <c r="J894" s="127"/>
      <c r="K894" s="127"/>
      <c r="L894" s="88"/>
    </row>
    <row r="895" ht="12.0" customHeight="1">
      <c r="G895" s="88"/>
      <c r="H895" s="126"/>
      <c r="I895" s="126"/>
      <c r="J895" s="127"/>
      <c r="K895" s="127"/>
      <c r="L895" s="88"/>
    </row>
    <row r="896" ht="12.0" customHeight="1">
      <c r="G896" s="88"/>
      <c r="H896" s="126"/>
      <c r="I896" s="126"/>
      <c r="J896" s="127"/>
      <c r="K896" s="127"/>
      <c r="L896" s="88"/>
    </row>
    <row r="897" ht="12.0" customHeight="1">
      <c r="G897" s="88"/>
      <c r="H897" s="126"/>
      <c r="I897" s="126"/>
      <c r="J897" s="127"/>
      <c r="K897" s="127"/>
      <c r="L897" s="88"/>
    </row>
    <row r="898" ht="12.0" customHeight="1">
      <c r="G898" s="88"/>
      <c r="H898" s="126"/>
      <c r="I898" s="126"/>
      <c r="J898" s="127"/>
      <c r="K898" s="127"/>
      <c r="L898" s="88"/>
    </row>
    <row r="899" ht="12.0" customHeight="1">
      <c r="G899" s="88"/>
      <c r="H899" s="126"/>
      <c r="I899" s="126"/>
      <c r="J899" s="127"/>
      <c r="K899" s="127"/>
      <c r="L899" s="88"/>
    </row>
    <row r="900" ht="12.0" customHeight="1">
      <c r="G900" s="88"/>
      <c r="H900" s="126"/>
      <c r="I900" s="126"/>
      <c r="J900" s="127"/>
      <c r="K900" s="127"/>
      <c r="L900" s="88"/>
    </row>
    <row r="901" ht="12.0" customHeight="1">
      <c r="G901" s="88"/>
      <c r="H901" s="126"/>
      <c r="I901" s="126"/>
      <c r="J901" s="127"/>
      <c r="K901" s="127"/>
      <c r="L901" s="88"/>
    </row>
    <row r="902" ht="12.0" customHeight="1">
      <c r="G902" s="88"/>
      <c r="H902" s="126"/>
      <c r="I902" s="126"/>
      <c r="J902" s="127"/>
      <c r="K902" s="127"/>
      <c r="L902" s="88"/>
    </row>
    <row r="903" ht="12.0" customHeight="1">
      <c r="G903" s="88"/>
      <c r="H903" s="126"/>
      <c r="I903" s="126"/>
      <c r="J903" s="127"/>
      <c r="K903" s="127"/>
      <c r="L903" s="88"/>
    </row>
    <row r="904" ht="12.0" customHeight="1">
      <c r="G904" s="88"/>
      <c r="H904" s="126"/>
      <c r="I904" s="126"/>
      <c r="J904" s="127"/>
      <c r="K904" s="127"/>
      <c r="L904" s="88"/>
    </row>
    <row r="905" ht="12.0" customHeight="1">
      <c r="G905" s="88"/>
      <c r="H905" s="126"/>
      <c r="I905" s="126"/>
      <c r="J905" s="127"/>
      <c r="K905" s="127"/>
      <c r="L905" s="88"/>
    </row>
    <row r="906" ht="12.0" customHeight="1">
      <c r="G906" s="88"/>
      <c r="H906" s="126"/>
      <c r="I906" s="126"/>
      <c r="J906" s="127"/>
      <c r="K906" s="127"/>
      <c r="L906" s="88"/>
    </row>
    <row r="907" ht="12.0" customHeight="1">
      <c r="G907" s="88"/>
      <c r="H907" s="126"/>
      <c r="I907" s="126"/>
      <c r="J907" s="127"/>
      <c r="K907" s="127"/>
      <c r="L907" s="88"/>
    </row>
    <row r="908" ht="12.0" customHeight="1">
      <c r="G908" s="88"/>
      <c r="H908" s="126"/>
      <c r="I908" s="126"/>
      <c r="J908" s="127"/>
      <c r="K908" s="127"/>
      <c r="L908" s="88"/>
    </row>
    <row r="909" ht="12.0" customHeight="1">
      <c r="G909" s="88"/>
      <c r="H909" s="126"/>
      <c r="I909" s="126"/>
      <c r="J909" s="127"/>
      <c r="K909" s="127"/>
      <c r="L909" s="88"/>
    </row>
    <row r="910" ht="12.0" customHeight="1">
      <c r="G910" s="88"/>
      <c r="H910" s="126"/>
      <c r="I910" s="126"/>
      <c r="J910" s="127"/>
      <c r="K910" s="127"/>
      <c r="L910" s="88"/>
    </row>
    <row r="911" ht="12.0" customHeight="1">
      <c r="G911" s="88"/>
      <c r="H911" s="126"/>
      <c r="I911" s="126"/>
      <c r="J911" s="127"/>
      <c r="K911" s="127"/>
      <c r="L911" s="88"/>
    </row>
    <row r="912" ht="12.0" customHeight="1">
      <c r="G912" s="88"/>
      <c r="H912" s="126"/>
      <c r="I912" s="126"/>
      <c r="J912" s="127"/>
      <c r="K912" s="127"/>
      <c r="L912" s="88"/>
    </row>
    <row r="913" ht="12.0" customHeight="1">
      <c r="G913" s="88"/>
      <c r="H913" s="126"/>
      <c r="I913" s="126"/>
      <c r="J913" s="127"/>
      <c r="K913" s="127"/>
      <c r="L913" s="88"/>
    </row>
    <row r="914" ht="12.0" customHeight="1">
      <c r="G914" s="88"/>
      <c r="H914" s="126"/>
      <c r="I914" s="126"/>
      <c r="J914" s="127"/>
      <c r="K914" s="127"/>
      <c r="L914" s="88"/>
    </row>
    <row r="915" ht="12.0" customHeight="1">
      <c r="G915" s="88"/>
      <c r="H915" s="126"/>
      <c r="I915" s="126"/>
      <c r="J915" s="127"/>
      <c r="K915" s="127"/>
      <c r="L915" s="88"/>
    </row>
    <row r="916" ht="12.0" customHeight="1">
      <c r="G916" s="88"/>
      <c r="H916" s="126"/>
      <c r="I916" s="126"/>
      <c r="J916" s="127"/>
      <c r="K916" s="127"/>
      <c r="L916" s="88"/>
    </row>
    <row r="917" ht="12.0" customHeight="1">
      <c r="G917" s="88"/>
      <c r="H917" s="126"/>
      <c r="I917" s="126"/>
      <c r="J917" s="127"/>
      <c r="K917" s="127"/>
      <c r="L917" s="88"/>
    </row>
    <row r="918" ht="12.0" customHeight="1">
      <c r="G918" s="88"/>
      <c r="H918" s="126"/>
      <c r="I918" s="126"/>
      <c r="J918" s="127"/>
      <c r="K918" s="127"/>
      <c r="L918" s="88"/>
    </row>
    <row r="919" ht="12.0" customHeight="1">
      <c r="G919" s="88"/>
      <c r="H919" s="126"/>
      <c r="I919" s="126"/>
      <c r="J919" s="127"/>
      <c r="K919" s="127"/>
      <c r="L919" s="88"/>
    </row>
    <row r="920" ht="12.0" customHeight="1">
      <c r="G920" s="88"/>
      <c r="H920" s="126"/>
      <c r="I920" s="126"/>
      <c r="J920" s="127"/>
      <c r="K920" s="127"/>
      <c r="L920" s="88"/>
    </row>
    <row r="921" ht="12.0" customHeight="1">
      <c r="G921" s="88"/>
      <c r="H921" s="126"/>
      <c r="I921" s="126"/>
      <c r="J921" s="127"/>
      <c r="K921" s="127"/>
      <c r="L921" s="88"/>
    </row>
    <row r="922" ht="12.0" customHeight="1">
      <c r="G922" s="88"/>
      <c r="H922" s="126"/>
      <c r="I922" s="126"/>
      <c r="J922" s="127"/>
      <c r="K922" s="127"/>
      <c r="L922" s="88"/>
    </row>
    <row r="923" ht="12.0" customHeight="1">
      <c r="G923" s="88"/>
      <c r="H923" s="126"/>
      <c r="I923" s="126"/>
      <c r="J923" s="127"/>
      <c r="K923" s="127"/>
      <c r="L923" s="88"/>
    </row>
    <row r="924" ht="12.0" customHeight="1">
      <c r="G924" s="88"/>
      <c r="H924" s="126"/>
      <c r="I924" s="126"/>
      <c r="J924" s="127"/>
      <c r="K924" s="127"/>
      <c r="L924" s="88"/>
    </row>
    <row r="925" ht="12.0" customHeight="1">
      <c r="G925" s="88"/>
      <c r="H925" s="126"/>
      <c r="I925" s="126"/>
      <c r="J925" s="127"/>
      <c r="K925" s="127"/>
      <c r="L925" s="88"/>
    </row>
    <row r="926" ht="12.0" customHeight="1">
      <c r="G926" s="88"/>
      <c r="H926" s="126"/>
      <c r="I926" s="126"/>
      <c r="J926" s="127"/>
      <c r="K926" s="127"/>
      <c r="L926" s="88"/>
    </row>
    <row r="927" ht="12.0" customHeight="1">
      <c r="G927" s="88"/>
      <c r="H927" s="126"/>
      <c r="I927" s="126"/>
      <c r="J927" s="127"/>
      <c r="K927" s="127"/>
      <c r="L927" s="88"/>
    </row>
    <row r="928" ht="12.0" customHeight="1">
      <c r="G928" s="88"/>
      <c r="H928" s="126"/>
      <c r="I928" s="126"/>
      <c r="J928" s="127"/>
      <c r="K928" s="127"/>
      <c r="L928" s="88"/>
    </row>
    <row r="929" ht="12.0" customHeight="1">
      <c r="G929" s="88"/>
      <c r="H929" s="126"/>
      <c r="I929" s="126"/>
      <c r="J929" s="127"/>
      <c r="K929" s="127"/>
      <c r="L929" s="88"/>
    </row>
    <row r="930" ht="12.0" customHeight="1">
      <c r="G930" s="88"/>
      <c r="H930" s="126"/>
      <c r="I930" s="126"/>
      <c r="J930" s="127"/>
      <c r="K930" s="127"/>
      <c r="L930" s="88"/>
    </row>
    <row r="931" ht="12.0" customHeight="1">
      <c r="G931" s="88"/>
      <c r="H931" s="126"/>
      <c r="I931" s="126"/>
      <c r="J931" s="127"/>
      <c r="K931" s="127"/>
      <c r="L931" s="88"/>
    </row>
    <row r="932" ht="12.0" customHeight="1">
      <c r="G932" s="88"/>
      <c r="H932" s="126"/>
      <c r="I932" s="126"/>
      <c r="J932" s="127"/>
      <c r="K932" s="127"/>
      <c r="L932" s="88"/>
    </row>
    <row r="933" ht="12.0" customHeight="1">
      <c r="G933" s="88"/>
      <c r="H933" s="126"/>
      <c r="I933" s="126"/>
      <c r="J933" s="127"/>
      <c r="K933" s="127"/>
      <c r="L933" s="88"/>
    </row>
    <row r="934" ht="12.0" customHeight="1">
      <c r="G934" s="88"/>
      <c r="H934" s="126"/>
      <c r="I934" s="126"/>
      <c r="J934" s="127"/>
      <c r="K934" s="127"/>
      <c r="L934" s="88"/>
    </row>
    <row r="935" ht="12.0" customHeight="1">
      <c r="G935" s="88"/>
      <c r="H935" s="126"/>
      <c r="I935" s="126"/>
      <c r="J935" s="127"/>
      <c r="K935" s="127"/>
      <c r="L935" s="88"/>
    </row>
    <row r="936" ht="12.0" customHeight="1">
      <c r="G936" s="88"/>
      <c r="H936" s="126"/>
      <c r="I936" s="126"/>
      <c r="J936" s="127"/>
      <c r="K936" s="127"/>
      <c r="L936" s="88"/>
    </row>
    <row r="937" ht="12.0" customHeight="1">
      <c r="G937" s="88"/>
      <c r="H937" s="126"/>
      <c r="I937" s="126"/>
      <c r="J937" s="127"/>
      <c r="K937" s="127"/>
      <c r="L937" s="88"/>
    </row>
    <row r="938" ht="12.0" customHeight="1">
      <c r="G938" s="88"/>
      <c r="H938" s="126"/>
      <c r="I938" s="126"/>
      <c r="J938" s="127"/>
      <c r="K938" s="127"/>
      <c r="L938" s="88"/>
    </row>
    <row r="939" ht="12.0" customHeight="1">
      <c r="G939" s="88"/>
      <c r="H939" s="126"/>
      <c r="I939" s="126"/>
      <c r="J939" s="127"/>
      <c r="K939" s="127"/>
      <c r="L939" s="88"/>
    </row>
    <row r="940" ht="12.0" customHeight="1">
      <c r="G940" s="88"/>
      <c r="H940" s="126"/>
      <c r="I940" s="126"/>
      <c r="J940" s="127"/>
      <c r="K940" s="127"/>
      <c r="L940" s="88"/>
    </row>
    <row r="941" ht="12.0" customHeight="1">
      <c r="G941" s="88"/>
      <c r="H941" s="126"/>
      <c r="I941" s="126"/>
      <c r="J941" s="127"/>
      <c r="K941" s="127"/>
      <c r="L941" s="88"/>
    </row>
    <row r="942" ht="12.0" customHeight="1">
      <c r="G942" s="88"/>
      <c r="H942" s="126"/>
      <c r="I942" s="126"/>
      <c r="J942" s="127"/>
      <c r="K942" s="127"/>
      <c r="L942" s="88"/>
    </row>
    <row r="943" ht="12.0" customHeight="1">
      <c r="G943" s="88"/>
      <c r="H943" s="126"/>
      <c r="I943" s="126"/>
      <c r="J943" s="127"/>
      <c r="K943" s="127"/>
      <c r="L943" s="88"/>
    </row>
    <row r="944" ht="12.0" customHeight="1">
      <c r="G944" s="88"/>
      <c r="H944" s="126"/>
      <c r="I944" s="126"/>
      <c r="J944" s="127"/>
      <c r="K944" s="127"/>
      <c r="L944" s="88"/>
    </row>
    <row r="945" ht="12.0" customHeight="1">
      <c r="G945" s="88"/>
      <c r="H945" s="126"/>
      <c r="I945" s="126"/>
      <c r="J945" s="127"/>
      <c r="K945" s="127"/>
      <c r="L945" s="88"/>
    </row>
    <row r="946" ht="12.0" customHeight="1">
      <c r="G946" s="88"/>
      <c r="H946" s="126"/>
      <c r="I946" s="126"/>
      <c r="J946" s="127"/>
      <c r="K946" s="127"/>
      <c r="L946" s="88"/>
    </row>
    <row r="947" ht="12.0" customHeight="1">
      <c r="G947" s="88"/>
      <c r="H947" s="126"/>
      <c r="I947" s="126"/>
      <c r="J947" s="127"/>
      <c r="K947" s="127"/>
      <c r="L947" s="88"/>
    </row>
    <row r="948" ht="12.0" customHeight="1">
      <c r="G948" s="88"/>
      <c r="H948" s="126"/>
      <c r="I948" s="126"/>
      <c r="J948" s="127"/>
      <c r="K948" s="127"/>
      <c r="L948" s="88"/>
    </row>
    <row r="949" ht="12.0" customHeight="1">
      <c r="G949" s="88"/>
      <c r="H949" s="126"/>
      <c r="I949" s="126"/>
      <c r="J949" s="127"/>
      <c r="K949" s="127"/>
      <c r="L949" s="88"/>
    </row>
    <row r="950" ht="12.0" customHeight="1">
      <c r="G950" s="88"/>
      <c r="H950" s="126"/>
      <c r="I950" s="126"/>
      <c r="J950" s="127"/>
      <c r="K950" s="127"/>
      <c r="L950" s="88"/>
    </row>
    <row r="951" ht="12.0" customHeight="1">
      <c r="G951" s="88"/>
      <c r="H951" s="126"/>
      <c r="I951" s="126"/>
      <c r="J951" s="127"/>
      <c r="K951" s="127"/>
      <c r="L951" s="88"/>
    </row>
    <row r="952" ht="12.0" customHeight="1">
      <c r="G952" s="88"/>
      <c r="H952" s="126"/>
      <c r="I952" s="126"/>
      <c r="J952" s="127"/>
      <c r="K952" s="127"/>
      <c r="L952" s="88"/>
    </row>
    <row r="953" ht="12.0" customHeight="1">
      <c r="G953" s="88"/>
      <c r="H953" s="126"/>
      <c r="I953" s="126"/>
      <c r="J953" s="127"/>
      <c r="K953" s="127"/>
      <c r="L953" s="88"/>
    </row>
    <row r="954" ht="12.0" customHeight="1">
      <c r="G954" s="88"/>
      <c r="H954" s="126"/>
      <c r="I954" s="126"/>
      <c r="J954" s="127"/>
      <c r="K954" s="127"/>
      <c r="L954" s="88"/>
    </row>
    <row r="955" ht="12.0" customHeight="1">
      <c r="G955" s="88"/>
      <c r="H955" s="126"/>
      <c r="I955" s="126"/>
      <c r="J955" s="127"/>
      <c r="K955" s="127"/>
      <c r="L955" s="88"/>
    </row>
    <row r="956" ht="12.0" customHeight="1">
      <c r="G956" s="88"/>
      <c r="H956" s="126"/>
      <c r="I956" s="126"/>
      <c r="J956" s="127"/>
      <c r="K956" s="127"/>
      <c r="L956" s="88"/>
    </row>
    <row r="957" ht="12.0" customHeight="1">
      <c r="G957" s="88"/>
      <c r="H957" s="126"/>
      <c r="I957" s="126"/>
      <c r="J957" s="127"/>
      <c r="K957" s="127"/>
      <c r="L957" s="88"/>
    </row>
    <row r="958" ht="12.0" customHeight="1">
      <c r="G958" s="88"/>
      <c r="H958" s="126"/>
      <c r="I958" s="126"/>
      <c r="J958" s="127"/>
      <c r="K958" s="127"/>
      <c r="L958" s="88"/>
    </row>
    <row r="959" ht="12.0" customHeight="1">
      <c r="G959" s="88"/>
      <c r="H959" s="126"/>
      <c r="I959" s="126"/>
      <c r="J959" s="127"/>
      <c r="K959" s="127"/>
      <c r="L959" s="88"/>
    </row>
    <row r="960" ht="12.0" customHeight="1">
      <c r="G960" s="88"/>
      <c r="H960" s="126"/>
      <c r="I960" s="126"/>
      <c r="J960" s="127"/>
      <c r="K960" s="127"/>
      <c r="L960" s="88"/>
    </row>
    <row r="961" ht="12.0" customHeight="1">
      <c r="G961" s="88"/>
      <c r="H961" s="126"/>
      <c r="I961" s="126"/>
      <c r="J961" s="127"/>
      <c r="K961" s="127"/>
      <c r="L961" s="88"/>
    </row>
    <row r="962" ht="12.0" customHeight="1">
      <c r="G962" s="88"/>
      <c r="H962" s="126"/>
      <c r="I962" s="126"/>
      <c r="J962" s="127"/>
      <c r="K962" s="127"/>
      <c r="L962" s="88"/>
    </row>
    <row r="963" ht="12.0" customHeight="1">
      <c r="G963" s="88"/>
      <c r="H963" s="126"/>
      <c r="I963" s="126"/>
      <c r="J963" s="127"/>
      <c r="K963" s="127"/>
      <c r="L963" s="88"/>
    </row>
    <row r="964" ht="12.0" customHeight="1">
      <c r="G964" s="88"/>
      <c r="H964" s="126"/>
      <c r="I964" s="126"/>
      <c r="J964" s="127"/>
      <c r="K964" s="127"/>
      <c r="L964" s="88"/>
    </row>
    <row r="965" ht="12.0" customHeight="1">
      <c r="G965" s="88"/>
      <c r="H965" s="126"/>
      <c r="I965" s="126"/>
      <c r="J965" s="127"/>
      <c r="K965" s="127"/>
      <c r="L965" s="88"/>
    </row>
    <row r="966" ht="12.0" customHeight="1">
      <c r="G966" s="88"/>
      <c r="H966" s="126"/>
      <c r="I966" s="126"/>
      <c r="J966" s="127"/>
      <c r="K966" s="127"/>
      <c r="L966" s="88"/>
    </row>
    <row r="967" ht="12.0" customHeight="1">
      <c r="G967" s="88"/>
      <c r="H967" s="126"/>
      <c r="I967" s="126"/>
      <c r="J967" s="127"/>
      <c r="K967" s="127"/>
      <c r="L967" s="88"/>
    </row>
    <row r="968" ht="12.0" customHeight="1">
      <c r="G968" s="88"/>
      <c r="H968" s="126"/>
      <c r="I968" s="126"/>
      <c r="J968" s="127"/>
      <c r="K968" s="127"/>
      <c r="L968" s="88"/>
    </row>
    <row r="969" ht="12.0" customHeight="1">
      <c r="G969" s="88"/>
      <c r="H969" s="126"/>
      <c r="I969" s="126"/>
      <c r="J969" s="127"/>
      <c r="K969" s="127"/>
      <c r="L969" s="88"/>
    </row>
    <row r="970" ht="12.0" customHeight="1">
      <c r="G970" s="88"/>
      <c r="H970" s="126"/>
      <c r="I970" s="126"/>
      <c r="J970" s="127"/>
      <c r="K970" s="127"/>
      <c r="L970" s="88"/>
    </row>
    <row r="971" ht="12.0" customHeight="1">
      <c r="G971" s="88"/>
      <c r="H971" s="126"/>
      <c r="I971" s="126"/>
      <c r="J971" s="127"/>
      <c r="K971" s="127"/>
      <c r="L971" s="88"/>
    </row>
    <row r="972" ht="12.0" customHeight="1">
      <c r="G972" s="88"/>
      <c r="H972" s="126"/>
      <c r="I972" s="126"/>
      <c r="J972" s="127"/>
      <c r="K972" s="127"/>
      <c r="L972" s="88"/>
    </row>
    <row r="973" ht="12.0" customHeight="1">
      <c r="G973" s="88"/>
      <c r="H973" s="126"/>
      <c r="I973" s="126"/>
      <c r="J973" s="127"/>
      <c r="K973" s="127"/>
      <c r="L973" s="88"/>
    </row>
    <row r="974" ht="12.0" customHeight="1">
      <c r="G974" s="88"/>
      <c r="H974" s="126"/>
      <c r="I974" s="126"/>
      <c r="J974" s="127"/>
      <c r="K974" s="127"/>
      <c r="L974" s="88"/>
    </row>
    <row r="975" ht="12.0" customHeight="1">
      <c r="G975" s="88"/>
      <c r="H975" s="126"/>
      <c r="I975" s="126"/>
      <c r="J975" s="127"/>
      <c r="K975" s="127"/>
      <c r="L975" s="88"/>
    </row>
    <row r="976" ht="12.0" customHeight="1">
      <c r="G976" s="88"/>
      <c r="H976" s="126"/>
      <c r="I976" s="126"/>
      <c r="J976" s="127"/>
      <c r="K976" s="127"/>
      <c r="L976" s="88"/>
    </row>
    <row r="977" ht="12.0" customHeight="1">
      <c r="G977" s="88"/>
      <c r="H977" s="126"/>
      <c r="I977" s="126"/>
      <c r="J977" s="127"/>
      <c r="K977" s="127"/>
      <c r="L977" s="88"/>
    </row>
    <row r="978" ht="12.0" customHeight="1">
      <c r="G978" s="88"/>
      <c r="H978" s="126"/>
      <c r="I978" s="126"/>
      <c r="J978" s="127"/>
      <c r="K978" s="127"/>
      <c r="L978" s="88"/>
    </row>
    <row r="979" ht="12.0" customHeight="1">
      <c r="G979" s="88"/>
      <c r="H979" s="126"/>
      <c r="I979" s="126"/>
      <c r="J979" s="127"/>
      <c r="K979" s="127"/>
      <c r="L979" s="88"/>
    </row>
    <row r="980" ht="12.0" customHeight="1">
      <c r="G980" s="88"/>
      <c r="H980" s="126"/>
      <c r="I980" s="126"/>
      <c r="J980" s="127"/>
      <c r="K980" s="127"/>
      <c r="L980" s="88"/>
    </row>
    <row r="981" ht="12.0" customHeight="1">
      <c r="G981" s="88"/>
      <c r="H981" s="126"/>
      <c r="I981" s="126"/>
      <c r="J981" s="127"/>
      <c r="K981" s="127"/>
      <c r="L981" s="88"/>
    </row>
    <row r="982" ht="12.0" customHeight="1">
      <c r="G982" s="88"/>
      <c r="H982" s="126"/>
      <c r="I982" s="126"/>
      <c r="J982" s="127"/>
      <c r="K982" s="127"/>
      <c r="L982" s="88"/>
    </row>
    <row r="983" ht="12.0" customHeight="1">
      <c r="G983" s="88"/>
      <c r="H983" s="126"/>
      <c r="I983" s="126"/>
      <c r="J983" s="127"/>
      <c r="K983" s="127"/>
      <c r="L983" s="88"/>
    </row>
    <row r="984" ht="12.0" customHeight="1">
      <c r="G984" s="88"/>
      <c r="H984" s="126"/>
      <c r="I984" s="126"/>
      <c r="J984" s="127"/>
      <c r="K984" s="127"/>
      <c r="L984" s="88"/>
    </row>
    <row r="985" ht="12.0" customHeight="1">
      <c r="G985" s="88"/>
      <c r="H985" s="126"/>
      <c r="I985" s="126"/>
      <c r="J985" s="127"/>
      <c r="K985" s="127"/>
      <c r="L985" s="88"/>
    </row>
    <row r="986" ht="12.0" customHeight="1">
      <c r="G986" s="88"/>
      <c r="H986" s="126"/>
      <c r="I986" s="126"/>
      <c r="J986" s="127"/>
      <c r="K986" s="127"/>
      <c r="L986" s="88"/>
    </row>
    <row r="987" ht="12.0" customHeight="1">
      <c r="G987" s="88"/>
      <c r="H987" s="126"/>
      <c r="I987" s="126"/>
      <c r="J987" s="127"/>
      <c r="K987" s="127"/>
      <c r="L987" s="88"/>
    </row>
    <row r="988" ht="12.0" customHeight="1">
      <c r="G988" s="88"/>
      <c r="H988" s="126"/>
      <c r="I988" s="126"/>
      <c r="J988" s="127"/>
      <c r="K988" s="127"/>
      <c r="L988" s="88"/>
    </row>
    <row r="989" ht="12.0" customHeight="1">
      <c r="G989" s="88"/>
      <c r="H989" s="126"/>
      <c r="I989" s="126"/>
      <c r="J989" s="127"/>
      <c r="K989" s="127"/>
      <c r="L989" s="88"/>
    </row>
    <row r="990" ht="12.0" customHeight="1">
      <c r="G990" s="88"/>
      <c r="H990" s="126"/>
      <c r="I990" s="126"/>
      <c r="J990" s="127"/>
      <c r="K990" s="127"/>
      <c r="L990" s="88"/>
    </row>
    <row r="991" ht="12.0" customHeight="1">
      <c r="G991" s="88"/>
      <c r="H991" s="126"/>
      <c r="I991" s="126"/>
      <c r="J991" s="127"/>
      <c r="K991" s="127"/>
      <c r="L991" s="88"/>
    </row>
    <row r="992" ht="12.0" customHeight="1">
      <c r="G992" s="88"/>
      <c r="H992" s="126"/>
      <c r="I992" s="126"/>
      <c r="J992" s="127"/>
      <c r="K992" s="127"/>
      <c r="L992" s="88"/>
    </row>
    <row r="993" ht="12.0" customHeight="1">
      <c r="G993" s="88"/>
      <c r="H993" s="126"/>
      <c r="I993" s="126"/>
      <c r="J993" s="127"/>
      <c r="K993" s="127"/>
      <c r="L993" s="88"/>
    </row>
    <row r="994" ht="12.0" customHeight="1">
      <c r="G994" s="88"/>
      <c r="H994" s="126"/>
      <c r="I994" s="126"/>
      <c r="J994" s="127"/>
      <c r="K994" s="127"/>
      <c r="L994" s="88"/>
    </row>
    <row r="995" ht="12.0" customHeight="1">
      <c r="G995" s="88"/>
      <c r="H995" s="126"/>
      <c r="I995" s="126"/>
      <c r="J995" s="127"/>
      <c r="K995" s="127"/>
      <c r="L995" s="88"/>
    </row>
    <row r="996" ht="12.0" customHeight="1">
      <c r="G996" s="88"/>
      <c r="H996" s="126"/>
      <c r="I996" s="126"/>
      <c r="J996" s="127"/>
      <c r="K996" s="127"/>
      <c r="L996" s="88"/>
    </row>
    <row r="997" ht="12.0" customHeight="1">
      <c r="G997" s="88"/>
      <c r="H997" s="126"/>
      <c r="I997" s="126"/>
      <c r="J997" s="127"/>
      <c r="K997" s="127"/>
      <c r="L997" s="88"/>
    </row>
    <row r="998" ht="12.0" customHeight="1">
      <c r="G998" s="88"/>
      <c r="H998" s="126"/>
      <c r="I998" s="126"/>
      <c r="J998" s="127"/>
      <c r="K998" s="127"/>
      <c r="L998" s="88"/>
    </row>
    <row r="999" ht="12.0" customHeight="1">
      <c r="G999" s="88"/>
      <c r="H999" s="126"/>
      <c r="I999" s="126"/>
      <c r="J999" s="127"/>
      <c r="K999" s="127"/>
      <c r="L999" s="88"/>
    </row>
    <row r="1000" ht="12.0" customHeight="1">
      <c r="G1000" s="88"/>
      <c r="H1000" s="126"/>
      <c r="I1000" s="126"/>
      <c r="J1000" s="127"/>
      <c r="K1000" s="127"/>
      <c r="L1000" s="88"/>
    </row>
  </sheetData>
  <mergeCells count="90">
    <mergeCell ref="H47:I47"/>
    <mergeCell ref="H48:I48"/>
    <mergeCell ref="B44:E44"/>
    <mergeCell ref="B45:E45"/>
    <mergeCell ref="H45:I45"/>
    <mergeCell ref="B46:E46"/>
    <mergeCell ref="H46:I46"/>
    <mergeCell ref="B47:E47"/>
    <mergeCell ref="B48:E48"/>
    <mergeCell ref="B49:E49"/>
    <mergeCell ref="H49:I49"/>
    <mergeCell ref="B50:E50"/>
    <mergeCell ref="H50:I50"/>
    <mergeCell ref="B51:E51"/>
    <mergeCell ref="H51:I51"/>
    <mergeCell ref="H52:I52"/>
    <mergeCell ref="B59:E59"/>
    <mergeCell ref="B60:E60"/>
    <mergeCell ref="B61:E61"/>
    <mergeCell ref="B62:E62"/>
    <mergeCell ref="B63:E63"/>
    <mergeCell ref="B64:E64"/>
    <mergeCell ref="B52:E52"/>
    <mergeCell ref="B53:E53"/>
    <mergeCell ref="B54:E54"/>
    <mergeCell ref="B55:E55"/>
    <mergeCell ref="B56:E56"/>
    <mergeCell ref="B57:E57"/>
    <mergeCell ref="B58:E58"/>
    <mergeCell ref="H60:I60"/>
    <mergeCell ref="H61:I61"/>
    <mergeCell ref="H62:I62"/>
    <mergeCell ref="H63:I63"/>
    <mergeCell ref="H64:I64"/>
    <mergeCell ref="H53:I53"/>
    <mergeCell ref="H54:I54"/>
    <mergeCell ref="H55:I55"/>
    <mergeCell ref="H56:I56"/>
    <mergeCell ref="H57:I57"/>
    <mergeCell ref="H58:I58"/>
    <mergeCell ref="H59:I59"/>
    <mergeCell ref="A1:K1"/>
    <mergeCell ref="A2:F2"/>
    <mergeCell ref="G2:G3"/>
    <mergeCell ref="H2:I2"/>
    <mergeCell ref="J2:J3"/>
    <mergeCell ref="K2:K3"/>
    <mergeCell ref="B3:E3"/>
    <mergeCell ref="B4:E4"/>
    <mergeCell ref="B5:E5"/>
    <mergeCell ref="B6:E6"/>
    <mergeCell ref="B7:E7"/>
    <mergeCell ref="B8:E8"/>
    <mergeCell ref="B9:E9"/>
    <mergeCell ref="B10:E10"/>
    <mergeCell ref="B11:E11"/>
    <mergeCell ref="B12:E12"/>
    <mergeCell ref="B13:E13"/>
    <mergeCell ref="B14:E14"/>
    <mergeCell ref="B15:E15"/>
    <mergeCell ref="B16:E16"/>
    <mergeCell ref="B17:E17"/>
    <mergeCell ref="B18:E18"/>
    <mergeCell ref="B19:E19"/>
    <mergeCell ref="B20:E20"/>
    <mergeCell ref="B21:E21"/>
    <mergeCell ref="B22:E22"/>
    <mergeCell ref="B23:E23"/>
    <mergeCell ref="B24:E24"/>
    <mergeCell ref="B25:E25"/>
    <mergeCell ref="B26:E26"/>
    <mergeCell ref="B27:E27"/>
    <mergeCell ref="B28:E28"/>
    <mergeCell ref="B29:E29"/>
    <mergeCell ref="B30:E30"/>
    <mergeCell ref="B31:E31"/>
    <mergeCell ref="B36:E36"/>
    <mergeCell ref="B37:E37"/>
    <mergeCell ref="B38:E38"/>
    <mergeCell ref="G40:G41"/>
    <mergeCell ref="H40:I41"/>
    <mergeCell ref="J40:J41"/>
    <mergeCell ref="K40:K41"/>
    <mergeCell ref="A40:F40"/>
    <mergeCell ref="B41:E41"/>
    <mergeCell ref="B42:E42"/>
    <mergeCell ref="H42:I42"/>
    <mergeCell ref="B43:E43"/>
    <mergeCell ref="H43:I43"/>
    <mergeCell ref="H44:I44"/>
  </mergeCells>
  <printOptions/>
  <pageMargins bottom="1.023611111111111" footer="0.0" header="0.0" left="0.7875" right="0.7875" top="1.023611111111111"/>
  <pageSetup paperSize="9" scale="48" orientation="portrait"/>
  <headerFooter>
    <oddFooter>&amp;CPágina &amp;P de </oddFooter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ySplit="8.0" topLeftCell="A9" activePane="bottomLeft" state="frozen"/>
      <selection activeCell="B10" sqref="B10" pane="bottomLeft"/>
    </sheetView>
  </sheetViews>
  <sheetFormatPr customHeight="1" defaultColWidth="12.63" defaultRowHeight="15.0"/>
  <cols>
    <col customWidth="1" min="1" max="1" width="2.88"/>
    <col customWidth="1" min="2" max="2" width="8.25"/>
    <col customWidth="1" min="3" max="3" width="11.5"/>
    <col customWidth="1" min="4" max="4" width="1.13"/>
    <col customWidth="1" min="5" max="5" width="7.75"/>
    <col customWidth="1" min="6" max="6" width="5.88"/>
    <col customWidth="1" min="7" max="7" width="13.5"/>
    <col customWidth="1" min="8" max="8" width="8.5"/>
    <col customWidth="1" min="9" max="9" width="5.88"/>
    <col customWidth="1" min="10" max="10" width="11.5"/>
    <col customWidth="1" min="11" max="11" width="8.5"/>
    <col customWidth="1" min="12" max="12" width="6.5"/>
    <col customWidth="1" min="13" max="26" width="8.63"/>
  </cols>
  <sheetData>
    <row r="1" ht="12.0" customHeight="1">
      <c r="A1" s="1" t="s">
        <v>252</v>
      </c>
      <c r="B1" s="2"/>
      <c r="C1" s="2"/>
      <c r="D1" s="2"/>
      <c r="E1" s="2"/>
      <c r="F1" s="2"/>
      <c r="G1" s="2"/>
      <c r="H1" s="2"/>
      <c r="I1" s="2"/>
      <c r="J1" s="2"/>
      <c r="K1" s="2"/>
      <c r="L1" s="3"/>
    </row>
    <row r="2" ht="12.0" customHeight="1">
      <c r="A2" s="4"/>
      <c r="L2" s="5"/>
    </row>
    <row r="3" ht="12.0" customHeight="1">
      <c r="A3" s="6"/>
      <c r="B3" s="7"/>
      <c r="C3" s="7"/>
      <c r="D3" s="7"/>
      <c r="E3" s="7"/>
      <c r="F3" s="7"/>
      <c r="G3" s="7"/>
      <c r="H3" s="7"/>
      <c r="I3" s="7"/>
      <c r="J3" s="7"/>
      <c r="K3" s="7"/>
      <c r="L3" s="8"/>
    </row>
    <row r="4" ht="12.0" customHeight="1">
      <c r="A4" s="128" t="str">
        <f>Contagem!A5&amp;" : "&amp;Contagem!F5</f>
        <v>Aplicação : COSIGNAÇÃO</v>
      </c>
      <c r="B4" s="10"/>
      <c r="C4" s="10"/>
      <c r="D4" s="10"/>
      <c r="E4" s="11"/>
      <c r="F4" s="33" t="str">
        <f>Contagem!A8&amp;" : "&amp;Contagem!F8</f>
        <v>Projeto : Revisão de Contratos Consignações</v>
      </c>
      <c r="G4" s="10"/>
      <c r="H4" s="10"/>
      <c r="I4" s="10"/>
      <c r="J4" s="10"/>
      <c r="K4" s="10"/>
      <c r="L4" s="15"/>
    </row>
    <row r="5" ht="12.0" customHeight="1">
      <c r="A5" s="128" t="str">
        <f>Contagem!A9&amp;" : "&amp;Contagem!F9</f>
        <v>Responsável : Jonathas Gomes</v>
      </c>
      <c r="B5" s="10"/>
      <c r="C5" s="10"/>
      <c r="D5" s="10"/>
      <c r="E5" s="11"/>
      <c r="F5" s="33" t="str">
        <f>Contagem!A10&amp;" : "&amp;Contagem!F10</f>
        <v>Revisor : Jonathas Gomes</v>
      </c>
      <c r="G5" s="10"/>
      <c r="H5" s="10"/>
      <c r="I5" s="10"/>
      <c r="J5" s="10"/>
      <c r="K5" s="10"/>
      <c r="L5" s="15"/>
    </row>
    <row r="6" ht="12.0" customHeight="1">
      <c r="A6" s="128" t="str">
        <f>Contagem!A4&amp;" : "&amp;Contagem!F4</f>
        <v>Empresa : Secretaria de Estado de Planejamento e Gestão de Mato Grosso</v>
      </c>
      <c r="B6" s="10"/>
      <c r="C6" s="10"/>
      <c r="D6" s="10"/>
      <c r="E6" s="11"/>
      <c r="F6" s="33" t="str">
        <f>"Tipo de Contagem : "&amp;Contagem!F6</f>
        <v>Tipo de Contagem : Projeto de Desenvolvimento</v>
      </c>
      <c r="G6" s="10"/>
      <c r="H6" s="10"/>
      <c r="I6" s="10"/>
      <c r="J6" s="10"/>
      <c r="K6" s="10"/>
      <c r="L6" s="15"/>
    </row>
    <row r="7" ht="12.75" customHeight="1">
      <c r="A7" s="129" t="s">
        <v>253</v>
      </c>
      <c r="B7" s="130"/>
      <c r="C7" s="131" t="s">
        <v>254</v>
      </c>
      <c r="D7" s="23"/>
      <c r="E7" s="23"/>
      <c r="F7" s="130"/>
      <c r="G7" s="132" t="s">
        <v>255</v>
      </c>
      <c r="H7" s="132" t="s">
        <v>256</v>
      </c>
      <c r="I7" s="133"/>
      <c r="J7" s="134" t="s">
        <v>257</v>
      </c>
      <c r="K7" s="130"/>
      <c r="L7" s="135" t="s">
        <v>256</v>
      </c>
    </row>
    <row r="8" ht="12.0" customHeight="1">
      <c r="A8" s="6"/>
      <c r="B8" s="136"/>
      <c r="C8" s="137"/>
      <c r="D8" s="7"/>
      <c r="E8" s="7"/>
      <c r="F8" s="136"/>
      <c r="G8" s="138"/>
      <c r="H8" s="138"/>
      <c r="I8" s="139"/>
      <c r="J8" s="137"/>
      <c r="K8" s="136"/>
      <c r="L8" s="140"/>
    </row>
    <row r="9" ht="6.0" customHeight="1">
      <c r="A9" s="141"/>
      <c r="B9" s="142"/>
      <c r="C9" s="142"/>
      <c r="D9" s="142"/>
      <c r="E9" s="142"/>
      <c r="F9" s="142"/>
      <c r="G9" s="142"/>
      <c r="H9" s="142"/>
      <c r="I9" s="142"/>
      <c r="J9" s="142"/>
      <c r="K9" s="142"/>
      <c r="L9" s="143"/>
    </row>
    <row r="10" ht="12.0" customHeight="1">
      <c r="A10" s="144"/>
      <c r="B10" s="145" t="s">
        <v>43</v>
      </c>
      <c r="C10" s="146">
        <f>COUNTIF('Funções'!G8:G809,"EEL")</f>
        <v>1</v>
      </c>
      <c r="D10" s="145"/>
      <c r="E10" s="147" t="s">
        <v>258</v>
      </c>
      <c r="F10" s="147" t="s">
        <v>259</v>
      </c>
      <c r="G10" s="146">
        <f>C10*3</f>
        <v>3</v>
      </c>
      <c r="H10" s="145"/>
      <c r="I10" s="148"/>
      <c r="J10" s="149" t="str">
        <f>Deflatores!$G$4&amp;"="</f>
        <v>I=</v>
      </c>
      <c r="K10" s="150">
        <f>SUMIF('Funções'!$J$8:$J$809,"EE"&amp;Deflatores!G4,'Funções'!$L$8:$L$809)</f>
        <v>87</v>
      </c>
      <c r="L10" s="151"/>
    </row>
    <row r="11" ht="12.0" customHeight="1">
      <c r="A11" s="152"/>
      <c r="B11" s="145"/>
      <c r="C11" s="146">
        <f>COUNTIF('Funções'!G8:G809,"EEA")</f>
        <v>25</v>
      </c>
      <c r="D11" s="145"/>
      <c r="E11" s="147" t="s">
        <v>260</v>
      </c>
      <c r="F11" s="147" t="s">
        <v>261</v>
      </c>
      <c r="G11" s="146">
        <f>C11*4</f>
        <v>100</v>
      </c>
      <c r="H11" s="145"/>
      <c r="I11" s="148"/>
      <c r="J11" s="149" t="str">
        <f>Deflatores!$G$5&amp;"="</f>
        <v>A=</v>
      </c>
      <c r="K11" s="150">
        <f>SUMIF('Funções'!$J$8:$J$809,"EE"&amp;Deflatores!G5,'Funções'!$L$8:$L$809)</f>
        <v>0</v>
      </c>
      <c r="L11" s="151"/>
    </row>
    <row r="12" ht="12.0" customHeight="1">
      <c r="A12" s="152"/>
      <c r="B12" s="145"/>
      <c r="C12" s="146">
        <f>COUNTIF('Funções'!G8:G809,"EEH")</f>
        <v>0</v>
      </c>
      <c r="D12" s="145"/>
      <c r="E12" s="147" t="s">
        <v>262</v>
      </c>
      <c r="F12" s="147" t="s">
        <v>263</v>
      </c>
      <c r="G12" s="146">
        <f>C12*6</f>
        <v>0</v>
      </c>
      <c r="H12" s="145"/>
      <c r="I12" s="148"/>
      <c r="J12" s="149" t="str">
        <f>Deflatores!$G$6&amp;"="</f>
        <v>E=</v>
      </c>
      <c r="K12" s="150">
        <f>SUMIF('Funções'!$J$8:$J$809,"EE"&amp;Deflatores!G6,'Funções'!$L$8:$L$809)</f>
        <v>0</v>
      </c>
      <c r="L12" s="153"/>
    </row>
    <row r="13" ht="12.0" customHeight="1">
      <c r="A13" s="152"/>
      <c r="B13" s="145"/>
      <c r="C13" s="145"/>
      <c r="D13" s="145"/>
      <c r="E13" s="145"/>
      <c r="F13" s="145"/>
      <c r="G13" s="145"/>
      <c r="H13" s="145"/>
      <c r="I13" s="145"/>
      <c r="J13" s="145"/>
      <c r="K13" s="154"/>
      <c r="L13" s="151"/>
    </row>
    <row r="14" ht="12.0" customHeight="1">
      <c r="A14" s="152"/>
      <c r="B14" s="155" t="s">
        <v>264</v>
      </c>
      <c r="C14" s="146">
        <f>SUM(C10:C12)</f>
        <v>26</v>
      </c>
      <c r="D14" s="145"/>
      <c r="E14" s="145"/>
      <c r="F14" s="155" t="s">
        <v>265</v>
      </c>
      <c r="G14" s="146">
        <f>SUM(G10:G12)</f>
        <v>103</v>
      </c>
      <c r="H14" s="148">
        <f>IF($G$45&lt;&gt;0,G14/$G$45,"")</f>
        <v>0.3140243902</v>
      </c>
      <c r="I14" s="127"/>
      <c r="J14" s="149"/>
      <c r="K14" s="150">
        <f>SUM(K10:K13)</f>
        <v>87</v>
      </c>
      <c r="L14" s="156">
        <f>IF('Sumário 2'!L11&lt;&gt;0,K14/'Sumário 2'!L11,"")</f>
        <v>0.2992776058</v>
      </c>
    </row>
    <row r="15" ht="6.0" customHeight="1">
      <c r="A15" s="157"/>
      <c r="B15" s="149"/>
      <c r="C15" s="149"/>
      <c r="D15" s="149"/>
      <c r="E15" s="149"/>
      <c r="F15" s="149"/>
      <c r="G15" s="149"/>
      <c r="H15" s="149"/>
      <c r="I15" s="149"/>
      <c r="J15" s="149"/>
      <c r="K15" s="149"/>
      <c r="L15" s="158"/>
    </row>
    <row r="16" ht="6.0" customHeight="1">
      <c r="A16" s="152"/>
      <c r="B16" s="145"/>
      <c r="C16" s="145"/>
      <c r="D16" s="145"/>
      <c r="E16" s="145"/>
      <c r="F16" s="145"/>
      <c r="G16" s="145"/>
      <c r="H16" s="145"/>
      <c r="I16" s="145"/>
      <c r="J16" s="145"/>
      <c r="K16" s="145"/>
      <c r="L16" s="151"/>
    </row>
    <row r="17" ht="12.0" customHeight="1">
      <c r="A17" s="152"/>
      <c r="B17" s="145" t="s">
        <v>146</v>
      </c>
      <c r="C17" s="149">
        <f>COUNTIF('Funções'!G8:G809,"SEL")</f>
        <v>0</v>
      </c>
      <c r="D17" s="145"/>
      <c r="E17" s="147" t="s">
        <v>258</v>
      </c>
      <c r="F17" s="147" t="s">
        <v>261</v>
      </c>
      <c r="G17" s="149">
        <f>C17*4</f>
        <v>0</v>
      </c>
      <c r="H17" s="145"/>
      <c r="I17" s="145"/>
      <c r="J17" s="149" t="str">
        <f>Deflatores!$G$4&amp;"="</f>
        <v>I=</v>
      </c>
      <c r="K17" s="159">
        <f>SUMIF('Funções'!$J$8:$J$809,"SE"&amp;Deflatores!$G$4,'Funções'!$L$8:$L$809)</f>
        <v>5</v>
      </c>
      <c r="L17" s="151"/>
    </row>
    <row r="18" ht="12.0" customHeight="1">
      <c r="A18" s="152"/>
      <c r="B18" s="145"/>
      <c r="C18" s="149">
        <f>COUNTIF('Funções'!G8:G809,"SEA")</f>
        <v>1</v>
      </c>
      <c r="D18" s="145"/>
      <c r="E18" s="147" t="s">
        <v>260</v>
      </c>
      <c r="F18" s="147" t="s">
        <v>266</v>
      </c>
      <c r="G18" s="149">
        <f>C18*5</f>
        <v>5</v>
      </c>
      <c r="H18" s="145"/>
      <c r="I18" s="145"/>
      <c r="J18" s="149" t="str">
        <f>Deflatores!$G$5&amp;"="</f>
        <v>A=</v>
      </c>
      <c r="K18" s="159">
        <f>SUMIF('Funções'!$J$8:$J$809,"SE"&amp;Deflatores!$G$5,'Funções'!$L$8:$L$809)</f>
        <v>0</v>
      </c>
      <c r="L18" s="151"/>
    </row>
    <row r="19" ht="12.0" customHeight="1">
      <c r="A19" s="152"/>
      <c r="B19" s="145"/>
      <c r="C19" s="149">
        <f>COUNTIF('Funções'!G8:G809,"SEH")</f>
        <v>0</v>
      </c>
      <c r="D19" s="145"/>
      <c r="E19" s="147" t="s">
        <v>262</v>
      </c>
      <c r="F19" s="147" t="s">
        <v>267</v>
      </c>
      <c r="G19" s="149">
        <f>C19*7</f>
        <v>0</v>
      </c>
      <c r="H19" s="145"/>
      <c r="I19" s="145"/>
      <c r="J19" s="149" t="str">
        <f>Deflatores!$G$6&amp;"="</f>
        <v>E=</v>
      </c>
      <c r="K19" s="159">
        <f>SUMIF('Funções'!$J$8:$J$809,"SE"&amp;Deflatores!$G$6,'Funções'!$L$8:$L$809)</f>
        <v>0</v>
      </c>
      <c r="L19" s="153"/>
    </row>
    <row r="20" ht="12.0" customHeight="1">
      <c r="A20" s="152"/>
      <c r="B20" s="145"/>
      <c r="C20" s="145"/>
      <c r="D20" s="145"/>
      <c r="E20" s="145"/>
      <c r="F20" s="145"/>
      <c r="G20" s="145"/>
      <c r="H20" s="145"/>
      <c r="I20" s="145"/>
      <c r="J20" s="145"/>
      <c r="K20" s="154"/>
      <c r="L20" s="151"/>
    </row>
    <row r="21" ht="12.0" customHeight="1">
      <c r="A21" s="152"/>
      <c r="B21" s="155" t="s">
        <v>264</v>
      </c>
      <c r="C21" s="146">
        <f>SUM(C17:C19)</f>
        <v>1</v>
      </c>
      <c r="D21" s="145"/>
      <c r="E21" s="145"/>
      <c r="F21" s="155" t="s">
        <v>265</v>
      </c>
      <c r="G21" s="146">
        <f>SUM(G17:G19)</f>
        <v>5</v>
      </c>
      <c r="H21" s="148">
        <f>IF($G$45&lt;&gt;0,G21/$G$45,"")</f>
        <v>0.01524390244</v>
      </c>
      <c r="I21" s="127"/>
      <c r="J21" s="149"/>
      <c r="K21" s="150">
        <f>SUM(K17:K20)</f>
        <v>5</v>
      </c>
      <c r="L21" s="156">
        <f>IF('Sumário 2'!L11&lt;&gt;0,K21/'Sumário 2'!L11,"")</f>
        <v>0.0171998624</v>
      </c>
    </row>
    <row r="22" ht="6.0" customHeight="1">
      <c r="A22" s="157"/>
      <c r="B22" s="149"/>
      <c r="C22" s="149"/>
      <c r="D22" s="149"/>
      <c r="E22" s="149"/>
      <c r="F22" s="149"/>
      <c r="G22" s="149"/>
      <c r="H22" s="149"/>
      <c r="I22" s="149"/>
      <c r="J22" s="149"/>
      <c r="K22" s="149"/>
      <c r="L22" s="158"/>
    </row>
    <row r="23" ht="6.0" customHeight="1">
      <c r="A23" s="141"/>
      <c r="B23" s="142"/>
      <c r="C23" s="145"/>
      <c r="D23" s="142"/>
      <c r="E23" s="142"/>
      <c r="F23" s="142"/>
      <c r="G23" s="145"/>
      <c r="H23" s="142"/>
      <c r="I23" s="142"/>
      <c r="J23" s="142"/>
      <c r="K23" s="142"/>
      <c r="L23" s="143"/>
    </row>
    <row r="24" ht="12.0" customHeight="1">
      <c r="A24" s="152"/>
      <c r="B24" s="145" t="s">
        <v>47</v>
      </c>
      <c r="C24" s="146">
        <f>COUNTIF('Funções'!G8:G809,"CEL")</f>
        <v>1</v>
      </c>
      <c r="D24" s="145"/>
      <c r="E24" s="147" t="s">
        <v>258</v>
      </c>
      <c r="F24" s="147" t="s">
        <v>259</v>
      </c>
      <c r="G24" s="146">
        <f>C24*3</f>
        <v>3</v>
      </c>
      <c r="H24" s="145"/>
      <c r="I24" s="145"/>
      <c r="J24" s="149" t="str">
        <f>Deflatores!$G$4&amp;"="</f>
        <v>I=</v>
      </c>
      <c r="K24" s="150">
        <f>SUMIF('Funções'!$J$8:$J$809,"CE"&amp;Deflatores!$G$4,'Funções'!$L$8:$L$809)</f>
        <v>120</v>
      </c>
      <c r="L24" s="151"/>
    </row>
    <row r="25" ht="12.0" customHeight="1">
      <c r="A25" s="152"/>
      <c r="B25" s="145"/>
      <c r="C25" s="146">
        <f>COUNTIF('Funções'!G8:G809,"CEA")</f>
        <v>39</v>
      </c>
      <c r="D25" s="145"/>
      <c r="E25" s="147" t="s">
        <v>260</v>
      </c>
      <c r="F25" s="147" t="s">
        <v>261</v>
      </c>
      <c r="G25" s="146">
        <f>C25*4</f>
        <v>156</v>
      </c>
      <c r="H25" s="145"/>
      <c r="I25" s="145"/>
      <c r="J25" s="149" t="str">
        <f>Deflatores!$G$5&amp;"="</f>
        <v>A=</v>
      </c>
      <c r="K25" s="150">
        <f>SUMIF('Funções'!$J$8:$J$809,"CE"&amp;Deflatores!$G$5,'Funções'!$L$8:$L$809)</f>
        <v>0</v>
      </c>
      <c r="L25" s="151"/>
    </row>
    <row r="26" ht="12.0" customHeight="1">
      <c r="A26" s="152"/>
      <c r="B26" s="145"/>
      <c r="C26" s="146">
        <f>COUNTIF('Funções'!G8:G809,"CEH")</f>
        <v>0</v>
      </c>
      <c r="D26" s="145"/>
      <c r="E26" s="147" t="s">
        <v>262</v>
      </c>
      <c r="F26" s="147" t="s">
        <v>263</v>
      </c>
      <c r="G26" s="146">
        <f>C26*6</f>
        <v>0</v>
      </c>
      <c r="H26" s="145"/>
      <c r="I26" s="145"/>
      <c r="J26" s="149" t="str">
        <f>Deflatores!$G$6&amp;"="</f>
        <v>E=</v>
      </c>
      <c r="K26" s="150">
        <f>SUMIF('Funções'!$J$8:$J$809,"CE"&amp;Deflatores!$G$6,'Funções'!$L$8:$L$809)</f>
        <v>0</v>
      </c>
      <c r="L26" s="153"/>
    </row>
    <row r="27" ht="12.0" customHeight="1">
      <c r="A27" s="152"/>
      <c r="B27" s="145"/>
      <c r="C27" s="145"/>
      <c r="D27" s="145"/>
      <c r="E27" s="145"/>
      <c r="F27" s="145"/>
      <c r="G27" s="145"/>
      <c r="H27" s="145"/>
      <c r="I27" s="145"/>
      <c r="J27" s="145"/>
      <c r="K27" s="154"/>
      <c r="L27" s="151"/>
    </row>
    <row r="28" ht="12.0" customHeight="1">
      <c r="A28" s="152"/>
      <c r="B28" s="155" t="s">
        <v>264</v>
      </c>
      <c r="C28" s="146">
        <f>SUM(C24:C26)</f>
        <v>40</v>
      </c>
      <c r="D28" s="145"/>
      <c r="E28" s="145"/>
      <c r="F28" s="155" t="s">
        <v>265</v>
      </c>
      <c r="G28" s="146">
        <f>SUM(G24:G26)</f>
        <v>159</v>
      </c>
      <c r="H28" s="148">
        <f>IF($G$45&lt;&gt;0,G28/$G$45,"")</f>
        <v>0.4847560976</v>
      </c>
      <c r="I28" s="127"/>
      <c r="J28" s="149"/>
      <c r="K28" s="150">
        <f>SUM(K24:K27)</f>
        <v>120</v>
      </c>
      <c r="L28" s="156">
        <f>IF('Sumário 2'!L11&lt;&gt;0,K28/'Sumário 2'!L11,"")</f>
        <v>0.4127966976</v>
      </c>
    </row>
    <row r="29" ht="6.0" customHeight="1">
      <c r="A29" s="157"/>
      <c r="B29" s="149"/>
      <c r="C29" s="149"/>
      <c r="D29" s="149"/>
      <c r="E29" s="149"/>
      <c r="F29" s="149"/>
      <c r="G29" s="149"/>
      <c r="H29" s="149"/>
      <c r="I29" s="149"/>
      <c r="J29" s="149"/>
      <c r="K29" s="149"/>
      <c r="L29" s="158"/>
    </row>
    <row r="30" ht="6.0" customHeight="1">
      <c r="A30" s="141"/>
      <c r="B30" s="142"/>
      <c r="C30" s="145"/>
      <c r="D30" s="142"/>
      <c r="E30" s="142"/>
      <c r="F30" s="142"/>
      <c r="G30" s="145"/>
      <c r="H30" s="142"/>
      <c r="I30" s="142"/>
      <c r="J30" s="142"/>
      <c r="K30" s="142"/>
      <c r="L30" s="143"/>
    </row>
    <row r="31" ht="12.0" customHeight="1">
      <c r="A31" s="152"/>
      <c r="B31" s="145" t="s">
        <v>53</v>
      </c>
      <c r="C31" s="146">
        <f>COUNTIF('Funções'!G8:G809,"ALIL")</f>
        <v>8</v>
      </c>
      <c r="D31" s="145"/>
      <c r="E31" s="145" t="s">
        <v>258</v>
      </c>
      <c r="F31" s="145" t="s">
        <v>267</v>
      </c>
      <c r="G31" s="146">
        <f>C31*7</f>
        <v>56</v>
      </c>
      <c r="H31" s="145"/>
      <c r="I31" s="145"/>
      <c r="J31" s="149" t="str">
        <f>Deflatores!$G$4&amp;"="</f>
        <v>I=</v>
      </c>
      <c r="K31" s="150">
        <f>SUMIF('Funções'!$J$8:$J$809,"ALI"&amp;Deflatores!$G$4,'Funções'!$L$8:$L$809)</f>
        <v>42</v>
      </c>
      <c r="L31" s="151"/>
    </row>
    <row r="32" ht="12.0" customHeight="1">
      <c r="A32" s="152"/>
      <c r="B32" s="145"/>
      <c r="C32" s="146">
        <f>COUNTIF('Funções'!G8:G809,"ALIA")</f>
        <v>0</v>
      </c>
      <c r="D32" s="145"/>
      <c r="E32" s="145" t="s">
        <v>260</v>
      </c>
      <c r="F32" s="145" t="s">
        <v>268</v>
      </c>
      <c r="G32" s="146">
        <f>C32*10</f>
        <v>0</v>
      </c>
      <c r="H32" s="145"/>
      <c r="I32" s="145"/>
      <c r="J32" s="149" t="str">
        <f>Deflatores!$G$5&amp;"="</f>
        <v>A=</v>
      </c>
      <c r="K32" s="150">
        <f>SUMIF('Funções'!$J$8:$J$809,"ALI"&amp;Deflatores!$G$5,'Funções'!$L$8:$L$809)</f>
        <v>0</v>
      </c>
      <c r="L32" s="151"/>
    </row>
    <row r="33" ht="12.0" customHeight="1">
      <c r="A33" s="152"/>
      <c r="B33" s="145"/>
      <c r="C33" s="146">
        <f>COUNTIF('Funções'!G8:G809,"ALIH")</f>
        <v>0</v>
      </c>
      <c r="D33" s="145"/>
      <c r="E33" s="145" t="s">
        <v>262</v>
      </c>
      <c r="F33" s="145" t="s">
        <v>269</v>
      </c>
      <c r="G33" s="146">
        <f>C33*15</f>
        <v>0</v>
      </c>
      <c r="H33" s="145"/>
      <c r="I33" s="145"/>
      <c r="J33" s="149" t="str">
        <f>Deflatores!$G$6&amp;"="</f>
        <v>E=</v>
      </c>
      <c r="K33" s="150">
        <f>SUMIF('Funções'!$J$8:$J$809,"ALI"&amp;Deflatores!$G$6,'Funções'!$L$8:$L$809)</f>
        <v>0</v>
      </c>
      <c r="L33" s="153"/>
    </row>
    <row r="34" ht="12.0" customHeight="1">
      <c r="A34" s="152"/>
      <c r="B34" s="145"/>
      <c r="C34" s="145"/>
      <c r="D34" s="145"/>
      <c r="E34" s="145"/>
      <c r="F34" s="145"/>
      <c r="G34" s="145"/>
      <c r="H34" s="145"/>
      <c r="I34" s="145"/>
      <c r="J34" s="145"/>
      <c r="K34" s="154"/>
      <c r="L34" s="151"/>
    </row>
    <row r="35" ht="12.0" customHeight="1">
      <c r="A35" s="152"/>
      <c r="B35" s="155" t="s">
        <v>264</v>
      </c>
      <c r="C35" s="146">
        <f>SUM(C31:C33)</f>
        <v>8</v>
      </c>
      <c r="D35" s="145"/>
      <c r="E35" s="145"/>
      <c r="F35" s="155" t="s">
        <v>265</v>
      </c>
      <c r="G35" s="146">
        <f>SUM(G31:G33)</f>
        <v>56</v>
      </c>
      <c r="H35" s="148">
        <f>IF($G$45&lt;&gt;0,G35/$G$45,"")</f>
        <v>0.1707317073</v>
      </c>
      <c r="I35" s="127"/>
      <c r="J35" s="149"/>
      <c r="K35" s="150">
        <f>SUM(K31:K34)</f>
        <v>42</v>
      </c>
      <c r="L35" s="156">
        <f>IF('Sumário 2'!L11&lt;&gt;0,K35/'Sumário 2'!L11,"")</f>
        <v>0.1444788442</v>
      </c>
    </row>
    <row r="36" ht="6.0" customHeight="1">
      <c r="A36" s="157"/>
      <c r="B36" s="149"/>
      <c r="C36" s="149"/>
      <c r="D36" s="149"/>
      <c r="E36" s="149"/>
      <c r="F36" s="149"/>
      <c r="G36" s="149"/>
      <c r="H36" s="149"/>
      <c r="I36" s="149"/>
      <c r="J36" s="149"/>
      <c r="K36" s="149"/>
      <c r="L36" s="158"/>
    </row>
    <row r="37" ht="6.0" customHeight="1">
      <c r="A37" s="141"/>
      <c r="B37" s="142"/>
      <c r="C37" s="145"/>
      <c r="D37" s="142"/>
      <c r="E37" s="142"/>
      <c r="F37" s="142"/>
      <c r="G37" s="145"/>
      <c r="H37" s="142"/>
      <c r="I37" s="142"/>
      <c r="J37" s="142"/>
      <c r="K37" s="142"/>
      <c r="L37" s="143"/>
    </row>
    <row r="38" ht="12.0" customHeight="1">
      <c r="A38" s="152"/>
      <c r="B38" s="145" t="s">
        <v>144</v>
      </c>
      <c r="C38" s="146">
        <f>COUNTIF('Funções'!G8:G809,"AIEL")</f>
        <v>1</v>
      </c>
      <c r="D38" s="145"/>
      <c r="E38" s="145" t="s">
        <v>258</v>
      </c>
      <c r="F38" s="145" t="s">
        <v>266</v>
      </c>
      <c r="G38" s="146">
        <f>C38*5</f>
        <v>5</v>
      </c>
      <c r="H38" s="145"/>
      <c r="I38" s="145"/>
      <c r="J38" s="149" t="str">
        <f>Deflatores!$G$4&amp;"="</f>
        <v>I=</v>
      </c>
      <c r="K38" s="150">
        <f>SUMIF('Funções'!$J$8:$J$809,"AIE"&amp;Deflatores!$G$4,'Funções'!$L$8:$L$809)</f>
        <v>5</v>
      </c>
      <c r="L38" s="151"/>
    </row>
    <row r="39" ht="12.0" customHeight="1">
      <c r="A39" s="152"/>
      <c r="B39" s="145"/>
      <c r="C39" s="146">
        <f>COUNTIF('Funções'!G8:G809,"AIEA")</f>
        <v>0</v>
      </c>
      <c r="D39" s="145"/>
      <c r="E39" s="145" t="s">
        <v>260</v>
      </c>
      <c r="F39" s="145" t="s">
        <v>267</v>
      </c>
      <c r="G39" s="146">
        <f>C39*7</f>
        <v>0</v>
      </c>
      <c r="H39" s="145"/>
      <c r="I39" s="145"/>
      <c r="J39" s="149" t="str">
        <f>Deflatores!$G$5&amp;"="</f>
        <v>A=</v>
      </c>
      <c r="K39" s="150">
        <f>SUMIF('Funções'!$J$8:$J$809,"AIE"&amp;Deflatores!$G$5,'Funções'!$L$8:$L$809)</f>
        <v>0</v>
      </c>
      <c r="L39" s="151"/>
    </row>
    <row r="40" ht="12.0" customHeight="1">
      <c r="A40" s="152"/>
      <c r="B40" s="145"/>
      <c r="C40" s="146">
        <f>COUNTIF('Funções'!G8:G809,"AIEH")</f>
        <v>0</v>
      </c>
      <c r="D40" s="145"/>
      <c r="E40" s="145" t="s">
        <v>262</v>
      </c>
      <c r="F40" s="145" t="s">
        <v>268</v>
      </c>
      <c r="G40" s="146">
        <f>C40*10</f>
        <v>0</v>
      </c>
      <c r="H40" s="145"/>
      <c r="I40" s="145"/>
      <c r="J40" s="149" t="str">
        <f>Deflatores!$G$6&amp;"="</f>
        <v>E=</v>
      </c>
      <c r="K40" s="150">
        <f>SUMIF('Funções'!$J$8:$J$809,"AIE"&amp;Deflatores!$G$6,'Funções'!$L$8:$L$809)</f>
        <v>0</v>
      </c>
      <c r="L40" s="153"/>
    </row>
    <row r="41" ht="12.0" customHeight="1">
      <c r="A41" s="152"/>
      <c r="B41" s="145"/>
      <c r="C41" s="145"/>
      <c r="D41" s="145"/>
      <c r="E41" s="145"/>
      <c r="F41" s="145"/>
      <c r="G41" s="145"/>
      <c r="H41" s="145"/>
      <c r="I41" s="145"/>
      <c r="J41" s="145"/>
      <c r="K41" s="154"/>
      <c r="L41" s="151"/>
    </row>
    <row r="42" ht="12.0" customHeight="1">
      <c r="A42" s="152"/>
      <c r="B42" s="155" t="s">
        <v>264</v>
      </c>
      <c r="C42" s="146">
        <f>SUM(C38:C40)</f>
        <v>1</v>
      </c>
      <c r="D42" s="145"/>
      <c r="E42" s="145"/>
      <c r="F42" s="155" t="s">
        <v>265</v>
      </c>
      <c r="G42" s="146">
        <f>SUM(G38:G40)</f>
        <v>5</v>
      </c>
      <c r="H42" s="148">
        <f>IF($G$45&lt;&gt;0,G42/$G$45,"")</f>
        <v>0.01524390244</v>
      </c>
      <c r="I42" s="127"/>
      <c r="J42" s="149"/>
      <c r="K42" s="150">
        <f>SUM(K38:K41)</f>
        <v>5</v>
      </c>
      <c r="L42" s="156">
        <f>IF('Sumário 2'!L11&lt;&gt;0,K42/'Sumário 2'!L11,"")</f>
        <v>0.0171998624</v>
      </c>
    </row>
    <row r="43" ht="6.0" customHeight="1">
      <c r="A43" s="157"/>
      <c r="B43" s="149"/>
      <c r="C43" s="149"/>
      <c r="D43" s="149"/>
      <c r="E43" s="149"/>
      <c r="F43" s="149"/>
      <c r="G43" s="149"/>
      <c r="H43" s="149"/>
      <c r="I43" s="149"/>
      <c r="J43" s="149"/>
      <c r="K43" s="149"/>
      <c r="L43" s="158"/>
    </row>
    <row r="44" ht="6.0" customHeight="1">
      <c r="A44" s="152"/>
      <c r="B44" s="145"/>
      <c r="C44" s="145"/>
      <c r="D44" s="145"/>
      <c r="E44" s="145"/>
      <c r="F44" s="145"/>
      <c r="G44" s="145"/>
      <c r="H44" s="145"/>
      <c r="I44" s="145"/>
      <c r="J44" s="145"/>
      <c r="K44" s="145"/>
      <c r="L44" s="151"/>
    </row>
    <row r="45" ht="12.0" customHeight="1">
      <c r="A45" s="152"/>
      <c r="B45" s="160" t="s">
        <v>270</v>
      </c>
      <c r="G45" s="146">
        <f>SUM(G14+G21+G28+G35+G42)</f>
        <v>328</v>
      </c>
      <c r="H45" s="145"/>
      <c r="I45" s="145"/>
      <c r="J45" s="145"/>
      <c r="K45" s="145"/>
      <c r="L45" s="151"/>
    </row>
    <row r="46" ht="12.0" customHeight="1">
      <c r="A46" s="152"/>
      <c r="B46" s="160" t="s">
        <v>271</v>
      </c>
      <c r="G46" s="146">
        <f>(C10+C11+C12)*4+(C17+C18+C19)*5+(C24+C25+C26)*4+(C31+C32+C33)*7+(C38+C39+C40)*5</f>
        <v>330</v>
      </c>
      <c r="H46" s="145"/>
      <c r="I46" s="145"/>
      <c r="J46" s="145"/>
      <c r="K46" s="145"/>
      <c r="L46" s="151"/>
    </row>
    <row r="47" ht="12.0" customHeight="1">
      <c r="A47" s="152"/>
      <c r="B47" s="160" t="s">
        <v>272</v>
      </c>
      <c r="G47" s="146">
        <f>(C31+C32+C33)*35+(C38+C39+C40)*15</f>
        <v>295</v>
      </c>
      <c r="H47" s="145"/>
      <c r="I47" s="145"/>
      <c r="J47" s="145"/>
      <c r="K47" s="145"/>
      <c r="L47" s="151"/>
    </row>
    <row r="48" ht="12.0" customHeight="1">
      <c r="A48" s="152"/>
      <c r="B48" s="145"/>
      <c r="C48" s="145"/>
      <c r="D48" s="145"/>
      <c r="E48" s="145"/>
      <c r="F48" s="145"/>
      <c r="G48" s="145"/>
      <c r="H48" s="145"/>
      <c r="I48" s="145"/>
      <c r="J48" s="145"/>
      <c r="K48" s="145"/>
      <c r="L48" s="151"/>
    </row>
    <row r="49" ht="12.0" customHeight="1">
      <c r="A49" s="152"/>
      <c r="B49" s="145"/>
      <c r="C49" s="145"/>
      <c r="D49" s="145"/>
      <c r="E49" s="145"/>
      <c r="F49" s="145"/>
      <c r="G49" s="145"/>
      <c r="H49" s="145"/>
      <c r="I49" s="145"/>
      <c r="J49" s="145"/>
      <c r="K49" s="145"/>
      <c r="L49" s="151"/>
    </row>
    <row r="50" ht="12.0" customHeight="1">
      <c r="A50" s="152"/>
      <c r="B50" s="145"/>
      <c r="C50" s="145"/>
      <c r="D50" s="145"/>
      <c r="E50" s="145"/>
      <c r="F50" s="145"/>
      <c r="G50" s="145"/>
      <c r="H50" s="145"/>
      <c r="I50" s="145"/>
      <c r="J50" s="145"/>
      <c r="K50" s="145"/>
      <c r="L50" s="151"/>
    </row>
    <row r="51" ht="12.0" customHeight="1">
      <c r="A51" s="152"/>
      <c r="B51" s="145"/>
      <c r="C51" s="145"/>
      <c r="D51" s="145"/>
      <c r="E51" s="145"/>
      <c r="F51" s="145"/>
      <c r="G51" s="145"/>
      <c r="H51" s="145"/>
      <c r="I51" s="145"/>
      <c r="J51" s="145"/>
      <c r="K51" s="145"/>
      <c r="L51" s="151"/>
    </row>
    <row r="52" ht="12.0" customHeight="1">
      <c r="A52" s="161"/>
      <c r="B52" s="162"/>
      <c r="C52" s="162"/>
      <c r="D52" s="162"/>
      <c r="E52" s="162"/>
      <c r="F52" s="162"/>
      <c r="G52" s="162"/>
      <c r="H52" s="162"/>
      <c r="I52" s="162"/>
      <c r="J52" s="162"/>
      <c r="K52" s="162"/>
      <c r="L52" s="163"/>
    </row>
    <row r="53" ht="12.0" customHeight="1"/>
    <row r="54" ht="12.0" customHeight="1"/>
    <row r="55" ht="12.0" customHeight="1"/>
    <row r="56" ht="12.0" customHeight="1"/>
    <row r="57" ht="12.0" customHeight="1"/>
    <row r="58" ht="12.0" customHeight="1"/>
    <row r="59" ht="12.0" customHeight="1"/>
    <row r="60" ht="12.0" customHeight="1"/>
    <row r="61" ht="12.0" customHeight="1"/>
    <row r="62" ht="12.0" customHeight="1"/>
    <row r="63" ht="12.0" customHeight="1"/>
    <row r="64" ht="12.0" customHeight="1"/>
    <row r="65" ht="12.0" customHeight="1"/>
    <row r="66" ht="12.0" customHeight="1"/>
    <row r="67" ht="12.0" customHeight="1"/>
    <row r="68" ht="12.0" customHeight="1"/>
    <row r="69" ht="12.0" customHeight="1"/>
    <row r="70" ht="12.0" customHeight="1"/>
    <row r="71" ht="12.0" customHeight="1"/>
    <row r="72" ht="12.0" customHeight="1"/>
    <row r="73" ht="12.0" customHeight="1"/>
    <row r="74" ht="12.0" customHeight="1"/>
    <row r="75" ht="12.0" customHeight="1"/>
    <row r="76" ht="12.0" customHeight="1"/>
    <row r="77" ht="12.0" customHeight="1"/>
    <row r="78" ht="12.0" customHeight="1"/>
    <row r="79" ht="12.0" customHeight="1"/>
    <row r="80" ht="12.0" customHeight="1"/>
    <row r="81" ht="12.0" customHeight="1"/>
    <row r="82" ht="12.0" customHeight="1"/>
    <row r="83" ht="12.0" customHeight="1"/>
    <row r="84" ht="12.0" customHeight="1"/>
    <row r="85" ht="12.0" customHeight="1"/>
    <row r="86" ht="12.0" customHeight="1"/>
    <row r="87" ht="12.0" customHeight="1"/>
    <row r="88" ht="12.0" customHeight="1"/>
    <row r="89" ht="12.0" customHeight="1"/>
    <row r="90" ht="12.0" customHeight="1"/>
    <row r="91" ht="12.0" customHeight="1"/>
    <row r="92" ht="12.0" customHeight="1"/>
    <row r="93" ht="12.0" customHeight="1"/>
    <row r="94" ht="12.0" customHeight="1"/>
    <row r="95" ht="12.0" customHeight="1"/>
    <row r="96" ht="12.0" customHeight="1"/>
    <row r="97" ht="12.0" customHeight="1"/>
    <row r="98" ht="12.0" customHeight="1"/>
    <row r="99" ht="12.0" customHeight="1"/>
    <row r="100" ht="12.0" customHeight="1"/>
    <row r="101" ht="12.0" customHeight="1"/>
    <row r="102" ht="12.0" customHeight="1"/>
    <row r="103" ht="12.0" customHeight="1"/>
    <row r="104" ht="12.0" customHeight="1"/>
    <row r="105" ht="12.0" customHeight="1"/>
    <row r="106" ht="12.0" customHeight="1"/>
    <row r="107" ht="12.0" customHeight="1"/>
    <row r="108" ht="12.0" customHeight="1"/>
    <row r="109" ht="12.0" customHeight="1"/>
    <row r="110" ht="12.0" customHeight="1"/>
    <row r="111" ht="12.0" customHeight="1"/>
    <row r="112" ht="12.0" customHeight="1"/>
    <row r="113" ht="12.0" customHeight="1"/>
    <row r="114" ht="12.0" customHeight="1"/>
    <row r="115" ht="12.0" customHeight="1"/>
    <row r="116" ht="12.0" customHeight="1"/>
    <row r="117" ht="12.0" customHeight="1"/>
    <row r="118" ht="12.0" customHeight="1"/>
    <row r="119" ht="12.0" customHeight="1"/>
    <row r="120" ht="12.0" customHeight="1"/>
    <row r="121" ht="12.0" customHeight="1"/>
    <row r="122" ht="12.0" customHeight="1"/>
    <row r="123" ht="12.0" customHeight="1"/>
    <row r="124" ht="12.0" customHeight="1"/>
    <row r="125" ht="12.0" customHeight="1"/>
    <row r="126" ht="12.0" customHeight="1"/>
    <row r="127" ht="12.0" customHeight="1"/>
    <row r="128" ht="12.0" customHeight="1"/>
    <row r="129" ht="12.0" customHeight="1"/>
    <row r="130" ht="12.0" customHeight="1"/>
    <row r="131" ht="12.0" customHeight="1"/>
    <row r="132" ht="12.0" customHeight="1"/>
    <row r="133" ht="12.0" customHeight="1"/>
    <row r="134" ht="12.0" customHeight="1"/>
    <row r="135" ht="12.0" customHeight="1"/>
    <row r="136" ht="12.0" customHeight="1"/>
    <row r="137" ht="12.0" customHeight="1"/>
    <row r="138" ht="12.0" customHeight="1"/>
    <row r="139" ht="12.0" customHeight="1"/>
    <row r="140" ht="12.0" customHeight="1"/>
    <row r="141" ht="12.0" customHeight="1"/>
    <row r="142" ht="12.0" customHeight="1"/>
    <row r="143" ht="12.0" customHeight="1"/>
    <row r="144" ht="12.0" customHeight="1"/>
    <row r="145" ht="12.0" customHeight="1"/>
    <row r="146" ht="12.0" customHeight="1"/>
    <row r="147" ht="12.0" customHeight="1"/>
    <row r="148" ht="12.0" customHeight="1"/>
    <row r="149" ht="12.0" customHeight="1"/>
    <row r="150" ht="12.0" customHeight="1"/>
    <row r="151" ht="12.0" customHeight="1"/>
    <row r="152" ht="12.0" customHeight="1"/>
    <row r="153" ht="12.0" customHeight="1"/>
    <row r="154" ht="12.0" customHeight="1"/>
    <row r="155" ht="12.0" customHeight="1"/>
    <row r="156" ht="12.0" customHeight="1"/>
    <row r="157" ht="12.0" customHeight="1"/>
    <row r="158" ht="12.0" customHeight="1"/>
    <row r="159" ht="12.0" customHeight="1"/>
    <row r="160" ht="12.0" customHeight="1"/>
    <row r="161" ht="12.0" customHeight="1"/>
    <row r="162" ht="12.0" customHeight="1"/>
    <row r="163" ht="12.0" customHeight="1"/>
    <row r="164" ht="12.0" customHeight="1"/>
    <row r="165" ht="12.0" customHeight="1"/>
    <row r="166" ht="12.0" customHeight="1"/>
    <row r="167" ht="12.0" customHeight="1"/>
    <row r="168" ht="12.0" customHeight="1"/>
    <row r="169" ht="12.0" customHeight="1"/>
    <row r="170" ht="12.0" customHeight="1"/>
    <row r="171" ht="12.0" customHeight="1"/>
    <row r="172" ht="12.0" customHeight="1"/>
    <row r="173" ht="12.0" customHeight="1"/>
    <row r="174" ht="12.0" customHeight="1"/>
    <row r="175" ht="12.0" customHeight="1"/>
    <row r="176" ht="12.0" customHeight="1"/>
    <row r="177" ht="12.0" customHeight="1"/>
    <row r="178" ht="12.0" customHeight="1"/>
    <row r="179" ht="12.0" customHeight="1"/>
    <row r="180" ht="12.0" customHeight="1"/>
    <row r="181" ht="12.0" customHeight="1"/>
    <row r="182" ht="12.0" customHeight="1"/>
    <row r="183" ht="12.0" customHeight="1"/>
    <row r="184" ht="12.0" customHeight="1"/>
    <row r="185" ht="12.0" customHeight="1"/>
    <row r="186" ht="12.0" customHeight="1"/>
    <row r="187" ht="12.0" customHeight="1"/>
    <row r="188" ht="12.0" customHeight="1"/>
    <row r="189" ht="12.0" customHeight="1"/>
    <row r="190" ht="12.0" customHeight="1"/>
    <row r="191" ht="12.0" customHeight="1"/>
    <row r="192" ht="12.0" customHeight="1"/>
    <row r="193" ht="12.0" customHeight="1"/>
    <row r="194" ht="12.0" customHeight="1"/>
    <row r="195" ht="12.0" customHeight="1"/>
    <row r="196" ht="12.0" customHeight="1"/>
    <row r="197" ht="12.0" customHeight="1"/>
    <row r="198" ht="12.0" customHeight="1"/>
    <row r="199" ht="12.0" customHeight="1"/>
    <row r="200" ht="12.0" customHeight="1"/>
    <row r="201" ht="12.0" customHeight="1"/>
    <row r="202" ht="12.0" customHeight="1"/>
    <row r="203" ht="12.0" customHeight="1"/>
    <row r="204" ht="12.0" customHeight="1"/>
    <row r="205" ht="12.0" customHeight="1"/>
    <row r="206" ht="12.0" customHeight="1"/>
    <row r="207" ht="12.0" customHeight="1"/>
    <row r="208" ht="12.0" customHeight="1"/>
    <row r="209" ht="12.0" customHeight="1"/>
    <row r="210" ht="12.0" customHeight="1"/>
    <row r="211" ht="12.0" customHeight="1"/>
    <row r="212" ht="12.0" customHeight="1"/>
    <row r="213" ht="12.0" customHeight="1"/>
    <row r="214" ht="12.0" customHeight="1"/>
    <row r="215" ht="12.0" customHeight="1"/>
    <row r="216" ht="12.0" customHeight="1"/>
    <row r="217" ht="12.0" customHeight="1"/>
    <row r="218" ht="12.0" customHeight="1"/>
    <row r="219" ht="12.0" customHeight="1"/>
    <row r="220" ht="12.0" customHeight="1"/>
    <row r="221" ht="12.0" customHeight="1"/>
    <row r="222" ht="12.0" customHeight="1"/>
    <row r="223" ht="12.0" customHeight="1"/>
    <row r="224" ht="12.0" customHeight="1"/>
    <row r="225" ht="12.0" customHeight="1"/>
    <row r="226" ht="12.0" customHeight="1"/>
    <row r="227" ht="12.0" customHeight="1"/>
    <row r="228" ht="12.0" customHeight="1"/>
    <row r="229" ht="12.0" customHeight="1"/>
    <row r="230" ht="12.0" customHeight="1"/>
    <row r="231" ht="12.0" customHeight="1"/>
    <row r="232" ht="12.0" customHeight="1"/>
    <row r="233" ht="12.0" customHeight="1"/>
    <row r="234" ht="12.0" customHeight="1"/>
    <row r="235" ht="12.0" customHeight="1"/>
    <row r="236" ht="12.0" customHeight="1"/>
    <row r="237" ht="12.0" customHeight="1"/>
    <row r="238" ht="12.0" customHeight="1"/>
    <row r="239" ht="12.0" customHeight="1"/>
    <row r="240" ht="12.0" customHeight="1"/>
    <row r="241" ht="12.0" customHeight="1"/>
    <row r="242" ht="12.0" customHeight="1"/>
    <row r="243" ht="12.0" customHeight="1"/>
    <row r="244" ht="12.0" customHeight="1"/>
    <row r="245" ht="12.0" customHeight="1"/>
    <row r="246" ht="12.0" customHeight="1"/>
    <row r="247" ht="12.0" customHeight="1"/>
    <row r="248" ht="12.0" customHeight="1"/>
    <row r="249" ht="12.0" customHeight="1"/>
    <row r="250" ht="12.0" customHeight="1"/>
    <row r="251" ht="12.0" customHeight="1"/>
    <row r="252" ht="12.0" customHeight="1"/>
    <row r="253" ht="12.0" customHeight="1"/>
    <row r="254" ht="12.0" customHeight="1"/>
    <row r="255" ht="12.0" customHeight="1"/>
    <row r="256" ht="12.0" customHeight="1"/>
    <row r="257" ht="12.0" customHeight="1"/>
    <row r="258" ht="12.0" customHeight="1"/>
    <row r="259" ht="12.0" customHeight="1"/>
    <row r="260" ht="12.0" customHeight="1"/>
    <row r="261" ht="12.0" customHeight="1"/>
    <row r="262" ht="12.0" customHeight="1"/>
    <row r="263" ht="12.0" customHeight="1"/>
    <row r="264" ht="12.0" customHeight="1"/>
    <row r="265" ht="12.0" customHeight="1"/>
    <row r="266" ht="12.0" customHeight="1"/>
    <row r="267" ht="12.0" customHeight="1"/>
    <row r="268" ht="12.0" customHeight="1"/>
    <row r="269" ht="12.0" customHeight="1"/>
    <row r="270" ht="12.0" customHeight="1"/>
    <row r="271" ht="12.0" customHeight="1"/>
    <row r="272" ht="12.0" customHeight="1"/>
    <row r="273" ht="12.0" customHeight="1"/>
    <row r="274" ht="12.0" customHeight="1"/>
    <row r="275" ht="12.0" customHeight="1"/>
    <row r="276" ht="12.0" customHeight="1"/>
    <row r="277" ht="12.0" customHeight="1"/>
    <row r="278" ht="12.0" customHeight="1"/>
    <row r="279" ht="12.0" customHeight="1"/>
    <row r="280" ht="12.0" customHeight="1"/>
    <row r="281" ht="12.0" customHeight="1"/>
    <row r="282" ht="12.0" customHeight="1"/>
    <row r="283" ht="12.0" customHeight="1"/>
    <row r="284" ht="12.0" customHeight="1"/>
    <row r="285" ht="12.0" customHeight="1"/>
    <row r="286" ht="12.0" customHeight="1"/>
    <row r="287" ht="12.0" customHeight="1"/>
    <row r="288" ht="12.0" customHeight="1"/>
    <row r="289" ht="12.0" customHeight="1"/>
    <row r="290" ht="12.0" customHeight="1"/>
    <row r="291" ht="12.0" customHeight="1"/>
    <row r="292" ht="12.0" customHeight="1"/>
    <row r="293" ht="12.0" customHeight="1"/>
    <row r="294" ht="12.0" customHeight="1"/>
    <row r="295" ht="12.0" customHeight="1"/>
    <row r="296" ht="12.0" customHeight="1"/>
    <row r="297" ht="12.0" customHeight="1"/>
    <row r="298" ht="12.0" customHeight="1"/>
    <row r="299" ht="12.0" customHeight="1"/>
    <row r="300" ht="12.0" customHeight="1"/>
    <row r="301" ht="12.0" customHeight="1"/>
    <row r="302" ht="12.0" customHeight="1"/>
    <row r="303" ht="12.0" customHeight="1"/>
    <row r="304" ht="12.0" customHeight="1"/>
    <row r="305" ht="12.0" customHeight="1"/>
    <row r="306" ht="12.0" customHeight="1"/>
    <row r="307" ht="12.0" customHeight="1"/>
    <row r="308" ht="12.0" customHeight="1"/>
    <row r="309" ht="12.0" customHeight="1"/>
    <row r="310" ht="12.0" customHeight="1"/>
    <row r="311" ht="12.0" customHeight="1"/>
    <row r="312" ht="12.0" customHeight="1"/>
    <row r="313" ht="12.0" customHeight="1"/>
    <row r="314" ht="12.0" customHeight="1"/>
    <row r="315" ht="12.0" customHeight="1"/>
    <row r="316" ht="12.0" customHeight="1"/>
    <row r="317" ht="12.0" customHeight="1"/>
    <row r="318" ht="12.0" customHeight="1"/>
    <row r="319" ht="12.0" customHeight="1"/>
    <row r="320" ht="12.0" customHeight="1"/>
    <row r="321" ht="12.0" customHeight="1"/>
    <row r="322" ht="12.0" customHeight="1"/>
    <row r="323" ht="12.0" customHeight="1"/>
    <row r="324" ht="12.0" customHeight="1"/>
    <row r="325" ht="12.0" customHeight="1"/>
    <row r="326" ht="12.0" customHeight="1"/>
    <row r="327" ht="12.0" customHeight="1"/>
    <row r="328" ht="12.0" customHeight="1"/>
    <row r="329" ht="12.0" customHeight="1"/>
    <row r="330" ht="12.0" customHeight="1"/>
    <row r="331" ht="12.0" customHeight="1"/>
    <row r="332" ht="12.0" customHeight="1"/>
    <row r="333" ht="12.0" customHeight="1"/>
    <row r="334" ht="12.0" customHeight="1"/>
    <row r="335" ht="12.0" customHeight="1"/>
    <row r="336" ht="12.0" customHeight="1"/>
    <row r="337" ht="12.0" customHeight="1"/>
    <row r="338" ht="12.0" customHeight="1"/>
    <row r="339" ht="12.0" customHeight="1"/>
    <row r="340" ht="12.0" customHeight="1"/>
    <row r="341" ht="12.0" customHeight="1"/>
    <row r="342" ht="12.0" customHeight="1"/>
    <row r="343" ht="12.0" customHeight="1"/>
    <row r="344" ht="12.0" customHeight="1"/>
    <row r="345" ht="12.0" customHeight="1"/>
    <row r="346" ht="12.0" customHeight="1"/>
    <row r="347" ht="12.0" customHeight="1"/>
    <row r="348" ht="12.0" customHeight="1"/>
    <row r="349" ht="12.0" customHeight="1"/>
    <row r="350" ht="12.0" customHeight="1"/>
    <row r="351" ht="12.0" customHeight="1"/>
    <row r="352" ht="12.0" customHeight="1"/>
    <row r="353" ht="12.0" customHeight="1"/>
    <row r="354" ht="12.0" customHeight="1"/>
    <row r="355" ht="12.0" customHeight="1"/>
    <row r="356" ht="12.0" customHeight="1"/>
    <row r="357" ht="12.0" customHeight="1"/>
    <row r="358" ht="12.0" customHeight="1"/>
    <row r="359" ht="12.0" customHeight="1"/>
    <row r="360" ht="12.0" customHeight="1"/>
    <row r="361" ht="12.0" customHeight="1"/>
    <row r="362" ht="12.0" customHeight="1"/>
    <row r="363" ht="12.0" customHeight="1"/>
    <row r="364" ht="12.0" customHeight="1"/>
    <row r="365" ht="12.0" customHeight="1"/>
    <row r="366" ht="12.0" customHeight="1"/>
    <row r="367" ht="12.0" customHeight="1"/>
    <row r="368" ht="12.0" customHeight="1"/>
    <row r="369" ht="12.0" customHeight="1"/>
    <row r="370" ht="12.0" customHeight="1"/>
    <row r="371" ht="12.0" customHeight="1"/>
    <row r="372" ht="12.0" customHeight="1"/>
    <row r="373" ht="12.0" customHeight="1"/>
    <row r="374" ht="12.0" customHeight="1"/>
    <row r="375" ht="12.0" customHeight="1"/>
    <row r="376" ht="12.0" customHeight="1"/>
    <row r="377" ht="12.0" customHeight="1"/>
    <row r="378" ht="12.0" customHeight="1"/>
    <row r="379" ht="12.0" customHeight="1"/>
    <row r="380" ht="12.0" customHeight="1"/>
    <row r="381" ht="12.0" customHeight="1"/>
    <row r="382" ht="12.0" customHeight="1"/>
    <row r="383" ht="12.0" customHeight="1"/>
    <row r="384" ht="12.0" customHeight="1"/>
    <row r="385" ht="12.0" customHeight="1"/>
    <row r="386" ht="12.0" customHeight="1"/>
    <row r="387" ht="12.0" customHeight="1"/>
    <row r="388" ht="12.0" customHeight="1"/>
    <row r="389" ht="12.0" customHeight="1"/>
    <row r="390" ht="12.0" customHeight="1"/>
    <row r="391" ht="12.0" customHeight="1"/>
    <row r="392" ht="12.0" customHeight="1"/>
    <row r="393" ht="12.0" customHeight="1"/>
    <row r="394" ht="12.0" customHeight="1"/>
    <row r="395" ht="12.0" customHeight="1"/>
    <row r="396" ht="12.0" customHeight="1"/>
    <row r="397" ht="12.0" customHeight="1"/>
    <row r="398" ht="12.0" customHeight="1"/>
    <row r="399" ht="12.0" customHeight="1"/>
    <row r="400" ht="12.0" customHeight="1"/>
    <row r="401" ht="12.0" customHeight="1"/>
    <row r="402" ht="12.0" customHeight="1"/>
    <row r="403" ht="12.0" customHeight="1"/>
    <row r="404" ht="12.0" customHeight="1"/>
    <row r="405" ht="12.0" customHeight="1"/>
    <row r="406" ht="12.0" customHeight="1"/>
    <row r="407" ht="12.0" customHeight="1"/>
    <row r="408" ht="12.0" customHeight="1"/>
    <row r="409" ht="12.0" customHeight="1"/>
    <row r="410" ht="12.0" customHeight="1"/>
    <row r="411" ht="12.0" customHeight="1"/>
    <row r="412" ht="12.0" customHeight="1"/>
    <row r="413" ht="12.0" customHeight="1"/>
    <row r="414" ht="12.0" customHeight="1"/>
    <row r="415" ht="12.0" customHeight="1"/>
    <row r="416" ht="12.0" customHeight="1"/>
    <row r="417" ht="12.0" customHeight="1"/>
    <row r="418" ht="12.0" customHeight="1"/>
    <row r="419" ht="12.0" customHeight="1"/>
    <row r="420" ht="12.0" customHeight="1"/>
    <row r="421" ht="12.0" customHeight="1"/>
    <row r="422" ht="12.0" customHeight="1"/>
    <row r="423" ht="12.0" customHeight="1"/>
    <row r="424" ht="12.0" customHeight="1"/>
    <row r="425" ht="12.0" customHeight="1"/>
    <row r="426" ht="12.0" customHeight="1"/>
    <row r="427" ht="12.0" customHeight="1"/>
    <row r="428" ht="12.0" customHeight="1"/>
    <row r="429" ht="12.0" customHeight="1"/>
    <row r="430" ht="12.0" customHeight="1"/>
    <row r="431" ht="12.0" customHeight="1"/>
    <row r="432" ht="12.0" customHeight="1"/>
    <row r="433" ht="12.0" customHeight="1"/>
    <row r="434" ht="12.0" customHeight="1"/>
    <row r="435" ht="12.0" customHeight="1"/>
    <row r="436" ht="12.0" customHeight="1"/>
    <row r="437" ht="12.0" customHeight="1"/>
    <row r="438" ht="12.0" customHeight="1"/>
    <row r="439" ht="12.0" customHeight="1"/>
    <row r="440" ht="12.0" customHeight="1"/>
    <row r="441" ht="12.0" customHeight="1"/>
    <row r="442" ht="12.0" customHeight="1"/>
    <row r="443" ht="12.0" customHeight="1"/>
    <row r="444" ht="12.0" customHeight="1"/>
    <row r="445" ht="12.0" customHeight="1"/>
    <row r="446" ht="12.0" customHeight="1"/>
    <row r="447" ht="12.0" customHeight="1"/>
    <row r="448" ht="12.0" customHeight="1"/>
    <row r="449" ht="12.0" customHeight="1"/>
    <row r="450" ht="12.0" customHeight="1"/>
    <row r="451" ht="12.0" customHeight="1"/>
    <row r="452" ht="12.0" customHeight="1"/>
    <row r="453" ht="12.0" customHeight="1"/>
    <row r="454" ht="12.0" customHeight="1"/>
    <row r="455" ht="12.0" customHeight="1"/>
    <row r="456" ht="12.0" customHeight="1"/>
    <row r="457" ht="12.0" customHeight="1"/>
    <row r="458" ht="12.0" customHeight="1"/>
    <row r="459" ht="12.0" customHeight="1"/>
    <row r="460" ht="12.0" customHeight="1"/>
    <row r="461" ht="12.0" customHeight="1"/>
    <row r="462" ht="12.0" customHeight="1"/>
    <row r="463" ht="12.0" customHeight="1"/>
    <row r="464" ht="12.0" customHeight="1"/>
    <row r="465" ht="12.0" customHeight="1"/>
    <row r="466" ht="12.0" customHeight="1"/>
    <row r="467" ht="12.0" customHeight="1"/>
    <row r="468" ht="12.0" customHeight="1"/>
    <row r="469" ht="12.0" customHeight="1"/>
    <row r="470" ht="12.0" customHeight="1"/>
    <row r="471" ht="12.0" customHeight="1"/>
    <row r="472" ht="12.0" customHeight="1"/>
    <row r="473" ht="12.0" customHeight="1"/>
    <row r="474" ht="12.0" customHeight="1"/>
    <row r="475" ht="12.0" customHeight="1"/>
    <row r="476" ht="12.0" customHeight="1"/>
    <row r="477" ht="12.0" customHeight="1"/>
    <row r="478" ht="12.0" customHeight="1"/>
    <row r="479" ht="12.0" customHeight="1"/>
    <row r="480" ht="12.0" customHeight="1"/>
    <row r="481" ht="12.0" customHeight="1"/>
    <row r="482" ht="12.0" customHeight="1"/>
    <row r="483" ht="12.0" customHeight="1"/>
    <row r="484" ht="12.0" customHeight="1"/>
    <row r="485" ht="12.0" customHeight="1"/>
    <row r="486" ht="12.0" customHeight="1"/>
    <row r="487" ht="12.0" customHeight="1"/>
    <row r="488" ht="12.0" customHeight="1"/>
    <row r="489" ht="12.0" customHeight="1"/>
    <row r="490" ht="12.0" customHeight="1"/>
    <row r="491" ht="12.0" customHeight="1"/>
    <row r="492" ht="12.0" customHeight="1"/>
    <row r="493" ht="12.0" customHeight="1"/>
    <row r="494" ht="12.0" customHeight="1"/>
    <row r="495" ht="12.0" customHeight="1"/>
    <row r="496" ht="12.0" customHeight="1"/>
    <row r="497" ht="12.0" customHeight="1"/>
    <row r="498" ht="12.0" customHeight="1"/>
    <row r="499" ht="12.0" customHeight="1"/>
    <row r="500" ht="12.0" customHeight="1"/>
    <row r="501" ht="12.0" customHeight="1"/>
    <row r="502" ht="12.0" customHeight="1"/>
    <row r="503" ht="12.0" customHeight="1"/>
    <row r="504" ht="12.0" customHeight="1"/>
    <row r="505" ht="12.0" customHeight="1"/>
    <row r="506" ht="12.0" customHeight="1"/>
    <row r="507" ht="12.0" customHeight="1"/>
    <row r="508" ht="12.0" customHeight="1"/>
    <row r="509" ht="12.0" customHeight="1"/>
    <row r="510" ht="12.0" customHeight="1"/>
    <row r="511" ht="12.0" customHeight="1"/>
    <row r="512" ht="12.0" customHeight="1"/>
    <row r="513" ht="12.0" customHeight="1"/>
    <row r="514" ht="12.0" customHeight="1"/>
    <row r="515" ht="12.0" customHeight="1"/>
    <row r="516" ht="12.0" customHeight="1"/>
    <row r="517" ht="12.0" customHeight="1"/>
    <row r="518" ht="12.0" customHeight="1"/>
    <row r="519" ht="12.0" customHeight="1"/>
    <row r="520" ht="12.0" customHeight="1"/>
    <row r="521" ht="12.0" customHeight="1"/>
    <row r="522" ht="12.0" customHeight="1"/>
    <row r="523" ht="12.0" customHeight="1"/>
    <row r="524" ht="12.0" customHeight="1"/>
    <row r="525" ht="12.0" customHeight="1"/>
    <row r="526" ht="12.0" customHeight="1"/>
    <row r="527" ht="12.0" customHeight="1"/>
    <row r="528" ht="12.0" customHeight="1"/>
    <row r="529" ht="12.0" customHeight="1"/>
    <row r="530" ht="12.0" customHeight="1"/>
    <row r="531" ht="12.0" customHeight="1"/>
    <row r="532" ht="12.0" customHeight="1"/>
    <row r="533" ht="12.0" customHeight="1"/>
    <row r="534" ht="12.0" customHeight="1"/>
    <row r="535" ht="12.0" customHeight="1"/>
    <row r="536" ht="12.0" customHeight="1"/>
    <row r="537" ht="12.0" customHeight="1"/>
    <row r="538" ht="12.0" customHeight="1"/>
    <row r="539" ht="12.0" customHeight="1"/>
    <row r="540" ht="12.0" customHeight="1"/>
    <row r="541" ht="12.0" customHeight="1"/>
    <row r="542" ht="12.0" customHeight="1"/>
    <row r="543" ht="12.0" customHeight="1"/>
    <row r="544" ht="12.0" customHeight="1"/>
    <row r="545" ht="12.0" customHeight="1"/>
    <row r="546" ht="12.0" customHeight="1"/>
    <row r="547" ht="12.0" customHeight="1"/>
    <row r="548" ht="12.0" customHeight="1"/>
    <row r="549" ht="12.0" customHeight="1"/>
    <row r="550" ht="12.0" customHeight="1"/>
    <row r="551" ht="12.0" customHeight="1"/>
    <row r="552" ht="12.0" customHeight="1"/>
    <row r="553" ht="12.0" customHeight="1"/>
    <row r="554" ht="12.0" customHeight="1"/>
    <row r="555" ht="12.0" customHeight="1"/>
    <row r="556" ht="12.0" customHeight="1"/>
    <row r="557" ht="12.0" customHeight="1"/>
    <row r="558" ht="12.0" customHeight="1"/>
    <row r="559" ht="12.0" customHeight="1"/>
    <row r="560" ht="12.0" customHeight="1"/>
    <row r="561" ht="12.0" customHeight="1"/>
    <row r="562" ht="12.0" customHeight="1"/>
    <row r="563" ht="12.0" customHeight="1"/>
    <row r="564" ht="12.0" customHeight="1"/>
    <row r="565" ht="12.0" customHeight="1"/>
    <row r="566" ht="12.0" customHeight="1"/>
    <row r="567" ht="12.0" customHeight="1"/>
    <row r="568" ht="12.0" customHeight="1"/>
    <row r="569" ht="12.0" customHeight="1"/>
    <row r="570" ht="12.0" customHeight="1"/>
    <row r="571" ht="12.0" customHeight="1"/>
    <row r="572" ht="12.0" customHeight="1"/>
    <row r="573" ht="12.0" customHeight="1"/>
    <row r="574" ht="12.0" customHeight="1"/>
    <row r="575" ht="12.0" customHeight="1"/>
    <row r="576" ht="12.0" customHeight="1"/>
    <row r="577" ht="12.0" customHeight="1"/>
    <row r="578" ht="12.0" customHeight="1"/>
    <row r="579" ht="12.0" customHeight="1"/>
    <row r="580" ht="12.0" customHeight="1"/>
    <row r="581" ht="12.0" customHeight="1"/>
    <row r="582" ht="12.0" customHeight="1"/>
    <row r="583" ht="12.0" customHeight="1"/>
    <row r="584" ht="12.0" customHeight="1"/>
    <row r="585" ht="12.0" customHeight="1"/>
    <row r="586" ht="12.0" customHeight="1"/>
    <row r="587" ht="12.0" customHeight="1"/>
    <row r="588" ht="12.0" customHeight="1"/>
    <row r="589" ht="12.0" customHeight="1"/>
    <row r="590" ht="12.0" customHeight="1"/>
    <row r="591" ht="12.0" customHeight="1"/>
    <row r="592" ht="12.0" customHeight="1"/>
    <row r="593" ht="12.0" customHeight="1"/>
    <row r="594" ht="12.0" customHeight="1"/>
    <row r="595" ht="12.0" customHeight="1"/>
    <row r="596" ht="12.0" customHeight="1"/>
    <row r="597" ht="12.0" customHeight="1"/>
    <row r="598" ht="12.0" customHeight="1"/>
    <row r="599" ht="12.0" customHeight="1"/>
    <row r="600" ht="12.0" customHeight="1"/>
    <row r="601" ht="12.0" customHeight="1"/>
    <row r="602" ht="12.0" customHeight="1"/>
    <row r="603" ht="12.0" customHeight="1"/>
    <row r="604" ht="12.0" customHeight="1"/>
    <row r="605" ht="12.0" customHeight="1"/>
    <row r="606" ht="12.0" customHeight="1"/>
    <row r="607" ht="12.0" customHeight="1"/>
    <row r="608" ht="12.0" customHeight="1"/>
    <row r="609" ht="12.0" customHeight="1"/>
    <row r="610" ht="12.0" customHeight="1"/>
    <row r="611" ht="12.0" customHeight="1"/>
    <row r="612" ht="12.0" customHeight="1"/>
    <row r="613" ht="12.0" customHeight="1"/>
    <row r="614" ht="12.0" customHeight="1"/>
    <row r="615" ht="12.0" customHeight="1"/>
    <row r="616" ht="12.0" customHeight="1"/>
    <row r="617" ht="12.0" customHeight="1"/>
    <row r="618" ht="12.0" customHeight="1"/>
    <row r="619" ht="12.0" customHeight="1"/>
    <row r="620" ht="12.0" customHeight="1"/>
    <row r="621" ht="12.0" customHeight="1"/>
    <row r="622" ht="12.0" customHeight="1"/>
    <row r="623" ht="12.0" customHeight="1"/>
    <row r="624" ht="12.0" customHeight="1"/>
    <row r="625" ht="12.0" customHeight="1"/>
    <row r="626" ht="12.0" customHeight="1"/>
    <row r="627" ht="12.0" customHeight="1"/>
    <row r="628" ht="12.0" customHeight="1"/>
    <row r="629" ht="12.0" customHeight="1"/>
    <row r="630" ht="12.0" customHeight="1"/>
    <row r="631" ht="12.0" customHeight="1"/>
    <row r="632" ht="12.0" customHeight="1"/>
    <row r="633" ht="12.0" customHeight="1"/>
    <row r="634" ht="12.0" customHeight="1"/>
    <row r="635" ht="12.0" customHeight="1"/>
    <row r="636" ht="12.0" customHeight="1"/>
    <row r="637" ht="12.0" customHeight="1"/>
    <row r="638" ht="12.0" customHeight="1"/>
    <row r="639" ht="12.0" customHeight="1"/>
    <row r="640" ht="12.0" customHeight="1"/>
    <row r="641" ht="12.0" customHeight="1"/>
    <row r="642" ht="12.0" customHeight="1"/>
    <row r="643" ht="12.0" customHeight="1"/>
    <row r="644" ht="12.0" customHeight="1"/>
    <row r="645" ht="12.0" customHeight="1"/>
    <row r="646" ht="12.0" customHeight="1"/>
    <row r="647" ht="12.0" customHeight="1"/>
    <row r="648" ht="12.0" customHeight="1"/>
    <row r="649" ht="12.0" customHeight="1"/>
    <row r="650" ht="12.0" customHeight="1"/>
    <row r="651" ht="12.0" customHeight="1"/>
    <row r="652" ht="12.0" customHeight="1"/>
    <row r="653" ht="12.0" customHeight="1"/>
    <row r="654" ht="12.0" customHeight="1"/>
    <row r="655" ht="12.0" customHeight="1"/>
    <row r="656" ht="12.0" customHeight="1"/>
    <row r="657" ht="12.0" customHeight="1"/>
    <row r="658" ht="12.0" customHeight="1"/>
    <row r="659" ht="12.0" customHeight="1"/>
    <row r="660" ht="12.0" customHeight="1"/>
    <row r="661" ht="12.0" customHeight="1"/>
    <row r="662" ht="12.0" customHeight="1"/>
    <row r="663" ht="12.0" customHeight="1"/>
    <row r="664" ht="12.0" customHeight="1"/>
    <row r="665" ht="12.0" customHeight="1"/>
    <row r="666" ht="12.0" customHeight="1"/>
    <row r="667" ht="12.0" customHeight="1"/>
    <row r="668" ht="12.0" customHeight="1"/>
    <row r="669" ht="12.0" customHeight="1"/>
    <row r="670" ht="12.0" customHeight="1"/>
    <row r="671" ht="12.0" customHeight="1"/>
    <row r="672" ht="12.0" customHeight="1"/>
    <row r="673" ht="12.0" customHeight="1"/>
    <row r="674" ht="12.0" customHeight="1"/>
    <row r="675" ht="12.0" customHeight="1"/>
    <row r="676" ht="12.0" customHeight="1"/>
    <row r="677" ht="12.0" customHeight="1"/>
    <row r="678" ht="12.0" customHeight="1"/>
    <row r="679" ht="12.0" customHeight="1"/>
    <row r="680" ht="12.0" customHeight="1"/>
    <row r="681" ht="12.0" customHeight="1"/>
    <row r="682" ht="12.0" customHeight="1"/>
    <row r="683" ht="12.0" customHeight="1"/>
    <row r="684" ht="12.0" customHeight="1"/>
    <row r="685" ht="12.0" customHeight="1"/>
    <row r="686" ht="12.0" customHeight="1"/>
    <row r="687" ht="12.0" customHeight="1"/>
    <row r="688" ht="12.0" customHeight="1"/>
    <row r="689" ht="12.0" customHeight="1"/>
    <row r="690" ht="12.0" customHeight="1"/>
    <row r="691" ht="12.0" customHeight="1"/>
    <row r="692" ht="12.0" customHeight="1"/>
    <row r="693" ht="12.0" customHeight="1"/>
    <row r="694" ht="12.0" customHeight="1"/>
    <row r="695" ht="12.0" customHeight="1"/>
    <row r="696" ht="12.0" customHeight="1"/>
    <row r="697" ht="12.0" customHeight="1"/>
    <row r="698" ht="12.0" customHeight="1"/>
    <row r="699" ht="12.0" customHeight="1"/>
    <row r="700" ht="12.0" customHeight="1"/>
    <row r="701" ht="12.0" customHeight="1"/>
    <row r="702" ht="12.0" customHeight="1"/>
    <row r="703" ht="12.0" customHeight="1"/>
    <row r="704" ht="12.0" customHeight="1"/>
    <row r="705" ht="12.0" customHeight="1"/>
    <row r="706" ht="12.0" customHeight="1"/>
    <row r="707" ht="12.0" customHeight="1"/>
    <row r="708" ht="12.0" customHeight="1"/>
    <row r="709" ht="12.0" customHeight="1"/>
    <row r="710" ht="12.0" customHeight="1"/>
    <row r="711" ht="12.0" customHeight="1"/>
    <row r="712" ht="12.0" customHeight="1"/>
    <row r="713" ht="12.0" customHeight="1"/>
    <row r="714" ht="12.0" customHeight="1"/>
    <row r="715" ht="12.0" customHeight="1"/>
    <row r="716" ht="12.0" customHeight="1"/>
    <row r="717" ht="12.0" customHeight="1"/>
    <row r="718" ht="12.0" customHeight="1"/>
    <row r="719" ht="12.0" customHeight="1"/>
    <row r="720" ht="12.0" customHeight="1"/>
    <row r="721" ht="12.0" customHeight="1"/>
    <row r="722" ht="12.0" customHeight="1"/>
    <row r="723" ht="12.0" customHeight="1"/>
    <row r="724" ht="12.0" customHeight="1"/>
    <row r="725" ht="12.0" customHeight="1"/>
    <row r="726" ht="12.0" customHeight="1"/>
    <row r="727" ht="12.0" customHeight="1"/>
    <row r="728" ht="12.0" customHeight="1"/>
    <row r="729" ht="12.0" customHeight="1"/>
    <row r="730" ht="12.0" customHeight="1"/>
    <row r="731" ht="12.0" customHeight="1"/>
    <row r="732" ht="12.0" customHeight="1"/>
    <row r="733" ht="12.0" customHeight="1"/>
    <row r="734" ht="12.0" customHeight="1"/>
    <row r="735" ht="12.0" customHeight="1"/>
    <row r="736" ht="12.0" customHeight="1"/>
    <row r="737" ht="12.0" customHeight="1"/>
    <row r="738" ht="12.0" customHeight="1"/>
    <row r="739" ht="12.0" customHeight="1"/>
    <row r="740" ht="12.0" customHeight="1"/>
    <row r="741" ht="12.0" customHeight="1"/>
    <row r="742" ht="12.0" customHeight="1"/>
    <row r="743" ht="12.0" customHeight="1"/>
    <row r="744" ht="12.0" customHeight="1"/>
    <row r="745" ht="12.0" customHeight="1"/>
    <row r="746" ht="12.0" customHeight="1"/>
    <row r="747" ht="12.0" customHeight="1"/>
    <row r="748" ht="12.0" customHeight="1"/>
    <row r="749" ht="12.0" customHeight="1"/>
    <row r="750" ht="12.0" customHeight="1"/>
    <row r="751" ht="12.0" customHeight="1"/>
    <row r="752" ht="12.0" customHeight="1"/>
    <row r="753" ht="12.0" customHeight="1"/>
    <row r="754" ht="12.0" customHeight="1"/>
    <row r="755" ht="12.0" customHeight="1"/>
    <row r="756" ht="12.0" customHeight="1"/>
    <row r="757" ht="12.0" customHeight="1"/>
    <row r="758" ht="12.0" customHeight="1"/>
    <row r="759" ht="12.0" customHeight="1"/>
    <row r="760" ht="12.0" customHeight="1"/>
    <row r="761" ht="12.0" customHeight="1"/>
    <row r="762" ht="12.0" customHeight="1"/>
    <row r="763" ht="12.0" customHeight="1"/>
    <row r="764" ht="12.0" customHeight="1"/>
    <row r="765" ht="12.0" customHeight="1"/>
    <row r="766" ht="12.0" customHeight="1"/>
    <row r="767" ht="12.0" customHeight="1"/>
    <row r="768" ht="12.0" customHeight="1"/>
    <row r="769" ht="12.0" customHeight="1"/>
    <row r="770" ht="12.0" customHeight="1"/>
    <row r="771" ht="12.0" customHeight="1"/>
    <row r="772" ht="12.0" customHeight="1"/>
    <row r="773" ht="12.0" customHeight="1"/>
    <row r="774" ht="12.0" customHeight="1"/>
    <row r="775" ht="12.0" customHeight="1"/>
    <row r="776" ht="12.0" customHeight="1"/>
    <row r="777" ht="12.0" customHeight="1"/>
    <row r="778" ht="12.0" customHeight="1"/>
    <row r="779" ht="12.0" customHeight="1"/>
    <row r="780" ht="12.0" customHeight="1"/>
    <row r="781" ht="12.0" customHeight="1"/>
    <row r="782" ht="12.0" customHeight="1"/>
    <row r="783" ht="12.0" customHeight="1"/>
    <row r="784" ht="12.0" customHeight="1"/>
    <row r="785" ht="12.0" customHeight="1"/>
    <row r="786" ht="12.0" customHeight="1"/>
    <row r="787" ht="12.0" customHeight="1"/>
    <row r="788" ht="12.0" customHeight="1"/>
    <row r="789" ht="12.0" customHeight="1"/>
    <row r="790" ht="12.0" customHeight="1"/>
    <row r="791" ht="12.0" customHeight="1"/>
    <row r="792" ht="12.0" customHeight="1"/>
    <row r="793" ht="12.0" customHeight="1"/>
    <row r="794" ht="12.0" customHeight="1"/>
    <row r="795" ht="12.0" customHeight="1"/>
    <row r="796" ht="12.0" customHeight="1"/>
    <row r="797" ht="12.0" customHeight="1"/>
    <row r="798" ht="12.0" customHeight="1"/>
    <row r="799" ht="12.0" customHeight="1"/>
    <row r="800" ht="12.0" customHeight="1"/>
    <row r="801" ht="12.0" customHeight="1"/>
    <row r="802" ht="12.0" customHeight="1"/>
    <row r="803" ht="12.0" customHeight="1"/>
    <row r="804" ht="12.0" customHeight="1"/>
    <row r="805" ht="12.0" customHeight="1"/>
    <row r="806" ht="12.0" customHeight="1"/>
    <row r="807" ht="12.0" customHeight="1"/>
    <row r="808" ht="12.0" customHeight="1"/>
    <row r="809" ht="12.0" customHeight="1"/>
    <row r="810" ht="12.0" customHeight="1"/>
    <row r="811" ht="12.0" customHeight="1"/>
    <row r="812" ht="12.0" customHeight="1"/>
    <row r="813" ht="12.0" customHeight="1"/>
    <row r="814" ht="12.0" customHeight="1"/>
    <row r="815" ht="12.0" customHeight="1"/>
    <row r="816" ht="12.0" customHeight="1"/>
    <row r="817" ht="12.0" customHeight="1"/>
    <row r="818" ht="12.0" customHeight="1"/>
    <row r="819" ht="12.0" customHeight="1"/>
    <row r="820" ht="12.0" customHeight="1"/>
    <row r="821" ht="12.0" customHeight="1"/>
    <row r="822" ht="12.0" customHeight="1"/>
    <row r="823" ht="12.0" customHeight="1"/>
    <row r="824" ht="12.0" customHeight="1"/>
    <row r="825" ht="12.0" customHeight="1"/>
    <row r="826" ht="12.0" customHeight="1"/>
    <row r="827" ht="12.0" customHeight="1"/>
    <row r="828" ht="12.0" customHeight="1"/>
    <row r="829" ht="12.0" customHeight="1"/>
    <row r="830" ht="12.0" customHeight="1"/>
    <row r="831" ht="12.0" customHeight="1"/>
    <row r="832" ht="12.0" customHeight="1"/>
    <row r="833" ht="12.0" customHeight="1"/>
    <row r="834" ht="12.0" customHeight="1"/>
    <row r="835" ht="12.0" customHeight="1"/>
    <row r="836" ht="12.0" customHeight="1"/>
    <row r="837" ht="12.0" customHeight="1"/>
    <row r="838" ht="12.0" customHeight="1"/>
    <row r="839" ht="12.0" customHeight="1"/>
    <row r="840" ht="12.0" customHeight="1"/>
    <row r="841" ht="12.0" customHeight="1"/>
    <row r="842" ht="12.0" customHeight="1"/>
    <row r="843" ht="12.0" customHeight="1"/>
    <row r="844" ht="12.0" customHeight="1"/>
    <row r="845" ht="12.0" customHeight="1"/>
    <row r="846" ht="12.0" customHeight="1"/>
    <row r="847" ht="12.0" customHeight="1"/>
    <row r="848" ht="12.0" customHeight="1"/>
    <row r="849" ht="12.0" customHeight="1"/>
    <row r="850" ht="12.0" customHeight="1"/>
    <row r="851" ht="12.0" customHeight="1"/>
    <row r="852" ht="12.0" customHeight="1"/>
    <row r="853" ht="12.0" customHeight="1"/>
    <row r="854" ht="12.0" customHeight="1"/>
    <row r="855" ht="12.0" customHeight="1"/>
    <row r="856" ht="12.0" customHeight="1"/>
    <row r="857" ht="12.0" customHeight="1"/>
    <row r="858" ht="12.0" customHeight="1"/>
    <row r="859" ht="12.0" customHeight="1"/>
    <row r="860" ht="12.0" customHeight="1"/>
    <row r="861" ht="12.0" customHeight="1"/>
    <row r="862" ht="12.0" customHeight="1"/>
    <row r="863" ht="12.0" customHeight="1"/>
    <row r="864" ht="12.0" customHeight="1"/>
    <row r="865" ht="12.0" customHeight="1"/>
    <row r="866" ht="12.0" customHeight="1"/>
    <row r="867" ht="12.0" customHeight="1"/>
    <row r="868" ht="12.0" customHeight="1"/>
    <row r="869" ht="12.0" customHeight="1"/>
    <row r="870" ht="12.0" customHeight="1"/>
    <row r="871" ht="12.0" customHeight="1"/>
    <row r="872" ht="12.0" customHeight="1"/>
    <row r="873" ht="12.0" customHeight="1"/>
    <row r="874" ht="12.0" customHeight="1"/>
    <row r="875" ht="12.0" customHeight="1"/>
    <row r="876" ht="12.0" customHeight="1"/>
    <row r="877" ht="12.0" customHeight="1"/>
    <row r="878" ht="12.0" customHeight="1"/>
    <row r="879" ht="12.0" customHeight="1"/>
    <row r="880" ht="12.0" customHeight="1"/>
    <row r="881" ht="12.0" customHeight="1"/>
    <row r="882" ht="12.0" customHeight="1"/>
    <row r="883" ht="12.0" customHeight="1"/>
    <row r="884" ht="12.0" customHeight="1"/>
    <row r="885" ht="12.0" customHeight="1"/>
    <row r="886" ht="12.0" customHeight="1"/>
    <row r="887" ht="12.0" customHeight="1"/>
    <row r="888" ht="12.0" customHeight="1"/>
    <row r="889" ht="12.0" customHeight="1"/>
    <row r="890" ht="12.0" customHeight="1"/>
    <row r="891" ht="12.0" customHeight="1"/>
    <row r="892" ht="12.0" customHeight="1"/>
    <row r="893" ht="12.0" customHeight="1"/>
    <row r="894" ht="12.0" customHeight="1"/>
    <row r="895" ht="12.0" customHeight="1"/>
    <row r="896" ht="12.0" customHeight="1"/>
    <row r="897" ht="12.0" customHeight="1"/>
    <row r="898" ht="12.0" customHeight="1"/>
    <row r="899" ht="12.0" customHeight="1"/>
    <row r="900" ht="12.0" customHeight="1"/>
    <row r="901" ht="12.0" customHeight="1"/>
    <row r="902" ht="12.0" customHeight="1"/>
    <row r="903" ht="12.0" customHeight="1"/>
    <row r="904" ht="12.0" customHeight="1"/>
    <row r="905" ht="12.0" customHeight="1"/>
    <row r="906" ht="12.0" customHeight="1"/>
    <row r="907" ht="12.0" customHeight="1"/>
    <row r="908" ht="12.0" customHeight="1"/>
    <row r="909" ht="12.0" customHeight="1"/>
    <row r="910" ht="12.0" customHeight="1"/>
    <row r="911" ht="12.0" customHeight="1"/>
    <row r="912" ht="12.0" customHeight="1"/>
    <row r="913" ht="12.0" customHeight="1"/>
    <row r="914" ht="12.0" customHeight="1"/>
    <row r="915" ht="12.0" customHeight="1"/>
    <row r="916" ht="12.0" customHeight="1"/>
    <row r="917" ht="12.0" customHeight="1"/>
    <row r="918" ht="12.0" customHeight="1"/>
    <row r="919" ht="12.0" customHeight="1"/>
    <row r="920" ht="12.0" customHeight="1"/>
    <row r="921" ht="12.0" customHeight="1"/>
    <row r="922" ht="12.0" customHeight="1"/>
    <row r="923" ht="12.0" customHeight="1"/>
    <row r="924" ht="12.0" customHeight="1"/>
    <row r="925" ht="12.0" customHeight="1"/>
    <row r="926" ht="12.0" customHeight="1"/>
    <row r="927" ht="12.0" customHeight="1"/>
    <row r="928" ht="12.0" customHeight="1"/>
    <row r="929" ht="12.0" customHeight="1"/>
    <row r="930" ht="12.0" customHeight="1"/>
    <row r="931" ht="12.0" customHeight="1"/>
    <row r="932" ht="12.0" customHeight="1"/>
    <row r="933" ht="12.0" customHeight="1"/>
    <row r="934" ht="12.0" customHeight="1"/>
    <row r="935" ht="12.0" customHeight="1"/>
    <row r="936" ht="12.0" customHeight="1"/>
    <row r="937" ht="12.0" customHeight="1"/>
    <row r="938" ht="12.0" customHeight="1"/>
    <row r="939" ht="12.0" customHeight="1"/>
    <row r="940" ht="12.0" customHeight="1"/>
    <row r="941" ht="12.0" customHeight="1"/>
    <row r="942" ht="12.0" customHeight="1"/>
    <row r="943" ht="12.0" customHeight="1"/>
    <row r="944" ht="12.0" customHeight="1"/>
    <row r="945" ht="12.0" customHeight="1"/>
    <row r="946" ht="12.0" customHeight="1"/>
    <row r="947" ht="12.0" customHeight="1"/>
    <row r="948" ht="12.0" customHeight="1"/>
    <row r="949" ht="12.0" customHeight="1"/>
    <row r="950" ht="12.0" customHeight="1"/>
    <row r="951" ht="12.0" customHeight="1"/>
    <row r="952" ht="12.0" customHeight="1"/>
    <row r="953" ht="12.0" customHeight="1"/>
    <row r="954" ht="12.0" customHeight="1"/>
    <row r="955" ht="12.0" customHeight="1"/>
    <row r="956" ht="12.0" customHeight="1"/>
    <row r="957" ht="12.0" customHeight="1"/>
    <row r="958" ht="12.0" customHeight="1"/>
    <row r="959" ht="12.0" customHeight="1"/>
    <row r="960" ht="12.0" customHeight="1"/>
    <row r="961" ht="12.0" customHeight="1"/>
    <row r="962" ht="12.0" customHeight="1"/>
    <row r="963" ht="12.0" customHeight="1"/>
    <row r="964" ht="12.0" customHeight="1"/>
    <row r="965" ht="12.0" customHeight="1"/>
    <row r="966" ht="12.0" customHeight="1"/>
    <row r="967" ht="12.0" customHeight="1"/>
    <row r="968" ht="12.0" customHeight="1"/>
    <row r="969" ht="12.0" customHeight="1"/>
    <row r="970" ht="12.0" customHeight="1"/>
    <row r="971" ht="12.0" customHeight="1"/>
    <row r="972" ht="12.0" customHeight="1"/>
    <row r="973" ht="12.0" customHeight="1"/>
    <row r="974" ht="12.0" customHeight="1"/>
    <row r="975" ht="12.0" customHeight="1"/>
    <row r="976" ht="12.0" customHeight="1"/>
    <row r="977" ht="12.0" customHeight="1"/>
    <row r="978" ht="12.0" customHeight="1"/>
    <row r="979" ht="12.0" customHeight="1"/>
    <row r="980" ht="12.0" customHeight="1"/>
    <row r="981" ht="12.0" customHeight="1"/>
    <row r="982" ht="12.0" customHeight="1"/>
    <row r="983" ht="12.0" customHeight="1"/>
    <row r="984" ht="12.0" customHeight="1"/>
    <row r="985" ht="12.0" customHeight="1"/>
    <row r="986" ht="12.0" customHeight="1"/>
    <row r="987" ht="12.0" customHeight="1"/>
    <row r="988" ht="12.0" customHeight="1"/>
    <row r="989" ht="12.0" customHeight="1"/>
    <row r="990" ht="12.0" customHeight="1"/>
    <row r="991" ht="12.0" customHeight="1"/>
    <row r="992" ht="12.0" customHeight="1"/>
    <row r="993" ht="12.0" customHeight="1"/>
    <row r="994" ht="12.0" customHeight="1"/>
    <row r="995" ht="12.0" customHeight="1"/>
    <row r="996" ht="12.0" customHeight="1"/>
    <row r="997" ht="12.0" customHeight="1"/>
    <row r="998" ht="12.0" customHeight="1"/>
    <row r="999" ht="12.0" customHeight="1"/>
    <row r="1000" ht="12.0" customHeight="1"/>
  </sheetData>
  <mergeCells count="16">
    <mergeCell ref="A1:L3"/>
    <mergeCell ref="A4:E4"/>
    <mergeCell ref="F4:L4"/>
    <mergeCell ref="A5:E5"/>
    <mergeCell ref="F5:L5"/>
    <mergeCell ref="A6:E6"/>
    <mergeCell ref="F6:L6"/>
    <mergeCell ref="B46:F46"/>
    <mergeCell ref="B47:F47"/>
    <mergeCell ref="A7:B8"/>
    <mergeCell ref="C7:F8"/>
    <mergeCell ref="G7:G8"/>
    <mergeCell ref="H7:H8"/>
    <mergeCell ref="J7:K8"/>
    <mergeCell ref="L7:L8"/>
    <mergeCell ref="B45:F45"/>
  </mergeCells>
  <printOptions/>
  <pageMargins bottom="0.7875" footer="0.0" header="0.0" left="0.5118055555555555" right="0.5118055555555555" top="0.7875"/>
  <pageSetup paperSize="9" orientation="portrait"/>
  <headerFooter>
    <oddFooter>&amp;CPágina &amp;P de </oddFooter>
  </headerFooter>
  <drawing r:id="rId2"/>
  <legacyDrawing r:id="rId3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ySplit="6.0" topLeftCell="A7" activePane="bottomLeft" state="frozen"/>
      <selection activeCell="B8" sqref="B8" pane="bottomLeft"/>
    </sheetView>
  </sheetViews>
  <sheetFormatPr customHeight="1" defaultColWidth="12.63" defaultRowHeight="15.0"/>
  <cols>
    <col customWidth="1" min="1" max="1" width="3.13"/>
    <col customWidth="1" min="2" max="2" width="32.5"/>
    <col customWidth="1" min="3" max="3" width="36.5"/>
    <col customWidth="1" min="4" max="4" width="7.0"/>
    <col customWidth="1" min="5" max="5" width="9.88"/>
    <col customWidth="1" min="6" max="6" width="9.25"/>
    <col customWidth="1" min="7" max="8" width="12.25"/>
    <col customWidth="1" min="9" max="9" width="12.5"/>
    <col customWidth="1" min="10" max="10" width="7.5"/>
    <col customWidth="1" min="11" max="11" width="2.13"/>
    <col customWidth="1" min="12" max="12" width="13.5"/>
    <col customWidth="1" min="13" max="13" width="1.88"/>
    <col customWidth="1" min="14" max="26" width="11.5"/>
  </cols>
  <sheetData>
    <row r="1" ht="12.0" customHeight="1">
      <c r="A1" s="1" t="s">
        <v>273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3"/>
    </row>
    <row r="2" ht="12.0" customHeight="1">
      <c r="A2" s="4"/>
      <c r="M2" s="5"/>
    </row>
    <row r="3" ht="12.0" customHeight="1">
      <c r="A3" s="6"/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8"/>
    </row>
    <row r="4" ht="12.0" customHeight="1">
      <c r="A4" s="128" t="str">
        <f>Contagem!A5&amp;" : "&amp;Contagem!F5</f>
        <v>Aplicação : COSIGNAÇÃO</v>
      </c>
      <c r="B4" s="10"/>
      <c r="C4" s="10"/>
      <c r="D4" s="10"/>
      <c r="E4" s="11"/>
      <c r="F4" s="33" t="str">
        <f>Contagem!A8&amp;" : "&amp;Contagem!F8</f>
        <v>Projeto : Revisão de Contratos Consignações</v>
      </c>
      <c r="G4" s="10"/>
      <c r="H4" s="10"/>
      <c r="I4" s="10"/>
      <c r="J4" s="10"/>
      <c r="K4" s="10"/>
      <c r="L4" s="10"/>
      <c r="M4" s="15"/>
    </row>
    <row r="5" ht="12.0" customHeight="1">
      <c r="A5" s="128" t="str">
        <f>Contagem!A9&amp;" : "&amp;Contagem!F9</f>
        <v>Responsável : Jonathas Gomes</v>
      </c>
      <c r="B5" s="10"/>
      <c r="C5" s="10"/>
      <c r="D5" s="10"/>
      <c r="E5" s="164"/>
      <c r="F5" s="33" t="str">
        <f>Contagem!A10&amp;" : "&amp;Contagem!F10</f>
        <v>Revisor : Jonathas Gomes</v>
      </c>
      <c r="G5" s="10"/>
      <c r="H5" s="10"/>
      <c r="I5" s="10"/>
      <c r="J5" s="10"/>
      <c r="K5" s="10"/>
      <c r="L5" s="10"/>
      <c r="M5" s="15"/>
    </row>
    <row r="6" ht="12.0" customHeight="1">
      <c r="A6" s="128" t="str">
        <f>Contagem!A4&amp;" : "&amp;Contagem!F4</f>
        <v>Empresa : Secretaria de Estado de Planejamento e Gestão de Mato Grosso</v>
      </c>
      <c r="B6" s="10"/>
      <c r="C6" s="10"/>
      <c r="D6" s="10"/>
      <c r="E6" s="164"/>
      <c r="F6" s="33" t="str">
        <f>"Tipo de Contagem : "&amp;Contagem!F6</f>
        <v>Tipo de Contagem : Projeto de Desenvolvimento</v>
      </c>
      <c r="G6" s="10"/>
      <c r="H6" s="10"/>
      <c r="I6" s="10"/>
      <c r="J6" s="10"/>
      <c r="K6" s="10"/>
      <c r="L6" s="10"/>
      <c r="M6" s="15"/>
    </row>
    <row r="7" ht="12.0" customHeight="1">
      <c r="A7" s="165"/>
      <c r="B7" s="127"/>
      <c r="C7" s="127"/>
      <c r="D7" s="127"/>
      <c r="E7" s="127"/>
      <c r="F7" s="127"/>
      <c r="G7" s="127"/>
      <c r="H7" s="127"/>
      <c r="I7" s="127"/>
      <c r="J7" s="127"/>
      <c r="K7" s="127"/>
      <c r="L7" s="127"/>
      <c r="M7" s="166"/>
    </row>
    <row r="8" ht="12.0" customHeight="1">
      <c r="A8" s="165"/>
      <c r="B8" s="167"/>
      <c r="J8" s="127"/>
      <c r="K8" s="127"/>
      <c r="L8" s="127"/>
      <c r="M8" s="166"/>
    </row>
    <row r="9" ht="12.0" customHeight="1">
      <c r="A9" s="165"/>
      <c r="B9" s="168" t="s">
        <v>274</v>
      </c>
      <c r="E9" s="169" t="s">
        <v>244</v>
      </c>
      <c r="F9" s="169" t="s">
        <v>3</v>
      </c>
      <c r="G9" s="169" t="s">
        <v>275</v>
      </c>
      <c r="H9" s="169" t="s">
        <v>276</v>
      </c>
      <c r="I9" s="169" t="s">
        <v>9</v>
      </c>
      <c r="J9" s="169" t="s">
        <v>277</v>
      </c>
      <c r="K9" s="127"/>
      <c r="L9" s="127"/>
      <c r="M9" s="166"/>
    </row>
    <row r="10" ht="13.5" customHeight="1">
      <c r="A10" s="165"/>
      <c r="B10" s="13" t="str">
        <f>""&amp;Deflatores!B4</f>
        <v>Inclusão</v>
      </c>
      <c r="C10" s="11"/>
      <c r="D10" s="94" t="str">
        <f>""&amp;Deflatores!G4</f>
        <v>I</v>
      </c>
      <c r="E10" s="170">
        <f>IF(D10="","",COUNTIF('Funções'!C$8:C$809,D10))</f>
        <v>60</v>
      </c>
      <c r="F10" s="171">
        <f>SUMIF('Funções'!$C$8:$C$809,Deflatores!G4,'Funções'!$H$8:$H$809)</f>
        <v>259</v>
      </c>
      <c r="G10" s="172">
        <f>IF(ISBLANK(Deflatores!H4),"",Deflatores!H4)</f>
        <v>1</v>
      </c>
      <c r="H10" s="171" t="str">
        <f>IF(ISBLANK(Deflatores!I4),"",Deflatores!I4)</f>
        <v/>
      </c>
      <c r="I10" s="171">
        <f>IF(F10=0,Deflatores!K4,F10*G10)</f>
        <v>259</v>
      </c>
      <c r="J10" s="173">
        <f t="shared" ref="J10:J44" si="1">IF($L$11&lt;&gt;0,I10/$L$11,"")</f>
        <v>0.8909528724</v>
      </c>
      <c r="K10" s="127"/>
      <c r="L10" s="174" t="s">
        <v>9</v>
      </c>
      <c r="M10" s="151"/>
    </row>
    <row r="11" ht="13.5" customHeight="1">
      <c r="A11" s="165"/>
      <c r="B11" s="13" t="str">
        <f>""&amp;Deflatores!B5</f>
        <v>Alteração (sem conhecimento do Fator de Impacto)</v>
      </c>
      <c r="C11" s="11"/>
      <c r="D11" s="94" t="str">
        <f>""&amp;Deflatores!G5</f>
        <v>A</v>
      </c>
      <c r="E11" s="170">
        <f>IF(D11="","",COUNTIF('Funções'!C$8:C$809,D11))</f>
        <v>0</v>
      </c>
      <c r="F11" s="171">
        <f>SUMIF('Funções'!$C$8:$C$809,Deflatores!G5,'Funções'!$H$8:$H$809)</f>
        <v>0</v>
      </c>
      <c r="G11" s="172">
        <f>IF(ISBLANK(Deflatores!H5),"",Deflatores!H5)</f>
        <v>0.5</v>
      </c>
      <c r="H11" s="171" t="str">
        <f>IF(ISBLANK(Deflatores!I5),"",Deflatores!I5)</f>
        <v/>
      </c>
      <c r="I11" s="171">
        <f>IF(F11=0,Deflatores!K5,F11*G11)</f>
        <v>0</v>
      </c>
      <c r="J11" s="173">
        <f t="shared" si="1"/>
        <v>0</v>
      </c>
      <c r="K11" s="175"/>
      <c r="L11" s="176">
        <f>Contagem!Q6</f>
        <v>290.7</v>
      </c>
      <c r="M11" s="151"/>
    </row>
    <row r="12" ht="13.5" customHeight="1">
      <c r="A12" s="165"/>
      <c r="B12" s="13" t="str">
        <f>""&amp;Deflatores!B6</f>
        <v>Exclusão</v>
      </c>
      <c r="C12" s="11"/>
      <c r="D12" s="94" t="str">
        <f>""&amp;Deflatores!G6</f>
        <v>E</v>
      </c>
      <c r="E12" s="170">
        <f>IF(D12="","",COUNTIF('Funções'!C$8:C$809,D12))</f>
        <v>0</v>
      </c>
      <c r="F12" s="171">
        <f>SUMIF('Funções'!$C$8:$C$809,Deflatores!G6,'Funções'!$H$8:$H$809)</f>
        <v>0</v>
      </c>
      <c r="G12" s="172">
        <f>IF(ISBLANK(Deflatores!H6),"",Deflatores!H6)</f>
        <v>0.4</v>
      </c>
      <c r="H12" s="171" t="str">
        <f>IF(ISBLANK(Deflatores!I6),"",Deflatores!I6)</f>
        <v/>
      </c>
      <c r="I12" s="171">
        <f>IF(F12=0,Deflatores!K6,F12*G12)</f>
        <v>0</v>
      </c>
      <c r="J12" s="173">
        <f t="shared" si="1"/>
        <v>0</v>
      </c>
      <c r="K12" s="175"/>
      <c r="L12" s="154"/>
      <c r="M12" s="151"/>
    </row>
    <row r="13" ht="13.5" customHeight="1">
      <c r="A13" s="165"/>
      <c r="B13" s="13" t="str">
        <f>""&amp;Deflatores!B7</f>
        <v>Alteração (50%) de função desenvolvida ou já alterada pela empresa atual</v>
      </c>
      <c r="C13" s="11"/>
      <c r="D13" s="94" t="str">
        <f>""&amp;Deflatores!G7</f>
        <v>A50</v>
      </c>
      <c r="E13" s="170">
        <f>IF(D13="","",COUNTIF('Funções'!C$8:C$809,D13))</f>
        <v>14</v>
      </c>
      <c r="F13" s="171">
        <f>SUMIF('Funções'!$C$8:$C$809,Deflatores!G7,'Funções'!$H$8:$H$809)</f>
        <v>61</v>
      </c>
      <c r="G13" s="172">
        <f>IF(ISBLANK(Deflatores!H7),"",Deflatores!H7)</f>
        <v>0.5</v>
      </c>
      <c r="H13" s="171" t="str">
        <f>IF(ISBLANK(Deflatores!I7),"",Deflatores!I7)</f>
        <v/>
      </c>
      <c r="I13" s="171">
        <f>Deflatores!K7</f>
        <v>30.5</v>
      </c>
      <c r="J13" s="173">
        <f t="shared" si="1"/>
        <v>0.1049191606</v>
      </c>
      <c r="K13" s="175"/>
      <c r="L13" s="174" t="s">
        <v>278</v>
      </c>
      <c r="M13" s="151"/>
    </row>
    <row r="14" ht="13.5" customHeight="1">
      <c r="A14" s="165"/>
      <c r="B14" s="13" t="str">
        <f>""&amp;Deflatores!B8</f>
        <v>Alteração (75%) de função não desenv. e ainda não alterada pela empresa atual</v>
      </c>
      <c r="C14" s="11"/>
      <c r="D14" s="94" t="str">
        <f>""&amp;Deflatores!G8</f>
        <v>A75</v>
      </c>
      <c r="E14" s="170">
        <f>IF(D14="","",COUNTIF('Funções'!C$8:C$809,D14))</f>
        <v>0</v>
      </c>
      <c r="F14" s="171">
        <f>SUMIF('Funções'!$C$8:$C$809,Deflatores!G8,'Funções'!$H$8:$H$809)</f>
        <v>0</v>
      </c>
      <c r="G14" s="172">
        <f>IF(ISBLANK(Deflatores!H8),"",Deflatores!H8)</f>
        <v>0.75</v>
      </c>
      <c r="H14" s="171" t="str">
        <f>IF(ISBLANK(Deflatores!I8),"",Deflatores!I8)</f>
        <v/>
      </c>
      <c r="I14" s="171">
        <f>Deflatores!K8</f>
        <v>0</v>
      </c>
      <c r="J14" s="173">
        <f t="shared" si="1"/>
        <v>0</v>
      </c>
      <c r="K14" s="127"/>
      <c r="L14" s="176">
        <f>Contagem!Q4</f>
        <v>328</v>
      </c>
      <c r="M14" s="151"/>
    </row>
    <row r="15" ht="13.5" customHeight="1">
      <c r="A15" s="165"/>
      <c r="B15" s="13" t="str">
        <f>""&amp;Deflatores!B9</f>
        <v>Alteração (75%+15%): o mesmo acima + redocumentar a função</v>
      </c>
      <c r="C15" s="11"/>
      <c r="D15" s="94" t="str">
        <f>""&amp;Deflatores!G9</f>
        <v>A90</v>
      </c>
      <c r="E15" s="170">
        <f>IF(D15="","",COUNTIF('Funções'!C$8:C$809,D15))</f>
        <v>0</v>
      </c>
      <c r="F15" s="171">
        <f>SUMIF('Funções'!$C$8:$C$809,Deflatores!G9,'Funções'!$H$8:$H$809)</f>
        <v>0</v>
      </c>
      <c r="G15" s="172">
        <f>IF(ISBLANK(Deflatores!H9),"",Deflatores!H9)</f>
        <v>0.9</v>
      </c>
      <c r="H15" s="171" t="str">
        <f>IF(ISBLANK(Deflatores!I9),"",Deflatores!I9)</f>
        <v/>
      </c>
      <c r="I15" s="171">
        <f>Deflatores!K9</f>
        <v>0</v>
      </c>
      <c r="J15" s="173">
        <f t="shared" si="1"/>
        <v>0</v>
      </c>
      <c r="K15" s="127"/>
      <c r="L15" s="127"/>
      <c r="M15" s="166"/>
    </row>
    <row r="16" ht="13.5" customHeight="1">
      <c r="A16" s="165"/>
      <c r="B16" s="13" t="str">
        <f>""&amp;Deflatores!B10</f>
        <v>Migração de Dados</v>
      </c>
      <c r="C16" s="11"/>
      <c r="D16" s="94" t="str">
        <f>""&amp;Deflatores!G10</f>
        <v>PMD</v>
      </c>
      <c r="E16" s="170">
        <f>IF(D16="","",COUNTIF('Funções'!C$8:C$809,D16))</f>
        <v>0</v>
      </c>
      <c r="F16" s="171">
        <f>SUMIF('Funções'!$C$8:$C$809,Deflatores!G10,'Funções'!$H$8:$H$809)</f>
        <v>0</v>
      </c>
      <c r="G16" s="172">
        <f>IF(ISBLANK(Deflatores!H10),"",Deflatores!H10)</f>
        <v>1</v>
      </c>
      <c r="H16" s="171" t="str">
        <f>IF(ISBLANK(Deflatores!I10),"",Deflatores!I10)</f>
        <v/>
      </c>
      <c r="I16" s="171">
        <f>Deflatores!K10</f>
        <v>0</v>
      </c>
      <c r="J16" s="173">
        <f t="shared" si="1"/>
        <v>0</v>
      </c>
      <c r="K16" s="127"/>
      <c r="L16" s="127"/>
      <c r="M16" s="166"/>
    </row>
    <row r="17" ht="13.5" customHeight="1">
      <c r="A17" s="165"/>
      <c r="B17" s="13" t="str">
        <f>""&amp;Deflatores!B11</f>
        <v>Corretiva (sem conhecimento do Fator de Impacto)</v>
      </c>
      <c r="C17" s="11"/>
      <c r="D17" s="94" t="str">
        <f>""&amp;Deflatores!G11</f>
        <v>COR</v>
      </c>
      <c r="E17" s="170">
        <f>IF(D17="","",COUNTIF('Funções'!C$8:C$809,D17))</f>
        <v>0</v>
      </c>
      <c r="F17" s="171">
        <f>SUMIF('Funções'!$C$8:$C$809,Deflatores!G11,'Funções'!$H$8:$H$809)</f>
        <v>0</v>
      </c>
      <c r="G17" s="172">
        <f>IF(ISBLANK(Deflatores!H11),"",Deflatores!H11)</f>
        <v>0.5</v>
      </c>
      <c r="H17" s="171" t="str">
        <f>IF(ISBLANK(Deflatores!I11),"",Deflatores!I11)</f>
        <v/>
      </c>
      <c r="I17" s="171">
        <f>Deflatores!K11</f>
        <v>0</v>
      </c>
      <c r="J17" s="173">
        <f t="shared" si="1"/>
        <v>0</v>
      </c>
      <c r="K17" s="127"/>
      <c r="L17" s="127"/>
      <c r="M17" s="166"/>
    </row>
    <row r="18" ht="13.5" customHeight="1">
      <c r="A18" s="165"/>
      <c r="B18" s="13" t="str">
        <f>""&amp;Deflatores!B12</f>
        <v>Corretiva (50%) - Fora da garantia (mesma empresa)</v>
      </c>
      <c r="C18" s="11"/>
      <c r="D18" s="94" t="str">
        <f>""&amp;Deflatores!G12</f>
        <v>COR50</v>
      </c>
      <c r="E18" s="170">
        <f>IF(D18="","",COUNTIF('Funções'!C$8:C$809,D18))</f>
        <v>0</v>
      </c>
      <c r="F18" s="171">
        <f>SUMIF('Funções'!$C$8:$C$809,Deflatores!G12,'Funções'!$H$8:$H$809)</f>
        <v>0</v>
      </c>
      <c r="G18" s="172">
        <f>IF(ISBLANK(Deflatores!H12),"",Deflatores!H12)</f>
        <v>0.5</v>
      </c>
      <c r="H18" s="171" t="str">
        <f>IF(ISBLANK(Deflatores!I12),"",Deflatores!I12)</f>
        <v/>
      </c>
      <c r="I18" s="171">
        <f>Deflatores!K12</f>
        <v>0</v>
      </c>
      <c r="J18" s="173">
        <f t="shared" si="1"/>
        <v>0</v>
      </c>
      <c r="K18" s="127"/>
      <c r="L18" s="127"/>
      <c r="M18" s="166"/>
    </row>
    <row r="19" ht="13.5" customHeight="1">
      <c r="A19" s="165"/>
      <c r="B19" s="13" t="str">
        <f>""&amp;Deflatores!B13</f>
        <v>Corretiva (75%) - Fora da garantia (outra empresa)</v>
      </c>
      <c r="C19" s="11"/>
      <c r="D19" s="94" t="str">
        <f>""&amp;Deflatores!G13</f>
        <v>COR75</v>
      </c>
      <c r="E19" s="170">
        <f>IF(D19="","",COUNTIF('Funções'!C$8:C$809,D19))</f>
        <v>0</v>
      </c>
      <c r="F19" s="171">
        <f>SUMIF('Funções'!$C$8:$C$809,Deflatores!G13,'Funções'!$H$8:$H$809)</f>
        <v>0</v>
      </c>
      <c r="G19" s="172">
        <f>IF(ISBLANK(Deflatores!H13),"",Deflatores!H13)</f>
        <v>0.75</v>
      </c>
      <c r="H19" s="171" t="str">
        <f>IF(ISBLANK(Deflatores!I13),"",Deflatores!I13)</f>
        <v/>
      </c>
      <c r="I19" s="171">
        <f>Deflatores!K13</f>
        <v>0</v>
      </c>
      <c r="J19" s="173">
        <f t="shared" si="1"/>
        <v>0</v>
      </c>
      <c r="K19" s="127"/>
      <c r="L19" s="127"/>
      <c r="M19" s="166"/>
    </row>
    <row r="20" ht="13.5" customHeight="1">
      <c r="A20" s="165"/>
      <c r="B20" s="13" t="str">
        <f>""&amp;Deflatores!B14</f>
        <v>Corretiva (75%+15%) - Fora da garantia (outra empresa) + Redocumentação</v>
      </c>
      <c r="C20" s="11"/>
      <c r="D20" s="94" t="str">
        <f>""&amp;Deflatores!G14</f>
        <v>COR90</v>
      </c>
      <c r="E20" s="170">
        <f>IF(D20="","",COUNTIF('Funções'!C$8:C$809,D20))</f>
        <v>0</v>
      </c>
      <c r="F20" s="171">
        <f>SUMIF('Funções'!$C$8:$C$809,Deflatores!G14,'Funções'!$H$8:$H$809)</f>
        <v>0</v>
      </c>
      <c r="G20" s="172">
        <f>IF(ISBLANK(Deflatores!H14),"",Deflatores!H14)</f>
        <v>0.9</v>
      </c>
      <c r="H20" s="171" t="str">
        <f>IF(ISBLANK(Deflatores!I14),"",Deflatores!I14)</f>
        <v/>
      </c>
      <c r="I20" s="171">
        <f>Deflatores!K14</f>
        <v>0</v>
      </c>
      <c r="J20" s="173">
        <f t="shared" si="1"/>
        <v>0</v>
      </c>
      <c r="K20" s="127"/>
      <c r="L20" s="127"/>
      <c r="M20" s="166"/>
    </row>
    <row r="21" ht="13.5" customHeight="1">
      <c r="A21" s="165"/>
      <c r="B21" s="13" t="str">
        <f>""&amp;Deflatores!B15</f>
        <v>Corretiva em Garantia</v>
      </c>
      <c r="C21" s="11"/>
      <c r="D21" s="94" t="str">
        <f>""&amp;Deflatores!G15</f>
        <v>GAR</v>
      </c>
      <c r="E21" s="170">
        <f>IF(D21="","",COUNTIF('Funções'!C$8:C$809,D21))</f>
        <v>0</v>
      </c>
      <c r="F21" s="171">
        <f>SUMIF('Funções'!$C$8:$C$809,Deflatores!G15,'Funções'!$H$8:$H$809)</f>
        <v>0</v>
      </c>
      <c r="G21" s="172">
        <f>IF(ISBLANK(Deflatores!H15),"",Deflatores!H15)</f>
        <v>0</v>
      </c>
      <c r="H21" s="171" t="str">
        <f>IF(ISBLANK(Deflatores!I15),"",Deflatores!I15)</f>
        <v/>
      </c>
      <c r="I21" s="171">
        <f>Deflatores!K15</f>
        <v>0</v>
      </c>
      <c r="J21" s="173">
        <f t="shared" si="1"/>
        <v>0</v>
      </c>
      <c r="K21" s="127"/>
      <c r="L21" s="127"/>
      <c r="M21" s="166"/>
    </row>
    <row r="22" ht="13.5" customHeight="1">
      <c r="A22" s="165"/>
      <c r="B22" s="13" t="str">
        <f>""&amp;Deflatores!B16</f>
        <v>Mudança de Plataforma - Linguagem de Programação</v>
      </c>
      <c r="C22" s="11"/>
      <c r="D22" s="94" t="str">
        <f>""&amp;Deflatores!G16</f>
        <v>MLP</v>
      </c>
      <c r="E22" s="170">
        <f>IF(D22="","",COUNTIF('Funções'!C$8:C$809,D22))</f>
        <v>0</v>
      </c>
      <c r="F22" s="171">
        <f>SUMIF('Funções'!$C$8:$C$809,Deflatores!G16,'Funções'!$H$8:$H$809)</f>
        <v>0</v>
      </c>
      <c r="G22" s="172">
        <f>IF(ISBLANK(Deflatores!H16),"",Deflatores!H16)</f>
        <v>1</v>
      </c>
      <c r="H22" s="171" t="str">
        <f>IF(ISBLANK(Deflatores!I16),"",Deflatores!I16)</f>
        <v/>
      </c>
      <c r="I22" s="171">
        <f>Deflatores!K16</f>
        <v>0</v>
      </c>
      <c r="J22" s="173">
        <f t="shared" si="1"/>
        <v>0</v>
      </c>
      <c r="K22" s="127"/>
      <c r="L22" s="127"/>
      <c r="M22" s="166"/>
    </row>
    <row r="23" ht="13.5" customHeight="1">
      <c r="A23" s="165"/>
      <c r="B23" s="13" t="str">
        <f>""&amp;Deflatores!B17</f>
        <v>Mudança de Plataforma - Banco de Dados (outro paradigma)</v>
      </c>
      <c r="C23" s="11"/>
      <c r="D23" s="94" t="str">
        <f>""&amp;Deflatores!G17</f>
        <v>MBO</v>
      </c>
      <c r="E23" s="170">
        <f>IF(D23="","",COUNTIF('Funções'!C$8:C$809,D23))</f>
        <v>0</v>
      </c>
      <c r="F23" s="171">
        <f>SUMIF('Funções'!$C$8:$C$809,Deflatores!G17,'Funções'!$H$8:$H$809)</f>
        <v>0</v>
      </c>
      <c r="G23" s="172">
        <f>IF(ISBLANK(Deflatores!H17),"",Deflatores!H17)</f>
        <v>1</v>
      </c>
      <c r="H23" s="171" t="str">
        <f>IF(ISBLANK(Deflatores!I17),"",Deflatores!I17)</f>
        <v/>
      </c>
      <c r="I23" s="171">
        <f>Deflatores!K17</f>
        <v>0</v>
      </c>
      <c r="J23" s="173">
        <f t="shared" si="1"/>
        <v>0</v>
      </c>
      <c r="K23" s="127"/>
      <c r="L23" s="127"/>
      <c r="M23" s="166"/>
    </row>
    <row r="24" ht="13.5" customHeight="1">
      <c r="A24" s="165"/>
      <c r="B24" s="13" t="str">
        <f>""&amp;Deflatores!B18</f>
        <v>Mudança de Plataforma - Banco de Dados (mesmo paradigma com alterações)</v>
      </c>
      <c r="C24" s="11"/>
      <c r="D24" s="94" t="str">
        <f>""&amp;Deflatores!G18</f>
        <v>MBM</v>
      </c>
      <c r="E24" s="170">
        <f>IF(D24="","",COUNTIF('Funções'!C$8:C$809,D24))</f>
        <v>0</v>
      </c>
      <c r="F24" s="171">
        <f>SUMIF('Funções'!$C$8:$C$809,Deflatores!G18,'Funções'!$H$8:$H$809)</f>
        <v>0</v>
      </c>
      <c r="G24" s="172">
        <f>IF(ISBLANK(Deflatores!H18),"",Deflatores!H18)</f>
        <v>0.3</v>
      </c>
      <c r="H24" s="171" t="str">
        <f>IF(ISBLANK(Deflatores!I18),"",Deflatores!I18)</f>
        <v/>
      </c>
      <c r="I24" s="171">
        <f>Deflatores!K18</f>
        <v>0</v>
      </c>
      <c r="J24" s="173">
        <f t="shared" si="1"/>
        <v>0</v>
      </c>
      <c r="K24" s="175"/>
      <c r="L24" s="127"/>
      <c r="M24" s="166"/>
    </row>
    <row r="25" ht="13.5" customHeight="1">
      <c r="A25" s="165"/>
      <c r="B25" s="13" t="str">
        <f>""&amp;Deflatores!B19</f>
        <v>Atualização de Versão – Linguagem de Programação</v>
      </c>
      <c r="C25" s="11"/>
      <c r="D25" s="94" t="str">
        <f>""&amp;Deflatores!G19</f>
        <v>ALP</v>
      </c>
      <c r="E25" s="170">
        <f>IF(D25="","",COUNTIF('Funções'!C$8:C$809,D25))</f>
        <v>0</v>
      </c>
      <c r="F25" s="171">
        <f>SUMIF('Funções'!$C$8:$C$809,Deflatores!G19,'Funções'!$H$8:$H$809)</f>
        <v>0</v>
      </c>
      <c r="G25" s="172">
        <f>IF(ISBLANK(Deflatores!H19),"",Deflatores!H19)</f>
        <v>0.3</v>
      </c>
      <c r="H25" s="171" t="str">
        <f>IF(ISBLANK(Deflatores!I19),"",Deflatores!I19)</f>
        <v/>
      </c>
      <c r="I25" s="171">
        <f>Deflatores!K19</f>
        <v>0</v>
      </c>
      <c r="J25" s="173">
        <f t="shared" si="1"/>
        <v>0</v>
      </c>
      <c r="K25" s="175"/>
      <c r="L25" s="127"/>
      <c r="M25" s="166"/>
    </row>
    <row r="26" ht="13.5" customHeight="1">
      <c r="A26" s="165"/>
      <c r="B26" s="13" t="str">
        <f>""&amp;Deflatores!B20</f>
        <v>Atualização de Versão – Browser</v>
      </c>
      <c r="C26" s="11"/>
      <c r="D26" s="94" t="str">
        <f>""&amp;Deflatores!G20</f>
        <v>AVB</v>
      </c>
      <c r="E26" s="170">
        <f>IF(D26="","",COUNTIF('Funções'!C$8:C$809,D26))</f>
        <v>0</v>
      </c>
      <c r="F26" s="171">
        <f>SUMIF('Funções'!$C$8:$C$809,Deflatores!G20,'Funções'!$H$8:$H$809)</f>
        <v>0</v>
      </c>
      <c r="G26" s="172">
        <f>IF(ISBLANK(Deflatores!H20),"",Deflatores!H20)</f>
        <v>0.3</v>
      </c>
      <c r="H26" s="171" t="str">
        <f>IF(ISBLANK(Deflatores!I20),"",Deflatores!I20)</f>
        <v/>
      </c>
      <c r="I26" s="171">
        <f>Deflatores!K20</f>
        <v>0</v>
      </c>
      <c r="J26" s="173">
        <f t="shared" si="1"/>
        <v>0</v>
      </c>
      <c r="K26" s="175"/>
      <c r="L26" s="127"/>
      <c r="M26" s="166"/>
    </row>
    <row r="27" ht="13.5" customHeight="1">
      <c r="A27" s="165"/>
      <c r="B27" s="13" t="str">
        <f>""&amp;Deflatores!B21</f>
        <v>Atualização de Versão – Banco de Dados</v>
      </c>
      <c r="C27" s="11"/>
      <c r="D27" s="94" t="str">
        <f>""&amp;Deflatores!G21</f>
        <v>ABD</v>
      </c>
      <c r="E27" s="170">
        <f>IF(D27="","",COUNTIF('Funções'!C$8:C$809,D27))</f>
        <v>0</v>
      </c>
      <c r="F27" s="171">
        <f>SUMIF('Funções'!$C$8:$C$809,Deflatores!G21,'Funções'!$H$8:$H$809)</f>
        <v>0</v>
      </c>
      <c r="G27" s="172">
        <f>IF(ISBLANK(Deflatores!H21),"",Deflatores!H21)</f>
        <v>0.3</v>
      </c>
      <c r="H27" s="171" t="str">
        <f>IF(ISBLANK(Deflatores!I21),"",Deflatores!I21)</f>
        <v/>
      </c>
      <c r="I27" s="171">
        <f>Deflatores!K21</f>
        <v>0</v>
      </c>
      <c r="J27" s="173">
        <f t="shared" si="1"/>
        <v>0</v>
      </c>
      <c r="K27" s="175"/>
      <c r="L27" s="127"/>
      <c r="M27" s="166"/>
    </row>
    <row r="28" ht="13.5" customHeight="1">
      <c r="A28" s="165"/>
      <c r="B28" s="13" t="str">
        <f>""&amp;Deflatores!B22</f>
        <v>Manutenção Cosmética</v>
      </c>
      <c r="C28" s="11"/>
      <c r="D28" s="94" t="str">
        <f>""&amp;Deflatores!G22</f>
        <v>COS</v>
      </c>
      <c r="E28" s="170">
        <f>IF(D28="","",COUNTIF('Funções'!C$8:C$809,D28))</f>
        <v>2</v>
      </c>
      <c r="F28" s="171">
        <f>SUMIF('Funções'!$C$8:$C$809,Deflatores!G22,'Funções'!$H$8:$H$809)</f>
        <v>8</v>
      </c>
      <c r="G28" s="172" t="str">
        <f>IF(ISBLANK(Deflatores!H22),"",Deflatores!H22)</f>
        <v/>
      </c>
      <c r="H28" s="171">
        <f>IF(ISBLANK(Deflatores!I22),"",Deflatores!I22)</f>
        <v>0.6</v>
      </c>
      <c r="I28" s="171">
        <f>Deflatores!K22</f>
        <v>1.2</v>
      </c>
      <c r="J28" s="173">
        <f t="shared" si="1"/>
        <v>0.004127966976</v>
      </c>
      <c r="K28" s="127"/>
      <c r="L28" s="127"/>
      <c r="M28" s="166"/>
    </row>
    <row r="29" ht="27.0" customHeight="1">
      <c r="A29" s="165"/>
      <c r="B29" s="99" t="str">
        <f>""&amp;Deflatores!B23</f>
        <v>Adaptação em Funcionalidades sem Alteração de Requisitos Funcionais
(sem conhecimento do Fator de Impacto)</v>
      </c>
      <c r="C29" s="11"/>
      <c r="D29" s="94" t="str">
        <f>""&amp;Deflatores!G23</f>
        <v>ARN</v>
      </c>
      <c r="E29" s="170">
        <f>IF(D29="","",COUNTIF('Funções'!C$8:C$809,D29))</f>
        <v>0</v>
      </c>
      <c r="F29" s="171">
        <f>SUMIF('Funções'!$C$8:$C$809,Deflatores!G23,'Funções'!$H$8:$H$809)</f>
        <v>0</v>
      </c>
      <c r="G29" s="172">
        <f>IF(ISBLANK(Deflatores!H23),"",Deflatores!H23)</f>
        <v>0.5</v>
      </c>
      <c r="H29" s="171" t="str">
        <f>IF(ISBLANK(Deflatores!I23),"",Deflatores!I23)</f>
        <v/>
      </c>
      <c r="I29" s="171">
        <f>Deflatores!K23</f>
        <v>0</v>
      </c>
      <c r="J29" s="173">
        <f t="shared" si="1"/>
        <v>0</v>
      </c>
      <c r="K29" s="127"/>
      <c r="L29" s="127"/>
      <c r="M29" s="166"/>
    </row>
    <row r="30" ht="27.0" customHeight="1">
      <c r="A30" s="165"/>
      <c r="B30" s="99" t="str">
        <f>""&amp;Deflatores!B24</f>
        <v>Adaptação em Funcionalidades sem Alteração de Requisitos Funcionais (50%)
(em função desenvolvida ou já alterada pela empresa atual)</v>
      </c>
      <c r="C30" s="11"/>
      <c r="D30" s="94" t="str">
        <f>""&amp;Deflatores!G24</f>
        <v>ARN50</v>
      </c>
      <c r="E30" s="170">
        <f>IF(D30="","",COUNTIF('Funções'!C$8:C$809,D30))</f>
        <v>0</v>
      </c>
      <c r="F30" s="171">
        <f>SUMIF('Funções'!$C$8:$C$809,Deflatores!G24,'Funções'!$H$8:$H$809)</f>
        <v>0</v>
      </c>
      <c r="G30" s="172">
        <f>IF(ISBLANK(Deflatores!H24),"",Deflatores!H24)</f>
        <v>0.5</v>
      </c>
      <c r="H30" s="171" t="str">
        <f>IF(ISBLANK(Deflatores!I24),"",Deflatores!I24)</f>
        <v/>
      </c>
      <c r="I30" s="171">
        <f>Deflatores!K24</f>
        <v>0</v>
      </c>
      <c r="J30" s="173">
        <f t="shared" si="1"/>
        <v>0</v>
      </c>
      <c r="K30" s="127"/>
      <c r="L30" s="127"/>
      <c r="M30" s="166"/>
    </row>
    <row r="31" ht="27.0" customHeight="1">
      <c r="A31" s="165"/>
      <c r="B31" s="99" t="str">
        <f>""&amp;Deflatores!B25</f>
        <v>Adaptação em Funcionalidades sem Alteração de Requisitos Funcionais (75%)
(em função não desenvolvida e ainda não alterada pela empresa atual)</v>
      </c>
      <c r="C31" s="11"/>
      <c r="D31" s="94" t="str">
        <f>""&amp;Deflatores!G25</f>
        <v>ARN75</v>
      </c>
      <c r="E31" s="170">
        <f>IF(D31="","",COUNTIF('Funções'!C$8:C$809,D31))</f>
        <v>0</v>
      </c>
      <c r="F31" s="171">
        <f>SUMIF('Funções'!$C$8:$C$809,Deflatores!G25,'Funções'!$H$8:$H$809)</f>
        <v>0</v>
      </c>
      <c r="G31" s="172">
        <f>IF(ISBLANK(Deflatores!H25),"",Deflatores!H25)</f>
        <v>0.75</v>
      </c>
      <c r="H31" s="171" t="str">
        <f>IF(ISBLANK(Deflatores!I25),"",Deflatores!I25)</f>
        <v/>
      </c>
      <c r="I31" s="171">
        <f>Deflatores!K25</f>
        <v>0</v>
      </c>
      <c r="J31" s="173">
        <f t="shared" si="1"/>
        <v>0</v>
      </c>
      <c r="K31" s="127"/>
      <c r="L31" s="127"/>
      <c r="M31" s="166"/>
    </row>
    <row r="32" ht="13.5" customHeight="1">
      <c r="A32" s="165"/>
      <c r="B32" s="13" t="str">
        <f>""&amp;Deflatores!B26</f>
        <v>Atualização de Dados sem Consulta Prévia</v>
      </c>
      <c r="C32" s="11"/>
      <c r="D32" s="94" t="str">
        <f>""&amp;Deflatores!G26</f>
        <v>ADS</v>
      </c>
      <c r="E32" s="170">
        <f>IF(D32="","",COUNTIF('Funções'!C$8:C$809,D32))</f>
        <v>0</v>
      </c>
      <c r="F32" s="171">
        <f>SUMIF('Funções'!$C$8:$C$809,Deflatores!G26,'Funções'!$H$8:$H$809)</f>
        <v>0</v>
      </c>
      <c r="G32" s="172">
        <f>IF(ISBLANK(Deflatores!H26),"",Deflatores!H26)</f>
        <v>1</v>
      </c>
      <c r="H32" s="171" t="str">
        <f>IF(ISBLANK(Deflatores!I26),"",Deflatores!I26)</f>
        <v/>
      </c>
      <c r="I32" s="171">
        <f>Deflatores!K26</f>
        <v>0</v>
      </c>
      <c r="J32" s="173">
        <f t="shared" si="1"/>
        <v>0</v>
      </c>
      <c r="K32" s="127"/>
      <c r="L32" s="127"/>
      <c r="M32" s="166"/>
    </row>
    <row r="33" ht="13.5" customHeight="1">
      <c r="A33" s="165"/>
      <c r="B33" s="13" t="str">
        <f>""&amp;Deflatores!B27</f>
        <v>Consulta Prévia sem Atualização</v>
      </c>
      <c r="C33" s="11"/>
      <c r="D33" s="94" t="str">
        <f>""&amp;Deflatores!G27</f>
        <v>CPA</v>
      </c>
      <c r="E33" s="170">
        <f>IF(D33="","",COUNTIF('Funções'!C$8:C$809,D33))</f>
        <v>0</v>
      </c>
      <c r="F33" s="171">
        <f>SUMIF('Funções'!$C$8:$C$809,Deflatores!G27,'Funções'!$H$8:$H$809)</f>
        <v>0</v>
      </c>
      <c r="G33" s="172">
        <f>IF(ISBLANK(Deflatores!H27),"",Deflatores!H27)</f>
        <v>1</v>
      </c>
      <c r="H33" s="171" t="str">
        <f>IF(ISBLANK(Deflatores!I27),"",Deflatores!I27)</f>
        <v/>
      </c>
      <c r="I33" s="171">
        <f>Deflatores!K27</f>
        <v>0</v>
      </c>
      <c r="J33" s="173">
        <f t="shared" si="1"/>
        <v>0</v>
      </c>
      <c r="K33" s="127"/>
      <c r="L33" s="127"/>
      <c r="M33" s="166"/>
    </row>
    <row r="34" ht="13.5" customHeight="1">
      <c r="A34" s="165"/>
      <c r="B34" s="13" t="str">
        <f>""&amp;Deflatores!B28</f>
        <v>Atualização de Dados com Consulta Prévia</v>
      </c>
      <c r="C34" s="11"/>
      <c r="D34" s="94" t="str">
        <f>""&amp;Deflatores!G28</f>
        <v>ADC</v>
      </c>
      <c r="E34" s="170">
        <f>IF(D34="","",COUNTIF('Funções'!C$8:C$809,D34))</f>
        <v>0</v>
      </c>
      <c r="F34" s="171">
        <f>SUMIF('Funções'!$C$8:$C$809,Deflatores!G28,'Funções'!$H$8:$H$809)</f>
        <v>0</v>
      </c>
      <c r="G34" s="172">
        <f>IF(ISBLANK(Deflatores!H28),"",Deflatores!H28)</f>
        <v>0.6</v>
      </c>
      <c r="H34" s="171" t="str">
        <f>IF(ISBLANK(Deflatores!I28),"",Deflatores!I28)</f>
        <v/>
      </c>
      <c r="I34" s="171">
        <f>Deflatores!K28</f>
        <v>0</v>
      </c>
      <c r="J34" s="173">
        <f t="shared" si="1"/>
        <v>0</v>
      </c>
      <c r="K34" s="127"/>
      <c r="L34" s="127"/>
      <c r="M34" s="166"/>
    </row>
    <row r="35" ht="13.5" customHeight="1">
      <c r="A35" s="165"/>
      <c r="B35" s="13" t="str">
        <f>""&amp;Deflatores!B29</f>
        <v>Apuração Especial – Geração de Relatórios</v>
      </c>
      <c r="C35" s="11"/>
      <c r="D35" s="94" t="str">
        <f>""&amp;Deflatores!G29</f>
        <v>AGR</v>
      </c>
      <c r="E35" s="170">
        <f>IF(D35="","",COUNTIF('Funções'!C$8:C$809,D35))</f>
        <v>0</v>
      </c>
      <c r="F35" s="171">
        <f>SUMIF('Funções'!$C$8:$C$809,Deflatores!G29,'Funções'!$H$8:$H$809)</f>
        <v>0</v>
      </c>
      <c r="G35" s="172">
        <f>IF(ISBLANK(Deflatores!H29),"",Deflatores!H29)</f>
        <v>1</v>
      </c>
      <c r="H35" s="171" t="str">
        <f>IF(ISBLANK(Deflatores!I29),"",Deflatores!I29)</f>
        <v/>
      </c>
      <c r="I35" s="171">
        <f>Deflatores!K29</f>
        <v>0</v>
      </c>
      <c r="J35" s="173">
        <f t="shared" si="1"/>
        <v>0</v>
      </c>
      <c r="K35" s="127"/>
      <c r="L35" s="127"/>
      <c r="M35" s="166"/>
    </row>
    <row r="36" ht="13.5" customHeight="1">
      <c r="A36" s="165"/>
      <c r="B36" s="13" t="str">
        <f>""&amp;Deflatores!B30</f>
        <v>Apuração Especial – Reexecução</v>
      </c>
      <c r="C36" s="11"/>
      <c r="D36" s="94" t="str">
        <f>""&amp;Deflatores!G30</f>
        <v>AER</v>
      </c>
      <c r="E36" s="170">
        <f>IF(D36="","",COUNTIF('Funções'!C$8:C$809,D36))</f>
        <v>0</v>
      </c>
      <c r="F36" s="171">
        <f>SUMIF('Funções'!$C$8:$C$809,Deflatores!G30,'Funções'!$H$8:$H$809)</f>
        <v>0</v>
      </c>
      <c r="G36" s="172">
        <f>IF(ISBLANK(Deflatores!H30),"",Deflatores!H30)</f>
        <v>0.1</v>
      </c>
      <c r="H36" s="171" t="str">
        <f>IF(ISBLANK(Deflatores!I30),"",Deflatores!I30)</f>
        <v/>
      </c>
      <c r="I36" s="171">
        <f>Deflatores!K30</f>
        <v>0</v>
      </c>
      <c r="J36" s="173">
        <f t="shared" si="1"/>
        <v>0</v>
      </c>
      <c r="K36" s="127"/>
      <c r="L36" s="127"/>
      <c r="M36" s="166"/>
    </row>
    <row r="37" ht="13.5" customHeight="1">
      <c r="A37" s="165"/>
      <c r="B37" s="13" t="str">
        <f>""&amp;Deflatores!B31</f>
        <v>Atualização de Dados</v>
      </c>
      <c r="C37" s="11"/>
      <c r="D37" s="94" t="str">
        <f>""&amp;Deflatores!G31</f>
        <v>ATD</v>
      </c>
      <c r="E37" s="170">
        <f>IF(D37="","",COUNTIF('Funções'!C$8:C$809,D37))</f>
        <v>0</v>
      </c>
      <c r="F37" s="171">
        <f>SUMIF('Funções'!$C$8:$C$809,Deflatores!G31,'Funções'!$H$8:$H$809)</f>
        <v>0</v>
      </c>
      <c r="G37" s="172">
        <f>IF(ISBLANK(Deflatores!H31),"",Deflatores!H31)</f>
        <v>0.1</v>
      </c>
      <c r="H37" s="171" t="str">
        <f>IF(ISBLANK(Deflatores!I31),"",Deflatores!I31)</f>
        <v/>
      </c>
      <c r="I37" s="171">
        <f>Deflatores!K31</f>
        <v>0</v>
      </c>
      <c r="J37" s="173">
        <f t="shared" si="1"/>
        <v>0</v>
      </c>
      <c r="K37" s="127"/>
      <c r="L37" s="127"/>
      <c r="M37" s="166"/>
    </row>
    <row r="38" ht="13.5" customHeight="1">
      <c r="A38" s="165"/>
      <c r="B38" s="13" t="str">
        <f>""&amp;Deflatores!B32</f>
        <v>Manutenção de Documentação de Sistemas Legados</v>
      </c>
      <c r="C38" s="11"/>
      <c r="D38" s="94" t="str">
        <f>""&amp;Deflatores!G32</f>
        <v>MSL</v>
      </c>
      <c r="E38" s="170">
        <f>IF(D38="","",COUNTIF('Funções'!C$8:C$809,D38))</f>
        <v>0</v>
      </c>
      <c r="F38" s="171">
        <f>SUMIF('Funções'!$C$8:$C$809,Deflatores!G32,'Funções'!$H$8:$H$809)</f>
        <v>0</v>
      </c>
      <c r="G38" s="172">
        <f>IF(ISBLANK(Deflatores!H32),"",Deflatores!H32)</f>
        <v>0.25</v>
      </c>
      <c r="H38" s="171" t="str">
        <f>IF(ISBLANK(Deflatores!I32),"",Deflatores!I32)</f>
        <v/>
      </c>
      <c r="I38" s="171">
        <f>Deflatores!K32</f>
        <v>0</v>
      </c>
      <c r="J38" s="173">
        <f t="shared" si="1"/>
        <v>0</v>
      </c>
      <c r="K38" s="127"/>
      <c r="L38" s="127"/>
      <c r="M38" s="166"/>
    </row>
    <row r="39" ht="13.5" customHeight="1">
      <c r="A39" s="165"/>
      <c r="B39" s="13" t="str">
        <f>""&amp;Deflatores!B33</f>
        <v>Verificação de Erros (Sem Documentação de Teste existente)</v>
      </c>
      <c r="C39" s="11"/>
      <c r="D39" s="94" t="str">
        <f>""&amp;Deflatores!G33</f>
        <v>VES</v>
      </c>
      <c r="E39" s="170">
        <f>IF(D39="","",COUNTIF('Funções'!C$8:C$809,D39))</f>
        <v>0</v>
      </c>
      <c r="F39" s="171">
        <f>SUMIF('Funções'!$C$8:$C$809,Deflatores!G33,'Funções'!$H$8:$H$809)</f>
        <v>0</v>
      </c>
      <c r="G39" s="172">
        <f>IF(ISBLANK(Deflatores!H33),"",Deflatores!H33)</f>
        <v>0.2</v>
      </c>
      <c r="H39" s="171" t="str">
        <f>IF(ISBLANK(Deflatores!I33),"",Deflatores!I33)</f>
        <v/>
      </c>
      <c r="I39" s="171">
        <f>Deflatores!K33</f>
        <v>0</v>
      </c>
      <c r="J39" s="173">
        <f t="shared" si="1"/>
        <v>0</v>
      </c>
      <c r="K39" s="127"/>
      <c r="L39" s="127"/>
      <c r="M39" s="166"/>
    </row>
    <row r="40" ht="13.5" customHeight="1">
      <c r="A40" s="165"/>
      <c r="B40" s="13" t="str">
        <f>""&amp;Deflatores!B34</f>
        <v>Verificação de Erros (Com Documentação de Teste existente)</v>
      </c>
      <c r="C40" s="11"/>
      <c r="D40" s="94" t="str">
        <f>""&amp;Deflatores!G34</f>
        <v>VEC</v>
      </c>
      <c r="E40" s="170">
        <f>IF(D40="","",COUNTIF('Funções'!C$8:C$809,D40))</f>
        <v>0</v>
      </c>
      <c r="F40" s="171">
        <f>SUMIF('Funções'!$C$8:$C$809,Deflatores!G34,'Funções'!$H$8:$H$809)</f>
        <v>0</v>
      </c>
      <c r="G40" s="172">
        <f>IF(ISBLANK(Deflatores!H34),"",Deflatores!H34)</f>
        <v>0.15</v>
      </c>
      <c r="H40" s="171" t="str">
        <f>IF(ISBLANK(Deflatores!I34),"",Deflatores!I34)</f>
        <v/>
      </c>
      <c r="I40" s="171">
        <f>Deflatores!K34</f>
        <v>0</v>
      </c>
      <c r="J40" s="173">
        <f t="shared" si="1"/>
        <v>0</v>
      </c>
      <c r="K40" s="127"/>
      <c r="L40" s="127"/>
      <c r="M40" s="166"/>
    </row>
    <row r="41" ht="13.5" customHeight="1">
      <c r="A41" s="165"/>
      <c r="B41" s="13" t="str">
        <f>""&amp;Deflatores!B35</f>
        <v>Pontos de Função de Teste</v>
      </c>
      <c r="C41" s="11"/>
      <c r="D41" s="94" t="str">
        <f>""&amp;Deflatores!G35</f>
        <v>PFT</v>
      </c>
      <c r="E41" s="170">
        <f>IF(D41="","",COUNTIF('Funções'!C$8:C$809,D41))</f>
        <v>0</v>
      </c>
      <c r="F41" s="171">
        <f>SUMIF('Funções'!$C$8:$C$809,Deflatores!G35,'Funções'!$H$8:$H$809)</f>
        <v>0</v>
      </c>
      <c r="G41" s="172">
        <f>IF(ISBLANK(Deflatores!H35),"",Deflatores!H35)</f>
        <v>0.15</v>
      </c>
      <c r="H41" s="171" t="str">
        <f>IF(ISBLANK(Deflatores!I35),"",Deflatores!I35)</f>
        <v/>
      </c>
      <c r="I41" s="171">
        <f>Deflatores!K35</f>
        <v>0</v>
      </c>
      <c r="J41" s="173">
        <f t="shared" si="1"/>
        <v>0</v>
      </c>
      <c r="K41" s="127"/>
      <c r="L41" s="127"/>
      <c r="M41" s="166"/>
    </row>
    <row r="42" ht="13.5" customHeight="1">
      <c r="A42" s="165"/>
      <c r="B42" s="13" t="str">
        <f>""&amp;Deflatores!B36</f>
        <v>Componente Interno Reusável</v>
      </c>
      <c r="C42" s="11"/>
      <c r="D42" s="94" t="str">
        <f>""&amp;Deflatores!G36</f>
        <v>CIR</v>
      </c>
      <c r="E42" s="170">
        <f>IF(D42="","",COUNTIF('Funções'!C$8:C$809,D42))</f>
        <v>0</v>
      </c>
      <c r="F42" s="171">
        <f>SUMIF('Funções'!$C$8:$C$809,Deflatores!G36,'Funções'!$H$8:$H$809)</f>
        <v>0</v>
      </c>
      <c r="G42" s="172">
        <f>IF(ISBLANK(Deflatores!H36),"",Deflatores!H36)</f>
        <v>1</v>
      </c>
      <c r="H42" s="171" t="str">
        <f>IF(ISBLANK(Deflatores!I36),"",Deflatores!I36)</f>
        <v/>
      </c>
      <c r="I42" s="171">
        <f>Deflatores!K36</f>
        <v>0</v>
      </c>
      <c r="J42" s="173">
        <f t="shared" si="1"/>
        <v>0</v>
      </c>
      <c r="K42" s="127"/>
      <c r="L42" s="127"/>
      <c r="M42" s="166"/>
    </row>
    <row r="43" ht="13.5" customHeight="1">
      <c r="A43" s="165"/>
      <c r="B43" s="13" t="str">
        <f>""&amp;Deflatores!B37</f>
        <v/>
      </c>
      <c r="C43" s="11"/>
      <c r="D43" s="94" t="str">
        <f>""&amp;Deflatores!G37</f>
        <v>           .</v>
      </c>
      <c r="E43" s="170">
        <f>IF(D43="","",COUNTIF('Funções'!C$8:C$809,D43))</f>
        <v>0</v>
      </c>
      <c r="F43" s="171">
        <f>SUMIF('Funções'!$C$8:$C$809,Deflatores!G37,'Funções'!$H$8:$H$809)</f>
        <v>0</v>
      </c>
      <c r="G43" s="172" t="str">
        <f>IF(ISBLANK(Deflatores!H37),"",Deflatores!H37)</f>
        <v/>
      </c>
      <c r="H43" s="171" t="str">
        <f>IF(ISBLANK(Deflatores!I37),"",Deflatores!I37)</f>
        <v/>
      </c>
      <c r="I43" s="171">
        <f>Deflatores!K37</f>
        <v>0</v>
      </c>
      <c r="J43" s="173">
        <f t="shared" si="1"/>
        <v>0</v>
      </c>
      <c r="K43" s="127"/>
      <c r="L43" s="127"/>
      <c r="M43" s="166"/>
    </row>
    <row r="44" ht="13.5" customHeight="1">
      <c r="A44" s="165"/>
      <c r="B44" s="13" t="str">
        <f>""&amp;Deflatores!B38</f>
        <v/>
      </c>
      <c r="C44" s="11"/>
      <c r="D44" s="94" t="str">
        <f>""&amp;Deflatores!G38</f>
        <v>           .</v>
      </c>
      <c r="E44" s="170">
        <f>IF(D44="","",COUNTIF('Funções'!C$8:C$809,D44))</f>
        <v>0</v>
      </c>
      <c r="F44" s="171">
        <f>SUMIF('Funções'!$C$8:$C$809,Deflatores!G38,'Funções'!$H$8:$H$809)</f>
        <v>0</v>
      </c>
      <c r="G44" s="172" t="str">
        <f>IF(ISBLANK(Deflatores!H38),"",Deflatores!H38)</f>
        <v/>
      </c>
      <c r="H44" s="171" t="str">
        <f>IF(ISBLANK(Deflatores!I38),"",Deflatores!I38)</f>
        <v/>
      </c>
      <c r="I44" s="171">
        <f>Deflatores!K38</f>
        <v>0</v>
      </c>
      <c r="J44" s="173">
        <f t="shared" si="1"/>
        <v>0</v>
      </c>
      <c r="K44" s="127"/>
      <c r="L44" s="127"/>
      <c r="M44" s="166"/>
    </row>
    <row r="45" ht="12.0" customHeight="1">
      <c r="A45" s="165"/>
      <c r="B45" s="177"/>
      <c r="C45" s="155"/>
      <c r="D45" s="167"/>
      <c r="E45" s="107"/>
      <c r="F45" s="107"/>
      <c r="G45" s="178"/>
      <c r="H45" s="107"/>
      <c r="I45" s="179"/>
      <c r="J45" s="127"/>
      <c r="K45" s="127"/>
      <c r="L45" s="127"/>
      <c r="M45" s="166"/>
    </row>
    <row r="46" ht="13.5" customHeight="1">
      <c r="A46" s="165"/>
      <c r="B46" s="180" t="s">
        <v>279</v>
      </c>
      <c r="C46" s="7"/>
      <c r="D46" s="112"/>
      <c r="E46" s="181" t="s">
        <v>244</v>
      </c>
      <c r="F46" s="182"/>
      <c r="G46" s="178"/>
      <c r="H46" s="181" t="s">
        <v>276</v>
      </c>
      <c r="I46" s="181" t="s">
        <v>9</v>
      </c>
      <c r="J46" s="181" t="s">
        <v>277</v>
      </c>
      <c r="K46" s="127"/>
      <c r="L46" s="127"/>
      <c r="M46" s="166"/>
    </row>
    <row r="47" ht="13.5" customHeight="1">
      <c r="A47" s="165"/>
      <c r="B47" s="13" t="str">
        <f>""&amp;Deflatores!B42</f>
        <v>Páginas Estáticas</v>
      </c>
      <c r="C47" s="11"/>
      <c r="D47" s="183" t="str">
        <f>""&amp;Deflatores!G42</f>
        <v>PAG</v>
      </c>
      <c r="E47" s="184">
        <f>Deflatores!J42</f>
        <v>0</v>
      </c>
      <c r="F47" s="127"/>
      <c r="G47" s="127"/>
      <c r="H47" s="185">
        <f>IF(ISBLANK(Deflatores!H42),"",Deflatores!H42)</f>
        <v>0.6</v>
      </c>
      <c r="I47" s="185">
        <f t="shared" ref="I47:I69" si="2">IF(ISNUMBER(H47),E47*H47,"")</f>
        <v>0</v>
      </c>
      <c r="J47" s="186">
        <f t="shared" ref="J47:J69" si="3">IF(ISNUMBER(I47),IF($L$11&lt;&gt;0,I47/$L$11,""),"")</f>
        <v>0</v>
      </c>
      <c r="K47" s="127"/>
      <c r="L47" s="127"/>
      <c r="M47" s="166"/>
    </row>
    <row r="48" ht="13.5" customHeight="1">
      <c r="A48" s="165"/>
      <c r="B48" s="13" t="str">
        <f>""&amp;Deflatores!B43</f>
        <v>Manutenção Cosmética (atrelada a algo não funcional)</v>
      </c>
      <c r="C48" s="11"/>
      <c r="D48" s="183" t="str">
        <f>""&amp;Deflatores!G43</f>
        <v>COSNF</v>
      </c>
      <c r="E48" s="184">
        <f>Deflatores!J43</f>
        <v>0</v>
      </c>
      <c r="F48" s="127"/>
      <c r="G48" s="127"/>
      <c r="H48" s="185">
        <f>IF(ISBLANK(Deflatores!H43),"",Deflatores!H43)</f>
        <v>0.6</v>
      </c>
      <c r="I48" s="185">
        <f t="shared" si="2"/>
        <v>0</v>
      </c>
      <c r="J48" s="186">
        <f t="shared" si="3"/>
        <v>0</v>
      </c>
      <c r="K48" s="127"/>
      <c r="L48" s="127"/>
      <c r="M48" s="166"/>
    </row>
    <row r="49" ht="12.0" customHeight="1">
      <c r="A49" s="165"/>
      <c r="B49" s="13" t="str">
        <f>""&amp;Deflatores!B44</f>
        <v>Dados de Código</v>
      </c>
      <c r="C49" s="11"/>
      <c r="D49" s="183" t="str">
        <f>""&amp;Deflatores!G44</f>
        <v>DC</v>
      </c>
      <c r="E49" s="184">
        <f>Deflatores!J44</f>
        <v>0</v>
      </c>
      <c r="F49" s="127"/>
      <c r="G49" s="127"/>
      <c r="H49" s="185">
        <f>IF(ISBLANK(Deflatores!H44),"",Deflatores!H44)</f>
        <v>0</v>
      </c>
      <c r="I49" s="185">
        <f t="shared" si="2"/>
        <v>0</v>
      </c>
      <c r="J49" s="186">
        <f t="shared" si="3"/>
        <v>0</v>
      </c>
      <c r="K49" s="127"/>
      <c r="L49" s="127"/>
      <c r="M49" s="166"/>
    </row>
    <row r="50" ht="12.0" customHeight="1">
      <c r="A50" s="165"/>
      <c r="B50" s="13" t="str">
        <f>""&amp;Deflatores!B45</f>
        <v/>
      </c>
      <c r="C50" s="11"/>
      <c r="D50" s="183" t="str">
        <f>""&amp;Deflatores!G45</f>
        <v>           .</v>
      </c>
      <c r="E50" s="184">
        <f>Deflatores!J45</f>
        <v>0</v>
      </c>
      <c r="F50" s="127"/>
      <c r="G50" s="127"/>
      <c r="H50" s="185" t="str">
        <f>IF(ISBLANK(Deflatores!H45),"",Deflatores!H45)</f>
        <v/>
      </c>
      <c r="I50" s="185" t="str">
        <f t="shared" si="2"/>
        <v/>
      </c>
      <c r="J50" s="186" t="str">
        <f t="shared" si="3"/>
        <v/>
      </c>
      <c r="K50" s="127"/>
      <c r="L50" s="127"/>
      <c r="M50" s="166"/>
    </row>
    <row r="51" ht="12.0" customHeight="1">
      <c r="A51" s="165"/>
      <c r="B51" s="13" t="str">
        <f>""&amp;Deflatores!B46</f>
        <v/>
      </c>
      <c r="C51" s="11"/>
      <c r="D51" s="183" t="str">
        <f>""&amp;Deflatores!G46</f>
        <v>           .</v>
      </c>
      <c r="E51" s="184">
        <f>Deflatores!J46</f>
        <v>0</v>
      </c>
      <c r="F51" s="127"/>
      <c r="G51" s="127"/>
      <c r="H51" s="185" t="str">
        <f>IF(ISBLANK(Deflatores!H46),"",Deflatores!H46)</f>
        <v/>
      </c>
      <c r="I51" s="185" t="str">
        <f t="shared" si="2"/>
        <v/>
      </c>
      <c r="J51" s="186" t="str">
        <f t="shared" si="3"/>
        <v/>
      </c>
      <c r="K51" s="127"/>
      <c r="L51" s="127"/>
      <c r="M51" s="166"/>
    </row>
    <row r="52" ht="12.0" customHeight="1">
      <c r="A52" s="165"/>
      <c r="B52" s="13" t="str">
        <f>""&amp;Deflatores!B47</f>
        <v/>
      </c>
      <c r="C52" s="11"/>
      <c r="D52" s="183" t="str">
        <f>""&amp;Deflatores!G47</f>
        <v>           .</v>
      </c>
      <c r="E52" s="184">
        <f>Deflatores!J47</f>
        <v>0</v>
      </c>
      <c r="F52" s="127"/>
      <c r="G52" s="127"/>
      <c r="H52" s="185" t="str">
        <f>IF(ISBLANK(Deflatores!H47),"",Deflatores!H47)</f>
        <v/>
      </c>
      <c r="I52" s="185" t="str">
        <f t="shared" si="2"/>
        <v/>
      </c>
      <c r="J52" s="186" t="str">
        <f t="shared" si="3"/>
        <v/>
      </c>
      <c r="K52" s="127"/>
      <c r="L52" s="127"/>
      <c r="M52" s="166"/>
    </row>
    <row r="53" ht="12.0" customHeight="1">
      <c r="A53" s="165"/>
      <c r="B53" s="13" t="str">
        <f>""&amp;Deflatores!B48</f>
        <v/>
      </c>
      <c r="C53" s="11"/>
      <c r="D53" s="183" t="str">
        <f>""&amp;Deflatores!G48</f>
        <v>           .</v>
      </c>
      <c r="E53" s="184">
        <f>Deflatores!J48</f>
        <v>0</v>
      </c>
      <c r="F53" s="127"/>
      <c r="G53" s="127"/>
      <c r="H53" s="185" t="str">
        <f>IF(ISBLANK(Deflatores!H48),"",Deflatores!H48)</f>
        <v/>
      </c>
      <c r="I53" s="185" t="str">
        <f t="shared" si="2"/>
        <v/>
      </c>
      <c r="J53" s="186" t="str">
        <f t="shared" si="3"/>
        <v/>
      </c>
      <c r="K53" s="127"/>
      <c r="L53" s="127"/>
      <c r="M53" s="166"/>
    </row>
    <row r="54" ht="12.0" customHeight="1">
      <c r="A54" s="165"/>
      <c r="B54" s="13" t="str">
        <f>""&amp;Deflatores!B49</f>
        <v/>
      </c>
      <c r="C54" s="11"/>
      <c r="D54" s="183" t="str">
        <f>""&amp;Deflatores!G49</f>
        <v>           .</v>
      </c>
      <c r="E54" s="184">
        <f>Deflatores!J49</f>
        <v>0</v>
      </c>
      <c r="F54" s="127"/>
      <c r="G54" s="127"/>
      <c r="H54" s="185" t="str">
        <f>IF(ISBLANK(Deflatores!H49),"",Deflatores!H49)</f>
        <v/>
      </c>
      <c r="I54" s="185" t="str">
        <f t="shared" si="2"/>
        <v/>
      </c>
      <c r="J54" s="186" t="str">
        <f t="shared" si="3"/>
        <v/>
      </c>
      <c r="K54" s="127"/>
      <c r="L54" s="127"/>
      <c r="M54" s="166"/>
    </row>
    <row r="55" ht="12.0" customHeight="1">
      <c r="A55" s="165"/>
      <c r="B55" s="13" t="str">
        <f>""&amp;Deflatores!B50</f>
        <v/>
      </c>
      <c r="C55" s="11"/>
      <c r="D55" s="183" t="str">
        <f>""&amp;Deflatores!G50</f>
        <v>           .</v>
      </c>
      <c r="E55" s="184">
        <f>Deflatores!J50</f>
        <v>0</v>
      </c>
      <c r="F55" s="127"/>
      <c r="G55" s="127"/>
      <c r="H55" s="185" t="str">
        <f>IF(ISBLANK(Deflatores!H50),"",Deflatores!H50)</f>
        <v/>
      </c>
      <c r="I55" s="185" t="str">
        <f t="shared" si="2"/>
        <v/>
      </c>
      <c r="J55" s="186" t="str">
        <f t="shared" si="3"/>
        <v/>
      </c>
      <c r="K55" s="127"/>
      <c r="L55" s="127"/>
      <c r="M55" s="166"/>
    </row>
    <row r="56" ht="12.0" customHeight="1">
      <c r="A56" s="165"/>
      <c r="B56" s="13" t="str">
        <f>""&amp;Deflatores!B51</f>
        <v/>
      </c>
      <c r="C56" s="11"/>
      <c r="D56" s="183" t="str">
        <f>""&amp;Deflatores!G51</f>
        <v>           .</v>
      </c>
      <c r="E56" s="184">
        <f>Deflatores!J51</f>
        <v>0</v>
      </c>
      <c r="F56" s="127"/>
      <c r="G56" s="127"/>
      <c r="H56" s="185" t="str">
        <f>IF(ISBLANK(Deflatores!H51),"",Deflatores!H51)</f>
        <v/>
      </c>
      <c r="I56" s="185" t="str">
        <f t="shared" si="2"/>
        <v/>
      </c>
      <c r="J56" s="186" t="str">
        <f t="shared" si="3"/>
        <v/>
      </c>
      <c r="K56" s="127"/>
      <c r="L56" s="127"/>
      <c r="M56" s="166"/>
    </row>
    <row r="57" ht="12.0" customHeight="1">
      <c r="A57" s="165"/>
      <c r="B57" s="13" t="str">
        <f>""&amp;Deflatores!B52</f>
        <v/>
      </c>
      <c r="C57" s="11"/>
      <c r="D57" s="183" t="str">
        <f>""&amp;Deflatores!G52</f>
        <v>           .</v>
      </c>
      <c r="E57" s="184">
        <f>Deflatores!J52</f>
        <v>0</v>
      </c>
      <c r="F57" s="127"/>
      <c r="G57" s="127"/>
      <c r="H57" s="185" t="str">
        <f>IF(ISBLANK(Deflatores!H52),"",Deflatores!H52)</f>
        <v/>
      </c>
      <c r="I57" s="185" t="str">
        <f t="shared" si="2"/>
        <v/>
      </c>
      <c r="J57" s="186" t="str">
        <f t="shared" si="3"/>
        <v/>
      </c>
      <c r="K57" s="127"/>
      <c r="L57" s="127"/>
      <c r="M57" s="166"/>
    </row>
    <row r="58" ht="12.0" customHeight="1">
      <c r="A58" s="165"/>
      <c r="B58" s="13" t="str">
        <f>""&amp;Deflatores!B53</f>
        <v/>
      </c>
      <c r="C58" s="11"/>
      <c r="D58" s="183" t="str">
        <f>""&amp;Deflatores!G53</f>
        <v>           .</v>
      </c>
      <c r="E58" s="184">
        <f>Deflatores!J53</f>
        <v>0</v>
      </c>
      <c r="F58" s="127"/>
      <c r="G58" s="127"/>
      <c r="H58" s="185" t="str">
        <f>IF(ISBLANK(Deflatores!H53),"",Deflatores!H53)</f>
        <v/>
      </c>
      <c r="I58" s="185" t="str">
        <f t="shared" si="2"/>
        <v/>
      </c>
      <c r="J58" s="186" t="str">
        <f t="shared" si="3"/>
        <v/>
      </c>
      <c r="K58" s="127"/>
      <c r="L58" s="127"/>
      <c r="M58" s="166"/>
    </row>
    <row r="59" ht="12.0" customHeight="1">
      <c r="A59" s="165"/>
      <c r="B59" s="13" t="str">
        <f>""&amp;Deflatores!B54</f>
        <v/>
      </c>
      <c r="C59" s="11"/>
      <c r="D59" s="183" t="str">
        <f>""&amp;Deflatores!G54</f>
        <v>           .</v>
      </c>
      <c r="E59" s="184">
        <f>Deflatores!J54</f>
        <v>0</v>
      </c>
      <c r="F59" s="127"/>
      <c r="G59" s="127"/>
      <c r="H59" s="185" t="str">
        <f>IF(ISBLANK(Deflatores!H54),"",Deflatores!H54)</f>
        <v/>
      </c>
      <c r="I59" s="185" t="str">
        <f t="shared" si="2"/>
        <v/>
      </c>
      <c r="J59" s="186" t="str">
        <f t="shared" si="3"/>
        <v/>
      </c>
      <c r="K59" s="127"/>
      <c r="L59" s="127"/>
      <c r="M59" s="166"/>
    </row>
    <row r="60" ht="12.0" customHeight="1">
      <c r="A60" s="165"/>
      <c r="B60" s="13" t="str">
        <f>""&amp;Deflatores!B55</f>
        <v/>
      </c>
      <c r="C60" s="11"/>
      <c r="D60" s="183" t="str">
        <f>""&amp;Deflatores!G55</f>
        <v>           .</v>
      </c>
      <c r="E60" s="184">
        <f>Deflatores!J55</f>
        <v>0</v>
      </c>
      <c r="F60" s="127"/>
      <c r="G60" s="127"/>
      <c r="H60" s="185" t="str">
        <f>IF(ISBLANK(Deflatores!H55),"",Deflatores!H55)</f>
        <v/>
      </c>
      <c r="I60" s="185" t="str">
        <f t="shared" si="2"/>
        <v/>
      </c>
      <c r="J60" s="186" t="str">
        <f t="shared" si="3"/>
        <v/>
      </c>
      <c r="K60" s="127"/>
      <c r="L60" s="127"/>
      <c r="M60" s="166"/>
    </row>
    <row r="61" ht="12.0" customHeight="1">
      <c r="A61" s="165"/>
      <c r="B61" s="13" t="str">
        <f>""&amp;Deflatores!B56</f>
        <v/>
      </c>
      <c r="C61" s="11"/>
      <c r="D61" s="183" t="str">
        <f>""&amp;Deflatores!G56</f>
        <v>           .</v>
      </c>
      <c r="E61" s="184">
        <f>Deflatores!J56</f>
        <v>0</v>
      </c>
      <c r="F61" s="127"/>
      <c r="G61" s="127"/>
      <c r="H61" s="185" t="str">
        <f>IF(ISBLANK(Deflatores!H56),"",Deflatores!H56)</f>
        <v/>
      </c>
      <c r="I61" s="185" t="str">
        <f t="shared" si="2"/>
        <v/>
      </c>
      <c r="J61" s="186" t="str">
        <f t="shared" si="3"/>
        <v/>
      </c>
      <c r="K61" s="127"/>
      <c r="L61" s="127"/>
      <c r="M61" s="166"/>
    </row>
    <row r="62" ht="12.0" customHeight="1">
      <c r="A62" s="165"/>
      <c r="B62" s="13" t="str">
        <f>""&amp;Deflatores!B57</f>
        <v/>
      </c>
      <c r="C62" s="11"/>
      <c r="D62" s="183" t="str">
        <f>""&amp;Deflatores!G57</f>
        <v>           .</v>
      </c>
      <c r="E62" s="184">
        <f>Deflatores!J57</f>
        <v>0</v>
      </c>
      <c r="F62" s="127"/>
      <c r="G62" s="127"/>
      <c r="H62" s="185" t="str">
        <f>IF(ISBLANK(Deflatores!H57),"",Deflatores!H57)</f>
        <v/>
      </c>
      <c r="I62" s="185" t="str">
        <f t="shared" si="2"/>
        <v/>
      </c>
      <c r="J62" s="186" t="str">
        <f t="shared" si="3"/>
        <v/>
      </c>
      <c r="K62" s="127"/>
      <c r="L62" s="127"/>
      <c r="M62" s="166"/>
    </row>
    <row r="63" ht="12.0" customHeight="1">
      <c r="A63" s="165"/>
      <c r="B63" s="13" t="str">
        <f>""&amp;Deflatores!B58</f>
        <v/>
      </c>
      <c r="C63" s="11"/>
      <c r="D63" s="183" t="str">
        <f>""&amp;Deflatores!G58</f>
        <v>           .</v>
      </c>
      <c r="E63" s="184">
        <f>Deflatores!J58</f>
        <v>0</v>
      </c>
      <c r="F63" s="127"/>
      <c r="G63" s="127"/>
      <c r="H63" s="185" t="str">
        <f>IF(ISBLANK(Deflatores!H58),"",Deflatores!H58)</f>
        <v/>
      </c>
      <c r="I63" s="185" t="str">
        <f t="shared" si="2"/>
        <v/>
      </c>
      <c r="J63" s="186" t="str">
        <f t="shared" si="3"/>
        <v/>
      </c>
      <c r="K63" s="127"/>
      <c r="L63" s="127"/>
      <c r="M63" s="166"/>
    </row>
    <row r="64" ht="12.0" customHeight="1">
      <c r="A64" s="165"/>
      <c r="B64" s="13" t="str">
        <f>""&amp;Deflatores!B59</f>
        <v/>
      </c>
      <c r="C64" s="11"/>
      <c r="D64" s="183" t="str">
        <f>""&amp;Deflatores!G59</f>
        <v>           .</v>
      </c>
      <c r="E64" s="184">
        <f>Deflatores!J59</f>
        <v>0</v>
      </c>
      <c r="F64" s="127"/>
      <c r="G64" s="127"/>
      <c r="H64" s="185" t="str">
        <f>IF(ISBLANK(Deflatores!H59),"",Deflatores!H59)</f>
        <v/>
      </c>
      <c r="I64" s="185" t="str">
        <f t="shared" si="2"/>
        <v/>
      </c>
      <c r="J64" s="186" t="str">
        <f t="shared" si="3"/>
        <v/>
      </c>
      <c r="K64" s="127"/>
      <c r="L64" s="127"/>
      <c r="M64" s="166"/>
    </row>
    <row r="65" ht="12.0" customHeight="1">
      <c r="A65" s="165"/>
      <c r="B65" s="13" t="str">
        <f>""&amp;Deflatores!B60</f>
        <v/>
      </c>
      <c r="C65" s="11"/>
      <c r="D65" s="183" t="str">
        <f>""&amp;Deflatores!G60</f>
        <v>           .</v>
      </c>
      <c r="E65" s="184">
        <f>Deflatores!J60</f>
        <v>0</v>
      </c>
      <c r="F65" s="127"/>
      <c r="G65" s="127"/>
      <c r="H65" s="185" t="str">
        <f>IF(ISBLANK(Deflatores!H60),"",Deflatores!H60)</f>
        <v/>
      </c>
      <c r="I65" s="185" t="str">
        <f t="shared" si="2"/>
        <v/>
      </c>
      <c r="J65" s="186" t="str">
        <f t="shared" si="3"/>
        <v/>
      </c>
      <c r="K65" s="127"/>
      <c r="L65" s="127"/>
      <c r="M65" s="166"/>
    </row>
    <row r="66" ht="12.0" customHeight="1">
      <c r="A66" s="165"/>
      <c r="B66" s="13" t="str">
        <f>""&amp;Deflatores!B61</f>
        <v/>
      </c>
      <c r="C66" s="11"/>
      <c r="D66" s="183" t="str">
        <f>""&amp;Deflatores!G61</f>
        <v>           .</v>
      </c>
      <c r="E66" s="184">
        <f>Deflatores!J61</f>
        <v>0</v>
      </c>
      <c r="F66" s="127"/>
      <c r="G66" s="127"/>
      <c r="H66" s="185" t="str">
        <f>IF(ISBLANK(Deflatores!H61),"",Deflatores!H61)</f>
        <v/>
      </c>
      <c r="I66" s="185" t="str">
        <f t="shared" si="2"/>
        <v/>
      </c>
      <c r="J66" s="186" t="str">
        <f t="shared" si="3"/>
        <v/>
      </c>
      <c r="K66" s="127"/>
      <c r="L66" s="127"/>
      <c r="M66" s="166"/>
    </row>
    <row r="67" ht="12.0" customHeight="1">
      <c r="A67" s="165"/>
      <c r="B67" s="13" t="str">
        <f>""&amp;Deflatores!B62</f>
        <v/>
      </c>
      <c r="C67" s="11"/>
      <c r="D67" s="183" t="str">
        <f>""&amp;Deflatores!G62</f>
        <v>           .</v>
      </c>
      <c r="E67" s="184">
        <f>Deflatores!J62</f>
        <v>0</v>
      </c>
      <c r="F67" s="127"/>
      <c r="G67" s="127"/>
      <c r="H67" s="185" t="str">
        <f>IF(ISBLANK(Deflatores!H62),"",Deflatores!H62)</f>
        <v/>
      </c>
      <c r="I67" s="185" t="str">
        <f t="shared" si="2"/>
        <v/>
      </c>
      <c r="J67" s="186" t="str">
        <f t="shared" si="3"/>
        <v/>
      </c>
      <c r="K67" s="127"/>
      <c r="L67" s="127"/>
      <c r="M67" s="166"/>
    </row>
    <row r="68" ht="12.0" customHeight="1">
      <c r="A68" s="165"/>
      <c r="B68" s="13" t="str">
        <f>""&amp;Deflatores!B63</f>
        <v/>
      </c>
      <c r="C68" s="11"/>
      <c r="D68" s="183" t="str">
        <f>""&amp;Deflatores!G63</f>
        <v>           .</v>
      </c>
      <c r="E68" s="184">
        <f>Deflatores!J63</f>
        <v>0</v>
      </c>
      <c r="F68" s="127"/>
      <c r="G68" s="127"/>
      <c r="H68" s="185" t="str">
        <f>IF(ISBLANK(Deflatores!H63),"",Deflatores!H63)</f>
        <v/>
      </c>
      <c r="I68" s="185" t="str">
        <f t="shared" si="2"/>
        <v/>
      </c>
      <c r="J68" s="186" t="str">
        <f t="shared" si="3"/>
        <v/>
      </c>
      <c r="K68" s="127"/>
      <c r="L68" s="127"/>
      <c r="M68" s="166"/>
    </row>
    <row r="69" ht="12.0" customHeight="1">
      <c r="A69" s="165"/>
      <c r="B69" s="13" t="str">
        <f>""&amp;Deflatores!B64</f>
        <v/>
      </c>
      <c r="C69" s="11"/>
      <c r="D69" s="183" t="str">
        <f>""&amp;Deflatores!G64</f>
        <v>           .</v>
      </c>
      <c r="E69" s="184">
        <f>Deflatores!J64</f>
        <v>0</v>
      </c>
      <c r="F69" s="178"/>
      <c r="G69" s="178"/>
      <c r="H69" s="185" t="str">
        <f>IF(ISBLANK(Deflatores!H64),"",Deflatores!H64)</f>
        <v/>
      </c>
      <c r="I69" s="185" t="str">
        <f t="shared" si="2"/>
        <v/>
      </c>
      <c r="J69" s="186" t="str">
        <f t="shared" si="3"/>
        <v/>
      </c>
      <c r="K69" s="127"/>
      <c r="L69" s="127"/>
      <c r="M69" s="166"/>
    </row>
    <row r="70" ht="12.0" customHeight="1">
      <c r="A70" s="187"/>
      <c r="B70" s="188"/>
      <c r="C70" s="189"/>
      <c r="D70" s="190"/>
      <c r="E70" s="191"/>
      <c r="F70" s="192"/>
      <c r="G70" s="192"/>
      <c r="H70" s="192"/>
      <c r="I70" s="193"/>
      <c r="J70" s="189"/>
      <c r="K70" s="189"/>
      <c r="L70" s="189"/>
      <c r="M70" s="194"/>
    </row>
    <row r="71" ht="12.0" customHeight="1"/>
    <row r="72" ht="12.0" customHeight="1"/>
    <row r="73" ht="12.0" customHeight="1"/>
    <row r="74" ht="12.0" customHeight="1"/>
    <row r="75" ht="12.0" customHeight="1"/>
    <row r="76" ht="12.0" customHeight="1"/>
    <row r="77" ht="12.0" customHeight="1"/>
    <row r="78" ht="12.0" customHeight="1"/>
    <row r="79" ht="12.0" customHeight="1"/>
    <row r="80" ht="12.0" customHeight="1"/>
    <row r="81" ht="12.0" customHeight="1"/>
    <row r="82" ht="12.0" customHeight="1"/>
    <row r="83" ht="12.0" customHeight="1"/>
    <row r="84" ht="12.0" customHeight="1"/>
    <row r="85" ht="12.0" customHeight="1"/>
    <row r="86" ht="12.0" customHeight="1"/>
    <row r="87" ht="12.0" customHeight="1"/>
    <row r="88" ht="12.0" customHeight="1"/>
    <row r="89" ht="12.0" customHeight="1"/>
    <row r="90" ht="12.0" customHeight="1"/>
    <row r="91" ht="12.0" customHeight="1"/>
    <row r="92" ht="12.0" customHeight="1"/>
    <row r="93" ht="12.0" customHeight="1"/>
    <row r="94" ht="12.0" customHeight="1"/>
    <row r="95" ht="12.0" customHeight="1"/>
    <row r="96" ht="12.0" customHeight="1"/>
    <row r="97" ht="12.0" customHeight="1"/>
    <row r="98" ht="12.0" customHeight="1"/>
    <row r="99" ht="12.0" customHeight="1"/>
    <row r="100" ht="12.0" customHeight="1"/>
    <row r="101" ht="12.0" customHeight="1"/>
    <row r="102" ht="12.0" customHeight="1"/>
    <row r="103" ht="12.0" customHeight="1"/>
    <row r="104" ht="12.0" customHeight="1"/>
    <row r="105" ht="12.0" customHeight="1"/>
    <row r="106" ht="12.0" customHeight="1"/>
    <row r="107" ht="12.0" customHeight="1"/>
    <row r="108" ht="12.0" customHeight="1"/>
    <row r="109" ht="12.0" customHeight="1"/>
    <row r="110" ht="12.0" customHeight="1"/>
    <row r="111" ht="12.0" customHeight="1"/>
    <row r="112" ht="12.0" customHeight="1"/>
    <row r="113" ht="12.0" customHeight="1"/>
    <row r="114" ht="12.0" customHeight="1"/>
    <row r="115" ht="12.0" customHeight="1"/>
    <row r="116" ht="12.0" customHeight="1"/>
    <row r="117" ht="12.0" customHeight="1"/>
    <row r="118" ht="12.0" customHeight="1"/>
    <row r="119" ht="12.0" customHeight="1"/>
    <row r="120" ht="12.0" customHeight="1"/>
    <row r="121" ht="12.0" customHeight="1"/>
    <row r="122" ht="12.0" customHeight="1"/>
    <row r="123" ht="12.0" customHeight="1"/>
    <row r="124" ht="12.0" customHeight="1"/>
    <row r="125" ht="12.0" customHeight="1"/>
    <row r="126" ht="12.0" customHeight="1"/>
    <row r="127" ht="12.0" customHeight="1"/>
    <row r="128" ht="12.0" customHeight="1"/>
    <row r="129" ht="12.0" customHeight="1"/>
    <row r="130" ht="12.0" customHeight="1"/>
    <row r="131" ht="12.0" customHeight="1"/>
    <row r="132" ht="12.0" customHeight="1"/>
    <row r="133" ht="12.0" customHeight="1"/>
    <row r="134" ht="12.0" customHeight="1"/>
    <row r="135" ht="12.0" customHeight="1"/>
    <row r="136" ht="12.0" customHeight="1"/>
    <row r="137" ht="12.0" customHeight="1"/>
    <row r="138" ht="12.0" customHeight="1"/>
    <row r="139" ht="12.0" customHeight="1"/>
    <row r="140" ht="12.0" customHeight="1"/>
    <row r="141" ht="12.0" customHeight="1"/>
    <row r="142" ht="12.0" customHeight="1"/>
    <row r="143" ht="12.0" customHeight="1"/>
    <row r="144" ht="12.0" customHeight="1"/>
    <row r="145" ht="12.0" customHeight="1"/>
    <row r="146" ht="12.0" customHeight="1"/>
    <row r="147" ht="12.0" customHeight="1"/>
    <row r="148" ht="12.0" customHeight="1"/>
    <row r="149" ht="12.0" customHeight="1"/>
    <row r="150" ht="12.0" customHeight="1"/>
    <row r="151" ht="12.0" customHeight="1"/>
    <row r="152" ht="12.0" customHeight="1"/>
    <row r="153" ht="12.0" customHeight="1"/>
    <row r="154" ht="12.0" customHeight="1"/>
    <row r="155" ht="12.0" customHeight="1"/>
    <row r="156" ht="12.0" customHeight="1"/>
    <row r="157" ht="12.0" customHeight="1"/>
    <row r="158" ht="12.0" customHeight="1"/>
    <row r="159" ht="12.0" customHeight="1"/>
    <row r="160" ht="12.0" customHeight="1"/>
    <row r="161" ht="12.0" customHeight="1"/>
    <row r="162" ht="12.0" customHeight="1"/>
    <row r="163" ht="12.0" customHeight="1"/>
    <row r="164" ht="12.0" customHeight="1"/>
    <row r="165" ht="12.0" customHeight="1"/>
    <row r="166" ht="12.0" customHeight="1"/>
    <row r="167" ht="12.0" customHeight="1"/>
    <row r="168" ht="12.0" customHeight="1"/>
    <row r="169" ht="12.0" customHeight="1"/>
    <row r="170" ht="12.0" customHeight="1"/>
    <row r="171" ht="12.0" customHeight="1"/>
    <row r="172" ht="12.0" customHeight="1"/>
    <row r="173" ht="12.0" customHeight="1"/>
    <row r="174" ht="12.0" customHeight="1"/>
    <row r="175" ht="12.0" customHeight="1"/>
    <row r="176" ht="12.0" customHeight="1"/>
    <row r="177" ht="12.0" customHeight="1"/>
    <row r="178" ht="12.0" customHeight="1"/>
    <row r="179" ht="12.0" customHeight="1"/>
    <row r="180" ht="12.0" customHeight="1"/>
    <row r="181" ht="12.0" customHeight="1"/>
    <row r="182" ht="12.0" customHeight="1"/>
    <row r="183" ht="12.0" customHeight="1"/>
    <row r="184" ht="12.0" customHeight="1"/>
    <row r="185" ht="12.0" customHeight="1"/>
    <row r="186" ht="12.0" customHeight="1"/>
    <row r="187" ht="12.0" customHeight="1"/>
    <row r="188" ht="12.0" customHeight="1"/>
    <row r="189" ht="12.0" customHeight="1"/>
    <row r="190" ht="12.0" customHeight="1"/>
    <row r="191" ht="12.0" customHeight="1"/>
    <row r="192" ht="12.0" customHeight="1"/>
    <row r="193" ht="12.0" customHeight="1"/>
    <row r="194" ht="12.0" customHeight="1"/>
    <row r="195" ht="12.0" customHeight="1"/>
    <row r="196" ht="12.0" customHeight="1"/>
    <row r="197" ht="12.0" customHeight="1"/>
    <row r="198" ht="12.0" customHeight="1"/>
    <row r="199" ht="12.0" customHeight="1"/>
    <row r="200" ht="12.0" customHeight="1"/>
    <row r="201" ht="12.0" customHeight="1"/>
    <row r="202" ht="12.0" customHeight="1"/>
    <row r="203" ht="12.0" customHeight="1"/>
    <row r="204" ht="12.0" customHeight="1"/>
    <row r="205" ht="12.0" customHeight="1"/>
    <row r="206" ht="12.0" customHeight="1"/>
    <row r="207" ht="12.0" customHeight="1"/>
    <row r="208" ht="12.0" customHeight="1"/>
    <row r="209" ht="12.0" customHeight="1"/>
    <row r="210" ht="12.0" customHeight="1"/>
    <row r="211" ht="12.0" customHeight="1"/>
    <row r="212" ht="12.0" customHeight="1"/>
    <row r="213" ht="12.0" customHeight="1"/>
    <row r="214" ht="12.0" customHeight="1"/>
    <row r="215" ht="12.0" customHeight="1"/>
    <row r="216" ht="12.0" customHeight="1"/>
    <row r="217" ht="12.0" customHeight="1"/>
    <row r="218" ht="12.0" customHeight="1"/>
    <row r="219" ht="12.0" customHeight="1"/>
    <row r="220" ht="12.0" customHeight="1"/>
    <row r="221" ht="12.0" customHeight="1"/>
    <row r="222" ht="12.0" customHeight="1"/>
    <row r="223" ht="12.0" customHeight="1"/>
    <row r="224" ht="12.0" customHeight="1"/>
    <row r="225" ht="12.0" customHeight="1"/>
    <row r="226" ht="12.0" customHeight="1"/>
    <row r="227" ht="12.0" customHeight="1"/>
    <row r="228" ht="12.0" customHeight="1"/>
    <row r="229" ht="12.0" customHeight="1"/>
    <row r="230" ht="12.0" customHeight="1"/>
    <row r="231" ht="12.0" customHeight="1"/>
    <row r="232" ht="12.0" customHeight="1"/>
    <row r="233" ht="12.0" customHeight="1"/>
    <row r="234" ht="12.0" customHeight="1"/>
    <row r="235" ht="12.0" customHeight="1"/>
    <row r="236" ht="12.0" customHeight="1"/>
    <row r="237" ht="12.0" customHeight="1"/>
    <row r="238" ht="12.0" customHeight="1"/>
    <row r="239" ht="12.0" customHeight="1"/>
    <row r="240" ht="12.0" customHeight="1"/>
    <row r="241" ht="12.0" customHeight="1"/>
    <row r="242" ht="12.0" customHeight="1"/>
    <row r="243" ht="12.0" customHeight="1"/>
    <row r="244" ht="12.0" customHeight="1"/>
    <row r="245" ht="12.0" customHeight="1"/>
    <row r="246" ht="12.0" customHeight="1"/>
    <row r="247" ht="12.0" customHeight="1"/>
    <row r="248" ht="12.0" customHeight="1"/>
    <row r="249" ht="12.0" customHeight="1"/>
    <row r="250" ht="12.0" customHeight="1"/>
    <row r="251" ht="12.0" customHeight="1"/>
    <row r="252" ht="12.0" customHeight="1"/>
    <row r="253" ht="12.0" customHeight="1"/>
    <row r="254" ht="12.0" customHeight="1"/>
    <row r="255" ht="12.0" customHeight="1"/>
    <row r="256" ht="12.0" customHeight="1"/>
    <row r="257" ht="12.0" customHeight="1"/>
    <row r="258" ht="12.0" customHeight="1"/>
    <row r="259" ht="12.0" customHeight="1"/>
    <row r="260" ht="12.0" customHeight="1"/>
    <row r="261" ht="12.0" customHeight="1"/>
    <row r="262" ht="12.0" customHeight="1"/>
    <row r="263" ht="12.0" customHeight="1"/>
    <row r="264" ht="12.0" customHeight="1"/>
    <row r="265" ht="12.0" customHeight="1"/>
    <row r="266" ht="12.0" customHeight="1"/>
    <row r="267" ht="12.0" customHeight="1"/>
    <row r="268" ht="12.0" customHeight="1"/>
    <row r="269" ht="12.0" customHeight="1"/>
    <row r="270" ht="12.0" customHeight="1"/>
    <row r="271" ht="12.0" customHeight="1"/>
    <row r="272" ht="12.0" customHeight="1"/>
    <row r="273" ht="12.0" customHeight="1"/>
    <row r="274" ht="12.0" customHeight="1"/>
    <row r="275" ht="12.0" customHeight="1"/>
    <row r="276" ht="12.0" customHeight="1"/>
    <row r="277" ht="12.0" customHeight="1"/>
    <row r="278" ht="12.0" customHeight="1"/>
    <row r="279" ht="12.0" customHeight="1"/>
    <row r="280" ht="12.0" customHeight="1"/>
    <row r="281" ht="12.0" customHeight="1"/>
    <row r="282" ht="12.0" customHeight="1"/>
    <row r="283" ht="12.0" customHeight="1"/>
    <row r="284" ht="12.0" customHeight="1"/>
    <row r="285" ht="12.0" customHeight="1"/>
    <row r="286" ht="12.0" customHeight="1"/>
    <row r="287" ht="12.0" customHeight="1"/>
    <row r="288" ht="12.0" customHeight="1"/>
    <row r="289" ht="12.0" customHeight="1"/>
    <row r="290" ht="12.0" customHeight="1"/>
    <row r="291" ht="12.0" customHeight="1"/>
    <row r="292" ht="12.0" customHeight="1"/>
    <row r="293" ht="12.0" customHeight="1"/>
    <row r="294" ht="12.0" customHeight="1"/>
    <row r="295" ht="12.0" customHeight="1"/>
    <row r="296" ht="12.0" customHeight="1"/>
    <row r="297" ht="12.0" customHeight="1"/>
    <row r="298" ht="12.0" customHeight="1"/>
    <row r="299" ht="12.0" customHeight="1"/>
    <row r="300" ht="12.0" customHeight="1"/>
    <row r="301" ht="12.0" customHeight="1"/>
    <row r="302" ht="12.0" customHeight="1"/>
    <row r="303" ht="12.0" customHeight="1"/>
    <row r="304" ht="12.0" customHeight="1"/>
    <row r="305" ht="12.0" customHeight="1"/>
    <row r="306" ht="12.0" customHeight="1"/>
    <row r="307" ht="12.0" customHeight="1"/>
    <row r="308" ht="12.0" customHeight="1"/>
    <row r="309" ht="12.0" customHeight="1"/>
    <row r="310" ht="12.0" customHeight="1"/>
    <row r="311" ht="12.0" customHeight="1"/>
    <row r="312" ht="12.0" customHeight="1"/>
    <row r="313" ht="12.0" customHeight="1"/>
    <row r="314" ht="12.0" customHeight="1"/>
    <row r="315" ht="12.0" customHeight="1"/>
    <row r="316" ht="12.0" customHeight="1"/>
    <row r="317" ht="12.0" customHeight="1"/>
    <row r="318" ht="12.0" customHeight="1"/>
    <row r="319" ht="12.0" customHeight="1"/>
    <row r="320" ht="12.0" customHeight="1"/>
    <row r="321" ht="12.0" customHeight="1"/>
    <row r="322" ht="12.0" customHeight="1"/>
    <row r="323" ht="12.0" customHeight="1"/>
    <row r="324" ht="12.0" customHeight="1"/>
    <row r="325" ht="12.0" customHeight="1"/>
    <row r="326" ht="12.0" customHeight="1"/>
    <row r="327" ht="12.0" customHeight="1"/>
    <row r="328" ht="12.0" customHeight="1"/>
    <row r="329" ht="12.0" customHeight="1"/>
    <row r="330" ht="12.0" customHeight="1"/>
    <row r="331" ht="12.0" customHeight="1"/>
    <row r="332" ht="12.0" customHeight="1"/>
    <row r="333" ht="12.0" customHeight="1"/>
    <row r="334" ht="12.0" customHeight="1"/>
    <row r="335" ht="12.0" customHeight="1"/>
    <row r="336" ht="12.0" customHeight="1"/>
    <row r="337" ht="12.0" customHeight="1"/>
    <row r="338" ht="12.0" customHeight="1"/>
    <row r="339" ht="12.0" customHeight="1"/>
    <row r="340" ht="12.0" customHeight="1"/>
    <row r="341" ht="12.0" customHeight="1"/>
    <row r="342" ht="12.0" customHeight="1"/>
    <row r="343" ht="12.0" customHeight="1"/>
    <row r="344" ht="12.0" customHeight="1"/>
    <row r="345" ht="12.0" customHeight="1"/>
    <row r="346" ht="12.0" customHeight="1"/>
    <row r="347" ht="12.0" customHeight="1"/>
    <row r="348" ht="12.0" customHeight="1"/>
    <row r="349" ht="12.0" customHeight="1"/>
    <row r="350" ht="12.0" customHeight="1"/>
    <row r="351" ht="12.0" customHeight="1"/>
    <row r="352" ht="12.0" customHeight="1"/>
    <row r="353" ht="12.0" customHeight="1"/>
    <row r="354" ht="12.0" customHeight="1"/>
    <row r="355" ht="12.0" customHeight="1"/>
    <row r="356" ht="12.0" customHeight="1"/>
    <row r="357" ht="12.0" customHeight="1"/>
    <row r="358" ht="12.0" customHeight="1"/>
    <row r="359" ht="12.0" customHeight="1"/>
    <row r="360" ht="12.0" customHeight="1"/>
    <row r="361" ht="12.0" customHeight="1"/>
    <row r="362" ht="12.0" customHeight="1"/>
    <row r="363" ht="12.0" customHeight="1"/>
    <row r="364" ht="12.0" customHeight="1"/>
    <row r="365" ht="12.0" customHeight="1"/>
    <row r="366" ht="12.0" customHeight="1"/>
    <row r="367" ht="12.0" customHeight="1"/>
    <row r="368" ht="12.0" customHeight="1"/>
    <row r="369" ht="12.0" customHeight="1"/>
    <row r="370" ht="12.0" customHeight="1"/>
    <row r="371" ht="12.0" customHeight="1"/>
    <row r="372" ht="12.0" customHeight="1"/>
    <row r="373" ht="12.0" customHeight="1"/>
    <row r="374" ht="12.0" customHeight="1"/>
    <row r="375" ht="12.0" customHeight="1"/>
    <row r="376" ht="12.0" customHeight="1"/>
    <row r="377" ht="12.0" customHeight="1"/>
    <row r="378" ht="12.0" customHeight="1"/>
    <row r="379" ht="12.0" customHeight="1"/>
    <row r="380" ht="12.0" customHeight="1"/>
    <row r="381" ht="12.0" customHeight="1"/>
    <row r="382" ht="12.0" customHeight="1"/>
    <row r="383" ht="12.0" customHeight="1"/>
    <row r="384" ht="12.0" customHeight="1"/>
    <row r="385" ht="12.0" customHeight="1"/>
    <row r="386" ht="12.0" customHeight="1"/>
    <row r="387" ht="12.0" customHeight="1"/>
    <row r="388" ht="12.0" customHeight="1"/>
    <row r="389" ht="12.0" customHeight="1"/>
    <row r="390" ht="12.0" customHeight="1"/>
    <row r="391" ht="12.0" customHeight="1"/>
    <row r="392" ht="12.0" customHeight="1"/>
    <row r="393" ht="12.0" customHeight="1"/>
    <row r="394" ht="12.0" customHeight="1"/>
    <row r="395" ht="12.0" customHeight="1"/>
    <row r="396" ht="12.0" customHeight="1"/>
    <row r="397" ht="12.0" customHeight="1"/>
    <row r="398" ht="12.0" customHeight="1"/>
    <row r="399" ht="12.0" customHeight="1"/>
    <row r="400" ht="12.0" customHeight="1"/>
    <row r="401" ht="12.0" customHeight="1"/>
    <row r="402" ht="12.0" customHeight="1"/>
    <row r="403" ht="12.0" customHeight="1"/>
    <row r="404" ht="12.0" customHeight="1"/>
    <row r="405" ht="12.0" customHeight="1"/>
    <row r="406" ht="12.0" customHeight="1"/>
    <row r="407" ht="12.0" customHeight="1"/>
    <row r="408" ht="12.0" customHeight="1"/>
    <row r="409" ht="12.0" customHeight="1"/>
    <row r="410" ht="12.0" customHeight="1"/>
    <row r="411" ht="12.0" customHeight="1"/>
    <row r="412" ht="12.0" customHeight="1"/>
    <row r="413" ht="12.0" customHeight="1"/>
    <row r="414" ht="12.0" customHeight="1"/>
    <row r="415" ht="12.0" customHeight="1"/>
    <row r="416" ht="12.0" customHeight="1"/>
    <row r="417" ht="12.0" customHeight="1"/>
    <row r="418" ht="12.0" customHeight="1"/>
    <row r="419" ht="12.0" customHeight="1"/>
    <row r="420" ht="12.0" customHeight="1"/>
    <row r="421" ht="12.0" customHeight="1"/>
    <row r="422" ht="12.0" customHeight="1"/>
    <row r="423" ht="12.0" customHeight="1"/>
    <row r="424" ht="12.0" customHeight="1"/>
    <row r="425" ht="12.0" customHeight="1"/>
    <row r="426" ht="12.0" customHeight="1"/>
    <row r="427" ht="12.0" customHeight="1"/>
    <row r="428" ht="12.0" customHeight="1"/>
    <row r="429" ht="12.0" customHeight="1"/>
    <row r="430" ht="12.0" customHeight="1"/>
    <row r="431" ht="12.0" customHeight="1"/>
    <row r="432" ht="12.0" customHeight="1"/>
    <row r="433" ht="12.0" customHeight="1"/>
    <row r="434" ht="12.0" customHeight="1"/>
    <row r="435" ht="12.0" customHeight="1"/>
    <row r="436" ht="12.0" customHeight="1"/>
    <row r="437" ht="12.0" customHeight="1"/>
    <row r="438" ht="12.0" customHeight="1"/>
    <row r="439" ht="12.0" customHeight="1"/>
    <row r="440" ht="12.0" customHeight="1"/>
    <row r="441" ht="12.0" customHeight="1"/>
    <row r="442" ht="12.0" customHeight="1"/>
    <row r="443" ht="12.0" customHeight="1"/>
    <row r="444" ht="12.0" customHeight="1"/>
    <row r="445" ht="12.0" customHeight="1"/>
    <row r="446" ht="12.0" customHeight="1"/>
    <row r="447" ht="12.0" customHeight="1"/>
    <row r="448" ht="12.0" customHeight="1"/>
    <row r="449" ht="12.0" customHeight="1"/>
    <row r="450" ht="12.0" customHeight="1"/>
    <row r="451" ht="12.0" customHeight="1"/>
    <row r="452" ht="12.0" customHeight="1"/>
    <row r="453" ht="12.0" customHeight="1"/>
    <row r="454" ht="12.0" customHeight="1"/>
    <row r="455" ht="12.0" customHeight="1"/>
    <row r="456" ht="12.0" customHeight="1"/>
    <row r="457" ht="12.0" customHeight="1"/>
    <row r="458" ht="12.0" customHeight="1"/>
    <row r="459" ht="12.0" customHeight="1"/>
    <row r="460" ht="12.0" customHeight="1"/>
    <row r="461" ht="12.0" customHeight="1"/>
    <row r="462" ht="12.0" customHeight="1"/>
    <row r="463" ht="12.0" customHeight="1"/>
    <row r="464" ht="12.0" customHeight="1"/>
    <row r="465" ht="12.0" customHeight="1"/>
    <row r="466" ht="12.0" customHeight="1"/>
    <row r="467" ht="12.0" customHeight="1"/>
    <row r="468" ht="12.0" customHeight="1"/>
    <row r="469" ht="12.0" customHeight="1"/>
    <row r="470" ht="12.0" customHeight="1"/>
    <row r="471" ht="12.0" customHeight="1"/>
    <row r="472" ht="12.0" customHeight="1"/>
    <row r="473" ht="12.0" customHeight="1"/>
    <row r="474" ht="12.0" customHeight="1"/>
    <row r="475" ht="12.0" customHeight="1"/>
    <row r="476" ht="12.0" customHeight="1"/>
    <row r="477" ht="12.0" customHeight="1"/>
    <row r="478" ht="12.0" customHeight="1"/>
    <row r="479" ht="12.0" customHeight="1"/>
    <row r="480" ht="12.0" customHeight="1"/>
    <row r="481" ht="12.0" customHeight="1"/>
    <row r="482" ht="12.0" customHeight="1"/>
    <row r="483" ht="12.0" customHeight="1"/>
    <row r="484" ht="12.0" customHeight="1"/>
    <row r="485" ht="12.0" customHeight="1"/>
    <row r="486" ht="12.0" customHeight="1"/>
    <row r="487" ht="12.0" customHeight="1"/>
    <row r="488" ht="12.0" customHeight="1"/>
    <row r="489" ht="12.0" customHeight="1"/>
    <row r="490" ht="12.0" customHeight="1"/>
    <row r="491" ht="12.0" customHeight="1"/>
    <row r="492" ht="12.0" customHeight="1"/>
    <row r="493" ht="12.0" customHeight="1"/>
    <row r="494" ht="12.0" customHeight="1"/>
    <row r="495" ht="12.0" customHeight="1"/>
    <row r="496" ht="12.0" customHeight="1"/>
    <row r="497" ht="12.0" customHeight="1"/>
    <row r="498" ht="12.0" customHeight="1"/>
    <row r="499" ht="12.0" customHeight="1"/>
    <row r="500" ht="12.0" customHeight="1"/>
    <row r="501" ht="12.0" customHeight="1"/>
    <row r="502" ht="12.0" customHeight="1"/>
    <row r="503" ht="12.0" customHeight="1"/>
    <row r="504" ht="12.0" customHeight="1"/>
    <row r="505" ht="12.0" customHeight="1"/>
    <row r="506" ht="12.0" customHeight="1"/>
    <row r="507" ht="12.0" customHeight="1"/>
    <row r="508" ht="12.0" customHeight="1"/>
    <row r="509" ht="12.0" customHeight="1"/>
    <row r="510" ht="12.0" customHeight="1"/>
    <row r="511" ht="12.0" customHeight="1"/>
    <row r="512" ht="12.0" customHeight="1"/>
    <row r="513" ht="12.0" customHeight="1"/>
    <row r="514" ht="12.0" customHeight="1"/>
    <row r="515" ht="12.0" customHeight="1"/>
    <row r="516" ht="12.0" customHeight="1"/>
    <row r="517" ht="12.0" customHeight="1"/>
    <row r="518" ht="12.0" customHeight="1"/>
    <row r="519" ht="12.0" customHeight="1"/>
    <row r="520" ht="12.0" customHeight="1"/>
    <row r="521" ht="12.0" customHeight="1"/>
    <row r="522" ht="12.0" customHeight="1"/>
    <row r="523" ht="12.0" customHeight="1"/>
    <row r="524" ht="12.0" customHeight="1"/>
    <row r="525" ht="12.0" customHeight="1"/>
    <row r="526" ht="12.0" customHeight="1"/>
    <row r="527" ht="12.0" customHeight="1"/>
    <row r="528" ht="12.0" customHeight="1"/>
    <row r="529" ht="12.0" customHeight="1"/>
    <row r="530" ht="12.0" customHeight="1"/>
    <row r="531" ht="12.0" customHeight="1"/>
    <row r="532" ht="12.0" customHeight="1"/>
    <row r="533" ht="12.0" customHeight="1"/>
    <row r="534" ht="12.0" customHeight="1"/>
    <row r="535" ht="12.0" customHeight="1"/>
    <row r="536" ht="12.0" customHeight="1"/>
    <row r="537" ht="12.0" customHeight="1"/>
    <row r="538" ht="12.0" customHeight="1"/>
    <row r="539" ht="12.0" customHeight="1"/>
    <row r="540" ht="12.0" customHeight="1"/>
    <row r="541" ht="12.0" customHeight="1"/>
    <row r="542" ht="12.0" customHeight="1"/>
    <row r="543" ht="12.0" customHeight="1"/>
    <row r="544" ht="12.0" customHeight="1"/>
    <row r="545" ht="12.0" customHeight="1"/>
    <row r="546" ht="12.0" customHeight="1"/>
    <row r="547" ht="12.0" customHeight="1"/>
    <row r="548" ht="12.0" customHeight="1"/>
    <row r="549" ht="12.0" customHeight="1"/>
    <row r="550" ht="12.0" customHeight="1"/>
    <row r="551" ht="12.0" customHeight="1"/>
    <row r="552" ht="12.0" customHeight="1"/>
    <row r="553" ht="12.0" customHeight="1"/>
    <row r="554" ht="12.0" customHeight="1"/>
    <row r="555" ht="12.0" customHeight="1"/>
    <row r="556" ht="12.0" customHeight="1"/>
    <row r="557" ht="12.0" customHeight="1"/>
    <row r="558" ht="12.0" customHeight="1"/>
    <row r="559" ht="12.0" customHeight="1"/>
    <row r="560" ht="12.0" customHeight="1"/>
    <row r="561" ht="12.0" customHeight="1"/>
    <row r="562" ht="12.0" customHeight="1"/>
    <row r="563" ht="12.0" customHeight="1"/>
    <row r="564" ht="12.0" customHeight="1"/>
    <row r="565" ht="12.0" customHeight="1"/>
    <row r="566" ht="12.0" customHeight="1"/>
    <row r="567" ht="12.0" customHeight="1"/>
    <row r="568" ht="12.0" customHeight="1"/>
    <row r="569" ht="12.0" customHeight="1"/>
    <row r="570" ht="12.0" customHeight="1"/>
    <row r="571" ht="12.0" customHeight="1"/>
    <row r="572" ht="12.0" customHeight="1"/>
    <row r="573" ht="12.0" customHeight="1"/>
    <row r="574" ht="12.0" customHeight="1"/>
    <row r="575" ht="12.0" customHeight="1"/>
    <row r="576" ht="12.0" customHeight="1"/>
    <row r="577" ht="12.0" customHeight="1"/>
    <row r="578" ht="12.0" customHeight="1"/>
    <row r="579" ht="12.0" customHeight="1"/>
    <row r="580" ht="12.0" customHeight="1"/>
    <row r="581" ht="12.0" customHeight="1"/>
    <row r="582" ht="12.0" customHeight="1"/>
    <row r="583" ht="12.0" customHeight="1"/>
    <row r="584" ht="12.0" customHeight="1"/>
    <row r="585" ht="12.0" customHeight="1"/>
    <row r="586" ht="12.0" customHeight="1"/>
    <row r="587" ht="12.0" customHeight="1"/>
    <row r="588" ht="12.0" customHeight="1"/>
    <row r="589" ht="12.0" customHeight="1"/>
    <row r="590" ht="12.0" customHeight="1"/>
    <row r="591" ht="12.0" customHeight="1"/>
    <row r="592" ht="12.0" customHeight="1"/>
    <row r="593" ht="12.0" customHeight="1"/>
    <row r="594" ht="12.0" customHeight="1"/>
    <row r="595" ht="12.0" customHeight="1"/>
    <row r="596" ht="12.0" customHeight="1"/>
    <row r="597" ht="12.0" customHeight="1"/>
    <row r="598" ht="12.0" customHeight="1"/>
    <row r="599" ht="12.0" customHeight="1"/>
    <row r="600" ht="12.0" customHeight="1"/>
    <row r="601" ht="12.0" customHeight="1"/>
    <row r="602" ht="12.0" customHeight="1"/>
    <row r="603" ht="12.0" customHeight="1"/>
    <row r="604" ht="12.0" customHeight="1"/>
    <row r="605" ht="12.0" customHeight="1"/>
    <row r="606" ht="12.0" customHeight="1"/>
    <row r="607" ht="12.0" customHeight="1"/>
    <row r="608" ht="12.0" customHeight="1"/>
    <row r="609" ht="12.0" customHeight="1"/>
    <row r="610" ht="12.0" customHeight="1"/>
    <row r="611" ht="12.0" customHeight="1"/>
    <row r="612" ht="12.0" customHeight="1"/>
    <row r="613" ht="12.0" customHeight="1"/>
    <row r="614" ht="12.0" customHeight="1"/>
    <row r="615" ht="12.0" customHeight="1"/>
    <row r="616" ht="12.0" customHeight="1"/>
    <row r="617" ht="12.0" customHeight="1"/>
    <row r="618" ht="12.0" customHeight="1"/>
    <row r="619" ht="12.0" customHeight="1"/>
    <row r="620" ht="12.0" customHeight="1"/>
    <row r="621" ht="12.0" customHeight="1"/>
    <row r="622" ht="12.0" customHeight="1"/>
    <row r="623" ht="12.0" customHeight="1"/>
    <row r="624" ht="12.0" customHeight="1"/>
    <row r="625" ht="12.0" customHeight="1"/>
    <row r="626" ht="12.0" customHeight="1"/>
    <row r="627" ht="12.0" customHeight="1"/>
    <row r="628" ht="12.0" customHeight="1"/>
    <row r="629" ht="12.0" customHeight="1"/>
    <row r="630" ht="12.0" customHeight="1"/>
    <row r="631" ht="12.0" customHeight="1"/>
    <row r="632" ht="12.0" customHeight="1"/>
    <row r="633" ht="12.0" customHeight="1"/>
    <row r="634" ht="12.0" customHeight="1"/>
    <row r="635" ht="12.0" customHeight="1"/>
    <row r="636" ht="12.0" customHeight="1"/>
    <row r="637" ht="12.0" customHeight="1"/>
    <row r="638" ht="12.0" customHeight="1"/>
    <row r="639" ht="12.0" customHeight="1"/>
    <row r="640" ht="12.0" customHeight="1"/>
    <row r="641" ht="12.0" customHeight="1"/>
    <row r="642" ht="12.0" customHeight="1"/>
    <row r="643" ht="12.0" customHeight="1"/>
    <row r="644" ht="12.0" customHeight="1"/>
    <row r="645" ht="12.0" customHeight="1"/>
    <row r="646" ht="12.0" customHeight="1"/>
    <row r="647" ht="12.0" customHeight="1"/>
    <row r="648" ht="12.0" customHeight="1"/>
    <row r="649" ht="12.0" customHeight="1"/>
    <row r="650" ht="12.0" customHeight="1"/>
    <row r="651" ht="12.0" customHeight="1"/>
    <row r="652" ht="12.0" customHeight="1"/>
    <row r="653" ht="12.0" customHeight="1"/>
    <row r="654" ht="12.0" customHeight="1"/>
    <row r="655" ht="12.0" customHeight="1"/>
    <row r="656" ht="12.0" customHeight="1"/>
    <row r="657" ht="12.0" customHeight="1"/>
    <row r="658" ht="12.0" customHeight="1"/>
    <row r="659" ht="12.0" customHeight="1"/>
    <row r="660" ht="12.0" customHeight="1"/>
    <row r="661" ht="12.0" customHeight="1"/>
    <row r="662" ht="12.0" customHeight="1"/>
    <row r="663" ht="12.0" customHeight="1"/>
    <row r="664" ht="12.0" customHeight="1"/>
    <row r="665" ht="12.0" customHeight="1"/>
    <row r="666" ht="12.0" customHeight="1"/>
    <row r="667" ht="12.0" customHeight="1"/>
    <row r="668" ht="12.0" customHeight="1"/>
    <row r="669" ht="12.0" customHeight="1"/>
    <row r="670" ht="12.0" customHeight="1"/>
    <row r="671" ht="12.0" customHeight="1"/>
    <row r="672" ht="12.0" customHeight="1"/>
    <row r="673" ht="12.0" customHeight="1"/>
    <row r="674" ht="12.0" customHeight="1"/>
    <row r="675" ht="12.0" customHeight="1"/>
    <row r="676" ht="12.0" customHeight="1"/>
    <row r="677" ht="12.0" customHeight="1"/>
    <row r="678" ht="12.0" customHeight="1"/>
    <row r="679" ht="12.0" customHeight="1"/>
    <row r="680" ht="12.0" customHeight="1"/>
    <row r="681" ht="12.0" customHeight="1"/>
    <row r="682" ht="12.0" customHeight="1"/>
    <row r="683" ht="12.0" customHeight="1"/>
    <row r="684" ht="12.0" customHeight="1"/>
    <row r="685" ht="12.0" customHeight="1"/>
    <row r="686" ht="12.0" customHeight="1"/>
    <row r="687" ht="12.0" customHeight="1"/>
    <row r="688" ht="12.0" customHeight="1"/>
    <row r="689" ht="12.0" customHeight="1"/>
    <row r="690" ht="12.0" customHeight="1"/>
    <row r="691" ht="12.0" customHeight="1"/>
    <row r="692" ht="12.0" customHeight="1"/>
    <row r="693" ht="12.0" customHeight="1"/>
    <row r="694" ht="12.0" customHeight="1"/>
    <row r="695" ht="12.0" customHeight="1"/>
    <row r="696" ht="12.0" customHeight="1"/>
    <row r="697" ht="12.0" customHeight="1"/>
    <row r="698" ht="12.0" customHeight="1"/>
    <row r="699" ht="12.0" customHeight="1"/>
    <row r="700" ht="12.0" customHeight="1"/>
    <row r="701" ht="12.0" customHeight="1"/>
    <row r="702" ht="12.0" customHeight="1"/>
    <row r="703" ht="12.0" customHeight="1"/>
    <row r="704" ht="12.0" customHeight="1"/>
    <row r="705" ht="12.0" customHeight="1"/>
    <row r="706" ht="12.0" customHeight="1"/>
    <row r="707" ht="12.0" customHeight="1"/>
    <row r="708" ht="12.0" customHeight="1"/>
    <row r="709" ht="12.0" customHeight="1"/>
    <row r="710" ht="12.0" customHeight="1"/>
    <row r="711" ht="12.0" customHeight="1"/>
    <row r="712" ht="12.0" customHeight="1"/>
    <row r="713" ht="12.0" customHeight="1"/>
    <row r="714" ht="12.0" customHeight="1"/>
    <row r="715" ht="12.0" customHeight="1"/>
    <row r="716" ht="12.0" customHeight="1"/>
    <row r="717" ht="12.0" customHeight="1"/>
    <row r="718" ht="12.0" customHeight="1"/>
    <row r="719" ht="12.0" customHeight="1"/>
    <row r="720" ht="12.0" customHeight="1"/>
    <row r="721" ht="12.0" customHeight="1"/>
    <row r="722" ht="12.0" customHeight="1"/>
    <row r="723" ht="12.0" customHeight="1"/>
    <row r="724" ht="12.0" customHeight="1"/>
    <row r="725" ht="12.0" customHeight="1"/>
    <row r="726" ht="12.0" customHeight="1"/>
    <row r="727" ht="12.0" customHeight="1"/>
    <row r="728" ht="12.0" customHeight="1"/>
    <row r="729" ht="12.0" customHeight="1"/>
    <row r="730" ht="12.0" customHeight="1"/>
    <row r="731" ht="12.0" customHeight="1"/>
    <row r="732" ht="12.0" customHeight="1"/>
    <row r="733" ht="12.0" customHeight="1"/>
    <row r="734" ht="12.0" customHeight="1"/>
    <row r="735" ht="12.0" customHeight="1"/>
    <row r="736" ht="12.0" customHeight="1"/>
    <row r="737" ht="12.0" customHeight="1"/>
    <row r="738" ht="12.0" customHeight="1"/>
    <row r="739" ht="12.0" customHeight="1"/>
    <row r="740" ht="12.0" customHeight="1"/>
    <row r="741" ht="12.0" customHeight="1"/>
    <row r="742" ht="12.0" customHeight="1"/>
    <row r="743" ht="12.0" customHeight="1"/>
    <row r="744" ht="12.0" customHeight="1"/>
    <row r="745" ht="12.0" customHeight="1"/>
    <row r="746" ht="12.0" customHeight="1"/>
    <row r="747" ht="12.0" customHeight="1"/>
    <row r="748" ht="12.0" customHeight="1"/>
    <row r="749" ht="12.0" customHeight="1"/>
    <row r="750" ht="12.0" customHeight="1"/>
    <row r="751" ht="12.0" customHeight="1"/>
    <row r="752" ht="12.0" customHeight="1"/>
    <row r="753" ht="12.0" customHeight="1"/>
    <row r="754" ht="12.0" customHeight="1"/>
    <row r="755" ht="12.0" customHeight="1"/>
    <row r="756" ht="12.0" customHeight="1"/>
    <row r="757" ht="12.0" customHeight="1"/>
    <row r="758" ht="12.0" customHeight="1"/>
    <row r="759" ht="12.0" customHeight="1"/>
    <row r="760" ht="12.0" customHeight="1"/>
    <row r="761" ht="12.0" customHeight="1"/>
    <row r="762" ht="12.0" customHeight="1"/>
    <row r="763" ht="12.0" customHeight="1"/>
    <row r="764" ht="12.0" customHeight="1"/>
    <row r="765" ht="12.0" customHeight="1"/>
    <row r="766" ht="12.0" customHeight="1"/>
    <row r="767" ht="12.0" customHeight="1"/>
    <row r="768" ht="12.0" customHeight="1"/>
    <row r="769" ht="12.0" customHeight="1"/>
    <row r="770" ht="12.0" customHeight="1"/>
    <row r="771" ht="12.0" customHeight="1"/>
    <row r="772" ht="12.0" customHeight="1"/>
    <row r="773" ht="12.0" customHeight="1"/>
    <row r="774" ht="12.0" customHeight="1"/>
    <row r="775" ht="12.0" customHeight="1"/>
    <row r="776" ht="12.0" customHeight="1"/>
    <row r="777" ht="12.0" customHeight="1"/>
    <row r="778" ht="12.0" customHeight="1"/>
    <row r="779" ht="12.0" customHeight="1"/>
    <row r="780" ht="12.0" customHeight="1"/>
    <row r="781" ht="12.0" customHeight="1"/>
    <row r="782" ht="12.0" customHeight="1"/>
    <row r="783" ht="12.0" customHeight="1"/>
    <row r="784" ht="12.0" customHeight="1"/>
    <row r="785" ht="12.0" customHeight="1"/>
    <row r="786" ht="12.0" customHeight="1"/>
    <row r="787" ht="12.0" customHeight="1"/>
    <row r="788" ht="12.0" customHeight="1"/>
    <row r="789" ht="12.0" customHeight="1"/>
    <row r="790" ht="12.0" customHeight="1"/>
    <row r="791" ht="12.0" customHeight="1"/>
    <row r="792" ht="12.0" customHeight="1"/>
    <row r="793" ht="12.0" customHeight="1"/>
    <row r="794" ht="12.0" customHeight="1"/>
    <row r="795" ht="12.0" customHeight="1"/>
    <row r="796" ht="12.0" customHeight="1"/>
    <row r="797" ht="12.0" customHeight="1"/>
    <row r="798" ht="12.0" customHeight="1"/>
    <row r="799" ht="12.0" customHeight="1"/>
    <row r="800" ht="12.0" customHeight="1"/>
    <row r="801" ht="12.0" customHeight="1"/>
    <row r="802" ht="12.0" customHeight="1"/>
    <row r="803" ht="12.0" customHeight="1"/>
    <row r="804" ht="12.0" customHeight="1"/>
    <row r="805" ht="12.0" customHeight="1"/>
    <row r="806" ht="12.0" customHeight="1"/>
    <row r="807" ht="12.0" customHeight="1"/>
    <row r="808" ht="12.0" customHeight="1"/>
    <row r="809" ht="12.0" customHeight="1"/>
    <row r="810" ht="12.0" customHeight="1"/>
    <row r="811" ht="12.0" customHeight="1"/>
    <row r="812" ht="12.0" customHeight="1"/>
    <row r="813" ht="12.0" customHeight="1"/>
    <row r="814" ht="12.0" customHeight="1"/>
    <row r="815" ht="12.0" customHeight="1"/>
    <row r="816" ht="12.0" customHeight="1"/>
    <row r="817" ht="12.0" customHeight="1"/>
    <row r="818" ht="12.0" customHeight="1"/>
    <row r="819" ht="12.0" customHeight="1"/>
    <row r="820" ht="12.0" customHeight="1"/>
    <row r="821" ht="12.0" customHeight="1"/>
    <row r="822" ht="12.0" customHeight="1"/>
    <row r="823" ht="12.0" customHeight="1"/>
    <row r="824" ht="12.0" customHeight="1"/>
    <row r="825" ht="12.0" customHeight="1"/>
    <row r="826" ht="12.0" customHeight="1"/>
    <row r="827" ht="12.0" customHeight="1"/>
    <row r="828" ht="12.0" customHeight="1"/>
    <row r="829" ht="12.0" customHeight="1"/>
    <row r="830" ht="12.0" customHeight="1"/>
    <row r="831" ht="12.0" customHeight="1"/>
    <row r="832" ht="12.0" customHeight="1"/>
    <row r="833" ht="12.0" customHeight="1"/>
    <row r="834" ht="12.0" customHeight="1"/>
    <row r="835" ht="12.0" customHeight="1"/>
    <row r="836" ht="12.0" customHeight="1"/>
    <row r="837" ht="12.0" customHeight="1"/>
    <row r="838" ht="12.0" customHeight="1"/>
    <row r="839" ht="12.0" customHeight="1"/>
    <row r="840" ht="12.0" customHeight="1"/>
    <row r="841" ht="12.0" customHeight="1"/>
    <row r="842" ht="12.0" customHeight="1"/>
    <row r="843" ht="12.0" customHeight="1"/>
    <row r="844" ht="12.0" customHeight="1"/>
    <row r="845" ht="12.0" customHeight="1"/>
    <row r="846" ht="12.0" customHeight="1"/>
    <row r="847" ht="12.0" customHeight="1"/>
    <row r="848" ht="12.0" customHeight="1"/>
    <row r="849" ht="12.0" customHeight="1"/>
    <row r="850" ht="12.0" customHeight="1"/>
    <row r="851" ht="12.0" customHeight="1"/>
    <row r="852" ht="12.0" customHeight="1"/>
    <row r="853" ht="12.0" customHeight="1"/>
    <row r="854" ht="12.0" customHeight="1"/>
    <row r="855" ht="12.0" customHeight="1"/>
    <row r="856" ht="12.0" customHeight="1"/>
    <row r="857" ht="12.0" customHeight="1"/>
    <row r="858" ht="12.0" customHeight="1"/>
    <row r="859" ht="12.0" customHeight="1"/>
    <row r="860" ht="12.0" customHeight="1"/>
    <row r="861" ht="12.0" customHeight="1"/>
    <row r="862" ht="12.0" customHeight="1"/>
    <row r="863" ht="12.0" customHeight="1"/>
    <row r="864" ht="12.0" customHeight="1"/>
    <row r="865" ht="12.0" customHeight="1"/>
    <row r="866" ht="12.0" customHeight="1"/>
    <row r="867" ht="12.0" customHeight="1"/>
    <row r="868" ht="12.0" customHeight="1"/>
    <row r="869" ht="12.0" customHeight="1"/>
    <row r="870" ht="12.0" customHeight="1"/>
    <row r="871" ht="12.0" customHeight="1"/>
    <row r="872" ht="12.0" customHeight="1"/>
    <row r="873" ht="12.0" customHeight="1"/>
    <row r="874" ht="12.0" customHeight="1"/>
    <row r="875" ht="12.0" customHeight="1"/>
    <row r="876" ht="12.0" customHeight="1"/>
    <row r="877" ht="12.0" customHeight="1"/>
    <row r="878" ht="12.0" customHeight="1"/>
    <row r="879" ht="12.0" customHeight="1"/>
    <row r="880" ht="12.0" customHeight="1"/>
    <row r="881" ht="12.0" customHeight="1"/>
    <row r="882" ht="12.0" customHeight="1"/>
    <row r="883" ht="12.0" customHeight="1"/>
    <row r="884" ht="12.0" customHeight="1"/>
    <row r="885" ht="12.0" customHeight="1"/>
    <row r="886" ht="12.0" customHeight="1"/>
    <row r="887" ht="12.0" customHeight="1"/>
    <row r="888" ht="12.0" customHeight="1"/>
    <row r="889" ht="12.0" customHeight="1"/>
    <row r="890" ht="12.0" customHeight="1"/>
    <row r="891" ht="12.0" customHeight="1"/>
    <row r="892" ht="12.0" customHeight="1"/>
    <row r="893" ht="12.0" customHeight="1"/>
    <row r="894" ht="12.0" customHeight="1"/>
    <row r="895" ht="12.0" customHeight="1"/>
    <row r="896" ht="12.0" customHeight="1"/>
    <row r="897" ht="12.0" customHeight="1"/>
    <row r="898" ht="12.0" customHeight="1"/>
    <row r="899" ht="12.0" customHeight="1"/>
    <row r="900" ht="12.0" customHeight="1"/>
    <row r="901" ht="12.0" customHeight="1"/>
    <row r="902" ht="12.0" customHeight="1"/>
    <row r="903" ht="12.0" customHeight="1"/>
    <row r="904" ht="12.0" customHeight="1"/>
    <row r="905" ht="12.0" customHeight="1"/>
    <row r="906" ht="12.0" customHeight="1"/>
    <row r="907" ht="12.0" customHeight="1"/>
    <row r="908" ht="12.0" customHeight="1"/>
    <row r="909" ht="12.0" customHeight="1"/>
    <row r="910" ht="12.0" customHeight="1"/>
    <row r="911" ht="12.0" customHeight="1"/>
    <row r="912" ht="12.0" customHeight="1"/>
    <row r="913" ht="12.0" customHeight="1"/>
    <row r="914" ht="12.0" customHeight="1"/>
    <row r="915" ht="12.0" customHeight="1"/>
    <row r="916" ht="12.0" customHeight="1"/>
    <row r="917" ht="12.0" customHeight="1"/>
    <row r="918" ht="12.0" customHeight="1"/>
    <row r="919" ht="12.0" customHeight="1"/>
    <row r="920" ht="12.0" customHeight="1"/>
    <row r="921" ht="12.0" customHeight="1"/>
    <row r="922" ht="12.0" customHeight="1"/>
    <row r="923" ht="12.0" customHeight="1"/>
    <row r="924" ht="12.0" customHeight="1"/>
    <row r="925" ht="12.0" customHeight="1"/>
    <row r="926" ht="12.0" customHeight="1"/>
    <row r="927" ht="12.0" customHeight="1"/>
    <row r="928" ht="12.0" customHeight="1"/>
    <row r="929" ht="12.0" customHeight="1"/>
    <row r="930" ht="12.0" customHeight="1"/>
    <row r="931" ht="12.0" customHeight="1"/>
    <row r="932" ht="12.0" customHeight="1"/>
    <row r="933" ht="12.0" customHeight="1"/>
    <row r="934" ht="12.0" customHeight="1"/>
    <row r="935" ht="12.0" customHeight="1"/>
    <row r="936" ht="12.0" customHeight="1"/>
    <row r="937" ht="12.0" customHeight="1"/>
    <row r="938" ht="12.0" customHeight="1"/>
    <row r="939" ht="12.0" customHeight="1"/>
    <row r="940" ht="12.0" customHeight="1"/>
    <row r="941" ht="12.0" customHeight="1"/>
    <row r="942" ht="12.0" customHeight="1"/>
    <row r="943" ht="12.0" customHeight="1"/>
    <row r="944" ht="12.0" customHeight="1"/>
    <row r="945" ht="12.0" customHeight="1"/>
    <row r="946" ht="12.0" customHeight="1"/>
    <row r="947" ht="12.0" customHeight="1"/>
    <row r="948" ht="12.0" customHeight="1"/>
    <row r="949" ht="12.0" customHeight="1"/>
    <row r="950" ht="12.0" customHeight="1"/>
    <row r="951" ht="12.0" customHeight="1"/>
    <row r="952" ht="12.0" customHeight="1"/>
    <row r="953" ht="12.0" customHeight="1"/>
    <row r="954" ht="12.0" customHeight="1"/>
    <row r="955" ht="12.0" customHeight="1"/>
    <row r="956" ht="12.0" customHeight="1"/>
    <row r="957" ht="12.0" customHeight="1"/>
    <row r="958" ht="12.0" customHeight="1"/>
    <row r="959" ht="12.0" customHeight="1"/>
    <row r="960" ht="12.0" customHeight="1"/>
    <row r="961" ht="12.0" customHeight="1"/>
    <row r="962" ht="12.0" customHeight="1"/>
    <row r="963" ht="12.0" customHeight="1"/>
    <row r="964" ht="12.0" customHeight="1"/>
    <row r="965" ht="12.0" customHeight="1"/>
    <row r="966" ht="12.0" customHeight="1"/>
    <row r="967" ht="12.0" customHeight="1"/>
    <row r="968" ht="12.0" customHeight="1"/>
    <row r="969" ht="12.0" customHeight="1"/>
    <row r="970" ht="12.0" customHeight="1"/>
    <row r="971" ht="12.0" customHeight="1"/>
    <row r="972" ht="12.0" customHeight="1"/>
    <row r="973" ht="12.0" customHeight="1"/>
    <row r="974" ht="12.0" customHeight="1"/>
    <row r="975" ht="12.0" customHeight="1"/>
    <row r="976" ht="12.0" customHeight="1"/>
    <row r="977" ht="12.0" customHeight="1"/>
    <row r="978" ht="12.0" customHeight="1"/>
    <row r="979" ht="12.0" customHeight="1"/>
    <row r="980" ht="12.0" customHeight="1"/>
    <row r="981" ht="12.0" customHeight="1"/>
    <row r="982" ht="12.0" customHeight="1"/>
    <row r="983" ht="12.0" customHeight="1"/>
    <row r="984" ht="12.0" customHeight="1"/>
    <row r="985" ht="12.0" customHeight="1"/>
    <row r="986" ht="12.0" customHeight="1"/>
    <row r="987" ht="12.0" customHeight="1"/>
    <row r="988" ht="12.0" customHeight="1"/>
    <row r="989" ht="12.0" customHeight="1"/>
    <row r="990" ht="12.0" customHeight="1"/>
    <row r="991" ht="12.0" customHeight="1"/>
    <row r="992" ht="12.0" customHeight="1"/>
    <row r="993" ht="12.0" customHeight="1"/>
    <row r="994" ht="12.0" customHeight="1"/>
    <row r="995" ht="12.0" customHeight="1"/>
    <row r="996" ht="12.0" customHeight="1"/>
    <row r="997" ht="12.0" customHeight="1"/>
    <row r="998" ht="12.0" customHeight="1"/>
    <row r="999" ht="12.0" customHeight="1"/>
    <row r="1000" ht="12.0" customHeight="1"/>
  </sheetData>
  <mergeCells count="68">
    <mergeCell ref="B51:C51"/>
    <mergeCell ref="B52:C52"/>
    <mergeCell ref="B53:C53"/>
    <mergeCell ref="B54:C54"/>
    <mergeCell ref="B55:C55"/>
    <mergeCell ref="B56:C56"/>
    <mergeCell ref="B57:C57"/>
    <mergeCell ref="B65:C65"/>
    <mergeCell ref="B66:C66"/>
    <mergeCell ref="B67:C67"/>
    <mergeCell ref="B68:C68"/>
    <mergeCell ref="B69:C69"/>
    <mergeCell ref="B58:C58"/>
    <mergeCell ref="B59:C59"/>
    <mergeCell ref="B60:C60"/>
    <mergeCell ref="B61:C61"/>
    <mergeCell ref="B62:C62"/>
    <mergeCell ref="B63:C63"/>
    <mergeCell ref="B64:C64"/>
    <mergeCell ref="A1:M3"/>
    <mergeCell ref="A4:E4"/>
    <mergeCell ref="F4:M4"/>
    <mergeCell ref="A5:E5"/>
    <mergeCell ref="F5:M5"/>
    <mergeCell ref="A6:E6"/>
    <mergeCell ref="F6:M6"/>
    <mergeCell ref="B8:I8"/>
    <mergeCell ref="B9:D9"/>
    <mergeCell ref="B10:C10"/>
    <mergeCell ref="B11:C11"/>
    <mergeCell ref="B12:C12"/>
    <mergeCell ref="B13:C13"/>
    <mergeCell ref="B14:C14"/>
    <mergeCell ref="B15:C15"/>
    <mergeCell ref="B16:C16"/>
    <mergeCell ref="B17:C17"/>
    <mergeCell ref="B18:C18"/>
    <mergeCell ref="B19:C19"/>
    <mergeCell ref="B20:C20"/>
    <mergeCell ref="B21:C21"/>
    <mergeCell ref="B22:C22"/>
    <mergeCell ref="B23:C23"/>
    <mergeCell ref="B24:C24"/>
    <mergeCell ref="B25:C25"/>
    <mergeCell ref="B26:C26"/>
    <mergeCell ref="B27:C27"/>
    <mergeCell ref="B28:C28"/>
    <mergeCell ref="B29:C29"/>
    <mergeCell ref="B30:C30"/>
    <mergeCell ref="B31:C31"/>
    <mergeCell ref="B32:C32"/>
    <mergeCell ref="B33:C33"/>
    <mergeCell ref="B34:C34"/>
    <mergeCell ref="B35:C35"/>
    <mergeCell ref="B36:C36"/>
    <mergeCell ref="B37:C37"/>
    <mergeCell ref="B38:C38"/>
    <mergeCell ref="B39:C39"/>
    <mergeCell ref="B40:C40"/>
    <mergeCell ref="B41:C41"/>
    <mergeCell ref="B42:C42"/>
    <mergeCell ref="B43:C43"/>
    <mergeCell ref="B44:C44"/>
    <mergeCell ref="B46:D46"/>
    <mergeCell ref="B47:C47"/>
    <mergeCell ref="B48:C48"/>
    <mergeCell ref="B49:C49"/>
    <mergeCell ref="B50:C50"/>
  </mergeCells>
  <printOptions/>
  <pageMargins bottom="1.023611111111111" footer="0.0" header="0.0" left="0.7875" right="0.7875" top="1.023611111111111"/>
  <pageSetup paperSize="9" scale="47" orientation="portrait"/>
  <headerFooter>
    <oddFooter>&amp;CPágina &amp;P de </oddFooter>
  </headerFooter>
  <drawing r:id="rId2"/>
  <legacyDrawing r:id="rId3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2015-06-26T19:24:40Z</dcterms:created>
  <dc:creator>Jonathas Gomes Marques</dc:creator>
</cp:coreProperties>
</file>