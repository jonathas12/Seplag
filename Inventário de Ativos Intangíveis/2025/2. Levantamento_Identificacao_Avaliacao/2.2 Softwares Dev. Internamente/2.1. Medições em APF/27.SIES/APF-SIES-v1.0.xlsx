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1. Medições em APF\27.SIES\"/>
    </mc:Choice>
  </mc:AlternateContent>
  <bookViews>
    <workbookView xWindow="0" yWindow="0" windowWidth="28800" windowHeight="12435" tabRatio="340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L205" i="2" l="1"/>
  <c r="J205" i="2"/>
  <c r="I205" i="2"/>
  <c r="G205" i="2" s="1"/>
  <c r="F205" i="2" l="1"/>
  <c r="H205" i="2"/>
  <c r="K205" i="2" s="1"/>
  <c r="L200" i="2"/>
  <c r="J200" i="2"/>
  <c r="I200" i="2"/>
  <c r="G200" i="2" s="1"/>
  <c r="L199" i="2"/>
  <c r="J199" i="2"/>
  <c r="I199" i="2"/>
  <c r="F199" i="2" s="1"/>
  <c r="L198" i="2"/>
  <c r="J198" i="2"/>
  <c r="I198" i="2"/>
  <c r="G198" i="2" s="1"/>
  <c r="H198" i="2"/>
  <c r="F198" i="2"/>
  <c r="J23" i="2"/>
  <c r="I23" i="2"/>
  <c r="G23" i="2" s="1"/>
  <c r="J21" i="2"/>
  <c r="I21" i="2"/>
  <c r="G21" i="2" s="1"/>
  <c r="J22" i="2"/>
  <c r="I22" i="2"/>
  <c r="G22" i="2" s="1"/>
  <c r="L19" i="2"/>
  <c r="J19" i="2"/>
  <c r="I19" i="2"/>
  <c r="G19" i="2" s="1"/>
  <c r="L18" i="2"/>
  <c r="J18" i="2"/>
  <c r="I18" i="2"/>
  <c r="G18" i="2" s="1"/>
  <c r="L45" i="2"/>
  <c r="J45" i="2"/>
  <c r="I45" i="2"/>
  <c r="G45" i="2" s="1"/>
  <c r="J43" i="2"/>
  <c r="I43" i="2"/>
  <c r="H43" i="2" s="1"/>
  <c r="J41" i="2"/>
  <c r="I41" i="2"/>
  <c r="H41" i="2" s="1"/>
  <c r="J39" i="2"/>
  <c r="I39" i="2"/>
  <c r="H39" i="2" s="1"/>
  <c r="J36" i="2"/>
  <c r="I36" i="2"/>
  <c r="H36" i="2" s="1"/>
  <c r="J34" i="2"/>
  <c r="I34" i="2"/>
  <c r="H34" i="2" s="1"/>
  <c r="J33" i="2"/>
  <c r="I33" i="2"/>
  <c r="H33" i="2" s="1"/>
  <c r="J30" i="2"/>
  <c r="I30" i="2"/>
  <c r="H30" i="2" s="1"/>
  <c r="L20" i="2"/>
  <c r="J20" i="2"/>
  <c r="I20" i="2"/>
  <c r="H20" i="2" s="1"/>
  <c r="J28" i="2"/>
  <c r="I28" i="2"/>
  <c r="F28" i="2" s="1"/>
  <c r="J26" i="2"/>
  <c r="I26" i="2"/>
  <c r="H26" i="2" s="1"/>
  <c r="G26" i="2"/>
  <c r="J24" i="2"/>
  <c r="I24" i="2"/>
  <c r="G24" i="2" s="1"/>
  <c r="J37" i="2"/>
  <c r="I37" i="2"/>
  <c r="G37" i="2" s="1"/>
  <c r="L35" i="2"/>
  <c r="J35" i="2"/>
  <c r="I35" i="2"/>
  <c r="G35" i="2" s="1"/>
  <c r="H35" i="2"/>
  <c r="J32" i="2"/>
  <c r="I32" i="2"/>
  <c r="G32" i="2" s="1"/>
  <c r="J31" i="2"/>
  <c r="I31" i="2"/>
  <c r="G31" i="2" s="1"/>
  <c r="J29" i="2"/>
  <c r="I29" i="2"/>
  <c r="G29" i="2" s="1"/>
  <c r="J40" i="2"/>
  <c r="I40" i="2"/>
  <c r="H40" i="2" s="1"/>
  <c r="L40" i="2" s="1"/>
  <c r="J38" i="2"/>
  <c r="I38" i="2"/>
  <c r="G38" i="2" s="1"/>
  <c r="L44" i="2"/>
  <c r="J44" i="2"/>
  <c r="I44" i="2"/>
  <c r="G44" i="2" s="1"/>
  <c r="J42" i="2"/>
  <c r="I42" i="2"/>
  <c r="G42" i="2" s="1"/>
  <c r="L25" i="2"/>
  <c r="K25" i="2" s="1"/>
  <c r="J25" i="2"/>
  <c r="I25" i="2"/>
  <c r="G25" i="2" s="1"/>
  <c r="H25" i="2"/>
  <c r="F25" i="2"/>
  <c r="L27" i="2"/>
  <c r="J27" i="2"/>
  <c r="I27" i="2"/>
  <c r="G27" i="2" s="1"/>
  <c r="L92" i="2"/>
  <c r="J92" i="2"/>
  <c r="I92" i="2"/>
  <c r="G92" i="2" s="1"/>
  <c r="L93" i="2"/>
  <c r="J93" i="2"/>
  <c r="I93" i="2"/>
  <c r="G93" i="2" s="1"/>
  <c r="L16" i="2"/>
  <c r="J16" i="2"/>
  <c r="I16" i="2"/>
  <c r="G16" i="2" s="1"/>
  <c r="F16" i="2"/>
  <c r="L17" i="2"/>
  <c r="J17" i="2"/>
  <c r="I17" i="2"/>
  <c r="G17" i="2" s="1"/>
  <c r="J49" i="2"/>
  <c r="I49" i="2"/>
  <c r="G49" i="2" s="1"/>
  <c r="J63" i="2"/>
  <c r="I63" i="2"/>
  <c r="G63" i="2" s="1"/>
  <c r="L13" i="2"/>
  <c r="J13" i="2"/>
  <c r="I13" i="2"/>
  <c r="G13" i="2" s="1"/>
  <c r="L12" i="2"/>
  <c r="J12" i="2"/>
  <c r="I12" i="2"/>
  <c r="G12" i="2" s="1"/>
  <c r="L11" i="2"/>
  <c r="J11" i="2"/>
  <c r="I11" i="2"/>
  <c r="G11" i="2" s="1"/>
  <c r="L10" i="2"/>
  <c r="J10" i="2"/>
  <c r="I10" i="2"/>
  <c r="G10" i="2" s="1"/>
  <c r="L15" i="2"/>
  <c r="J15" i="2"/>
  <c r="I15" i="2"/>
  <c r="G15" i="2" s="1"/>
  <c r="L14" i="2"/>
  <c r="J14" i="2"/>
  <c r="I14" i="2"/>
  <c r="G14" i="2" s="1"/>
  <c r="L46" i="2"/>
  <c r="J46" i="2"/>
  <c r="I46" i="2"/>
  <c r="G46" i="2" s="1"/>
  <c r="F200" i="2" l="1"/>
  <c r="H200" i="2"/>
  <c r="K200" i="2" s="1"/>
  <c r="H44" i="2"/>
  <c r="K44" i="2" s="1"/>
  <c r="F44" i="2"/>
  <c r="F35" i="2"/>
  <c r="F93" i="2"/>
  <c r="H92" i="2"/>
  <c r="K92" i="2" s="1"/>
  <c r="F92" i="2"/>
  <c r="H46" i="2"/>
  <c r="K46" i="2" s="1"/>
  <c r="F46" i="2"/>
  <c r="F40" i="2"/>
  <c r="H37" i="2"/>
  <c r="L37" i="2" s="1"/>
  <c r="H31" i="2"/>
  <c r="F31" i="2"/>
  <c r="H28" i="2"/>
  <c r="L28" i="2" s="1"/>
  <c r="F24" i="2"/>
  <c r="H24" i="2"/>
  <c r="F23" i="2"/>
  <c r="H23" i="2"/>
  <c r="H21" i="2"/>
  <c r="H19" i="2"/>
  <c r="K19" i="2" s="1"/>
  <c r="F10" i="2"/>
  <c r="H10" i="2"/>
  <c r="K10" i="2" s="1"/>
  <c r="K35" i="2"/>
  <c r="H199" i="2"/>
  <c r="K199" i="2" s="1"/>
  <c r="G199" i="2"/>
  <c r="K198" i="2"/>
  <c r="F22" i="2"/>
  <c r="H22" i="2"/>
  <c r="F21" i="2"/>
  <c r="F20" i="2"/>
  <c r="G20" i="2"/>
  <c r="F19" i="2"/>
  <c r="H93" i="2"/>
  <c r="K93" i="2" s="1"/>
  <c r="F63" i="2"/>
  <c r="H63" i="2"/>
  <c r="F18" i="2"/>
  <c r="H18" i="2"/>
  <c r="K18" i="2" s="1"/>
  <c r="F49" i="2"/>
  <c r="H49" i="2"/>
  <c r="F45" i="2"/>
  <c r="H45" i="2"/>
  <c r="K45" i="2" s="1"/>
  <c r="L43" i="2"/>
  <c r="K43" i="2" s="1"/>
  <c r="F43" i="2"/>
  <c r="G43" i="2"/>
  <c r="L41" i="2"/>
  <c r="K41" i="2" s="1"/>
  <c r="F41" i="2"/>
  <c r="G41" i="2"/>
  <c r="L39" i="2"/>
  <c r="K39" i="2" s="1"/>
  <c r="F39" i="2"/>
  <c r="G39" i="2"/>
  <c r="L36" i="2"/>
  <c r="K36" i="2" s="1"/>
  <c r="F36" i="2"/>
  <c r="G36" i="2"/>
  <c r="L34" i="2"/>
  <c r="K34" i="2" s="1"/>
  <c r="F34" i="2"/>
  <c r="G34" i="2"/>
  <c r="L33" i="2"/>
  <c r="K33" i="2" s="1"/>
  <c r="F33" i="2"/>
  <c r="G33" i="2"/>
  <c r="L30" i="2"/>
  <c r="K30" i="2" s="1"/>
  <c r="K20" i="2"/>
  <c r="F30" i="2"/>
  <c r="G30" i="2"/>
  <c r="G28" i="2"/>
  <c r="L26" i="2"/>
  <c r="K26" i="2" s="1"/>
  <c r="F26" i="2"/>
  <c r="H42" i="2"/>
  <c r="F42" i="2"/>
  <c r="G40" i="2"/>
  <c r="F38" i="2"/>
  <c r="H38" i="2"/>
  <c r="F37" i="2"/>
  <c r="F29" i="2"/>
  <c r="F32" i="2"/>
  <c r="H29" i="2"/>
  <c r="H32" i="2"/>
  <c r="F27" i="2"/>
  <c r="H27" i="2"/>
  <c r="K27" i="2" s="1"/>
  <c r="K40" i="2"/>
  <c r="F17" i="2"/>
  <c r="H17" i="2"/>
  <c r="K17" i="2" s="1"/>
  <c r="H16" i="2"/>
  <c r="K16" i="2" s="1"/>
  <c r="F15" i="2"/>
  <c r="H15" i="2"/>
  <c r="K15" i="2" s="1"/>
  <c r="F14" i="2"/>
  <c r="H14" i="2"/>
  <c r="K14" i="2" s="1"/>
  <c r="H12" i="2"/>
  <c r="K12" i="2" s="1"/>
  <c r="F12" i="2"/>
  <c r="F13" i="2"/>
  <c r="H13" i="2"/>
  <c r="K13" i="2" s="1"/>
  <c r="H11" i="2"/>
  <c r="K11" i="2" s="1"/>
  <c r="F11" i="2"/>
  <c r="J96" i="2"/>
  <c r="I96" i="2"/>
  <c r="G96" i="2" s="1"/>
  <c r="K28" i="2" l="1"/>
  <c r="K24" i="2"/>
  <c r="L24" i="2"/>
  <c r="K23" i="2"/>
  <c r="L23" i="2"/>
  <c r="K22" i="2"/>
  <c r="L22" i="2"/>
  <c r="K21" i="2"/>
  <c r="L21" i="2"/>
  <c r="K37" i="2"/>
  <c r="L63" i="2"/>
  <c r="K63" i="2" s="1"/>
  <c r="L49" i="2"/>
  <c r="K49" i="2" s="1"/>
  <c r="L42" i="2"/>
  <c r="K42" i="2" s="1"/>
  <c r="L38" i="2"/>
  <c r="K38" i="2" s="1"/>
  <c r="L32" i="2"/>
  <c r="K32" i="2" s="1"/>
  <c r="L31" i="2"/>
  <c r="K31" i="2" s="1"/>
  <c r="L29" i="2"/>
  <c r="K29" i="2" s="1"/>
  <c r="H96" i="2"/>
  <c r="F96" i="2"/>
  <c r="J81" i="2"/>
  <c r="I81" i="2"/>
  <c r="H81" i="2" s="1"/>
  <c r="J69" i="2"/>
  <c r="I69" i="2"/>
  <c r="G69" i="2" s="1"/>
  <c r="J68" i="2"/>
  <c r="I68" i="2"/>
  <c r="G68" i="2" s="1"/>
  <c r="L96" i="2" l="1"/>
  <c r="K96" i="2" s="1"/>
  <c r="L81" i="2"/>
  <c r="K81" i="2" s="1"/>
  <c r="G81" i="2"/>
  <c r="F81" i="2"/>
  <c r="H68" i="2"/>
  <c r="L68" i="2" s="1"/>
  <c r="K68" i="2" s="1"/>
  <c r="F69" i="2"/>
  <c r="H69" i="2"/>
  <c r="F68" i="2"/>
  <c r="J65" i="2"/>
  <c r="I65" i="2"/>
  <c r="H65" i="2" s="1"/>
  <c r="L65" i="2" s="1"/>
  <c r="J64" i="2"/>
  <c r="I64" i="2"/>
  <c r="H64" i="2" s="1"/>
  <c r="L64" i="2" s="1"/>
  <c r="J61" i="2"/>
  <c r="I61" i="2"/>
  <c r="G61" i="2" s="1"/>
  <c r="J52" i="2"/>
  <c r="I52" i="2"/>
  <c r="G52" i="2" s="1"/>
  <c r="J51" i="2"/>
  <c r="I51" i="2"/>
  <c r="G51" i="2" s="1"/>
  <c r="L69" i="2" l="1"/>
  <c r="K69" i="2" s="1"/>
  <c r="K64" i="2"/>
  <c r="K65" i="2"/>
  <c r="H61" i="2"/>
  <c r="F52" i="2"/>
  <c r="H52" i="2"/>
  <c r="F65" i="2"/>
  <c r="G65" i="2"/>
  <c r="F64" i="2"/>
  <c r="G64" i="2"/>
  <c r="F61" i="2"/>
  <c r="F51" i="2"/>
  <c r="H51" i="2"/>
  <c r="J271" i="2"/>
  <c r="I271" i="2"/>
  <c r="H271" i="2" s="1"/>
  <c r="L249" i="2"/>
  <c r="J249" i="2"/>
  <c r="I249" i="2"/>
  <c r="G249" i="2" s="1"/>
  <c r="J228" i="2"/>
  <c r="I228" i="2"/>
  <c r="G228" i="2" s="1"/>
  <c r="J239" i="2"/>
  <c r="I239" i="2"/>
  <c r="H239" i="2" s="1"/>
  <c r="L61" i="2" l="1"/>
  <c r="K61" i="2" s="1"/>
  <c r="L52" i="2"/>
  <c r="K52" i="2" s="1"/>
  <c r="L51" i="2"/>
  <c r="K51" i="2" s="1"/>
  <c r="L271" i="2"/>
  <c r="K271" i="2" s="1"/>
  <c r="F271" i="2"/>
  <c r="G271" i="2"/>
  <c r="H249" i="2"/>
  <c r="K249" i="2" s="1"/>
  <c r="F249" i="2"/>
  <c r="H228" i="2"/>
  <c r="F228" i="2"/>
  <c r="F239" i="2"/>
  <c r="L239" i="2"/>
  <c r="K239" i="2" s="1"/>
  <c r="G239" i="2"/>
  <c r="J220" i="2"/>
  <c r="I220" i="2"/>
  <c r="H220" i="2" s="1"/>
  <c r="J215" i="2"/>
  <c r="I215" i="2"/>
  <c r="H215" i="2" s="1"/>
  <c r="J126" i="2"/>
  <c r="I126" i="2"/>
  <c r="H126" i="2" s="1"/>
  <c r="J54" i="2"/>
  <c r="I54" i="2"/>
  <c r="G54" i="2" s="1"/>
  <c r="L228" i="2" l="1"/>
  <c r="K228" i="2" s="1"/>
  <c r="L220" i="2"/>
  <c r="K220" i="2" s="1"/>
  <c r="F220" i="2"/>
  <c r="G220" i="2"/>
  <c r="L215" i="2"/>
  <c r="K215" i="2" s="1"/>
  <c r="F215" i="2"/>
  <c r="G215" i="2"/>
  <c r="L126" i="2"/>
  <c r="K126" i="2" s="1"/>
  <c r="F126" i="2"/>
  <c r="G126" i="2"/>
  <c r="H54" i="2"/>
  <c r="F54" i="2"/>
  <c r="L191" i="2"/>
  <c r="J191" i="2"/>
  <c r="I191" i="2"/>
  <c r="G191" i="2" s="1"/>
  <c r="H191" i="2"/>
  <c r="L190" i="2"/>
  <c r="J190" i="2"/>
  <c r="I190" i="2"/>
  <c r="G190" i="2" s="1"/>
  <c r="H190" i="2"/>
  <c r="F190" i="2"/>
  <c r="L192" i="2"/>
  <c r="J192" i="2"/>
  <c r="I192" i="2"/>
  <c r="G192" i="2" s="1"/>
  <c r="J47" i="2"/>
  <c r="I47" i="2"/>
  <c r="G47" i="2" s="1"/>
  <c r="J173" i="2"/>
  <c r="I173" i="2"/>
  <c r="H173" i="2" s="1"/>
  <c r="J169" i="2"/>
  <c r="I169" i="2"/>
  <c r="G169" i="2" s="1"/>
  <c r="J62" i="2"/>
  <c r="I62" i="2"/>
  <c r="G62" i="2" s="1"/>
  <c r="J72" i="2"/>
  <c r="I72" i="2"/>
  <c r="G72" i="2" s="1"/>
  <c r="J55" i="2"/>
  <c r="I55" i="2"/>
  <c r="H55" i="2" s="1"/>
  <c r="J50" i="2"/>
  <c r="I50" i="2"/>
  <c r="H50" i="2" s="1"/>
  <c r="F192" i="2" l="1"/>
  <c r="H192" i="2"/>
  <c r="K190" i="2"/>
  <c r="F191" i="2"/>
  <c r="H47" i="2"/>
  <c r="F47" i="2"/>
  <c r="H62" i="2"/>
  <c r="H72" i="2"/>
  <c r="F72" i="2"/>
  <c r="K191" i="2"/>
  <c r="L54" i="2"/>
  <c r="K54" i="2" s="1"/>
  <c r="K192" i="2"/>
  <c r="L173" i="2"/>
  <c r="K173" i="2" s="1"/>
  <c r="F173" i="2"/>
  <c r="G173" i="2"/>
  <c r="F169" i="2"/>
  <c r="H169" i="2"/>
  <c r="F62" i="2"/>
  <c r="L55" i="2"/>
  <c r="K55" i="2" s="1"/>
  <c r="F55" i="2"/>
  <c r="G55" i="2"/>
  <c r="L50" i="2"/>
  <c r="K50" i="2" s="1"/>
  <c r="F50" i="2"/>
  <c r="G50" i="2"/>
  <c r="J48" i="2"/>
  <c r="I48" i="2"/>
  <c r="H48" i="2" s="1"/>
  <c r="L47" i="2" l="1"/>
  <c r="K47" i="2" s="1"/>
  <c r="L72" i="2"/>
  <c r="K72" i="2" s="1"/>
  <c r="L62" i="2"/>
  <c r="K62" i="2" s="1"/>
  <c r="F48" i="2"/>
  <c r="L169" i="2"/>
  <c r="K169" i="2" s="1"/>
  <c r="L48" i="2"/>
  <c r="K48" i="2" s="1"/>
  <c r="G48" i="2"/>
  <c r="J158" i="2" l="1"/>
  <c r="I158" i="2"/>
  <c r="H158" i="2" s="1"/>
  <c r="J132" i="2"/>
  <c r="I132" i="2"/>
  <c r="H132" i="2" s="1"/>
  <c r="J263" i="2"/>
  <c r="I263" i="2"/>
  <c r="H263" i="2" s="1"/>
  <c r="J188" i="2"/>
  <c r="I188" i="2"/>
  <c r="G188" i="2" s="1"/>
  <c r="J179" i="2"/>
  <c r="I179" i="2"/>
  <c r="G179" i="2" s="1"/>
  <c r="J180" i="2"/>
  <c r="I180" i="2"/>
  <c r="H180" i="2" s="1"/>
  <c r="L158" i="2" l="1"/>
  <c r="K158" i="2" s="1"/>
  <c r="F158" i="2"/>
  <c r="G158" i="2"/>
  <c r="L132" i="2"/>
  <c r="K132" i="2" s="1"/>
  <c r="F132" i="2"/>
  <c r="G132" i="2"/>
  <c r="F188" i="2"/>
  <c r="H188" i="2"/>
  <c r="L263" i="2"/>
  <c r="K263" i="2" s="1"/>
  <c r="G263" i="2"/>
  <c r="F263" i="2"/>
  <c r="L188" i="2"/>
  <c r="H179" i="2"/>
  <c r="F179" i="2"/>
  <c r="L180" i="2"/>
  <c r="K180" i="2" s="1"/>
  <c r="F180" i="2"/>
  <c r="G180" i="2"/>
  <c r="K188" i="2" l="1"/>
  <c r="L179" i="2"/>
  <c r="K179" i="2" s="1"/>
  <c r="J116" i="2" l="1"/>
  <c r="I116" i="2"/>
  <c r="H116" i="2" s="1"/>
  <c r="J110" i="2"/>
  <c r="I110" i="2"/>
  <c r="H110" i="2" s="1"/>
  <c r="J109" i="2"/>
  <c r="I109" i="2"/>
  <c r="H109" i="2" s="1"/>
  <c r="J102" i="2"/>
  <c r="I102" i="2"/>
  <c r="H102" i="2" s="1"/>
  <c r="J88" i="2"/>
  <c r="I88" i="2"/>
  <c r="H88" i="2" s="1"/>
  <c r="J73" i="2"/>
  <c r="I73" i="2"/>
  <c r="H73" i="2" s="1"/>
  <c r="J137" i="2"/>
  <c r="I137" i="2"/>
  <c r="H137" i="2" s="1"/>
  <c r="J251" i="2"/>
  <c r="I251" i="2"/>
  <c r="G251" i="2" s="1"/>
  <c r="J250" i="2"/>
  <c r="I250" i="2"/>
  <c r="G250" i="2" s="1"/>
  <c r="L248" i="2"/>
  <c r="J248" i="2"/>
  <c r="I248" i="2"/>
  <c r="G248" i="2" s="1"/>
  <c r="H248" i="2"/>
  <c r="F248" i="2"/>
  <c r="L247" i="2"/>
  <c r="J247" i="2"/>
  <c r="I247" i="2"/>
  <c r="G247" i="2" s="1"/>
  <c r="H247" i="2"/>
  <c r="F247" i="2"/>
  <c r="J253" i="2"/>
  <c r="I253" i="2"/>
  <c r="G253" i="2" s="1"/>
  <c r="J252" i="2"/>
  <c r="I252" i="2"/>
  <c r="G252" i="2" s="1"/>
  <c r="L254" i="2"/>
  <c r="J254" i="2"/>
  <c r="I254" i="2"/>
  <c r="G254" i="2" s="1"/>
  <c r="L241" i="2"/>
  <c r="J241" i="2"/>
  <c r="I241" i="2"/>
  <c r="G241" i="2" s="1"/>
  <c r="L240" i="2"/>
  <c r="J240" i="2"/>
  <c r="I240" i="2"/>
  <c r="G240" i="2" s="1"/>
  <c r="H240" i="2"/>
  <c r="F240" i="2"/>
  <c r="J242" i="2"/>
  <c r="I242" i="2"/>
  <c r="H242" i="2" s="1"/>
  <c r="J262" i="2"/>
  <c r="I262" i="2"/>
  <c r="H262" i="2" s="1"/>
  <c r="J260" i="2"/>
  <c r="I260" i="2"/>
  <c r="H260" i="2" s="1"/>
  <c r="J272" i="2"/>
  <c r="I272" i="2"/>
  <c r="H272" i="2" s="1"/>
  <c r="J270" i="2"/>
  <c r="I270" i="2"/>
  <c r="H270" i="2" s="1"/>
  <c r="J236" i="2"/>
  <c r="I236" i="2"/>
  <c r="H236" i="2" s="1"/>
  <c r="J237" i="2"/>
  <c r="I237" i="2"/>
  <c r="H237" i="2" s="1"/>
  <c r="J235" i="2"/>
  <c r="I235" i="2"/>
  <c r="F235" i="2" s="1"/>
  <c r="H235" i="2"/>
  <c r="L235" i="2" s="1"/>
  <c r="J233" i="2"/>
  <c r="I233" i="2"/>
  <c r="H233" i="2" s="1"/>
  <c r="J227" i="2"/>
  <c r="I227" i="2"/>
  <c r="G227" i="2" s="1"/>
  <c r="J223" i="2"/>
  <c r="I223" i="2"/>
  <c r="G223" i="2" s="1"/>
  <c r="L222" i="2"/>
  <c r="J222" i="2"/>
  <c r="I222" i="2"/>
  <c r="G222" i="2" s="1"/>
  <c r="J224" i="2"/>
  <c r="I224" i="2"/>
  <c r="G224" i="2" s="1"/>
  <c r="L221" i="2"/>
  <c r="J221" i="2"/>
  <c r="I221" i="2"/>
  <c r="G221" i="2" s="1"/>
  <c r="L226" i="2"/>
  <c r="J226" i="2"/>
  <c r="I226" i="2"/>
  <c r="G226" i="2" s="1"/>
  <c r="L225" i="2"/>
  <c r="J225" i="2"/>
  <c r="I225" i="2"/>
  <c r="G225" i="2" s="1"/>
  <c r="J217" i="2"/>
  <c r="I217" i="2"/>
  <c r="H217" i="2" s="1"/>
  <c r="J212" i="2"/>
  <c r="I212" i="2"/>
  <c r="H212" i="2" s="1"/>
  <c r="J213" i="2"/>
  <c r="I213" i="2"/>
  <c r="H213" i="2" s="1"/>
  <c r="L209" i="2"/>
  <c r="J209" i="2"/>
  <c r="I209" i="2"/>
  <c r="G209" i="2" s="1"/>
  <c r="L208" i="2"/>
  <c r="J208" i="2"/>
  <c r="I208" i="2"/>
  <c r="G208" i="2" s="1"/>
  <c r="J210" i="2"/>
  <c r="I210" i="2"/>
  <c r="H210" i="2" s="1"/>
  <c r="J204" i="2"/>
  <c r="I204" i="2"/>
  <c r="H204" i="2" s="1"/>
  <c r="J203" i="2"/>
  <c r="I203" i="2"/>
  <c r="H203" i="2" s="1"/>
  <c r="L196" i="2"/>
  <c r="J196" i="2"/>
  <c r="I196" i="2"/>
  <c r="G196" i="2" s="1"/>
  <c r="L195" i="2"/>
  <c r="J195" i="2"/>
  <c r="I195" i="2"/>
  <c r="G195" i="2" s="1"/>
  <c r="J197" i="2"/>
  <c r="I197" i="2"/>
  <c r="G197" i="2" s="1"/>
  <c r="L161" i="2"/>
  <c r="J161" i="2"/>
  <c r="I161" i="2"/>
  <c r="G161" i="2" s="1"/>
  <c r="J193" i="2"/>
  <c r="I193" i="2"/>
  <c r="G193" i="2" s="1"/>
  <c r="J187" i="2"/>
  <c r="I187" i="2"/>
  <c r="G187" i="2" s="1"/>
  <c r="J185" i="2"/>
  <c r="I185" i="2"/>
  <c r="H185" i="2" s="1"/>
  <c r="J184" i="2"/>
  <c r="I184" i="2"/>
  <c r="H184" i="2" s="1"/>
  <c r="J183" i="2"/>
  <c r="I183" i="2"/>
  <c r="H183" i="2" s="1"/>
  <c r="J182" i="2"/>
  <c r="I182" i="2"/>
  <c r="G182" i="2" s="1"/>
  <c r="J178" i="2"/>
  <c r="I178" i="2"/>
  <c r="H178" i="2" s="1"/>
  <c r="H226" i="2" l="1"/>
  <c r="F226" i="2"/>
  <c r="F208" i="2"/>
  <c r="H208" i="2"/>
  <c r="K208" i="2" s="1"/>
  <c r="F225" i="2"/>
  <c r="H225" i="2"/>
  <c r="K225" i="2" s="1"/>
  <c r="F161" i="2"/>
  <c r="H161" i="2"/>
  <c r="F254" i="2"/>
  <c r="H254" i="2"/>
  <c r="K254" i="2" s="1"/>
  <c r="F241" i="2"/>
  <c r="H241" i="2"/>
  <c r="F222" i="2"/>
  <c r="H222" i="2"/>
  <c r="K222" i="2" s="1"/>
  <c r="F221" i="2"/>
  <c r="H221" i="2"/>
  <c r="K221" i="2" s="1"/>
  <c r="F209" i="2"/>
  <c r="H209" i="2"/>
  <c r="K209" i="2" s="1"/>
  <c r="F196" i="2"/>
  <c r="H196" i="2"/>
  <c r="F195" i="2"/>
  <c r="H195" i="2"/>
  <c r="K247" i="2"/>
  <c r="L116" i="2"/>
  <c r="K116" i="2" s="1"/>
  <c r="F116" i="2"/>
  <c r="G116" i="2"/>
  <c r="L110" i="2"/>
  <c r="K110" i="2" s="1"/>
  <c r="F110" i="2"/>
  <c r="G110" i="2"/>
  <c r="L109" i="2"/>
  <c r="K109" i="2" s="1"/>
  <c r="F109" i="2"/>
  <c r="G109" i="2"/>
  <c r="L102" i="2"/>
  <c r="K102" i="2" s="1"/>
  <c r="F102" i="2"/>
  <c r="G102" i="2"/>
  <c r="L88" i="2"/>
  <c r="K88" i="2" s="1"/>
  <c r="F88" i="2"/>
  <c r="G88" i="2"/>
  <c r="L73" i="2"/>
  <c r="K73" i="2" s="1"/>
  <c r="F73" i="2"/>
  <c r="G73" i="2"/>
  <c r="G137" i="2"/>
  <c r="L137" i="2"/>
  <c r="K137" i="2" s="1"/>
  <c r="F137" i="2"/>
  <c r="F250" i="2"/>
  <c r="H250" i="2"/>
  <c r="F251" i="2"/>
  <c r="H251" i="2"/>
  <c r="F253" i="2"/>
  <c r="K248" i="2"/>
  <c r="H253" i="2"/>
  <c r="G235" i="2"/>
  <c r="F252" i="2"/>
  <c r="H252" i="2"/>
  <c r="L252" i="2" s="1"/>
  <c r="K252" i="2" s="1"/>
  <c r="K241" i="2"/>
  <c r="K240" i="2"/>
  <c r="L242" i="2"/>
  <c r="K242" i="2" s="1"/>
  <c r="F242" i="2"/>
  <c r="G242" i="2"/>
  <c r="L262" i="2"/>
  <c r="K262" i="2" s="1"/>
  <c r="F262" i="2"/>
  <c r="G262" i="2"/>
  <c r="L260" i="2"/>
  <c r="K260" i="2" s="1"/>
  <c r="F260" i="2"/>
  <c r="G260" i="2"/>
  <c r="L272" i="2"/>
  <c r="K272" i="2" s="1"/>
  <c r="F272" i="2"/>
  <c r="G272" i="2"/>
  <c r="L270" i="2"/>
  <c r="K270" i="2" s="1"/>
  <c r="F270" i="2"/>
  <c r="G270" i="2"/>
  <c r="G237" i="2"/>
  <c r="L236" i="2"/>
  <c r="K236" i="2" s="1"/>
  <c r="F236" i="2"/>
  <c r="G236" i="2"/>
  <c r="L237" i="2"/>
  <c r="K237" i="2" s="1"/>
  <c r="F237" i="2"/>
  <c r="K235" i="2"/>
  <c r="L233" i="2"/>
  <c r="K233" i="2" s="1"/>
  <c r="F233" i="2"/>
  <c r="G233" i="2"/>
  <c r="H227" i="2"/>
  <c r="F227" i="2"/>
  <c r="H224" i="2"/>
  <c r="L224" i="2" s="1"/>
  <c r="F224" i="2"/>
  <c r="F223" i="2"/>
  <c r="H223" i="2"/>
  <c r="K226" i="2"/>
  <c r="L217" i="2"/>
  <c r="K217" i="2" s="1"/>
  <c r="F217" i="2"/>
  <c r="G217" i="2"/>
  <c r="L212" i="2"/>
  <c r="K212" i="2" s="1"/>
  <c r="F212" i="2"/>
  <c r="G212" i="2"/>
  <c r="L213" i="2"/>
  <c r="K213" i="2" s="1"/>
  <c r="F213" i="2"/>
  <c r="G213" i="2"/>
  <c r="L210" i="2"/>
  <c r="K210" i="2" s="1"/>
  <c r="F210" i="2"/>
  <c r="G210" i="2"/>
  <c r="L204" i="2"/>
  <c r="K204" i="2" s="1"/>
  <c r="F204" i="2"/>
  <c r="G204" i="2"/>
  <c r="L203" i="2"/>
  <c r="K203" i="2" s="1"/>
  <c r="K196" i="2"/>
  <c r="F203" i="2"/>
  <c r="G203" i="2"/>
  <c r="K195" i="2"/>
  <c r="H197" i="2"/>
  <c r="L197" i="2" s="1"/>
  <c r="F197" i="2"/>
  <c r="K161" i="2"/>
  <c r="H193" i="2"/>
  <c r="F193" i="2"/>
  <c r="H187" i="2"/>
  <c r="F187" i="2"/>
  <c r="L185" i="2"/>
  <c r="K185" i="2" s="1"/>
  <c r="G185" i="2"/>
  <c r="F185" i="2"/>
  <c r="L184" i="2"/>
  <c r="K184" i="2" s="1"/>
  <c r="F184" i="2"/>
  <c r="G184" i="2"/>
  <c r="L183" i="2"/>
  <c r="K183" i="2" s="1"/>
  <c r="F183" i="2"/>
  <c r="G183" i="2"/>
  <c r="H182" i="2"/>
  <c r="F182" i="2"/>
  <c r="L178" i="2"/>
  <c r="K178" i="2" s="1"/>
  <c r="F178" i="2"/>
  <c r="G178" i="2"/>
  <c r="I175" i="2"/>
  <c r="G175" i="2" s="1"/>
  <c r="I176" i="2"/>
  <c r="G176" i="2" s="1"/>
  <c r="I177" i="2"/>
  <c r="F177" i="2" s="1"/>
  <c r="L176" i="2"/>
  <c r="J175" i="2"/>
  <c r="J176" i="2"/>
  <c r="J177" i="2"/>
  <c r="J172" i="2"/>
  <c r="I172" i="2"/>
  <c r="H172" i="2" s="1"/>
  <c r="J167" i="2"/>
  <c r="I167" i="2"/>
  <c r="F167" i="2" s="1"/>
  <c r="J165" i="2"/>
  <c r="I165" i="2"/>
  <c r="G165" i="2" s="1"/>
  <c r="J163" i="2"/>
  <c r="I163" i="2"/>
  <c r="H163" i="2" s="1"/>
  <c r="F176" i="2" l="1"/>
  <c r="H176" i="2"/>
  <c r="H175" i="2"/>
  <c r="L175" i="2" s="1"/>
  <c r="F175" i="2"/>
  <c r="L253" i="2"/>
  <c r="K253" i="2" s="1"/>
  <c r="L251" i="2"/>
  <c r="K251" i="2" s="1"/>
  <c r="L250" i="2"/>
  <c r="K250" i="2" s="1"/>
  <c r="L227" i="2"/>
  <c r="K227" i="2" s="1"/>
  <c r="K224" i="2"/>
  <c r="K176" i="2"/>
  <c r="L223" i="2"/>
  <c r="K223" i="2" s="1"/>
  <c r="K197" i="2"/>
  <c r="L193" i="2"/>
  <c r="K193" i="2" s="1"/>
  <c r="L187" i="2"/>
  <c r="K187" i="2" s="1"/>
  <c r="L182" i="2"/>
  <c r="K182" i="2" s="1"/>
  <c r="G177" i="2"/>
  <c r="H177" i="2"/>
  <c r="L172" i="2"/>
  <c r="K172" i="2" s="1"/>
  <c r="F172" i="2"/>
  <c r="G172" i="2"/>
  <c r="G167" i="2"/>
  <c r="H167" i="2"/>
  <c r="H165" i="2"/>
  <c r="F165" i="2"/>
  <c r="F163" i="2"/>
  <c r="G163" i="2"/>
  <c r="L163" i="2"/>
  <c r="K163" i="2" s="1"/>
  <c r="J162" i="2"/>
  <c r="I162" i="2"/>
  <c r="H162" i="2" s="1"/>
  <c r="J155" i="2"/>
  <c r="I155" i="2"/>
  <c r="H155" i="2" s="1"/>
  <c r="J151" i="2"/>
  <c r="I151" i="2"/>
  <c r="G151" i="2" s="1"/>
  <c r="J148" i="2"/>
  <c r="I148" i="2"/>
  <c r="G148" i="2" s="1"/>
  <c r="J145" i="2"/>
  <c r="I145" i="2"/>
  <c r="H145" i="2" s="1"/>
  <c r="J139" i="2"/>
  <c r="I139" i="2"/>
  <c r="H139" i="2" s="1"/>
  <c r="J134" i="2"/>
  <c r="I134" i="2"/>
  <c r="H134" i="2" s="1"/>
  <c r="J125" i="2"/>
  <c r="I125" i="2"/>
  <c r="H125" i="2" s="1"/>
  <c r="J143" i="2"/>
  <c r="I143" i="2"/>
  <c r="H143" i="2" s="1"/>
  <c r="J142" i="2"/>
  <c r="I142" i="2"/>
  <c r="H142" i="2" s="1"/>
  <c r="J141" i="2"/>
  <c r="I141" i="2"/>
  <c r="H141" i="2" s="1"/>
  <c r="J140" i="2"/>
  <c r="I140" i="2"/>
  <c r="G140" i="2" s="1"/>
  <c r="J131" i="2"/>
  <c r="I131" i="2"/>
  <c r="H131" i="2" s="1"/>
  <c r="J130" i="2"/>
  <c r="I130" i="2"/>
  <c r="H130" i="2" s="1"/>
  <c r="J129" i="2"/>
  <c r="I129" i="2"/>
  <c r="G129" i="2" s="1"/>
  <c r="J133" i="2"/>
  <c r="I133" i="2"/>
  <c r="F133" i="2" s="1"/>
  <c r="J127" i="2"/>
  <c r="I127" i="2"/>
  <c r="H127" i="2" s="1"/>
  <c r="J128" i="2"/>
  <c r="I128" i="2"/>
  <c r="H128" i="2" s="1"/>
  <c r="J123" i="2"/>
  <c r="I123" i="2"/>
  <c r="H123" i="2" s="1"/>
  <c r="J122" i="2"/>
  <c r="I122" i="2"/>
  <c r="H122" i="2" s="1"/>
  <c r="F162" i="2" l="1"/>
  <c r="K175" i="2"/>
  <c r="F143" i="2"/>
  <c r="L177" i="2"/>
  <c r="K177" i="2" s="1"/>
  <c r="L167" i="2"/>
  <c r="K167" i="2" s="1"/>
  <c r="L165" i="2"/>
  <c r="K165" i="2" s="1"/>
  <c r="L162" i="2"/>
  <c r="K162" i="2" s="1"/>
  <c r="G162" i="2"/>
  <c r="L155" i="2"/>
  <c r="K155" i="2" s="1"/>
  <c r="F155" i="2"/>
  <c r="G155" i="2"/>
  <c r="H151" i="2"/>
  <c r="F151" i="2"/>
  <c r="H148" i="2"/>
  <c r="F148" i="2"/>
  <c r="L145" i="2"/>
  <c r="K145" i="2" s="1"/>
  <c r="F145" i="2"/>
  <c r="G145" i="2"/>
  <c r="L139" i="2"/>
  <c r="K139" i="2" s="1"/>
  <c r="F139" i="2"/>
  <c r="G139" i="2"/>
  <c r="L134" i="2"/>
  <c r="K134" i="2" s="1"/>
  <c r="F134" i="2"/>
  <c r="G134" i="2"/>
  <c r="H129" i="2"/>
  <c r="L143" i="2"/>
  <c r="K143" i="2" s="1"/>
  <c r="G143" i="2"/>
  <c r="F129" i="2"/>
  <c r="L125" i="2"/>
  <c r="K125" i="2" s="1"/>
  <c r="F125" i="2"/>
  <c r="G125" i="2"/>
  <c r="L142" i="2"/>
  <c r="K142" i="2" s="1"/>
  <c r="F142" i="2"/>
  <c r="G142" i="2"/>
  <c r="L141" i="2"/>
  <c r="K141" i="2" s="1"/>
  <c r="F141" i="2"/>
  <c r="G141" i="2"/>
  <c r="H140" i="2"/>
  <c r="F140" i="2"/>
  <c r="L131" i="2"/>
  <c r="K131" i="2" s="1"/>
  <c r="F131" i="2"/>
  <c r="G131" i="2"/>
  <c r="L130" i="2"/>
  <c r="K130" i="2" s="1"/>
  <c r="F130" i="2"/>
  <c r="G130" i="2"/>
  <c r="G133" i="2"/>
  <c r="H133" i="2"/>
  <c r="L127" i="2"/>
  <c r="K127" i="2" s="1"/>
  <c r="F127" i="2"/>
  <c r="G127" i="2"/>
  <c r="L128" i="2"/>
  <c r="K128" i="2" s="1"/>
  <c r="G128" i="2"/>
  <c r="F128" i="2"/>
  <c r="F123" i="2"/>
  <c r="G123" i="2"/>
  <c r="L123" i="2"/>
  <c r="K123" i="2" s="1"/>
  <c r="L122" i="2"/>
  <c r="K122" i="2" s="1"/>
  <c r="F122" i="2"/>
  <c r="G122" i="2"/>
  <c r="L151" i="2" l="1"/>
  <c r="K151" i="2" s="1"/>
  <c r="L148" i="2"/>
  <c r="K148" i="2" s="1"/>
  <c r="L129" i="2"/>
  <c r="K129" i="2" s="1"/>
  <c r="L140" i="2"/>
  <c r="K140" i="2" s="1"/>
  <c r="L133" i="2"/>
  <c r="K133" i="2" s="1"/>
  <c r="J113" i="2" l="1"/>
  <c r="I113" i="2"/>
  <c r="H113" i="2" s="1"/>
  <c r="J108" i="2"/>
  <c r="I108" i="2"/>
  <c r="H108" i="2" s="1"/>
  <c r="J107" i="2"/>
  <c r="I107" i="2"/>
  <c r="G107" i="2" s="1"/>
  <c r="J84" i="2"/>
  <c r="I84" i="2"/>
  <c r="F84" i="2" s="1"/>
  <c r="J59" i="2"/>
  <c r="I59" i="2"/>
  <c r="G59" i="2" s="1"/>
  <c r="J112" i="2"/>
  <c r="I112" i="2"/>
  <c r="H112" i="2" s="1"/>
  <c r="L113" i="2" l="1"/>
  <c r="K113" i="2" s="1"/>
  <c r="G113" i="2"/>
  <c r="F113" i="2"/>
  <c r="L108" i="2"/>
  <c r="K108" i="2" s="1"/>
  <c r="F108" i="2"/>
  <c r="G108" i="2"/>
  <c r="F107" i="2"/>
  <c r="H107" i="2"/>
  <c r="H84" i="2"/>
  <c r="G84" i="2"/>
  <c r="F59" i="2"/>
  <c r="H59" i="2"/>
  <c r="L112" i="2"/>
  <c r="K112" i="2" s="1"/>
  <c r="G112" i="2"/>
  <c r="F112" i="2"/>
  <c r="L107" i="2" l="1"/>
  <c r="K107" i="2" s="1"/>
  <c r="L84" i="2"/>
  <c r="K84" i="2" s="1"/>
  <c r="L59" i="2"/>
  <c r="K59" i="2" s="1"/>
  <c r="J117" i="2" l="1"/>
  <c r="I117" i="2"/>
  <c r="H117" i="2" s="1"/>
  <c r="J115" i="2"/>
  <c r="I115" i="2"/>
  <c r="H115" i="2" s="1"/>
  <c r="L117" i="2" l="1"/>
  <c r="K117" i="2" s="1"/>
  <c r="G117" i="2"/>
  <c r="F117" i="2"/>
  <c r="L115" i="2"/>
  <c r="K115" i="2" s="1"/>
  <c r="F115" i="2"/>
  <c r="G115" i="2"/>
  <c r="J89" i="2"/>
  <c r="I89" i="2"/>
  <c r="H89" i="2" s="1"/>
  <c r="J87" i="2"/>
  <c r="I87" i="2"/>
  <c r="H87" i="2" s="1"/>
  <c r="J101" i="2"/>
  <c r="I101" i="2"/>
  <c r="G101" i="2" s="1"/>
  <c r="J100" i="2"/>
  <c r="I100" i="2"/>
  <c r="H100" i="2" s="1"/>
  <c r="J77" i="2"/>
  <c r="I77" i="2"/>
  <c r="G77" i="2" s="1"/>
  <c r="J75" i="2"/>
  <c r="I75" i="2"/>
  <c r="H75" i="2" s="1"/>
  <c r="J56" i="2"/>
  <c r="I56" i="2"/>
  <c r="G56" i="2" s="1"/>
  <c r="J57" i="2"/>
  <c r="I57" i="2"/>
  <c r="G57" i="2" s="1"/>
  <c r="J58" i="2"/>
  <c r="I58" i="2"/>
  <c r="H58" i="2" s="1"/>
  <c r="L58" i="2" s="1"/>
  <c r="F56" i="2" l="1"/>
  <c r="H56" i="2"/>
  <c r="G87" i="2"/>
  <c r="F87" i="2"/>
  <c r="L89" i="2"/>
  <c r="K89" i="2" s="1"/>
  <c r="F89" i="2"/>
  <c r="G89" i="2"/>
  <c r="L87" i="2"/>
  <c r="K87" i="2" s="1"/>
  <c r="H101" i="2"/>
  <c r="F101" i="2"/>
  <c r="L100" i="2"/>
  <c r="K100" i="2" s="1"/>
  <c r="F100" i="2"/>
  <c r="G100" i="2"/>
  <c r="H77" i="2"/>
  <c r="F77" i="2"/>
  <c r="L75" i="2"/>
  <c r="K75" i="2" s="1"/>
  <c r="F75" i="2"/>
  <c r="G75" i="2"/>
  <c r="F58" i="2"/>
  <c r="K58" i="2"/>
  <c r="G58" i="2"/>
  <c r="F57" i="2"/>
  <c r="H57" i="2"/>
  <c r="L57" i="2" s="1"/>
  <c r="J135" i="2"/>
  <c r="I135" i="2"/>
  <c r="H135" i="2" s="1"/>
  <c r="J71" i="2"/>
  <c r="I71" i="2"/>
  <c r="G71" i="2" s="1"/>
  <c r="J83" i="2"/>
  <c r="I83" i="2"/>
  <c r="H83" i="2" s="1"/>
  <c r="J97" i="2"/>
  <c r="I97" i="2"/>
  <c r="F97" i="2" s="1"/>
  <c r="L56" i="2" l="1"/>
  <c r="K56" i="2" s="1"/>
  <c r="H97" i="2"/>
  <c r="G97" i="2"/>
  <c r="L101" i="2"/>
  <c r="K101" i="2" s="1"/>
  <c r="L77" i="2"/>
  <c r="K77" i="2" s="1"/>
  <c r="K57" i="2"/>
  <c r="L135" i="2"/>
  <c r="K135" i="2" s="1"/>
  <c r="F135" i="2"/>
  <c r="G135" i="2"/>
  <c r="H71" i="2"/>
  <c r="F71" i="2"/>
  <c r="L83" i="2"/>
  <c r="K83" i="2" s="1"/>
  <c r="F83" i="2"/>
  <c r="G83" i="2"/>
  <c r="L97" i="2" l="1"/>
  <c r="K97" i="2" s="1"/>
  <c r="L71" i="2"/>
  <c r="K71" i="2" s="1"/>
  <c r="J82" i="2"/>
  <c r="I82" i="2"/>
  <c r="G82" i="2" s="1"/>
  <c r="J359" i="2"/>
  <c r="I359" i="2"/>
  <c r="G359" i="2" s="1"/>
  <c r="J358" i="2"/>
  <c r="I358" i="2"/>
  <c r="G358" i="2" s="1"/>
  <c r="J357" i="2"/>
  <c r="I357" i="2"/>
  <c r="G357" i="2" s="1"/>
  <c r="J356" i="2"/>
  <c r="I356" i="2"/>
  <c r="H356" i="2" s="1"/>
  <c r="J355" i="2"/>
  <c r="I355" i="2"/>
  <c r="G355" i="2" s="1"/>
  <c r="J363" i="2"/>
  <c r="I363" i="2"/>
  <c r="G363" i="2" s="1"/>
  <c r="J362" i="2"/>
  <c r="I362" i="2"/>
  <c r="G362" i="2" s="1"/>
  <c r="J361" i="2"/>
  <c r="I361" i="2"/>
  <c r="G361" i="2" s="1"/>
  <c r="J360" i="2"/>
  <c r="I360" i="2"/>
  <c r="H360" i="2" s="1"/>
  <c r="J365" i="2"/>
  <c r="I365" i="2"/>
  <c r="G365" i="2" s="1"/>
  <c r="J364" i="2"/>
  <c r="I364" i="2"/>
  <c r="G364" i="2" s="1"/>
  <c r="L366" i="2"/>
  <c r="J366" i="2"/>
  <c r="I366" i="2"/>
  <c r="G366" i="2" s="1"/>
  <c r="H366" i="2"/>
  <c r="F366" i="2"/>
  <c r="J394" i="2"/>
  <c r="I394" i="2"/>
  <c r="G394" i="2" s="1"/>
  <c r="J393" i="2"/>
  <c r="I393" i="2"/>
  <c r="G393" i="2" s="1"/>
  <c r="J392" i="2"/>
  <c r="I392" i="2"/>
  <c r="F392" i="2" s="1"/>
  <c r="J391" i="2"/>
  <c r="I391" i="2"/>
  <c r="G391" i="2" s="1"/>
  <c r="J390" i="2"/>
  <c r="I390" i="2"/>
  <c r="G390" i="2" s="1"/>
  <c r="J389" i="2"/>
  <c r="I389" i="2"/>
  <c r="G389" i="2" s="1"/>
  <c r="L395" i="2"/>
  <c r="J395" i="2"/>
  <c r="I395" i="2"/>
  <c r="G395" i="2" s="1"/>
  <c r="H395" i="2"/>
  <c r="F395" i="2"/>
  <c r="J275" i="2"/>
  <c r="I275" i="2"/>
  <c r="G275" i="2" s="1"/>
  <c r="J274" i="2"/>
  <c r="I274" i="2"/>
  <c r="G274" i="2" s="1"/>
  <c r="J273" i="2"/>
  <c r="I273" i="2"/>
  <c r="G273" i="2" s="1"/>
  <c r="J276" i="2"/>
  <c r="I276" i="2"/>
  <c r="G276" i="2" s="1"/>
  <c r="J267" i="2"/>
  <c r="I267" i="2"/>
  <c r="G267" i="2" s="1"/>
  <c r="J266" i="2"/>
  <c r="I266" i="2"/>
  <c r="G266" i="2" s="1"/>
  <c r="J268" i="2"/>
  <c r="I268" i="2"/>
  <c r="G268" i="2" s="1"/>
  <c r="J265" i="2"/>
  <c r="I265" i="2"/>
  <c r="G265" i="2" s="1"/>
  <c r="J264" i="2"/>
  <c r="I264" i="2"/>
  <c r="G264" i="2" s="1"/>
  <c r="J277" i="2"/>
  <c r="I277" i="2"/>
  <c r="G277" i="2" s="1"/>
  <c r="J269" i="2"/>
  <c r="I269" i="2"/>
  <c r="G269" i="2" s="1"/>
  <c r="J232" i="2"/>
  <c r="I232" i="2"/>
  <c r="G232" i="2" s="1"/>
  <c r="J246" i="2"/>
  <c r="I246" i="2"/>
  <c r="G246" i="2" s="1"/>
  <c r="J245" i="2"/>
  <c r="I245" i="2"/>
  <c r="G245" i="2" s="1"/>
  <c r="J244" i="2"/>
  <c r="I244" i="2"/>
  <c r="H244" i="2" s="1"/>
  <c r="L244" i="2" s="1"/>
  <c r="J243" i="2"/>
  <c r="I243" i="2"/>
  <c r="G243" i="2" s="1"/>
  <c r="J238" i="2"/>
  <c r="I238" i="2"/>
  <c r="G238" i="2" s="1"/>
  <c r="J234" i="2"/>
  <c r="I234" i="2"/>
  <c r="H234" i="2" s="1"/>
  <c r="L234" i="2" s="1"/>
  <c r="K234" i="2" s="1"/>
  <c r="J231" i="2"/>
  <c r="I231" i="2"/>
  <c r="G231" i="2" s="1"/>
  <c r="J258" i="2"/>
  <c r="I258" i="2"/>
  <c r="G258" i="2" s="1"/>
  <c r="J257" i="2"/>
  <c r="I257" i="2"/>
  <c r="G257" i="2" s="1"/>
  <c r="J256" i="2"/>
  <c r="I256" i="2"/>
  <c r="G256" i="2" s="1"/>
  <c r="J255" i="2"/>
  <c r="I255" i="2"/>
  <c r="G255" i="2" s="1"/>
  <c r="J259" i="2"/>
  <c r="I259" i="2"/>
  <c r="H259" i="2" s="1"/>
  <c r="L259" i="2" s="1"/>
  <c r="K259" i="2" s="1"/>
  <c r="J261" i="2"/>
  <c r="I261" i="2"/>
  <c r="G261" i="2" s="1"/>
  <c r="J157" i="2"/>
  <c r="I157" i="2"/>
  <c r="G157" i="2" s="1"/>
  <c r="J53" i="2"/>
  <c r="I53" i="2"/>
  <c r="G53" i="2" s="1"/>
  <c r="J181" i="2"/>
  <c r="I181" i="2"/>
  <c r="J174" i="2"/>
  <c r="I174" i="2"/>
  <c r="G174" i="2" s="1"/>
  <c r="J171" i="2"/>
  <c r="I171" i="2"/>
  <c r="G171" i="2" s="1"/>
  <c r="J170" i="2"/>
  <c r="I170" i="2"/>
  <c r="G170" i="2" s="1"/>
  <c r="J168" i="2"/>
  <c r="I168" i="2"/>
  <c r="G168" i="2" s="1"/>
  <c r="J166" i="2"/>
  <c r="I166" i="2"/>
  <c r="H166" i="2" s="1"/>
  <c r="J164" i="2"/>
  <c r="I164" i="2"/>
  <c r="G164" i="2" s="1"/>
  <c r="J201" i="2"/>
  <c r="I201" i="2"/>
  <c r="G201" i="2" s="1"/>
  <c r="J194" i="2"/>
  <c r="I194" i="2"/>
  <c r="G194" i="2" s="1"/>
  <c r="J189" i="2"/>
  <c r="I189" i="2"/>
  <c r="G189" i="2" s="1"/>
  <c r="J186" i="2"/>
  <c r="I186" i="2"/>
  <c r="H186" i="2" s="1"/>
  <c r="L186" i="2" s="1"/>
  <c r="K186" i="2" s="1"/>
  <c r="H53" i="2" l="1"/>
  <c r="L53" i="2" s="1"/>
  <c r="F53" i="2"/>
  <c r="G181" i="2"/>
  <c r="F181" i="2"/>
  <c r="H232" i="2"/>
  <c r="L232" i="2" s="1"/>
  <c r="F232" i="2"/>
  <c r="F231" i="2"/>
  <c r="H231" i="2"/>
  <c r="L231" i="2" s="1"/>
  <c r="F164" i="2"/>
  <c r="H164" i="2"/>
  <c r="L164" i="2" s="1"/>
  <c r="F157" i="2"/>
  <c r="H157" i="2"/>
  <c r="F82" i="2"/>
  <c r="H82" i="2"/>
  <c r="L82" i="2" s="1"/>
  <c r="F357" i="2"/>
  <c r="H357" i="2"/>
  <c r="H355" i="2"/>
  <c r="F362" i="2"/>
  <c r="H362" i="2"/>
  <c r="F360" i="2"/>
  <c r="F363" i="2"/>
  <c r="H363" i="2"/>
  <c r="F356" i="2"/>
  <c r="F361" i="2"/>
  <c r="G356" i="2"/>
  <c r="H361" i="2"/>
  <c r="L361" i="2" s="1"/>
  <c r="H359" i="2"/>
  <c r="L360" i="2"/>
  <c r="K360" i="2" s="1"/>
  <c r="L356" i="2"/>
  <c r="K356" i="2" s="1"/>
  <c r="F355" i="2"/>
  <c r="F365" i="2"/>
  <c r="H365" i="2"/>
  <c r="L365" i="2" s="1"/>
  <c r="F359" i="2"/>
  <c r="F358" i="2"/>
  <c r="H358" i="2"/>
  <c r="L358" i="2" s="1"/>
  <c r="K358" i="2" s="1"/>
  <c r="F364" i="2"/>
  <c r="G360" i="2"/>
  <c r="H364" i="2"/>
  <c r="K366" i="2"/>
  <c r="H389" i="2"/>
  <c r="F390" i="2"/>
  <c r="G392" i="2"/>
  <c r="K395" i="2"/>
  <c r="H392" i="2"/>
  <c r="F389" i="2"/>
  <c r="F393" i="2"/>
  <c r="H393" i="2"/>
  <c r="L393" i="2" s="1"/>
  <c r="K393" i="2" s="1"/>
  <c r="F394" i="2"/>
  <c r="H390" i="2"/>
  <c r="F391" i="2"/>
  <c r="H394" i="2"/>
  <c r="H391" i="2"/>
  <c r="H273" i="2"/>
  <c r="L273" i="2" s="1"/>
  <c r="K273" i="2" s="1"/>
  <c r="H275" i="2"/>
  <c r="H276" i="2"/>
  <c r="L276" i="2" s="1"/>
  <c r="K276" i="2" s="1"/>
  <c r="F277" i="2"/>
  <c r="F274" i="2"/>
  <c r="H277" i="2"/>
  <c r="L277" i="2" s="1"/>
  <c r="K277" i="2" s="1"/>
  <c r="H274" i="2"/>
  <c r="F276" i="2"/>
  <c r="F273" i="2"/>
  <c r="F275" i="2"/>
  <c r="H265" i="2"/>
  <c r="L265" i="2" s="1"/>
  <c r="H267" i="2"/>
  <c r="L267" i="2" s="1"/>
  <c r="F264" i="2"/>
  <c r="H264" i="2"/>
  <c r="H266" i="2"/>
  <c r="F268" i="2"/>
  <c r="H268" i="2"/>
  <c r="H269" i="2"/>
  <c r="F267" i="2"/>
  <c r="F266" i="2"/>
  <c r="F265" i="2"/>
  <c r="F269" i="2"/>
  <c r="F259" i="2"/>
  <c r="G259" i="2"/>
  <c r="F234" i="2"/>
  <c r="F256" i="2"/>
  <c r="H261" i="2"/>
  <c r="L261" i="2" s="1"/>
  <c r="H238" i="2"/>
  <c r="L238" i="2" s="1"/>
  <c r="K238" i="2" s="1"/>
  <c r="H246" i="2"/>
  <c r="L246" i="2" s="1"/>
  <c r="K246" i="2" s="1"/>
  <c r="F243" i="2"/>
  <c r="H243" i="2"/>
  <c r="F261" i="2"/>
  <c r="F245" i="2"/>
  <c r="F255" i="2"/>
  <c r="H255" i="2"/>
  <c r="H257" i="2"/>
  <c r="L257" i="2" s="1"/>
  <c r="K257" i="2" s="1"/>
  <c r="F246" i="2"/>
  <c r="F258" i="2"/>
  <c r="G234" i="2"/>
  <c r="H258" i="2"/>
  <c r="L258" i="2" s="1"/>
  <c r="K258" i="2" s="1"/>
  <c r="H256" i="2"/>
  <c r="L256" i="2" s="1"/>
  <c r="F244" i="2"/>
  <c r="G244" i="2"/>
  <c r="H245" i="2"/>
  <c r="L245" i="2" s="1"/>
  <c r="K245" i="2" s="1"/>
  <c r="F238" i="2"/>
  <c r="F257" i="2"/>
  <c r="K244" i="2"/>
  <c r="H168" i="2"/>
  <c r="G166" i="2"/>
  <c r="H170" i="2"/>
  <c r="L170" i="2" s="1"/>
  <c r="F166" i="2"/>
  <c r="H174" i="2"/>
  <c r="F194" i="2"/>
  <c r="H194" i="2"/>
  <c r="L194" i="2" s="1"/>
  <c r="K194" i="2" s="1"/>
  <c r="H171" i="2"/>
  <c r="F174" i="2"/>
  <c r="F201" i="2"/>
  <c r="H201" i="2"/>
  <c r="L201" i="2" s="1"/>
  <c r="K201" i="2" s="1"/>
  <c r="F170" i="2"/>
  <c r="F189" i="2"/>
  <c r="H189" i="2"/>
  <c r="L189" i="2" s="1"/>
  <c r="K189" i="2" s="1"/>
  <c r="L166" i="2"/>
  <c r="K166" i="2" s="1"/>
  <c r="F168" i="2"/>
  <c r="F171" i="2"/>
  <c r="H181" i="2"/>
  <c r="F186" i="2"/>
  <c r="G186" i="2"/>
  <c r="K53" i="2" l="1"/>
  <c r="K232" i="2"/>
  <c r="K231" i="2"/>
  <c r="K164" i="2"/>
  <c r="L157" i="2"/>
  <c r="K157" i="2" s="1"/>
  <c r="K82" i="2"/>
  <c r="L357" i="2"/>
  <c r="K357" i="2" s="1"/>
  <c r="L355" i="2"/>
  <c r="K355" i="2" s="1"/>
  <c r="K361" i="2"/>
  <c r="L359" i="2"/>
  <c r="K359" i="2" s="1"/>
  <c r="L363" i="2"/>
  <c r="K363" i="2" s="1"/>
  <c r="L362" i="2"/>
  <c r="K362" i="2" s="1"/>
  <c r="K365" i="2"/>
  <c r="L364" i="2"/>
  <c r="K364" i="2" s="1"/>
  <c r="L389" i="2"/>
  <c r="K389" i="2" s="1"/>
  <c r="L392" i="2"/>
  <c r="K392" i="2" s="1"/>
  <c r="K265" i="2"/>
  <c r="L391" i="2"/>
  <c r="K391" i="2" s="1"/>
  <c r="L394" i="2"/>
  <c r="K394" i="2" s="1"/>
  <c r="L390" i="2"/>
  <c r="K390" i="2" s="1"/>
  <c r="L275" i="2"/>
  <c r="K275" i="2" s="1"/>
  <c r="L266" i="2"/>
  <c r="K266" i="2" s="1"/>
  <c r="L274" i="2"/>
  <c r="K274" i="2" s="1"/>
  <c r="K267" i="2"/>
  <c r="L264" i="2"/>
  <c r="K264" i="2" s="1"/>
  <c r="L268" i="2"/>
  <c r="K268" i="2" s="1"/>
  <c r="L269" i="2"/>
  <c r="K269" i="2" s="1"/>
  <c r="L243" i="2"/>
  <c r="K243" i="2" s="1"/>
  <c r="L255" i="2"/>
  <c r="K255" i="2" s="1"/>
  <c r="K261" i="2"/>
  <c r="L174" i="2"/>
  <c r="K174" i="2" s="1"/>
  <c r="L171" i="2"/>
  <c r="K171" i="2" s="1"/>
  <c r="L168" i="2"/>
  <c r="K168" i="2" s="1"/>
  <c r="K256" i="2"/>
  <c r="K170" i="2"/>
  <c r="L181" i="2"/>
  <c r="K181" i="2" s="1"/>
  <c r="L278" i="2"/>
  <c r="J278" i="2"/>
  <c r="I278" i="2"/>
  <c r="G278" i="2" s="1"/>
  <c r="H278" i="2"/>
  <c r="F278" i="2"/>
  <c r="J352" i="2"/>
  <c r="I352" i="2"/>
  <c r="G352" i="2" s="1"/>
  <c r="J351" i="2"/>
  <c r="I351" i="2"/>
  <c r="G351" i="2" s="1"/>
  <c r="J350" i="2"/>
  <c r="I350" i="2"/>
  <c r="G350" i="2" s="1"/>
  <c r="J349" i="2"/>
  <c r="I349" i="2"/>
  <c r="G349" i="2" s="1"/>
  <c r="J348" i="2"/>
  <c r="I348" i="2"/>
  <c r="H348" i="2" s="1"/>
  <c r="L348" i="2" s="1"/>
  <c r="J347" i="2"/>
  <c r="I347" i="2"/>
  <c r="G347" i="2" s="1"/>
  <c r="L346" i="2"/>
  <c r="J346" i="2"/>
  <c r="I346" i="2"/>
  <c r="G346" i="2" s="1"/>
  <c r="H346" i="2"/>
  <c r="F346" i="2"/>
  <c r="J354" i="2"/>
  <c r="I354" i="2"/>
  <c r="G354" i="2" s="1"/>
  <c r="J353" i="2"/>
  <c r="I353" i="2"/>
  <c r="H353" i="2" s="1"/>
  <c r="L353" i="2" s="1"/>
  <c r="J80" i="2"/>
  <c r="I80" i="2"/>
  <c r="G80" i="2" s="1"/>
  <c r="J70" i="2"/>
  <c r="I70" i="2"/>
  <c r="G70" i="2" s="1"/>
  <c r="J79" i="2"/>
  <c r="I79" i="2"/>
  <c r="G79" i="2" s="1"/>
  <c r="J78" i="2"/>
  <c r="I78" i="2"/>
  <c r="G78" i="2" s="1"/>
  <c r="L324" i="2"/>
  <c r="J324" i="2"/>
  <c r="I324" i="2"/>
  <c r="G324" i="2" s="1"/>
  <c r="H324" i="2"/>
  <c r="F324" i="2"/>
  <c r="J298" i="2"/>
  <c r="I298" i="2"/>
  <c r="G298" i="2" s="1"/>
  <c r="J76" i="2"/>
  <c r="I76" i="2"/>
  <c r="G76" i="2" s="1"/>
  <c r="J74" i="2"/>
  <c r="I74" i="2"/>
  <c r="G74" i="2" s="1"/>
  <c r="J119" i="2"/>
  <c r="I119" i="2"/>
  <c r="G119" i="2" s="1"/>
  <c r="F79" i="2" l="1"/>
  <c r="H79" i="2"/>
  <c r="F78" i="2"/>
  <c r="H78" i="2"/>
  <c r="L78" i="2" s="1"/>
  <c r="F74" i="2"/>
  <c r="H74" i="2"/>
  <c r="F70" i="2"/>
  <c r="H70" i="2"/>
  <c r="L70" i="2" s="1"/>
  <c r="K346" i="2"/>
  <c r="H350" i="2"/>
  <c r="L350" i="2" s="1"/>
  <c r="K350" i="2" s="1"/>
  <c r="H349" i="2"/>
  <c r="K324" i="2"/>
  <c r="F353" i="2"/>
  <c r="G353" i="2"/>
  <c r="H351" i="2"/>
  <c r="K278" i="2"/>
  <c r="H354" i="2"/>
  <c r="F354" i="2"/>
  <c r="K353" i="2"/>
  <c r="F352" i="2"/>
  <c r="H352" i="2"/>
  <c r="L352" i="2" s="1"/>
  <c r="F351" i="2"/>
  <c r="F350" i="2"/>
  <c r="F349" i="2"/>
  <c r="F348" i="2"/>
  <c r="G348" i="2"/>
  <c r="F347" i="2"/>
  <c r="H347" i="2"/>
  <c r="L347" i="2" s="1"/>
  <c r="K348" i="2"/>
  <c r="F80" i="2"/>
  <c r="H80" i="2"/>
  <c r="L80" i="2" s="1"/>
  <c r="F298" i="2"/>
  <c r="H298" i="2"/>
  <c r="F76" i="2"/>
  <c r="H76" i="2"/>
  <c r="H119" i="2"/>
  <c r="F119" i="2"/>
  <c r="L79" i="2" l="1"/>
  <c r="K79" i="2" s="1"/>
  <c r="K78" i="2"/>
  <c r="L74" i="2"/>
  <c r="K74" i="2" s="1"/>
  <c r="K70" i="2"/>
  <c r="K352" i="2"/>
  <c r="K347" i="2"/>
  <c r="L298" i="2"/>
  <c r="K298" i="2" s="1"/>
  <c r="L351" i="2"/>
  <c r="K351" i="2" s="1"/>
  <c r="L354" i="2"/>
  <c r="K354" i="2" s="1"/>
  <c r="L349" i="2"/>
  <c r="K349" i="2" s="1"/>
  <c r="K80" i="2"/>
  <c r="L76" i="2"/>
  <c r="K76" i="2" s="1"/>
  <c r="L119" i="2"/>
  <c r="K119" i="2" s="1"/>
  <c r="J98" i="2" l="1"/>
  <c r="I98" i="2"/>
  <c r="F98" i="2" s="1"/>
  <c r="J304" i="2"/>
  <c r="I304" i="2"/>
  <c r="G304" i="2" s="1"/>
  <c r="J295" i="2"/>
  <c r="I295" i="2"/>
  <c r="H295" i="2" s="1"/>
  <c r="J293" i="2"/>
  <c r="I293" i="2"/>
  <c r="G293" i="2" s="1"/>
  <c r="J292" i="2"/>
  <c r="I292" i="2"/>
  <c r="H292" i="2" s="1"/>
  <c r="J206" i="2"/>
  <c r="I206" i="2"/>
  <c r="G206" i="2" s="1"/>
  <c r="J94" i="2"/>
  <c r="I94" i="2"/>
  <c r="G94" i="2" s="1"/>
  <c r="J95" i="2"/>
  <c r="I95" i="2"/>
  <c r="G95" i="2" s="1"/>
  <c r="F292" i="2" l="1"/>
  <c r="H206" i="2"/>
  <c r="L206" i="2" s="1"/>
  <c r="F206" i="2"/>
  <c r="F304" i="2"/>
  <c r="H304" i="2"/>
  <c r="L304" i="2" s="1"/>
  <c r="H293" i="2"/>
  <c r="L293" i="2" s="1"/>
  <c r="H98" i="2"/>
  <c r="L98" i="2" s="1"/>
  <c r="K98" i="2" s="1"/>
  <c r="G98" i="2"/>
  <c r="L295" i="2"/>
  <c r="K295" i="2" s="1"/>
  <c r="F295" i="2"/>
  <c r="G295" i="2"/>
  <c r="F293" i="2"/>
  <c r="L292" i="2"/>
  <c r="K292" i="2" s="1"/>
  <c r="G292" i="2"/>
  <c r="H94" i="2"/>
  <c r="F94" i="2"/>
  <c r="H95" i="2"/>
  <c r="F95" i="2"/>
  <c r="K206" i="2" l="1"/>
  <c r="K304" i="2"/>
  <c r="K293" i="2"/>
  <c r="L94" i="2"/>
  <c r="K94" i="2" s="1"/>
  <c r="L95" i="2"/>
  <c r="K95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279" i="2"/>
  <c r="L332" i="2"/>
  <c r="L396" i="2"/>
  <c r="L397" i="2"/>
  <c r="L400" i="2"/>
  <c r="L401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60" i="2"/>
  <c r="G60" i="2" s="1"/>
  <c r="J60" i="2"/>
  <c r="I66" i="2"/>
  <c r="G66" i="2" s="1"/>
  <c r="J66" i="2"/>
  <c r="I67" i="2"/>
  <c r="G67" i="2" s="1"/>
  <c r="J67" i="2"/>
  <c r="I85" i="2"/>
  <c r="G85" i="2" s="1"/>
  <c r="J85" i="2"/>
  <c r="I86" i="2"/>
  <c r="G86" i="2" s="1"/>
  <c r="J86" i="2"/>
  <c r="I90" i="2"/>
  <c r="G90" i="2" s="1"/>
  <c r="J90" i="2"/>
  <c r="I91" i="2"/>
  <c r="F91" i="2" s="1"/>
  <c r="J91" i="2"/>
  <c r="I99" i="2"/>
  <c r="G99" i="2" s="1"/>
  <c r="J99" i="2"/>
  <c r="I103" i="2"/>
  <c r="G103" i="2" s="1"/>
  <c r="J103" i="2"/>
  <c r="I104" i="2"/>
  <c r="H104" i="2" s="1"/>
  <c r="L104" i="2" s="1"/>
  <c r="J104" i="2"/>
  <c r="I105" i="2"/>
  <c r="G105" i="2" s="1"/>
  <c r="J105" i="2"/>
  <c r="I106" i="2"/>
  <c r="G106" i="2" s="1"/>
  <c r="J106" i="2"/>
  <c r="I111" i="2"/>
  <c r="F111" i="2" s="1"/>
  <c r="J111" i="2"/>
  <c r="I114" i="2"/>
  <c r="G114" i="2" s="1"/>
  <c r="J114" i="2"/>
  <c r="I118" i="2"/>
  <c r="G118" i="2" s="1"/>
  <c r="J118" i="2"/>
  <c r="I120" i="2"/>
  <c r="G120" i="2" s="1"/>
  <c r="J120" i="2"/>
  <c r="I121" i="2"/>
  <c r="G121" i="2" s="1"/>
  <c r="J121" i="2"/>
  <c r="I124" i="2"/>
  <c r="G124" i="2" s="1"/>
  <c r="J124" i="2"/>
  <c r="I136" i="2"/>
  <c r="H136" i="2" s="1"/>
  <c r="L136" i="2" s="1"/>
  <c r="J136" i="2"/>
  <c r="I138" i="2"/>
  <c r="G138" i="2" s="1"/>
  <c r="J138" i="2"/>
  <c r="I144" i="2"/>
  <c r="G144" i="2" s="1"/>
  <c r="J144" i="2"/>
  <c r="I146" i="2"/>
  <c r="G146" i="2" s="1"/>
  <c r="J146" i="2"/>
  <c r="I147" i="2"/>
  <c r="G147" i="2" s="1"/>
  <c r="J147" i="2"/>
  <c r="I152" i="2"/>
  <c r="G152" i="2" s="1"/>
  <c r="J152" i="2"/>
  <c r="I153" i="2"/>
  <c r="G153" i="2" s="1"/>
  <c r="J153" i="2"/>
  <c r="I154" i="2"/>
  <c r="G154" i="2" s="1"/>
  <c r="J154" i="2"/>
  <c r="I156" i="2"/>
  <c r="G156" i="2" s="1"/>
  <c r="J156" i="2"/>
  <c r="I159" i="2"/>
  <c r="G159" i="2" s="1"/>
  <c r="J159" i="2"/>
  <c r="I160" i="2"/>
  <c r="G160" i="2" s="1"/>
  <c r="J160" i="2"/>
  <c r="I202" i="2"/>
  <c r="G202" i="2" s="1"/>
  <c r="J202" i="2"/>
  <c r="I207" i="2"/>
  <c r="G207" i="2" s="1"/>
  <c r="J207" i="2"/>
  <c r="I211" i="2"/>
  <c r="G211" i="2" s="1"/>
  <c r="J211" i="2"/>
  <c r="I214" i="2"/>
  <c r="G214" i="2" s="1"/>
  <c r="J214" i="2"/>
  <c r="I216" i="2"/>
  <c r="G216" i="2" s="1"/>
  <c r="J216" i="2"/>
  <c r="I218" i="2"/>
  <c r="G218" i="2" s="1"/>
  <c r="J218" i="2"/>
  <c r="I219" i="2"/>
  <c r="G219" i="2" s="1"/>
  <c r="J219" i="2"/>
  <c r="I229" i="2"/>
  <c r="G229" i="2" s="1"/>
  <c r="J229" i="2"/>
  <c r="I230" i="2"/>
  <c r="G230" i="2" s="1"/>
  <c r="J230" i="2"/>
  <c r="F279" i="2"/>
  <c r="H279" i="2"/>
  <c r="I279" i="2"/>
  <c r="G279" i="2" s="1"/>
  <c r="J279" i="2"/>
  <c r="I280" i="2"/>
  <c r="G280" i="2" s="1"/>
  <c r="J280" i="2"/>
  <c r="I281" i="2"/>
  <c r="F281" i="2" s="1"/>
  <c r="J281" i="2"/>
  <c r="I282" i="2"/>
  <c r="G282" i="2" s="1"/>
  <c r="J282" i="2"/>
  <c r="I283" i="2"/>
  <c r="G283" i="2" s="1"/>
  <c r="J283" i="2"/>
  <c r="I284" i="2"/>
  <c r="G284" i="2" s="1"/>
  <c r="J284" i="2"/>
  <c r="I285" i="2"/>
  <c r="G285" i="2" s="1"/>
  <c r="J285" i="2"/>
  <c r="I286" i="2"/>
  <c r="G286" i="2" s="1"/>
  <c r="J286" i="2"/>
  <c r="I287" i="2"/>
  <c r="F287" i="2" s="1"/>
  <c r="J287" i="2"/>
  <c r="I288" i="2"/>
  <c r="G288" i="2" s="1"/>
  <c r="J288" i="2"/>
  <c r="I289" i="2"/>
  <c r="G289" i="2" s="1"/>
  <c r="J289" i="2"/>
  <c r="I290" i="2"/>
  <c r="G290" i="2" s="1"/>
  <c r="J290" i="2"/>
  <c r="I291" i="2"/>
  <c r="H291" i="2" s="1"/>
  <c r="L291" i="2" s="1"/>
  <c r="J291" i="2"/>
  <c r="I294" i="2"/>
  <c r="G294" i="2" s="1"/>
  <c r="J294" i="2"/>
  <c r="I296" i="2"/>
  <c r="G296" i="2" s="1"/>
  <c r="J296" i="2"/>
  <c r="I297" i="2"/>
  <c r="G297" i="2" s="1"/>
  <c r="J297" i="2"/>
  <c r="I299" i="2"/>
  <c r="G299" i="2" s="1"/>
  <c r="J299" i="2"/>
  <c r="I300" i="2"/>
  <c r="G300" i="2" s="1"/>
  <c r="J300" i="2"/>
  <c r="I301" i="2"/>
  <c r="G301" i="2" s="1"/>
  <c r="J301" i="2"/>
  <c r="I302" i="2"/>
  <c r="G302" i="2" s="1"/>
  <c r="J302" i="2"/>
  <c r="I303" i="2"/>
  <c r="G303" i="2" s="1"/>
  <c r="J303" i="2"/>
  <c r="I305" i="2"/>
  <c r="G305" i="2" s="1"/>
  <c r="J305" i="2"/>
  <c r="I306" i="2"/>
  <c r="G306" i="2" s="1"/>
  <c r="J306" i="2"/>
  <c r="I307" i="2"/>
  <c r="G307" i="2" s="1"/>
  <c r="J307" i="2"/>
  <c r="I308" i="2"/>
  <c r="G308" i="2" s="1"/>
  <c r="J308" i="2"/>
  <c r="I309" i="2"/>
  <c r="G309" i="2" s="1"/>
  <c r="J309" i="2"/>
  <c r="I310" i="2"/>
  <c r="G310" i="2" s="1"/>
  <c r="J310" i="2"/>
  <c r="I311" i="2"/>
  <c r="G311" i="2" s="1"/>
  <c r="J311" i="2"/>
  <c r="I312" i="2"/>
  <c r="G312" i="2" s="1"/>
  <c r="J312" i="2"/>
  <c r="I313" i="2"/>
  <c r="G313" i="2" s="1"/>
  <c r="J313" i="2"/>
  <c r="I314" i="2"/>
  <c r="G314" i="2" s="1"/>
  <c r="J314" i="2"/>
  <c r="I315" i="2"/>
  <c r="G315" i="2" s="1"/>
  <c r="J315" i="2"/>
  <c r="I316" i="2"/>
  <c r="G316" i="2" s="1"/>
  <c r="J316" i="2"/>
  <c r="I317" i="2"/>
  <c r="G317" i="2" s="1"/>
  <c r="J317" i="2"/>
  <c r="I318" i="2"/>
  <c r="G318" i="2" s="1"/>
  <c r="J318" i="2"/>
  <c r="I319" i="2"/>
  <c r="G319" i="2" s="1"/>
  <c r="J319" i="2"/>
  <c r="I320" i="2"/>
  <c r="G320" i="2" s="1"/>
  <c r="J320" i="2"/>
  <c r="I321" i="2"/>
  <c r="G321" i="2" s="1"/>
  <c r="J321" i="2"/>
  <c r="I322" i="2"/>
  <c r="G322" i="2" s="1"/>
  <c r="J322" i="2"/>
  <c r="I323" i="2"/>
  <c r="G323" i="2" s="1"/>
  <c r="J323" i="2"/>
  <c r="I325" i="2"/>
  <c r="G325" i="2" s="1"/>
  <c r="J325" i="2"/>
  <c r="I326" i="2"/>
  <c r="G326" i="2" s="1"/>
  <c r="J326" i="2"/>
  <c r="I327" i="2"/>
  <c r="G327" i="2" s="1"/>
  <c r="J327" i="2"/>
  <c r="I328" i="2"/>
  <c r="G328" i="2" s="1"/>
  <c r="J328" i="2"/>
  <c r="I329" i="2"/>
  <c r="G329" i="2" s="1"/>
  <c r="J329" i="2"/>
  <c r="I330" i="2"/>
  <c r="G330" i="2" s="1"/>
  <c r="J330" i="2"/>
  <c r="I331" i="2"/>
  <c r="G331" i="2" s="1"/>
  <c r="J331" i="2"/>
  <c r="F332" i="2"/>
  <c r="H332" i="2"/>
  <c r="I332" i="2"/>
  <c r="G332" i="2" s="1"/>
  <c r="J332" i="2"/>
  <c r="I333" i="2"/>
  <c r="G333" i="2" s="1"/>
  <c r="J333" i="2"/>
  <c r="I334" i="2"/>
  <c r="G334" i="2" s="1"/>
  <c r="J334" i="2"/>
  <c r="I335" i="2"/>
  <c r="G335" i="2" s="1"/>
  <c r="J335" i="2"/>
  <c r="I336" i="2"/>
  <c r="G336" i="2" s="1"/>
  <c r="J336" i="2"/>
  <c r="I337" i="2"/>
  <c r="G337" i="2" s="1"/>
  <c r="J337" i="2"/>
  <c r="I338" i="2"/>
  <c r="G338" i="2" s="1"/>
  <c r="J338" i="2"/>
  <c r="I339" i="2"/>
  <c r="G339" i="2" s="1"/>
  <c r="J339" i="2"/>
  <c r="I340" i="2"/>
  <c r="G340" i="2" s="1"/>
  <c r="J340" i="2"/>
  <c r="I341" i="2"/>
  <c r="F341" i="2" s="1"/>
  <c r="J341" i="2"/>
  <c r="I342" i="2"/>
  <c r="G342" i="2" s="1"/>
  <c r="J342" i="2"/>
  <c r="I343" i="2"/>
  <c r="G343" i="2" s="1"/>
  <c r="J343" i="2"/>
  <c r="I344" i="2"/>
  <c r="G344" i="2" s="1"/>
  <c r="J344" i="2"/>
  <c r="F345" i="2"/>
  <c r="I345" i="2"/>
  <c r="G345" i="2" s="1"/>
  <c r="J345" i="2"/>
  <c r="I367" i="2"/>
  <c r="G367" i="2" s="1"/>
  <c r="J367" i="2"/>
  <c r="I368" i="2"/>
  <c r="G368" i="2" s="1"/>
  <c r="J368" i="2"/>
  <c r="I369" i="2"/>
  <c r="G369" i="2" s="1"/>
  <c r="J369" i="2"/>
  <c r="I370" i="2"/>
  <c r="G370" i="2" s="1"/>
  <c r="J370" i="2"/>
  <c r="I371" i="2"/>
  <c r="G371" i="2" s="1"/>
  <c r="J371" i="2"/>
  <c r="I372" i="2"/>
  <c r="G372" i="2" s="1"/>
  <c r="J372" i="2"/>
  <c r="I373" i="2"/>
  <c r="G373" i="2" s="1"/>
  <c r="F373" i="2"/>
  <c r="J373" i="2"/>
  <c r="I374" i="2"/>
  <c r="G374" i="2" s="1"/>
  <c r="J374" i="2"/>
  <c r="I375" i="2"/>
  <c r="G375" i="2" s="1"/>
  <c r="J375" i="2"/>
  <c r="I376" i="2"/>
  <c r="G376" i="2" s="1"/>
  <c r="J376" i="2"/>
  <c r="I377" i="2"/>
  <c r="G377" i="2" s="1"/>
  <c r="J377" i="2"/>
  <c r="I378" i="2"/>
  <c r="G378" i="2" s="1"/>
  <c r="J378" i="2"/>
  <c r="I379" i="2"/>
  <c r="G379" i="2" s="1"/>
  <c r="J379" i="2"/>
  <c r="I380" i="2"/>
  <c r="G380" i="2" s="1"/>
  <c r="J380" i="2"/>
  <c r="I381" i="2"/>
  <c r="G381" i="2" s="1"/>
  <c r="J381" i="2"/>
  <c r="I382" i="2"/>
  <c r="G382" i="2" s="1"/>
  <c r="J382" i="2"/>
  <c r="I383" i="2"/>
  <c r="G383" i="2" s="1"/>
  <c r="J383" i="2"/>
  <c r="I384" i="2"/>
  <c r="G384" i="2" s="1"/>
  <c r="J384" i="2"/>
  <c r="I385" i="2"/>
  <c r="G385" i="2" s="1"/>
  <c r="J385" i="2"/>
  <c r="I386" i="2"/>
  <c r="G386" i="2" s="1"/>
  <c r="J386" i="2"/>
  <c r="I387" i="2"/>
  <c r="G387" i="2" s="1"/>
  <c r="J387" i="2"/>
  <c r="I388" i="2"/>
  <c r="G388" i="2" s="1"/>
  <c r="J388" i="2"/>
  <c r="F396" i="2"/>
  <c r="H396" i="2"/>
  <c r="I396" i="2"/>
  <c r="G396" i="2" s="1"/>
  <c r="J396" i="2"/>
  <c r="F397" i="2"/>
  <c r="H397" i="2"/>
  <c r="I397" i="2"/>
  <c r="G397" i="2" s="1"/>
  <c r="J397" i="2"/>
  <c r="I398" i="2"/>
  <c r="G398" i="2" s="1"/>
  <c r="J398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F769" i="2"/>
  <c r="H769" i="2"/>
  <c r="I769" i="2"/>
  <c r="G769" i="2" s="1"/>
  <c r="J769" i="2"/>
  <c r="I770" i="2"/>
  <c r="G770" i="2" s="1"/>
  <c r="H770" i="2"/>
  <c r="J770" i="2"/>
  <c r="H771" i="2"/>
  <c r="I771" i="2"/>
  <c r="G771" i="2" s="1"/>
  <c r="F771" i="2"/>
  <c r="J771" i="2"/>
  <c r="F772" i="2"/>
  <c r="I772" i="2"/>
  <c r="G772" i="2" s="1"/>
  <c r="J772" i="2"/>
  <c r="F773" i="2"/>
  <c r="H773" i="2"/>
  <c r="I773" i="2"/>
  <c r="G773" i="2" s="1"/>
  <c r="J773" i="2"/>
  <c r="F774" i="2"/>
  <c r="H774" i="2"/>
  <c r="I774" i="2"/>
  <c r="G774" i="2" s="1"/>
  <c r="J774" i="2"/>
  <c r="F775" i="2"/>
  <c r="H775" i="2"/>
  <c r="I775" i="2"/>
  <c r="G775" i="2" s="1"/>
  <c r="J775" i="2"/>
  <c r="H776" i="2"/>
  <c r="I776" i="2"/>
  <c r="G776" i="2" s="1"/>
  <c r="F776" i="2"/>
  <c r="J776" i="2"/>
  <c r="F777" i="2"/>
  <c r="H777" i="2"/>
  <c r="I777" i="2"/>
  <c r="G777" i="2" s="1"/>
  <c r="J777" i="2"/>
  <c r="F778" i="2"/>
  <c r="H778" i="2"/>
  <c r="I778" i="2"/>
  <c r="G778" i="2" s="1"/>
  <c r="J778" i="2"/>
  <c r="F779" i="2"/>
  <c r="H779" i="2"/>
  <c r="I779" i="2"/>
  <c r="G779" i="2" s="1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F791" i="2"/>
  <c r="H791" i="2"/>
  <c r="I791" i="2"/>
  <c r="G791" i="2" s="1"/>
  <c r="J791" i="2"/>
  <c r="F792" i="2"/>
  <c r="H792" i="2"/>
  <c r="I792" i="2"/>
  <c r="G792" i="2" s="1"/>
  <c r="J792" i="2"/>
  <c r="F793" i="2"/>
  <c r="H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F797" i="2"/>
  <c r="H797" i="2"/>
  <c r="I797" i="2"/>
  <c r="G797" i="2" s="1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F803" i="2"/>
  <c r="H803" i="2"/>
  <c r="I803" i="2"/>
  <c r="G803" i="2" s="1"/>
  <c r="J803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772" i="2"/>
  <c r="F770" i="2"/>
  <c r="F11" i="5"/>
  <c r="J5" i="3"/>
  <c r="K5" i="3" s="1"/>
  <c r="H8" i="2"/>
  <c r="L8" i="2"/>
  <c r="H379" i="2"/>
  <c r="L379" i="2"/>
  <c r="F159" i="2"/>
  <c r="F60" i="2" l="1"/>
  <c r="H60" i="2"/>
  <c r="L60" i="2" s="1"/>
  <c r="K767" i="2"/>
  <c r="K755" i="2"/>
  <c r="K743" i="2"/>
  <c r="K731" i="2"/>
  <c r="K719" i="2"/>
  <c r="K707" i="2"/>
  <c r="K695" i="2"/>
  <c r="K683" i="2"/>
  <c r="K671" i="2"/>
  <c r="K659" i="2"/>
  <c r="K647" i="2"/>
  <c r="K635" i="2"/>
  <c r="K623" i="2"/>
  <c r="K611" i="2"/>
  <c r="K599" i="2"/>
  <c r="K587" i="2"/>
  <c r="K575" i="2"/>
  <c r="K563" i="2"/>
  <c r="K551" i="2"/>
  <c r="K539" i="2"/>
  <c r="K527" i="2"/>
  <c r="K515" i="2"/>
  <c r="K503" i="2"/>
  <c r="K491" i="2"/>
  <c r="K479" i="2"/>
  <c r="K467" i="2"/>
  <c r="K455" i="2"/>
  <c r="K443" i="2"/>
  <c r="K431" i="2"/>
  <c r="K419" i="2"/>
  <c r="K407" i="2"/>
  <c r="H90" i="2"/>
  <c r="L90" i="2" s="1"/>
  <c r="K90" i="2" s="1"/>
  <c r="H159" i="2"/>
  <c r="L159" i="2" s="1"/>
  <c r="F90" i="2"/>
  <c r="F385" i="2"/>
  <c r="F387" i="2"/>
  <c r="K803" i="2"/>
  <c r="K791" i="2"/>
  <c r="K779" i="2"/>
  <c r="H387" i="2"/>
  <c r="L387" i="2" s="1"/>
  <c r="K387" i="2" s="1"/>
  <c r="F402" i="2"/>
  <c r="F328" i="2"/>
  <c r="F399" i="2"/>
  <c r="H333" i="2"/>
  <c r="L333" i="2" s="1"/>
  <c r="H385" i="2"/>
  <c r="L385" i="2" s="1"/>
  <c r="H402" i="2"/>
  <c r="L402" i="2" s="1"/>
  <c r="H399" i="2"/>
  <c r="L399" i="2" s="1"/>
  <c r="K399" i="2" s="1"/>
  <c r="F344" i="2"/>
  <c r="F343" i="2"/>
  <c r="H398" i="2"/>
  <c r="L398" i="2" s="1"/>
  <c r="F398" i="2"/>
  <c r="F384" i="2"/>
  <c r="F388" i="2"/>
  <c r="H384" i="2"/>
  <c r="L384" i="2" s="1"/>
  <c r="F383" i="2"/>
  <c r="F327" i="2"/>
  <c r="H388" i="2"/>
  <c r="H383" i="2"/>
  <c r="H382" i="2"/>
  <c r="L382" i="2" s="1"/>
  <c r="K382" i="2" s="1"/>
  <c r="F382" i="2"/>
  <c r="F381" i="2"/>
  <c r="H381" i="2"/>
  <c r="H386" i="2"/>
  <c r="L386" i="2" s="1"/>
  <c r="F386" i="2"/>
  <c r="H380" i="2"/>
  <c r="H344" i="2"/>
  <c r="H343" i="2"/>
  <c r="L343" i="2" s="1"/>
  <c r="F317" i="2"/>
  <c r="F313" i="2"/>
  <c r="H230" i="2"/>
  <c r="L230" i="2" s="1"/>
  <c r="H283" i="2"/>
  <c r="L283" i="2" s="1"/>
  <c r="F283" i="2"/>
  <c r="H328" i="2"/>
  <c r="L328" i="2" s="1"/>
  <c r="F230" i="2"/>
  <c r="H314" i="2"/>
  <c r="L314" i="2" s="1"/>
  <c r="F322" i="2"/>
  <c r="F320" i="2"/>
  <c r="H317" i="2"/>
  <c r="L317" i="2" s="1"/>
  <c r="F316" i="2"/>
  <c r="H303" i="2"/>
  <c r="L303" i="2" s="1"/>
  <c r="F303" i="2"/>
  <c r="F312" i="2"/>
  <c r="K498" i="2"/>
  <c r="H287" i="2"/>
  <c r="L287" i="2" s="1"/>
  <c r="H282" i="2"/>
  <c r="L282" i="2" s="1"/>
  <c r="F282" i="2"/>
  <c r="H281" i="2"/>
  <c r="L281" i="2" s="1"/>
  <c r="H219" i="2"/>
  <c r="L219" i="2" s="1"/>
  <c r="H214" i="2"/>
  <c r="L214" i="2" s="1"/>
  <c r="F136" i="2"/>
  <c r="F371" i="2"/>
  <c r="H371" i="2"/>
  <c r="L371" i="2" s="1"/>
  <c r="F374" i="2"/>
  <c r="F147" i="2"/>
  <c r="F375" i="2"/>
  <c r="H374" i="2"/>
  <c r="L374" i="2" s="1"/>
  <c r="K766" i="2"/>
  <c r="K754" i="2"/>
  <c r="K742" i="2"/>
  <c r="K730" i="2"/>
  <c r="K718" i="2"/>
  <c r="K706" i="2"/>
  <c r="K694" i="2"/>
  <c r="K682" i="2"/>
  <c r="K550" i="2"/>
  <c r="K538" i="2"/>
  <c r="K454" i="2"/>
  <c r="K442" i="2"/>
  <c r="K802" i="2"/>
  <c r="K790" i="2"/>
  <c r="K778" i="2"/>
  <c r="G281" i="2"/>
  <c r="G287" i="2"/>
  <c r="F380" i="2"/>
  <c r="F379" i="2"/>
  <c r="H370" i="2"/>
  <c r="L370" i="2" s="1"/>
  <c r="F370" i="2"/>
  <c r="H376" i="2"/>
  <c r="L376" i="2" s="1"/>
  <c r="F376" i="2"/>
  <c r="H375" i="2"/>
  <c r="L375" i="2" s="1"/>
  <c r="K375" i="2" s="1"/>
  <c r="H345" i="2"/>
  <c r="L345" i="2" s="1"/>
  <c r="K422" i="2"/>
  <c r="H330" i="2"/>
  <c r="L330" i="2" s="1"/>
  <c r="H323" i="2"/>
  <c r="L323" i="2" s="1"/>
  <c r="F323" i="2"/>
  <c r="H329" i="2"/>
  <c r="L329" i="2" s="1"/>
  <c r="K329" i="2" s="1"/>
  <c r="F329" i="2"/>
  <c r="F330" i="2"/>
  <c r="H327" i="2"/>
  <c r="L327" i="2" s="1"/>
  <c r="H322" i="2"/>
  <c r="L322" i="2" s="1"/>
  <c r="H318" i="2"/>
  <c r="L318" i="2" s="1"/>
  <c r="H326" i="2"/>
  <c r="L326" i="2" s="1"/>
  <c r="F326" i="2"/>
  <c r="H320" i="2"/>
  <c r="L320" i="2" s="1"/>
  <c r="F318" i="2"/>
  <c r="H313" i="2"/>
  <c r="L313" i="2" s="1"/>
  <c r="H316" i="2"/>
  <c r="L316" i="2" s="1"/>
  <c r="H312" i="2"/>
  <c r="L312" i="2" s="1"/>
  <c r="H311" i="2"/>
  <c r="L311" i="2" s="1"/>
  <c r="F311" i="2"/>
  <c r="H310" i="2"/>
  <c r="L310" i="2" s="1"/>
  <c r="K310" i="2" s="1"/>
  <c r="H305" i="2"/>
  <c r="L305" i="2" s="1"/>
  <c r="F305" i="2"/>
  <c r="F297" i="2"/>
  <c r="H297" i="2"/>
  <c r="L297" i="2" s="1"/>
  <c r="H229" i="2"/>
  <c r="L229" i="2" s="1"/>
  <c r="F219" i="2"/>
  <c r="H218" i="2"/>
  <c r="F218" i="2"/>
  <c r="G136" i="2"/>
  <c r="F153" i="2"/>
  <c r="H153" i="2"/>
  <c r="L153" i="2" s="1"/>
  <c r="H147" i="2"/>
  <c r="L147" i="2" s="1"/>
  <c r="F106" i="2"/>
  <c r="H118" i="2"/>
  <c r="L118" i="2" s="1"/>
  <c r="F118" i="2"/>
  <c r="F86" i="2"/>
  <c r="H86" i="2"/>
  <c r="H67" i="2"/>
  <c r="L67" i="2" s="1"/>
  <c r="H378" i="2"/>
  <c r="L378" i="2" s="1"/>
  <c r="F378" i="2"/>
  <c r="H377" i="2"/>
  <c r="L377" i="2" s="1"/>
  <c r="F377" i="2"/>
  <c r="H373" i="2"/>
  <c r="L373" i="2" s="1"/>
  <c r="H372" i="2"/>
  <c r="L372" i="2" s="1"/>
  <c r="F372" i="2"/>
  <c r="F369" i="2"/>
  <c r="H369" i="2"/>
  <c r="H368" i="2"/>
  <c r="L368" i="2" s="1"/>
  <c r="F368" i="2"/>
  <c r="K725" i="2"/>
  <c r="K689" i="2"/>
  <c r="K677" i="2"/>
  <c r="K653" i="2"/>
  <c r="K641" i="2"/>
  <c r="K629" i="2"/>
  <c r="K605" i="2"/>
  <c r="K593" i="2"/>
  <c r="K581" i="2"/>
  <c r="K569" i="2"/>
  <c r="K557" i="2"/>
  <c r="K545" i="2"/>
  <c r="K533" i="2"/>
  <c r="K521" i="2"/>
  <c r="K509" i="2"/>
  <c r="K497" i="2"/>
  <c r="K485" i="2"/>
  <c r="K473" i="2"/>
  <c r="K461" i="2"/>
  <c r="K449" i="2"/>
  <c r="K437" i="2"/>
  <c r="K425" i="2"/>
  <c r="K413" i="2"/>
  <c r="K401" i="2"/>
  <c r="K761" i="2"/>
  <c r="K737" i="2"/>
  <c r="K713" i="2"/>
  <c r="K665" i="2"/>
  <c r="K617" i="2"/>
  <c r="K749" i="2"/>
  <c r="K701" i="2"/>
  <c r="K797" i="2"/>
  <c r="K785" i="2"/>
  <c r="K773" i="2"/>
  <c r="F367" i="2"/>
  <c r="H367" i="2"/>
  <c r="L367" i="2" s="1"/>
  <c r="H334" i="2"/>
  <c r="L334" i="2" s="1"/>
  <c r="H341" i="2"/>
  <c r="L341" i="2" s="1"/>
  <c r="F334" i="2"/>
  <c r="F339" i="2"/>
  <c r="H340" i="2"/>
  <c r="L340" i="2" s="1"/>
  <c r="F340" i="2"/>
  <c r="H336" i="2"/>
  <c r="L336" i="2" s="1"/>
  <c r="H338" i="2"/>
  <c r="L338" i="2" s="1"/>
  <c r="F336" i="2"/>
  <c r="H339" i="2"/>
  <c r="L339" i="2" s="1"/>
  <c r="F342" i="2"/>
  <c r="G341" i="2"/>
  <c r="F338" i="2"/>
  <c r="H342" i="2"/>
  <c r="L342" i="2" s="1"/>
  <c r="H335" i="2"/>
  <c r="F335" i="2"/>
  <c r="H337" i="2"/>
  <c r="F337" i="2"/>
  <c r="F333" i="2"/>
  <c r="H331" i="2"/>
  <c r="F331" i="2"/>
  <c r="F325" i="2"/>
  <c r="H325" i="2"/>
  <c r="L325" i="2" s="1"/>
  <c r="H321" i="2"/>
  <c r="L321" i="2" s="1"/>
  <c r="F321" i="2"/>
  <c r="H319" i="2"/>
  <c r="F319" i="2"/>
  <c r="H315" i="2"/>
  <c r="L315" i="2" s="1"/>
  <c r="F315" i="2"/>
  <c r="F314" i="2"/>
  <c r="F310" i="2"/>
  <c r="F309" i="2"/>
  <c r="H309" i="2"/>
  <c r="L309" i="2" s="1"/>
  <c r="F308" i="2"/>
  <c r="H308" i="2"/>
  <c r="L308" i="2" s="1"/>
  <c r="F280" i="2"/>
  <c r="F302" i="2"/>
  <c r="H296" i="2"/>
  <c r="L296" i="2" s="1"/>
  <c r="F296" i="2"/>
  <c r="F299" i="2"/>
  <c r="F291" i="2"/>
  <c r="G291" i="2"/>
  <c r="F289" i="2"/>
  <c r="F288" i="2"/>
  <c r="K722" i="2"/>
  <c r="K698" i="2"/>
  <c r="K674" i="2"/>
  <c r="K650" i="2"/>
  <c r="K638" i="2"/>
  <c r="K626" i="2"/>
  <c r="K602" i="2"/>
  <c r="K590" i="2"/>
  <c r="K578" i="2"/>
  <c r="K566" i="2"/>
  <c r="K554" i="2"/>
  <c r="K542" i="2"/>
  <c r="K518" i="2"/>
  <c r="K506" i="2"/>
  <c r="K494" i="2"/>
  <c r="K482" i="2"/>
  <c r="K470" i="2"/>
  <c r="K458" i="2"/>
  <c r="K446" i="2"/>
  <c r="K434" i="2"/>
  <c r="K410" i="2"/>
  <c r="K746" i="2"/>
  <c r="K734" i="2"/>
  <c r="K710" i="2"/>
  <c r="K686" i="2"/>
  <c r="K662" i="2"/>
  <c r="H302" i="2"/>
  <c r="K772" i="2"/>
  <c r="F300" i="2"/>
  <c r="H301" i="2"/>
  <c r="L301" i="2" s="1"/>
  <c r="H299" i="2"/>
  <c r="L299" i="2" s="1"/>
  <c r="H306" i="2"/>
  <c r="L306" i="2" s="1"/>
  <c r="H307" i="2"/>
  <c r="F307" i="2"/>
  <c r="F306" i="2"/>
  <c r="F301" i="2"/>
  <c r="H300" i="2"/>
  <c r="H294" i="2"/>
  <c r="F294" i="2"/>
  <c r="F290" i="2"/>
  <c r="H290" i="2"/>
  <c r="L290" i="2" s="1"/>
  <c r="H289" i="2"/>
  <c r="L289" i="2" s="1"/>
  <c r="K740" i="2"/>
  <c r="K716" i="2"/>
  <c r="K704" i="2"/>
  <c r="K680" i="2"/>
  <c r="K668" i="2"/>
  <c r="K656" i="2"/>
  <c r="K644" i="2"/>
  <c r="K620" i="2"/>
  <c r="K608" i="2"/>
  <c r="K596" i="2"/>
  <c r="K584" i="2"/>
  <c r="K572" i="2"/>
  <c r="K560" i="2"/>
  <c r="K548" i="2"/>
  <c r="K536" i="2"/>
  <c r="K524" i="2"/>
  <c r="K512" i="2"/>
  <c r="K500" i="2"/>
  <c r="K488" i="2"/>
  <c r="K476" i="2"/>
  <c r="K464" i="2"/>
  <c r="K452" i="2"/>
  <c r="K440" i="2"/>
  <c r="K428" i="2"/>
  <c r="K416" i="2"/>
  <c r="K404" i="2"/>
  <c r="K764" i="2"/>
  <c r="K752" i="2"/>
  <c r="K692" i="2"/>
  <c r="K728" i="2"/>
  <c r="F211" i="2"/>
  <c r="K433" i="2"/>
  <c r="K796" i="2"/>
  <c r="K784" i="2"/>
  <c r="K279" i="2"/>
  <c r="K760" i="2"/>
  <c r="K748" i="2"/>
  <c r="K736" i="2"/>
  <c r="K724" i="2"/>
  <c r="K712" i="2"/>
  <c r="K700" i="2"/>
  <c r="K688" i="2"/>
  <c r="K604" i="2"/>
  <c r="K580" i="2"/>
  <c r="K568" i="2"/>
  <c r="K556" i="2"/>
  <c r="K544" i="2"/>
  <c r="K532" i="2"/>
  <c r="K520" i="2"/>
  <c r="K496" i="2"/>
  <c r="K448" i="2"/>
  <c r="K436" i="2"/>
  <c r="K424" i="2"/>
  <c r="K412" i="2"/>
  <c r="H288" i="2"/>
  <c r="L288" i="2" s="1"/>
  <c r="K288" i="2" s="1"/>
  <c r="F286" i="2"/>
  <c r="H286" i="2"/>
  <c r="H285" i="2"/>
  <c r="L285" i="2" s="1"/>
  <c r="F285" i="2"/>
  <c r="H284" i="2"/>
  <c r="L284" i="2" s="1"/>
  <c r="F284" i="2"/>
  <c r="F216" i="2"/>
  <c r="K480" i="2"/>
  <c r="F214" i="2"/>
  <c r="K427" i="2"/>
  <c r="H211" i="2"/>
  <c r="K800" i="2"/>
  <c r="K788" i="2"/>
  <c r="F229" i="2"/>
  <c r="H280" i="2"/>
  <c r="L280" i="2" s="1"/>
  <c r="K776" i="2"/>
  <c r="K769" i="2"/>
  <c r="K733" i="2"/>
  <c r="K721" i="2"/>
  <c r="K697" i="2"/>
  <c r="K685" i="2"/>
  <c r="K673" i="2"/>
  <c r="K661" i="2"/>
  <c r="K649" i="2"/>
  <c r="K637" i="2"/>
  <c r="K625" i="2"/>
  <c r="K613" i="2"/>
  <c r="K601" i="2"/>
  <c r="K589" i="2"/>
  <c r="K577" i="2"/>
  <c r="K565" i="2"/>
  <c r="K553" i="2"/>
  <c r="K541" i="2"/>
  <c r="K529" i="2"/>
  <c r="K517" i="2"/>
  <c r="K505" i="2"/>
  <c r="K493" i="2"/>
  <c r="K481" i="2"/>
  <c r="K469" i="2"/>
  <c r="K457" i="2"/>
  <c r="K445" i="2"/>
  <c r="K421" i="2"/>
  <c r="K409" i="2"/>
  <c r="K397" i="2"/>
  <c r="K632" i="2"/>
  <c r="H216" i="2"/>
  <c r="K793" i="2"/>
  <c r="K781" i="2"/>
  <c r="K663" i="2"/>
  <c r="K627" i="2"/>
  <c r="K543" i="2"/>
  <c r="K519" i="2"/>
  <c r="K495" i="2"/>
  <c r="K447" i="2"/>
  <c r="K423" i="2"/>
  <c r="K770" i="2"/>
  <c r="K758" i="2"/>
  <c r="K595" i="2"/>
  <c r="K547" i="2"/>
  <c r="K794" i="2"/>
  <c r="K782" i="2"/>
  <c r="K136" i="2"/>
  <c r="H114" i="2"/>
  <c r="F114" i="2"/>
  <c r="H106" i="2"/>
  <c r="H105" i="2"/>
  <c r="F105" i="2"/>
  <c r="F67" i="2"/>
  <c r="H202" i="2"/>
  <c r="L202" i="2" s="1"/>
  <c r="K768" i="2"/>
  <c r="K756" i="2"/>
  <c r="K744" i="2"/>
  <c r="K732" i="2"/>
  <c r="K720" i="2"/>
  <c r="K708" i="2"/>
  <c r="K696" i="2"/>
  <c r="K684" i="2"/>
  <c r="K672" i="2"/>
  <c r="K660" i="2"/>
  <c r="K648" i="2"/>
  <c r="K636" i="2"/>
  <c r="K624" i="2"/>
  <c r="K612" i="2"/>
  <c r="K777" i="2"/>
  <c r="K453" i="2"/>
  <c r="K792" i="2"/>
  <c r="K780" i="2"/>
  <c r="K600" i="2"/>
  <c r="K588" i="2"/>
  <c r="K576" i="2"/>
  <c r="K564" i="2"/>
  <c r="K552" i="2"/>
  <c r="K540" i="2"/>
  <c r="K528" i="2"/>
  <c r="K516" i="2"/>
  <c r="K504" i="2"/>
  <c r="K492" i="2"/>
  <c r="K468" i="2"/>
  <c r="K456" i="2"/>
  <c r="K444" i="2"/>
  <c r="K432" i="2"/>
  <c r="K420" i="2"/>
  <c r="K408" i="2"/>
  <c r="K396" i="2"/>
  <c r="F202" i="2"/>
  <c r="F160" i="2"/>
  <c r="K477" i="2"/>
  <c r="K465" i="2"/>
  <c r="K441" i="2"/>
  <c r="K429" i="2"/>
  <c r="K417" i="2"/>
  <c r="K405" i="2"/>
  <c r="K415" i="2"/>
  <c r="K729" i="2"/>
  <c r="K669" i="2"/>
  <c r="K657" i="2"/>
  <c r="K645" i="2"/>
  <c r="K633" i="2"/>
  <c r="K621" i="2"/>
  <c r="K765" i="2"/>
  <c r="K597" i="2"/>
  <c r="K585" i="2"/>
  <c r="K573" i="2"/>
  <c r="K561" i="2"/>
  <c r="K549" i="2"/>
  <c r="K537" i="2"/>
  <c r="K525" i="2"/>
  <c r="K513" i="2"/>
  <c r="K501" i="2"/>
  <c r="K489" i="2"/>
  <c r="H207" i="2"/>
  <c r="L207" i="2" s="1"/>
  <c r="F207" i="2"/>
  <c r="K291" i="2"/>
  <c r="K607" i="2"/>
  <c r="K475" i="2"/>
  <c r="K463" i="2"/>
  <c r="K451" i="2"/>
  <c r="K439" i="2"/>
  <c r="K403" i="2"/>
  <c r="K583" i="2"/>
  <c r="K426" i="2"/>
  <c r="K571" i="2"/>
  <c r="K559" i="2"/>
  <c r="K535" i="2"/>
  <c r="K523" i="2"/>
  <c r="K799" i="2"/>
  <c r="K787" i="2"/>
  <c r="K763" i="2"/>
  <c r="K751" i="2"/>
  <c r="K739" i="2"/>
  <c r="K511" i="2"/>
  <c r="K727" i="2"/>
  <c r="K499" i="2"/>
  <c r="K332" i="2"/>
  <c r="K775" i="2"/>
  <c r="K715" i="2"/>
  <c r="K703" i="2"/>
  <c r="K691" i="2"/>
  <c r="K679" i="2"/>
  <c r="K487" i="2"/>
  <c r="K667" i="2"/>
  <c r="K655" i="2"/>
  <c r="K643" i="2"/>
  <c r="K631" i="2"/>
  <c r="K619" i="2"/>
  <c r="H160" i="2"/>
  <c r="K630" i="2"/>
  <c r="K618" i="2"/>
  <c r="K582" i="2"/>
  <c r="K738" i="2"/>
  <c r="K654" i="2"/>
  <c r="K642" i="2"/>
  <c r="F154" i="2"/>
  <c r="K606" i="2"/>
  <c r="K546" i="2"/>
  <c r="F152" i="2"/>
  <c r="K798" i="2"/>
  <c r="K726" i="2"/>
  <c r="K594" i="2"/>
  <c r="K414" i="2"/>
  <c r="K555" i="2"/>
  <c r="K435" i="2"/>
  <c r="K714" i="2"/>
  <c r="K534" i="2"/>
  <c r="K486" i="2"/>
  <c r="K786" i="2"/>
  <c r="K702" i="2"/>
  <c r="K690" i="2"/>
  <c r="K678" i="2"/>
  <c r="K522" i="2"/>
  <c r="K474" i="2"/>
  <c r="K666" i="2"/>
  <c r="K462" i="2"/>
  <c r="K450" i="2"/>
  <c r="K774" i="2"/>
  <c r="K762" i="2"/>
  <c r="K750" i="2"/>
  <c r="K570" i="2"/>
  <c r="K558" i="2"/>
  <c r="K510" i="2"/>
  <c r="K438" i="2"/>
  <c r="H154" i="2"/>
  <c r="F104" i="2"/>
  <c r="F9" i="2"/>
  <c r="K484" i="2"/>
  <c r="K400" i="2"/>
  <c r="K379" i="2"/>
  <c r="K591" i="2"/>
  <c r="K471" i="2"/>
  <c r="K567" i="2"/>
  <c r="K411" i="2"/>
  <c r="K651" i="2"/>
  <c r="K615" i="2"/>
  <c r="K483" i="2"/>
  <c r="K459" i="2"/>
  <c r="K639" i="2"/>
  <c r="K531" i="2"/>
  <c r="K675" i="2"/>
  <c r="K603" i="2"/>
  <c r="K579" i="2"/>
  <c r="K507" i="2"/>
  <c r="G104" i="2"/>
  <c r="H9" i="2"/>
  <c r="K771" i="2"/>
  <c r="K60" i="2"/>
  <c r="H156" i="2"/>
  <c r="F156" i="2"/>
  <c r="H152" i="2"/>
  <c r="H146" i="2"/>
  <c r="L146" i="2" s="1"/>
  <c r="F146" i="2"/>
  <c r="H124" i="2"/>
  <c r="H144" i="2"/>
  <c r="F144" i="2"/>
  <c r="F138" i="2"/>
  <c r="H138" i="2"/>
  <c r="F124" i="2"/>
  <c r="H121" i="2"/>
  <c r="F121" i="2"/>
  <c r="H120" i="2"/>
  <c r="F120" i="2"/>
  <c r="K699" i="2"/>
  <c r="K592" i="2"/>
  <c r="K723" i="2"/>
  <c r="K652" i="2"/>
  <c r="K460" i="2"/>
  <c r="K795" i="2"/>
  <c r="K783" i="2"/>
  <c r="K759" i="2"/>
  <c r="K616" i="2"/>
  <c r="K664" i="2"/>
  <c r="K628" i="2"/>
  <c r="K711" i="2"/>
  <c r="K687" i="2"/>
  <c r="K508" i="2"/>
  <c r="K801" i="2"/>
  <c r="K586" i="2"/>
  <c r="K574" i="2"/>
  <c r="K562" i="2"/>
  <c r="K526" i="2"/>
  <c r="K490" i="2"/>
  <c r="K418" i="2"/>
  <c r="K406" i="2"/>
  <c r="K735" i="2"/>
  <c r="K472" i="2"/>
  <c r="K676" i="2"/>
  <c r="K640" i="2"/>
  <c r="K747" i="2"/>
  <c r="H111" i="2"/>
  <c r="G111" i="2"/>
  <c r="K104" i="2"/>
  <c r="H103" i="2"/>
  <c r="F103" i="2"/>
  <c r="H99" i="2"/>
  <c r="F99" i="2"/>
  <c r="G91" i="2"/>
  <c r="H91" i="2"/>
  <c r="K753" i="2"/>
  <c r="K705" i="2"/>
  <c r="K610" i="2"/>
  <c r="K789" i="2"/>
  <c r="K658" i="2"/>
  <c r="K622" i="2"/>
  <c r="K430" i="2"/>
  <c r="K681" i="2"/>
  <c r="K8" i="2"/>
  <c r="K757" i="2"/>
  <c r="K614" i="2"/>
  <c r="K530" i="2"/>
  <c r="K514" i="2"/>
  <c r="K741" i="2"/>
  <c r="K693" i="2"/>
  <c r="K670" i="2"/>
  <c r="K634" i="2"/>
  <c r="K466" i="2"/>
  <c r="K717" i="2"/>
  <c r="K478" i="2"/>
  <c r="K709" i="2"/>
  <c r="K646" i="2"/>
  <c r="K598" i="2"/>
  <c r="K745" i="2"/>
  <c r="K502" i="2"/>
  <c r="H85" i="2"/>
  <c r="F85" i="2"/>
  <c r="H66" i="2"/>
  <c r="F66" i="2"/>
  <c r="K609" i="2"/>
  <c r="I49" i="5"/>
  <c r="I48" i="5"/>
  <c r="I47" i="5"/>
  <c r="K33" i="4"/>
  <c r="I11" i="5"/>
  <c r="K18" i="4"/>
  <c r="K19" i="4"/>
  <c r="K39" i="4"/>
  <c r="K40" i="4"/>
  <c r="K25" i="4"/>
  <c r="K32" i="4"/>
  <c r="K26" i="4"/>
  <c r="J37" i="3" l="1"/>
  <c r="F43" i="5"/>
  <c r="J38" i="3"/>
  <c r="F44" i="5"/>
  <c r="K159" i="2"/>
  <c r="K333" i="2"/>
  <c r="K384" i="2"/>
  <c r="K314" i="2"/>
  <c r="K343" i="2"/>
  <c r="K386" i="2"/>
  <c r="K402" i="2"/>
  <c r="K282" i="2"/>
  <c r="K374" i="2"/>
  <c r="K398" i="2"/>
  <c r="K287" i="2"/>
  <c r="K281" i="2"/>
  <c r="K385" i="2"/>
  <c r="K327" i="2"/>
  <c r="K328" i="2"/>
  <c r="K376" i="2"/>
  <c r="J7" i="3"/>
  <c r="K7" i="3" s="1"/>
  <c r="I13" i="5" s="1"/>
  <c r="F13" i="5"/>
  <c r="K283" i="2"/>
  <c r="K230" i="2"/>
  <c r="K371" i="2"/>
  <c r="L381" i="2"/>
  <c r="K381" i="2" s="1"/>
  <c r="K303" i="2"/>
  <c r="L380" i="2"/>
  <c r="K380" i="2" s="1"/>
  <c r="L383" i="2"/>
  <c r="K383" i="2" s="1"/>
  <c r="L388" i="2"/>
  <c r="K388" i="2" s="1"/>
  <c r="L344" i="2"/>
  <c r="K344" i="2" s="1"/>
  <c r="K317" i="2"/>
  <c r="K214" i="2"/>
  <c r="K219" i="2"/>
  <c r="K322" i="2"/>
  <c r="K305" i="2"/>
  <c r="K318" i="2"/>
  <c r="K320" i="2"/>
  <c r="K321" i="2"/>
  <c r="K323" i="2"/>
  <c r="K313" i="2"/>
  <c r="K370" i="2"/>
  <c r="K334" i="2"/>
  <c r="K330" i="2"/>
  <c r="K42" i="3"/>
  <c r="K345" i="2"/>
  <c r="K326" i="2"/>
  <c r="K316" i="2"/>
  <c r="K311" i="2"/>
  <c r="K312" i="2"/>
  <c r="K308" i="2"/>
  <c r="K297" i="2"/>
  <c r="K229" i="2"/>
  <c r="L218" i="2"/>
  <c r="K218" i="2" s="1"/>
  <c r="K153" i="2"/>
  <c r="K147" i="2"/>
  <c r="K118" i="2"/>
  <c r="L86" i="2"/>
  <c r="K86" i="2" s="1"/>
  <c r="K67" i="2"/>
  <c r="K296" i="2"/>
  <c r="K378" i="2"/>
  <c r="K377" i="2"/>
  <c r="K373" i="2"/>
  <c r="K372" i="2"/>
  <c r="L369" i="2"/>
  <c r="K369" i="2" s="1"/>
  <c r="K368" i="2"/>
  <c r="K367" i="2"/>
  <c r="K338" i="2"/>
  <c r="K336" i="2"/>
  <c r="K339" i="2"/>
  <c r="K340" i="2"/>
  <c r="K342" i="2"/>
  <c r="K341" i="2"/>
  <c r="L337" i="2"/>
  <c r="K337" i="2" s="1"/>
  <c r="L335" i="2"/>
  <c r="K335" i="2" s="1"/>
  <c r="L331" i="2"/>
  <c r="K331" i="2" s="1"/>
  <c r="K325" i="2"/>
  <c r="L319" i="2"/>
  <c r="K319" i="2" s="1"/>
  <c r="K315" i="2"/>
  <c r="K309" i="2"/>
  <c r="K289" i="2"/>
  <c r="L302" i="2"/>
  <c r="K302" i="2" s="1"/>
  <c r="K44" i="3"/>
  <c r="K306" i="2"/>
  <c r="K301" i="2"/>
  <c r="K299" i="2"/>
  <c r="L211" i="2"/>
  <c r="K211" i="2" s="1"/>
  <c r="K284" i="2"/>
  <c r="L307" i="2"/>
  <c r="K307" i="2" s="1"/>
  <c r="L300" i="2"/>
  <c r="K300" i="2" s="1"/>
  <c r="L294" i="2"/>
  <c r="K294" i="2" s="1"/>
  <c r="K290" i="2"/>
  <c r="L286" i="2"/>
  <c r="K286" i="2" s="1"/>
  <c r="K285" i="2"/>
  <c r="K280" i="2"/>
  <c r="L216" i="2"/>
  <c r="L105" i="2"/>
  <c r="K105" i="2" s="1"/>
  <c r="L114" i="2"/>
  <c r="K114" i="2" s="1"/>
  <c r="L106" i="2"/>
  <c r="K106" i="2" s="1"/>
  <c r="F28" i="5"/>
  <c r="J22" i="3"/>
  <c r="K202" i="2"/>
  <c r="K146" i="2"/>
  <c r="K207" i="2"/>
  <c r="L85" i="2"/>
  <c r="L160" i="2"/>
  <c r="K160" i="2" s="1"/>
  <c r="L154" i="2"/>
  <c r="K154" i="2" s="1"/>
  <c r="L9" i="2"/>
  <c r="K9" i="2" s="1"/>
  <c r="L156" i="2"/>
  <c r="K156" i="2" s="1"/>
  <c r="L152" i="2"/>
  <c r="K152" i="2" s="1"/>
  <c r="L124" i="2"/>
  <c r="K124" i="2" s="1"/>
  <c r="L144" i="2"/>
  <c r="K144" i="2" s="1"/>
  <c r="L138" i="2"/>
  <c r="K138" i="2" s="1"/>
  <c r="L121" i="2"/>
  <c r="K121" i="2" s="1"/>
  <c r="L120" i="2"/>
  <c r="K120" i="2" s="1"/>
  <c r="C19" i="4"/>
  <c r="G19" i="4" s="1"/>
  <c r="C25" i="4"/>
  <c r="G25" i="4" s="1"/>
  <c r="C11" i="4"/>
  <c r="G11" i="4" s="1"/>
  <c r="C40" i="4"/>
  <c r="G40" i="4" s="1"/>
  <c r="C32" i="4"/>
  <c r="G32" i="4" s="1"/>
  <c r="L111" i="2"/>
  <c r="K111" i="2" s="1"/>
  <c r="L103" i="2"/>
  <c r="K103" i="2" s="1"/>
  <c r="L99" i="2"/>
  <c r="K99" i="2" s="1"/>
  <c r="L91" i="2"/>
  <c r="K91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66" i="2"/>
  <c r="K66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85" i="2" l="1"/>
  <c r="K11" i="4"/>
  <c r="K38" i="4"/>
  <c r="K42" i="4" s="1"/>
  <c r="K216" i="2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<sst xmlns="http://schemas.openxmlformats.org/spreadsheetml/2006/main" count="801" uniqueCount="365">
  <si>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</si>
  <si>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</si>
  <si>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</si>
  <si>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</si>
  <si>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</si>
  <si>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</si>
  <si>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</si>
  <si>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</si>
  <si>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</si>
  <si>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</si>
  <si>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</si>
  <si>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</si>
  <si>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</si>
  <si>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</si>
  <si>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</si>
  <si>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</si>
  <si>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</si>
  <si>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</si>
  <si>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</si>
  <si>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</si>
  <si>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</si>
  <si>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</si>
  <si>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</si>
  <si>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</si>
  <si>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</si>
  <si>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</si>
  <si>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</si>
  <si>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</si>
  <si>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</si>
  <si>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</si>
  <si>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</si>
  <si>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</si>
  <si>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</si>
  <si>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</si>
  <si>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</si>
  <si>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</si>
  <si>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</si>
  <si>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</si>
  <si>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</si>
  <si>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</si>
  <si>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</si>
  <si>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</si>
  <si>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</si>
  <si>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</si>
  <si>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</si>
  <si>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</si>
  <si>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</si>
  <si>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</si>
  <si>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</si>
  <si>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</si>
  <si>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</si>
  <si>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</si>
  <si>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</si>
  <si>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</si>
  <si>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</si>
  <si>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</si>
  <si>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</si>
  <si>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</si>
  <si>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</si>
  <si>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</si>
  <si>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</si>
  <si>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</si>
  <si>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</si>
  <si>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</si>
  <si>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</si>
  <si>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</si>
  <si>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</si>
  <si>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</si>
  <si>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</si>
  <si>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</si>
  <si>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</si>
  <si>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</si>
  <si>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</si>
  <si>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</si>
  <si>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</si>
  <si>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</si>
  <si>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</si>
  <si>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</si>
  <si>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</si>
  <si>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</si>
  <si>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</si>
  <si>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</si>
  <si>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</si>
  <si>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</si>
  <si>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</si>
  <si>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</si>
  <si>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</si>
  <si>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</si>
  <si>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</si>
  <si>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</si>
  <si>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</si>
  <si>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</si>
  <si>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</si>
  <si>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</si>
  <si>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</si>
  <si>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</si>
  <si>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</si>
  <si>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</si>
  <si>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</si>
  <si>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</si>
  <si>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</si>
  <si>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</si>
  <si>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</si>
  <si>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</si>
  <si>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</si>
  <si>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</si>
  <si>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</si>
  <si>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</si>
  <si>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</si>
  <si>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</si>
  <si>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</si>
  <si>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</si>
  <si>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</si>
  <si>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</si>
  <si>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</si>
  <si>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</si>
  <si>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</si>
  <si>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</si>
  <si>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</si>
  <si>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</si>
  <si>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</si>
  <si>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</si>
  <si>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</si>
  <si>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</si>
  <si>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</si>
  <si>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</si>
  <si>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</si>
  <si>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</si>
  <si>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</si>
  <si>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</si>
  <si>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</si>
  <si>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</si>
  <si>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</si>
  <si>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</si>
  <si>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</si>
  <si>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</si>
  <si>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</si>
  <si>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</si>
  <si>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</si>
  <si>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</si>
  <si>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</si>
  <si>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</si>
  <si>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</si>
  <si>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</si>
  <si>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</si>
  <si>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</si>
  <si>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</si>
  <si>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</si>
  <si>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</si>
  <si>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</si>
  <si>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</si>
  <si>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</si>
  <si>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</si>
  <si>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</si>
  <si>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</si>
  <si>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</si>
  <si>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</si>
  <si>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</si>
  <si>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</si>
  <si>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</si>
  <si>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</si>
  <si>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</si>
  <si>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</si>
  <si>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</si>
  <si>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</si>
  <si>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</si>
  <si>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</si>
  <si>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</si>
  <si>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</si>
  <si>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</si>
  <si>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</si>
  <si>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</si>
  <si>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Java</t>
  </si>
  <si>
    <t>4.3.1</t>
  </si>
  <si>
    <t>Estimativa (NESMA)</t>
  </si>
  <si>
    <t xml:space="preserve">Não há documentação disponível.
</t>
  </si>
  <si>
    <t>Sistema Estadual de Seleção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</si>
  <si>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  <family val="2"/>
      </rPr>
      <t>SIES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</si>
  <si>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 xml:space="preserve">SIES, com base na apresentação realizada pelo analista Claudio no ambiente de Treinamento.
</t>
  </si>
  <si>
    <t>Login</t>
  </si>
  <si>
    <t>MT Login</t>
  </si>
  <si>
    <t>Cargos</t>
  </si>
  <si>
    <t>Cargos - Cadastrar</t>
  </si>
  <si>
    <t>Cargos - Editar</t>
  </si>
  <si>
    <t>Cargos - Pesquisar/Listar</t>
  </si>
  <si>
    <t>Cargos - Visualizar</t>
  </si>
  <si>
    <t>Perfis</t>
  </si>
  <si>
    <t>Perfis - Cadastrar</t>
  </si>
  <si>
    <t>Perfis - Editar</t>
  </si>
  <si>
    <t>Perfis - Pesquisar/Listar</t>
  </si>
  <si>
    <t>Perfis - Visualizar</t>
  </si>
  <si>
    <t>Órgãos</t>
  </si>
  <si>
    <t>Órgãos - Cadastrar</t>
  </si>
  <si>
    <t>Órgãos - Editar</t>
  </si>
  <si>
    <t>Órgãos - Status (combo-box)</t>
  </si>
  <si>
    <t>Órgãos - Visualizar</t>
  </si>
  <si>
    <t>Órgãos - Pesquisar/Listar</t>
  </si>
  <si>
    <t>Cotas</t>
  </si>
  <si>
    <t>Cotas - Cadastrar</t>
  </si>
  <si>
    <t>Cotas - Editar</t>
  </si>
  <si>
    <t>Cotas - Situação (combo-box)</t>
  </si>
  <si>
    <t>Cotas - Visualizar</t>
  </si>
  <si>
    <t>Cotas - Excluir</t>
  </si>
  <si>
    <t>Usuários</t>
  </si>
  <si>
    <t>Usuários - Cadastrar</t>
  </si>
  <si>
    <t>Usuários - Editar</t>
  </si>
  <si>
    <t>Usuários - Pesquisar/Listar</t>
  </si>
  <si>
    <t>Usuários - Integrante Com./Adm. Processo Seletivo (consulta implícita)</t>
  </si>
  <si>
    <t>Usuários - Inscrito Processo Seletivo (consulta implícita)</t>
  </si>
  <si>
    <t>Locais</t>
  </si>
  <si>
    <t>Locais - Cadastrar</t>
  </si>
  <si>
    <t>Locais - Editar</t>
  </si>
  <si>
    <t>Locais - Visualizar</t>
  </si>
  <si>
    <t>Locais - Pesquisar/Listar</t>
  </si>
  <si>
    <t>Locais - Cidade (combo-box)</t>
  </si>
  <si>
    <t>Processo Seletivo</t>
  </si>
  <si>
    <t>Processo Seletivo - Cadastrar</t>
  </si>
  <si>
    <t>Processo Seletivo - Pesquisar/Listar</t>
  </si>
  <si>
    <t>Processo Seletivo - Ordenador por (combo-box)</t>
  </si>
  <si>
    <t>Processo Seletivo - Situação (combo-box)</t>
  </si>
  <si>
    <t>Processo Seletivo - Inscrição Externa (combo-box)</t>
  </si>
  <si>
    <t>Processo Seletivo - Impugnar Edital (combo-box)</t>
  </si>
  <si>
    <t>Processo Seletivo - Limites de Idade (combo-box)</t>
  </si>
  <si>
    <t>Processo Seletivo - Órgão (combo-box)</t>
  </si>
  <si>
    <t>Processo Seletivo - Consultar</t>
  </si>
  <si>
    <t>Processo Seletivo - Fases</t>
  </si>
  <si>
    <t>Processo Seletivo - Fases - Cadastrar</t>
  </si>
  <si>
    <t>Processo Seletivo - Fases - Visualizar</t>
  </si>
  <si>
    <t>Processo Seletivo - Fases - Listar/Situações - Inscrição</t>
  </si>
  <si>
    <t>Processo Seletivo - Fases - Candidatos</t>
  </si>
  <si>
    <t>Processo Seletivo - Fases - Candidatos - Consultar</t>
  </si>
  <si>
    <t>Processo Seletivo - Fases - Candidatos - Listar (consulta implícita)</t>
  </si>
  <si>
    <t>Processo Seletivo - Fases - Candidatos - Avaliar Individual - Consultar</t>
  </si>
  <si>
    <t>Processo Seletivo - Fases - Candidatos - Ordenada - Consultar Lista de Candidatos</t>
  </si>
  <si>
    <t>Processo Seletivo - Fases - Candidatos - Visualizar</t>
  </si>
  <si>
    <t>Processo Seletivo - Fases - Candidatos - Visualizar - Detalhes da Fase - Consultar</t>
  </si>
  <si>
    <t>Processo Seletivo - Fases - Candidatos - Visualizar - Situações (consulta implícita)</t>
  </si>
  <si>
    <t>Processo Seletivo - Fases - Candidatos - Visualizar - Cadastrar Fase</t>
  </si>
  <si>
    <t>Processo Seletivo - Fases - Candidatos - Visualizar - Editar Fase</t>
  </si>
  <si>
    <t>Processo Seletivo - Fases - Candidatos - Gerar Relatório</t>
  </si>
  <si>
    <t>Processo Seletivo - Fases - Candidatos - Gerar Relatório - PDF por Situação</t>
  </si>
  <si>
    <t>Processo Seletivo - Fases - Candidatos - Gerar Relatório - PDF por Situação e Nota</t>
  </si>
  <si>
    <t>Processo Seletivo - Fases - Candidatos - Gerar Relatório - HTML</t>
  </si>
  <si>
    <t>Vagas</t>
  </si>
  <si>
    <t>Vagas - Cadastrar</t>
  </si>
  <si>
    <t>Vagas - Editar</t>
  </si>
  <si>
    <t>Vagas - Apagar</t>
  </si>
  <si>
    <t>Vagas - Visualizar</t>
  </si>
  <si>
    <t>Vagas - Requisitos Básicos</t>
  </si>
  <si>
    <t>Vagas - Requisitos Básicos - Listar</t>
  </si>
  <si>
    <t>Vagas - Requisitos Básicos - Editar</t>
  </si>
  <si>
    <t>Vagas - Requisitos Básicos - Apagar</t>
  </si>
  <si>
    <t>Vagas - Requisitos Básicos - Consulta Implícita</t>
  </si>
  <si>
    <t>Vagas - Requisitos Básicos - Listar Barema</t>
  </si>
  <si>
    <t>Vagas - Requisitos Básicos - Barema Experiência</t>
  </si>
  <si>
    <t>Vagas - Requisitos Básicos - Barema Experiência - Listar</t>
  </si>
  <si>
    <t>Vagas - Requisitos Básicos - Barema Experiência - Cadastrar</t>
  </si>
  <si>
    <t>Vagas - Requisitos Básicos - Barema Experiência - Editar</t>
  </si>
  <si>
    <t>Vagas - Requisitos Básicos - Barema Experiência - Apagar</t>
  </si>
  <si>
    <t>Vagas - Requisitos Básicos - Barema Experiência - Consulta Implícita</t>
  </si>
  <si>
    <t>Vagas - Requisitos Básicos - Barema Titulação</t>
  </si>
  <si>
    <t>Vagas - Requisitos Básicos - Barema Titulação - Listar</t>
  </si>
  <si>
    <t>Vagas - Requisitos Básicos - Barema Titulação - Cadastrar</t>
  </si>
  <si>
    <t>Vagas - Requisitos Básicos - Barema Titulação - Editar</t>
  </si>
  <si>
    <t>Vagas - Requisitos Básicos - Barema Titulação - Apagar</t>
  </si>
  <si>
    <t>Vagas - Requisitos Básicos - Barema Titulação - Consulta Implícita</t>
  </si>
  <si>
    <t>Vagas - Requisitos Básicos - Barema Prova</t>
  </si>
  <si>
    <t>Vagas - Requisitos Básicos - Barema Prova - Listar</t>
  </si>
  <si>
    <t>Vagas - Requisitos Básicos - Barema Prova - Cadastrar</t>
  </si>
  <si>
    <t>Vagas - Requisitos Básicos - Barema Prova - Editar</t>
  </si>
  <si>
    <t>Vagas - Requisitos Básicos - Barema Prova - Apagar</t>
  </si>
  <si>
    <t>Vagas - Requisitos Básicos - Barema Prova - Consulta Implícita</t>
  </si>
  <si>
    <t>Avaliação</t>
  </si>
  <si>
    <t>Avaliação - Consultar</t>
  </si>
  <si>
    <t>Avaliação - Histórico de Avaliações</t>
  </si>
  <si>
    <t>Avaliação - Informações</t>
  </si>
  <si>
    <t>Avaliação - Informações - Nova situação fase atual (combo-box)</t>
  </si>
  <si>
    <t>Avaliação - Informações - Mover para fase (combo-box)</t>
  </si>
  <si>
    <t>Avaliação - Informações - Inscrição (consulta implícita)</t>
  </si>
  <si>
    <t>Avaliação - Requisitos Básicos</t>
  </si>
  <si>
    <t>Avaliação - Requisitos Básicos - Consulta Implícita</t>
  </si>
  <si>
    <t>Avaliação - Requisitos Básicos - Salvar</t>
  </si>
  <si>
    <t>Avaliação - Situação da Inscrição</t>
  </si>
  <si>
    <t>Avaliação - Situação da Inscrição - Consulta Implícita</t>
  </si>
  <si>
    <t>Avaliação - Situação da Inscrição - Bloquear/Liberar</t>
  </si>
  <si>
    <t>Avaliação - Barema</t>
  </si>
  <si>
    <t>Avaliação - Barema - Consultar Dados dos Baremas</t>
  </si>
  <si>
    <t>Avaliação - Barema - Aprovar</t>
  </si>
  <si>
    <t>Avaliação - Barema - Reprovar</t>
  </si>
  <si>
    <t>Avaliação - Barema - Consulta Implícita</t>
  </si>
  <si>
    <t>Avaliação - Recurso</t>
  </si>
  <si>
    <t>Avaliação - Recurso - Listar</t>
  </si>
  <si>
    <t>Avaliação - Recurso - Aprovar</t>
  </si>
  <si>
    <t>Avaliação - Recurso - Reprovar</t>
  </si>
  <si>
    <t>FAQ</t>
  </si>
  <si>
    <t>FAQ - Cadastrar</t>
  </si>
  <si>
    <t>FAQ - Pesquisar/Listar</t>
  </si>
  <si>
    <t>FAQ - Consultar Pergunta Candidato/Comissão</t>
  </si>
  <si>
    <t>FAQ - Categoria (combo-box)</t>
  </si>
  <si>
    <t>FAQ - Editar</t>
  </si>
  <si>
    <t>FAQ - Remover</t>
  </si>
  <si>
    <t>Página</t>
  </si>
  <si>
    <t>Página - Pesquisar/Listar</t>
  </si>
  <si>
    <t>Página - Cadastrar</t>
  </si>
  <si>
    <t>Página - Visualizar</t>
  </si>
  <si>
    <t>Página - Editar</t>
  </si>
  <si>
    <t>Permissões de Acesso</t>
  </si>
  <si>
    <t>Permissões de Acesso - Sincronizar</t>
  </si>
  <si>
    <t>Permissões de Acesso - Listar</t>
  </si>
  <si>
    <t>Permissões de Acesso - Permissões Listar</t>
  </si>
  <si>
    <t>Dashbord</t>
  </si>
  <si>
    <t>Relatórios Gerais</t>
  </si>
  <si>
    <t>Inscrever-se</t>
  </si>
  <si>
    <t>Inscrever-se / Inscrição</t>
  </si>
  <si>
    <t>Inscrever-se - Pesquisar/Listar</t>
  </si>
  <si>
    <t>Inscrever-se - Consultar Detalhes</t>
  </si>
  <si>
    <t>Inscrever-se - Dados Pessoais</t>
  </si>
  <si>
    <t>Inscrever-se - Dados Pessoais - Possuí Cargo Executivo (combo-box)</t>
  </si>
  <si>
    <t>Inscrever-se - Dados Pessoais - Escolaridade (combo-box)</t>
  </si>
  <si>
    <t>Inscrever-se - Dados Pessoais - Cotista (combo-box)</t>
  </si>
  <si>
    <t>Inscrever-se - Dados Pessoais - Adicionar/Salvar</t>
  </si>
  <si>
    <t>Inscrever-se - Dados Pessoais - Consulta Implícita</t>
  </si>
  <si>
    <t>Inscrever-se - Dados da Vaga</t>
  </si>
  <si>
    <t>Inscrever-se - Dados da Vaga - Salvar/Avançar</t>
  </si>
  <si>
    <t>Inscrever-se - Dados da Vaga - Perfil Profissional (combo-box)</t>
  </si>
  <si>
    <t>Inscrever-se - Dados da Vaga - Adicionar</t>
  </si>
  <si>
    <t>Inscrever-se - Dados da Vaga - Consultar Vaga</t>
  </si>
  <si>
    <t>Inscrever-se - Requisitos Básicos</t>
  </si>
  <si>
    <t>Inscrever-se - Requisitos Básicos - Perfil Profissional (combo-box)</t>
  </si>
  <si>
    <t>Inscrever-se - Requisitos Básicos - Adicionar</t>
  </si>
  <si>
    <t>Inscrever-se - Requisitos Básicos - Salvar/Avançar</t>
  </si>
  <si>
    <t>Inscrever-se - Experiência</t>
  </si>
  <si>
    <t>Inscrever-se - Experiência - Experiência (combo-box)</t>
  </si>
  <si>
    <t>Inscrever-se - Experiência - Vínculo (combo-box)</t>
  </si>
  <si>
    <t>Inscrever-se - Experiência - Adicionar</t>
  </si>
  <si>
    <t>Inscrever-se - Experiência - Salvar/Avançar</t>
  </si>
  <si>
    <t>Inscrever-se - Titulação</t>
  </si>
  <si>
    <t>Inscrever-se - Titulação - Titulação (combo-box)</t>
  </si>
  <si>
    <t>Inscrever-se - Titulação - Adicionar</t>
  </si>
  <si>
    <t>Inscrever-se - Titulação - Salvar/Avançar</t>
  </si>
  <si>
    <t>Inscrever-se - Confirmação</t>
  </si>
  <si>
    <t>Inscrever-se - Listar Resumo (consulta implícita)</t>
  </si>
  <si>
    <t>Inscrever-se - Confirmar Revisão dos Dados</t>
  </si>
  <si>
    <t>Inscrever-se - Confirmar Salvar</t>
  </si>
  <si>
    <t>Impugnações</t>
  </si>
  <si>
    <t>Impugnações - Cadastrar</t>
  </si>
  <si>
    <t>Impugnações - Pesquisar/Listar</t>
  </si>
  <si>
    <t>Impugnações - Editar</t>
  </si>
  <si>
    <t>Impugnações - Visualizar</t>
  </si>
  <si>
    <t>Impugnações - Remover</t>
  </si>
  <si>
    <t>Perfil do Candidato</t>
  </si>
  <si>
    <t>Perfil do Candidato - Inscrições Ativas</t>
  </si>
  <si>
    <t>Perfil do Candidato - Inscrições Ativas - Dados da Vaga (consulta implícita)</t>
  </si>
  <si>
    <t>Perfil do Candidato - Inscrições Ativas - Listar Processos Seletivos (consulta implícita)</t>
  </si>
  <si>
    <t>Perfil do Candidato - Inscrições Ativas - Consultar Dados do Canditado</t>
  </si>
  <si>
    <t>Perfil do Candidato - Inscrições Ativas - Situação  da Inscrição - Consultar Fase</t>
  </si>
  <si>
    <t>Perfil do Candidato - Inscrições Ativas - Barema - Requiisitos Básicos - Listar Tipo de Documentação</t>
  </si>
  <si>
    <t>Perfil do Candidato - Inscrições Ativas - Consultar</t>
  </si>
  <si>
    <t>Perfil do Candidato - Inscrições Ativas - Barema - Consultar Experiência</t>
  </si>
  <si>
    <t>Perfil do Candidato - Inscrições Ativas - Barema - Consultar Titulação</t>
  </si>
  <si>
    <t>Perfil do Candidato - Inscrições Ativas - Cancelar Inscrição</t>
  </si>
  <si>
    <t>Perfil do Candidato - Inscrições Canceladas</t>
  </si>
  <si>
    <t>Perfil do Candidato - Inscrições Canceladas - Consultar</t>
  </si>
  <si>
    <t>Perfil do Candidato - Inscrições Canceladas - Estado (combo-box)</t>
  </si>
  <si>
    <t>Perfil do Candidato - Inscrições Informações Gerais do Candidato (consulta implícita)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</si>
</sst>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2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8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396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3421014680857202"/>
                  <c:y val="-8.10798383428334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0.33190271816881262</c:v>
                </c:pt>
                <c:pt idx="1">
                  <c:v>4.2918454935622317E-2</c:v>
                </c:pt>
                <c:pt idx="2">
                  <c:v>0.45779685264663805</c:v>
                </c:pt>
                <c:pt idx="3">
                  <c:v>0.16022889842632332</c:v>
                </c:pt>
                <c:pt idx="4">
                  <c:v>7.1530758226037196E-3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63270937286686"/>
          <c:y val="7.2928008040161377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20" zoomScaleNormal="120" zoomScaleSheetLayoutView="100" workbookViewId="0">
      <pane ySplit="3" topLeftCell="A7" activePane="bottomLeft" state="frozen"/>
      <selection activeCell="B11" sqref="B11"/>
      <selection pane="bottomLeft" activeCell="A21" sqref="A21:V21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 ht="12.75" x14ac:dyDescent="0.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</row>
    <row r="3" spans="1:22" ht="12.75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</row>
    <row r="4" spans="1:22" x14ac:dyDescent="0.25">
      <c r="A4" s="139" t="s">
        <v>1</v>
      </c>
      <c r="B4" s="139"/>
      <c r="C4" s="139"/>
      <c r="D4" s="139"/>
      <c r="E4" s="139"/>
      <c r="F4" s="143" t="s">
        <v>170</v>
      </c>
      <c r="G4" s="143"/>
      <c r="H4" s="143"/>
      <c r="I4" s="143"/>
      <c r="J4" s="143"/>
      <c r="K4" s="143"/>
      <c r="L4" s="143"/>
      <c r="M4" s="143"/>
      <c r="N4" s="143"/>
      <c r="O4" s="148" t="s">
        <v>2</v>
      </c>
      <c r="P4" s="148"/>
      <c r="Q4" s="146">
        <f>Funções!L4</f>
        <v>699</v>
      </c>
      <c r="R4" s="146"/>
      <c r="S4" s="146"/>
      <c r="T4" s="146"/>
      <c r="U4" s="146"/>
      <c r="V4" s="146"/>
    </row>
    <row r="5" spans="1:22" x14ac:dyDescent="0.25">
      <c r="A5" s="139" t="s">
        <v>3</v>
      </c>
      <c r="B5" s="139"/>
      <c r="C5" s="139"/>
      <c r="D5" s="139"/>
      <c r="E5" s="139"/>
      <c r="F5" s="143" t="s">
        <v>176</v>
      </c>
      <c r="G5" s="143"/>
      <c r="H5" s="143"/>
      <c r="I5" s="143"/>
      <c r="J5" s="143"/>
      <c r="K5" s="143"/>
      <c r="L5" s="143"/>
      <c r="M5" s="143"/>
      <c r="N5" s="143"/>
      <c r="O5" s="144" t="s">
        <v>6</v>
      </c>
      <c r="P5" s="144"/>
      <c r="Q5" s="146">
        <f>Funções!L5</f>
        <v>699</v>
      </c>
      <c r="R5" s="146"/>
      <c r="S5" s="146"/>
      <c r="T5" s="146"/>
      <c r="U5" s="146"/>
      <c r="V5" s="146"/>
    </row>
    <row r="6" spans="1:22" x14ac:dyDescent="0.25">
      <c r="A6" s="139" t="s">
        <v>5</v>
      </c>
      <c r="B6" s="139"/>
      <c r="C6" s="139"/>
      <c r="D6" s="139"/>
      <c r="E6" s="139"/>
      <c r="F6" s="140" t="s">
        <v>3</v>
      </c>
      <c r="G6" s="140"/>
      <c r="H6" s="140"/>
      <c r="I6" s="140"/>
      <c r="J6" s="140"/>
      <c r="K6" s="140"/>
      <c r="L6" s="140"/>
      <c r="M6" s="140"/>
      <c r="N6" s="140"/>
      <c r="O6" s="144" t="s">
        <v>4</v>
      </c>
      <c r="P6" s="144"/>
      <c r="Q6" s="146">
        <f>Funções!L6</f>
        <v>699</v>
      </c>
      <c r="R6" s="146"/>
      <c r="S6" s="146"/>
      <c r="T6" s="146"/>
      <c r="U6" s="146"/>
      <c r="V6" s="146"/>
    </row>
    <row r="7" spans="1:22" ht="12.75" x14ac:dyDescent="0.2">
      <c r="A7" s="139" t="s">
        <v>7</v>
      </c>
      <c r="B7" s="139"/>
      <c r="C7" s="139"/>
      <c r="D7" s="139"/>
      <c r="E7" s="139"/>
      <c r="F7" s="143" t="s">
        <v>174</v>
      </c>
      <c r="G7" s="143"/>
      <c r="H7" s="143"/>
      <c r="I7" s="143"/>
      <c r="J7" s="143"/>
      <c r="K7" s="143"/>
      <c r="L7" s="143"/>
      <c r="M7" s="143"/>
      <c r="N7" s="143"/>
      <c r="O7" s="144" t="s">
        <v>8</v>
      </c>
      <c r="P7" s="144"/>
      <c r="Q7" s="144"/>
      <c r="R7" s="145" t="s">
        <v>172</v>
      </c>
      <c r="S7" s="145"/>
      <c r="T7" s="145"/>
      <c r="U7" s="145"/>
      <c r="V7" s="145"/>
    </row>
    <row r="8" spans="1:22" ht="12.75" x14ac:dyDescent="0.2">
      <c r="A8" s="139" t="s">
        <v>9</v>
      </c>
      <c r="B8" s="139"/>
      <c r="C8" s="139"/>
      <c r="D8" s="139"/>
      <c r="E8" s="139"/>
      <c r="F8" s="143" t="s">
        <v>176</v>
      </c>
      <c r="G8" s="143"/>
      <c r="H8" s="143"/>
      <c r="I8" s="143"/>
      <c r="J8" s="143"/>
      <c r="K8" s="143"/>
      <c r="L8" s="143"/>
      <c r="M8" s="143"/>
      <c r="N8" s="143"/>
      <c r="O8" s="144" t="s">
        <v>10</v>
      </c>
      <c r="P8" s="144"/>
      <c r="Q8" s="144"/>
      <c r="R8" s="145" t="s">
        <v>173</v>
      </c>
      <c r="S8" s="145"/>
      <c r="T8" s="145"/>
      <c r="U8" s="145"/>
      <c r="V8" s="145"/>
    </row>
    <row r="9" spans="1:22" x14ac:dyDescent="0.25">
      <c r="A9" s="139" t="s">
        <v>11</v>
      </c>
      <c r="B9" s="139"/>
      <c r="C9" s="139"/>
      <c r="D9" s="139"/>
      <c r="E9" s="139"/>
      <c r="F9" s="140" t="s">
        <v>171</v>
      </c>
      <c r="G9" s="140"/>
      <c r="H9" s="140"/>
      <c r="I9" s="140"/>
      <c r="J9" s="140"/>
      <c r="K9" s="140"/>
      <c r="L9" s="140"/>
      <c r="M9" s="140"/>
      <c r="N9" s="140"/>
      <c r="O9" s="141" t="s">
        <v>12</v>
      </c>
      <c r="P9" s="141"/>
      <c r="Q9" s="141"/>
      <c r="R9" s="142">
        <v>46001</v>
      </c>
      <c r="S9" s="142"/>
      <c r="T9" s="142"/>
      <c r="U9" s="142"/>
      <c r="V9" s="142"/>
    </row>
    <row r="10" spans="1:22" x14ac:dyDescent="0.25">
      <c r="A10" s="139" t="s">
        <v>13</v>
      </c>
      <c r="B10" s="139"/>
      <c r="C10" s="139"/>
      <c r="D10" s="139"/>
      <c r="E10" s="139"/>
      <c r="F10" s="140"/>
      <c r="G10" s="140"/>
      <c r="H10" s="140"/>
      <c r="I10" s="140"/>
      <c r="J10" s="140"/>
      <c r="K10" s="140"/>
      <c r="L10" s="140"/>
      <c r="M10" s="140"/>
      <c r="N10" s="140"/>
      <c r="O10" s="141" t="s">
        <v>14</v>
      </c>
      <c r="P10" s="141"/>
      <c r="Q10" s="141"/>
      <c r="R10" s="142"/>
      <c r="S10" s="142"/>
      <c r="T10" s="142"/>
      <c r="U10" s="142"/>
      <c r="V10" s="142"/>
    </row>
    <row r="11" spans="1:22" x14ac:dyDescent="0.2">
      <c r="A11" s="134" t="s">
        <v>15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</row>
    <row r="12" spans="1:22" ht="12.75" x14ac:dyDescent="0.2">
      <c r="A12" s="136" t="s">
        <v>177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</row>
    <row r="13" spans="1:22" ht="12.75" x14ac:dyDescent="0.2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</row>
    <row r="14" spans="1:22" ht="12.75" x14ac:dyDescent="0.2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</row>
    <row r="15" spans="1:22" ht="90.75" customHeight="1" x14ac:dyDescent="0.2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</row>
    <row r="16" spans="1:22" x14ac:dyDescent="0.2">
      <c r="A16" s="134" t="s">
        <v>16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</row>
    <row r="17" spans="1:22" ht="12.75" x14ac:dyDescent="0.2">
      <c r="A17" s="135" t="s">
        <v>178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</row>
    <row r="18" spans="1:22" ht="12.75" x14ac:dyDescent="0.2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</row>
    <row r="19" spans="1:22" ht="13.5" customHeight="1" x14ac:dyDescent="0.2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</row>
    <row r="20" spans="1:22" ht="19.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</row>
    <row r="21" spans="1:22" x14ac:dyDescent="0.2">
      <c r="A21" s="134" t="s">
        <v>17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</row>
    <row r="22" spans="1:22" ht="12.75" x14ac:dyDescent="0.2">
      <c r="A22" s="137" t="s">
        <v>175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</row>
    <row r="23" spans="1:22" ht="12.75" x14ac:dyDescent="0.2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</row>
    <row r="24" spans="1:22" ht="12.75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</row>
    <row r="25" spans="1:22" ht="12.75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</row>
    <row r="26" spans="1:22" ht="12.75" x14ac:dyDescent="0.2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</row>
    <row r="27" spans="1:22" ht="12.75" x14ac:dyDescent="0.2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</row>
    <row r="28" spans="1:22" ht="12.75" x14ac:dyDescent="0.2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</row>
    <row r="29" spans="1:22" ht="12.75" x14ac:dyDescent="0.2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</row>
    <row r="30" spans="1:22" ht="12.75" x14ac:dyDescent="0.2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</row>
    <row r="31" spans="1:22" ht="12.75" x14ac:dyDescent="0.2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</row>
    <row r="32" spans="1:22" ht="12.75" x14ac:dyDescent="0.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</row>
    <row r="33" spans="1:22" ht="12.75" x14ac:dyDescent="0.2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</row>
    <row r="34" spans="1:22" ht="12.75" x14ac:dyDescent="0.2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</row>
    <row r="35" spans="1:22" ht="12.75" x14ac:dyDescent="0.2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</row>
    <row r="36" spans="1:22" ht="12.75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</row>
    <row r="37" spans="1:22" ht="12.75" x14ac:dyDescent="0.2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</row>
    <row r="38" spans="1:22" ht="12.75" x14ac:dyDescent="0.2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</row>
    <row r="39" spans="1:22" ht="12.75" x14ac:dyDescent="0.2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</row>
    <row r="40" spans="1:22" ht="12.75" x14ac:dyDescent="0.2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</row>
    <row r="41" spans="1:22" ht="12.75" x14ac:dyDescent="0.2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</row>
    <row r="42" spans="1:22" ht="12.75" x14ac:dyDescent="0.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</row>
    <row r="43" spans="1:22" ht="12.75" x14ac:dyDescent="0.2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</row>
    <row r="44" spans="1:22" ht="12.75" x14ac:dyDescent="0.2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</row>
    <row r="45" spans="1:22" ht="58.5" customHeight="1" x14ac:dyDescent="0.2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</row>
  </sheetData>
  <sheetProtection selectLockedCells="1" selectUnlockedCells="1"/>
  <mergeCells count="35">
    <mergeCell ref="A5:E5"/>
    <mergeCell ref="F5:N5"/>
    <mergeCell ref="O5:P5"/>
    <mergeCell ref="Q5:V5"/>
    <mergeCell ref="A1:V3"/>
    <mergeCell ref="A4:E4"/>
    <mergeCell ref="F4:N4"/>
    <mergeCell ref="O4:P4"/>
    <mergeCell ref="Q4:V4"/>
    <mergeCell ref="A6:E6"/>
    <mergeCell ref="F6:N6"/>
    <mergeCell ref="O6:P6"/>
    <mergeCell ref="Q6:V6"/>
    <mergeCell ref="A7:E7"/>
    <mergeCell ref="F7:N7"/>
    <mergeCell ref="O7:Q7"/>
    <mergeCell ref="R7:V7"/>
    <mergeCell ref="A8:E8"/>
    <mergeCell ref="F8:N8"/>
    <mergeCell ref="O8:Q8"/>
    <mergeCell ref="R8:V8"/>
    <mergeCell ref="A9:E9"/>
    <mergeCell ref="F9:N9"/>
    <mergeCell ref="O9:Q9"/>
    <mergeCell ref="R9:V9"/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803"/>
  <sheetViews>
    <sheetView showGridLines="0" tabSelected="1" zoomScale="130" zoomScaleNormal="130" zoomScaleSheetLayoutView="100" workbookViewId="0">
      <pane ySplit="7" topLeftCell="A8" activePane="bottomLeft" state="frozen"/>
      <selection activeCell="B11" sqref="B11"/>
      <selection pane="bottomLeft" activeCell="C229" sqref="C229"/>
    </sheetView>
  </sheetViews>
  <sheetFormatPr defaultRowHeight="12.75" x14ac:dyDescent="0.2"/>
  <cols>
    <col min="1" max="1" width="58.5703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3.85546875" hidden="1" customWidth="1"/>
    <col min="8" max="8" width="12" customWidth="1"/>
    <col min="9" max="9" width="4" hidden="1" customWidth="1"/>
    <col min="10" max="10" width="4.42578125" hidden="1" customWidth="1"/>
    <col min="11" max="11" width="12.5703125" customWidth="1"/>
    <col min="12" max="12" width="12" customWidth="1"/>
    <col min="13" max="13" width="6.85546875" customWidth="1"/>
    <col min="14" max="14" width="7.42578125" style="131" customWidth="1"/>
    <col min="15" max="15" width="37.42578125" customWidth="1"/>
  </cols>
  <sheetData>
    <row r="1" spans="1:15" ht="13.5" thickBot="1" x14ac:dyDescent="0.25">
      <c r="A1" s="153" t="s">
        <v>157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3.5" thickBot="1" x14ac:dyDescent="0.25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5" x14ac:dyDescent="0.2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x14ac:dyDescent="0.2">
      <c r="A4" s="3" t="str">
        <f>Contagem!A5&amp;" : "&amp;Contagem!F5</f>
        <v>Aplicação : Sistema Estadual de Seleção</v>
      </c>
      <c r="B4" s="155" t="str">
        <f>Contagem!A8&amp;" : "&amp;Contagem!F8</f>
        <v>Projeto : Sistema Estadual de Seleção</v>
      </c>
      <c r="C4" s="156"/>
      <c r="D4" s="156"/>
      <c r="E4" s="156"/>
      <c r="F4" s="156"/>
      <c r="G4" s="156"/>
      <c r="H4" s="156"/>
      <c r="I4" s="156"/>
      <c r="J4" s="157"/>
      <c r="K4" s="113" t="s">
        <v>2</v>
      </c>
      <c r="L4" s="116">
        <f>SUM(H8:H803)</f>
        <v>699</v>
      </c>
      <c r="M4" s="152"/>
      <c r="N4" s="152"/>
      <c r="O4" s="152"/>
    </row>
    <row r="5" spans="1:15" x14ac:dyDescent="0.2">
      <c r="A5" s="3" t="str">
        <f>Contagem!A9&amp;" : "&amp;Contagem!F9</f>
        <v>Responsável : Jonathas Gomes Marques</v>
      </c>
      <c r="B5" s="155" t="str">
        <f>Contagem!A10&amp;" : "&amp;Contagem!F10</f>
        <v xml:space="preserve">Revisor : </v>
      </c>
      <c r="C5" s="156"/>
      <c r="D5" s="156"/>
      <c r="E5" s="156"/>
      <c r="F5" s="156"/>
      <c r="G5" s="156"/>
      <c r="H5" s="156"/>
      <c r="I5" s="156"/>
      <c r="J5" s="157"/>
      <c r="K5" s="115" t="s">
        <v>6</v>
      </c>
      <c r="L5" s="116">
        <f>SUM(K8:K803)</f>
        <v>699</v>
      </c>
      <c r="M5" s="154"/>
      <c r="N5" s="154"/>
      <c r="O5" s="154"/>
    </row>
    <row r="6" spans="1:15" x14ac:dyDescent="0.2">
      <c r="A6" s="121" t="str">
        <f>Contagem!A4&amp;" : "&amp;Contagem!F4</f>
        <v>Empresa : Secretaria de Estado de Planejamento e Gestão de Mato Grosso</v>
      </c>
      <c r="B6" s="149" t="str">
        <f>"Tipo da Contagem : "&amp;Contagem!F6</f>
        <v>Tipo da Contagem : Aplicação</v>
      </c>
      <c r="C6" s="150"/>
      <c r="D6" s="150"/>
      <c r="E6" s="150"/>
      <c r="F6" s="150"/>
      <c r="G6" s="150"/>
      <c r="H6" s="150"/>
      <c r="I6" s="150"/>
      <c r="J6" s="151"/>
      <c r="K6" s="114" t="s">
        <v>4</v>
      </c>
      <c r="L6" s="116">
        <f>SUM(L8:L803)</f>
        <v>699</v>
      </c>
      <c r="M6" s="152"/>
      <c r="N6" s="152"/>
      <c r="O6" s="152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130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202" si="0">IF(ISBLANK(B8),"",IF(I8="L","Baixa",IF(I8="A","Média",IF(I8="","","Alta"))))</f>
        <v/>
      </c>
      <c r="G8" s="7" t="str">
        <f t="shared" ref="G8:G202" si="1">CONCATENATE(B8,I8)</f>
        <v/>
      </c>
      <c r="H8" s="5" t="str">
        <f t="shared" ref="H8:H202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202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202" si="4">CONCATENATE(B8,C8)</f>
        <v/>
      </c>
      <c r="K8" s="9" t="str">
        <f t="shared" ref="K8:K211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ht="15.75" customHeight="1" x14ac:dyDescent="0.2">
      <c r="A9" s="128" t="s">
        <v>179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 t="s">
        <v>180</v>
      </c>
      <c r="B10" s="4" t="s">
        <v>99</v>
      </c>
      <c r="C10" s="4" t="s">
        <v>41</v>
      </c>
      <c r="D10" s="7"/>
      <c r="E10" s="7"/>
      <c r="F10" s="8" t="str">
        <f t="shared" si="0"/>
        <v>Baixa</v>
      </c>
      <c r="G10" s="7" t="str">
        <f t="shared" si="1"/>
        <v>AIEL</v>
      </c>
      <c r="H10" s="5">
        <f t="shared" si="2"/>
        <v>5</v>
      </c>
      <c r="I10" s="122" t="str">
        <f t="shared" si="3"/>
        <v>L</v>
      </c>
      <c r="J10" s="7" t="str">
        <f t="shared" si="4"/>
        <v>AIEI</v>
      </c>
      <c r="K10" s="9">
        <f t="shared" si="5"/>
        <v>5</v>
      </c>
      <c r="L10" s="9">
        <f>IF(NOT(ISERROR(VLOOKUP(B10,Deflatores!G$42:H$64,2,FALSE))),VLOOKUP(B10,Deflatores!G$42:H$64,2,FALSE),IF(OR(ISBLANK(C10),ISBLANK(B10)),"",VLOOKUP(C10,Deflatores!G$4:H$38,2,FALSE)*H10+VLOOKUP(C10,Deflatores!G$4:I$38,3,FALSE)))</f>
        <v>5</v>
      </c>
      <c r="M10" s="10"/>
      <c r="N10" s="10"/>
      <c r="O10" s="6"/>
    </row>
    <row r="11" spans="1:15" x14ac:dyDescent="0.2">
      <c r="A11" s="126"/>
      <c r="B11" s="4"/>
      <c r="C11" s="4"/>
      <c r="D11" s="7"/>
      <c r="E11" s="7"/>
      <c r="F11" s="8" t="str">
        <f t="shared" si="0"/>
        <v/>
      </c>
      <c r="G11" s="7" t="str">
        <f t="shared" si="1"/>
        <v/>
      </c>
      <c r="H11" s="5" t="str">
        <f t="shared" si="2"/>
        <v/>
      </c>
      <c r="I11" s="122" t="str">
        <f t="shared" si="3"/>
        <v/>
      </c>
      <c r="J11" s="7" t="str">
        <f t="shared" si="4"/>
        <v/>
      </c>
      <c r="K11" s="9" t="str">
        <f t="shared" si="5"/>
        <v/>
      </c>
      <c r="L11" s="9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10"/>
      <c r="N11" s="10"/>
      <c r="O11" s="6"/>
    </row>
    <row r="12" spans="1:15" x14ac:dyDescent="0.2">
      <c r="A12" s="128" t="s">
        <v>181</v>
      </c>
      <c r="B12" s="4"/>
      <c r="C12" s="4"/>
      <c r="D12" s="7"/>
      <c r="E12" s="7"/>
      <c r="F12" s="8" t="str">
        <f t="shared" ref="F12:F13" si="6">IF(ISBLANK(B12),"",IF(I12="L","Baixa",IF(I12="A","Média",IF(I12="","","Alta"))))</f>
        <v/>
      </c>
      <c r="G12" s="7" t="str">
        <f t="shared" ref="G12:G13" si="7">CONCATENATE(B12,I12)</f>
        <v/>
      </c>
      <c r="H12" s="5" t="str">
        <f t="shared" ref="H12:H13" si="8">IF(ISBLANK(B12),"",IF(B12="ALI",IF(I12="L",7,IF(I12="A",10,15)),IF(B12="AIE",IF(I12="L",5,IF(I12="A",7,10)),IF(B12="SE",IF(I12="L",4,IF(I12="A",5,7)),IF(OR(B12="EE",B12="CE"),IF(I12="L",3,IF(I12="A",4,6)),0)))))</f>
        <v/>
      </c>
      <c r="I12" s="122" t="str">
        <f t="shared" ref="I12:I13" si="9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7" t="str">
        <f t="shared" ref="J12:J13" si="10">CONCATENATE(B12,C12)</f>
        <v/>
      </c>
      <c r="K12" s="9" t="str">
        <f t="shared" ref="K12:K13" si="11">IF(OR(H12="",H12=0),L12,H12)</f>
        <v/>
      </c>
      <c r="L12" s="9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/>
      <c r="N12" s="10"/>
      <c r="O12" s="6"/>
    </row>
    <row r="13" spans="1:15" x14ac:dyDescent="0.2">
      <c r="A13" s="126" t="s">
        <v>181</v>
      </c>
      <c r="B13" s="4" t="s">
        <v>98</v>
      </c>
      <c r="C13" s="4" t="s">
        <v>41</v>
      </c>
      <c r="D13" s="7"/>
      <c r="E13" s="7"/>
      <c r="F13" s="8" t="str">
        <f t="shared" si="6"/>
        <v>Baixa</v>
      </c>
      <c r="G13" s="7" t="str">
        <f t="shared" si="7"/>
        <v>ALIL</v>
      </c>
      <c r="H13" s="5">
        <f t="shared" si="8"/>
        <v>7</v>
      </c>
      <c r="I13" s="122" t="str">
        <f t="shared" si="9"/>
        <v>L</v>
      </c>
      <c r="J13" s="7" t="str">
        <f t="shared" si="10"/>
        <v>ALII</v>
      </c>
      <c r="K13" s="9">
        <f t="shared" si="11"/>
        <v>7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7</v>
      </c>
      <c r="M13" s="10"/>
      <c r="N13" s="10"/>
      <c r="O13" s="6"/>
    </row>
    <row r="14" spans="1:15" x14ac:dyDescent="0.2">
      <c r="A14" s="126" t="s">
        <v>182</v>
      </c>
      <c r="B14" s="4" t="s">
        <v>100</v>
      </c>
      <c r="C14" s="4" t="s">
        <v>41</v>
      </c>
      <c r="D14" s="7"/>
      <c r="E14" s="7"/>
      <c r="F14" s="8" t="str">
        <f t="shared" ref="F14:F44" si="12">IF(ISBLANK(B14),"",IF(I14="L","Baixa",IF(I14="A","Média",IF(I14="","","Alta"))))</f>
        <v>Média</v>
      </c>
      <c r="G14" s="7" t="str">
        <f t="shared" ref="G14:G44" si="13">CONCATENATE(B14,I14)</f>
        <v>EEA</v>
      </c>
      <c r="H14" s="5">
        <f t="shared" ref="H14:H44" si="14">IF(ISBLANK(B14),"",IF(B14="ALI",IF(I14="L",7,IF(I14="A",10,15)),IF(B14="AIE",IF(I14="L",5,IF(I14="A",7,10)),IF(B14="SE",IF(I14="L",4,IF(I14="A",5,7)),IF(OR(B14="EE",B14="CE"),IF(I14="L",3,IF(I14="A",4,6)),0)))))</f>
        <v>4</v>
      </c>
      <c r="I14" s="122" t="str">
        <f t="shared" ref="I14:I44" si="15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A</v>
      </c>
      <c r="J14" s="7" t="str">
        <f t="shared" ref="J14:J44" si="16">CONCATENATE(B14,C14)</f>
        <v>EEI</v>
      </c>
      <c r="K14" s="9">
        <f t="shared" ref="K14:K44" si="17">IF(OR(H14="",H14=0),L14,H14)</f>
        <v>4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4</v>
      </c>
      <c r="M14" s="10"/>
      <c r="N14" s="10"/>
      <c r="O14" s="6"/>
    </row>
    <row r="15" spans="1:15" x14ac:dyDescent="0.2">
      <c r="A15" s="126" t="s">
        <v>183</v>
      </c>
      <c r="B15" s="4" t="s">
        <v>100</v>
      </c>
      <c r="C15" s="4" t="s">
        <v>41</v>
      </c>
      <c r="D15" s="7"/>
      <c r="E15" s="7"/>
      <c r="F15" s="8" t="str">
        <f t="shared" si="12"/>
        <v>Média</v>
      </c>
      <c r="G15" s="7" t="str">
        <f t="shared" si="13"/>
        <v>EEA</v>
      </c>
      <c r="H15" s="5">
        <f t="shared" si="14"/>
        <v>4</v>
      </c>
      <c r="I15" s="122" t="str">
        <f t="shared" si="15"/>
        <v>A</v>
      </c>
      <c r="J15" s="7" t="str">
        <f t="shared" si="16"/>
        <v>EEI</v>
      </c>
      <c r="K15" s="9">
        <f t="shared" si="17"/>
        <v>4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4</v>
      </c>
      <c r="M15" s="10"/>
      <c r="N15" s="10"/>
      <c r="O15" s="6"/>
    </row>
    <row r="16" spans="1:15" x14ac:dyDescent="0.2">
      <c r="A16" s="126" t="s">
        <v>184</v>
      </c>
      <c r="B16" s="4" t="s">
        <v>102</v>
      </c>
      <c r="C16" s="4" t="s">
        <v>41</v>
      </c>
      <c r="D16" s="7"/>
      <c r="E16" s="7"/>
      <c r="F16" s="8" t="str">
        <f t="shared" ref="F16" si="18">IF(ISBLANK(B16),"",IF(I16="L","Baixa",IF(I16="A","Média",IF(I16="","","Alta"))))</f>
        <v>Média</v>
      </c>
      <c r="G16" s="7" t="str">
        <f t="shared" ref="G16" si="19">CONCATENATE(B16,I16)</f>
        <v>CEA</v>
      </c>
      <c r="H16" s="5">
        <f t="shared" ref="H16" si="20">IF(ISBLANK(B16),"",IF(B16="ALI",IF(I16="L",7,IF(I16="A",10,15)),IF(B16="AIE",IF(I16="L",5,IF(I16="A",7,10)),IF(B16="SE",IF(I16="L",4,IF(I16="A",5,7)),IF(OR(B16="EE",B16="CE"),IF(I16="L",3,IF(I16="A",4,6)),0)))))</f>
        <v>4</v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A</v>
      </c>
      <c r="J16" s="7" t="str">
        <f t="shared" ref="J16" si="22">CONCATENATE(B16,C16)</f>
        <v>CEI</v>
      </c>
      <c r="K16" s="9">
        <f t="shared" ref="K16" si="23">IF(OR(H16="",H16=0),L16,H16)</f>
        <v>4</v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>4</v>
      </c>
      <c r="M16" s="10"/>
      <c r="N16" s="10"/>
      <c r="O16" s="6"/>
    </row>
    <row r="17" spans="1:15" x14ac:dyDescent="0.2">
      <c r="A17" s="126" t="s">
        <v>185</v>
      </c>
      <c r="B17" s="4" t="s">
        <v>102</v>
      </c>
      <c r="C17" s="4" t="s">
        <v>41</v>
      </c>
      <c r="D17" s="7"/>
      <c r="E17" s="7"/>
      <c r="F17" s="8" t="str">
        <f t="shared" si="12"/>
        <v>Média</v>
      </c>
      <c r="G17" s="7" t="str">
        <f t="shared" si="13"/>
        <v>CEA</v>
      </c>
      <c r="H17" s="5">
        <f t="shared" si="14"/>
        <v>4</v>
      </c>
      <c r="I17" s="122" t="str">
        <f t="shared" si="15"/>
        <v>A</v>
      </c>
      <c r="J17" s="7" t="str">
        <f t="shared" si="16"/>
        <v>CEI</v>
      </c>
      <c r="K17" s="9">
        <f t="shared" si="17"/>
        <v>4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4</v>
      </c>
      <c r="M17" s="10"/>
      <c r="N17" s="10"/>
      <c r="O17" s="6"/>
    </row>
    <row r="18" spans="1:15" x14ac:dyDescent="0.2">
      <c r="A18" s="126"/>
      <c r="B18" s="4"/>
      <c r="C18" s="4"/>
      <c r="D18" s="7"/>
      <c r="E18" s="7"/>
      <c r="F18" s="8" t="str">
        <f t="shared" si="12"/>
        <v/>
      </c>
      <c r="G18" s="7" t="str">
        <f t="shared" si="13"/>
        <v/>
      </c>
      <c r="H18" s="5" t="str">
        <f t="shared" si="14"/>
        <v/>
      </c>
      <c r="I18" s="122" t="str">
        <f t="shared" si="15"/>
        <v/>
      </c>
      <c r="J18" s="7" t="str">
        <f t="shared" si="16"/>
        <v/>
      </c>
      <c r="K18" s="9" t="str">
        <f t="shared" si="17"/>
        <v/>
      </c>
      <c r="L18" s="9" t="str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10"/>
      <c r="N18" s="10"/>
      <c r="O18" s="6"/>
    </row>
    <row r="19" spans="1:15" x14ac:dyDescent="0.2">
      <c r="A19" s="128" t="s">
        <v>186</v>
      </c>
      <c r="B19" s="4"/>
      <c r="C19" s="4"/>
      <c r="D19" s="7"/>
      <c r="E19" s="7"/>
      <c r="F19" s="8" t="str">
        <f t="shared" si="12"/>
        <v/>
      </c>
      <c r="G19" s="7" t="str">
        <f t="shared" si="13"/>
        <v/>
      </c>
      <c r="H19" s="5" t="str">
        <f t="shared" si="14"/>
        <v/>
      </c>
      <c r="I19" s="122" t="str">
        <f t="shared" si="15"/>
        <v/>
      </c>
      <c r="J19" s="7" t="str">
        <f t="shared" si="16"/>
        <v/>
      </c>
      <c r="K19" s="9" t="str">
        <f t="shared" si="17"/>
        <v/>
      </c>
      <c r="L19" s="9" t="str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10"/>
      <c r="N19" s="10"/>
      <c r="O19" s="6"/>
    </row>
    <row r="20" spans="1:15" x14ac:dyDescent="0.2">
      <c r="A20" s="126" t="s">
        <v>186</v>
      </c>
      <c r="B20" s="4" t="s">
        <v>98</v>
      </c>
      <c r="C20" s="4" t="s">
        <v>41</v>
      </c>
      <c r="D20" s="7"/>
      <c r="E20" s="7"/>
      <c r="F20" s="8" t="str">
        <f t="shared" ref="F20:F22" si="24">IF(ISBLANK(B20),"",IF(I20="L","Baixa",IF(I20="A","Média",IF(I20="","","Alta"))))</f>
        <v>Baixa</v>
      </c>
      <c r="G20" s="7" t="str">
        <f t="shared" ref="G20:G22" si="25">CONCATENATE(B20,I20)</f>
        <v>ALIL</v>
      </c>
      <c r="H20" s="5">
        <f t="shared" ref="H20:H22" si="26">IF(ISBLANK(B20),"",IF(B20="ALI",IF(I20="L",7,IF(I20="A",10,15)),IF(B20="AIE",IF(I20="L",5,IF(I20="A",7,10)),IF(B20="SE",IF(I20="L",4,IF(I20="A",5,7)),IF(OR(B20="EE",B20="CE"),IF(I20="L",3,IF(I20="A",4,6)),0)))))</f>
        <v>7</v>
      </c>
      <c r="I20" s="122" t="str">
        <f t="shared" ref="I20:I22" si="27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>L</v>
      </c>
      <c r="J20" s="7" t="str">
        <f t="shared" ref="J20:J22" si="28">CONCATENATE(B20,C20)</f>
        <v>ALII</v>
      </c>
      <c r="K20" s="9">
        <f t="shared" ref="K20:K22" si="29">IF(OR(H20="",H20=0),L20,H20)</f>
        <v>7</v>
      </c>
      <c r="L20" s="9">
        <f>IF(NOT(ISERROR(VLOOKUP(B20,Deflatores!G$42:H$64,2,FALSE))),VLOOKUP(B20,Deflatores!G$42:H$64,2,FALSE),IF(OR(ISBLANK(C20),ISBLANK(B20)),"",VLOOKUP(C20,Deflatores!G$4:H$38,2,FALSE)*H20+VLOOKUP(C20,Deflatores!G$4:I$38,3,FALSE)))</f>
        <v>7</v>
      </c>
      <c r="M20" s="10"/>
      <c r="N20" s="10"/>
      <c r="O20" s="6"/>
    </row>
    <row r="21" spans="1:15" x14ac:dyDescent="0.2">
      <c r="A21" s="126" t="s">
        <v>187</v>
      </c>
      <c r="B21" s="4" t="s">
        <v>100</v>
      </c>
      <c r="C21" s="4" t="s">
        <v>41</v>
      </c>
      <c r="D21" s="7"/>
      <c r="E21" s="7"/>
      <c r="F21" s="8" t="str">
        <f t="shared" ref="F21" si="30">IF(ISBLANK(B21),"",IF(I21="L","Baixa",IF(I21="A","Média",IF(I21="","","Alta"))))</f>
        <v>Média</v>
      </c>
      <c r="G21" s="7" t="str">
        <f t="shared" ref="G21" si="31">CONCATENATE(B21,I21)</f>
        <v>EEA</v>
      </c>
      <c r="H21" s="5">
        <f t="shared" ref="H21" si="32">IF(ISBLANK(B21),"",IF(B21="ALI",IF(I21="L",7,IF(I21="A",10,15)),IF(B21="AIE",IF(I21="L",5,IF(I21="A",7,10)),IF(B21="SE",IF(I21="L",4,IF(I21="A",5,7)),IF(OR(B21="EE",B21="CE"),IF(I21="L",3,IF(I21="A",4,6)),0)))))</f>
        <v>4</v>
      </c>
      <c r="I21" s="122" t="str">
        <f t="shared" ref="I21" si="33">IF(OR(ISBLANK(D21),ISBLANK(E21)),IF(OR(B21="ALI",B21="AIE"),"L",IF(OR(B21="EE",B21="SE",B21="CE"),"A","")),IF(B21="EE",IF(E21&gt;=3,IF(D21&gt;=5,"H","A"),IF(E21&gt;=2,IF(D21&gt;=16,"H",IF(D21&lt;=4,"L","A")),IF(D21&lt;=15,"L","A"))),IF(OR(B21="SE",B21="CE"),IF(E21&gt;=4,IF(D21&gt;=6,"H","A"),IF(E21&gt;=2,IF(D21&gt;=20,"H",IF(D21&lt;=5,"L","A")),IF(D21&lt;=19,"L","A"))),IF(OR(B21="ALI",B21="AIE"),IF(E21&gt;=6,IF(D21&gt;=20,"H","A"),IF(E21&gt;=2,IF(D21&gt;=51,"H",IF(D21&lt;=19,"L","A")),IF(D21&lt;=50,"L","A"))),""))))</f>
        <v>A</v>
      </c>
      <c r="J21" s="7" t="str">
        <f t="shared" ref="J21" si="34">CONCATENATE(B21,C21)</f>
        <v>EEI</v>
      </c>
      <c r="K21" s="9">
        <f t="shared" ref="K21" si="35">IF(OR(H21="",H21=0),L21,H21)</f>
        <v>4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4</v>
      </c>
      <c r="M21" s="10"/>
      <c r="N21" s="10"/>
      <c r="O21" s="6"/>
    </row>
    <row r="22" spans="1:15" x14ac:dyDescent="0.2">
      <c r="A22" s="126" t="s">
        <v>188</v>
      </c>
      <c r="B22" s="4" t="s">
        <v>100</v>
      </c>
      <c r="C22" s="4" t="s">
        <v>41</v>
      </c>
      <c r="D22" s="7"/>
      <c r="E22" s="7"/>
      <c r="F22" s="8" t="str">
        <f t="shared" si="24"/>
        <v>Média</v>
      </c>
      <c r="G22" s="7" t="str">
        <f t="shared" si="25"/>
        <v>EEA</v>
      </c>
      <c r="H22" s="5">
        <f t="shared" si="26"/>
        <v>4</v>
      </c>
      <c r="I22" s="122" t="str">
        <f t="shared" si="27"/>
        <v>A</v>
      </c>
      <c r="J22" s="7" t="str">
        <f t="shared" si="28"/>
        <v>EEI</v>
      </c>
      <c r="K22" s="9">
        <f t="shared" si="29"/>
        <v>4</v>
      </c>
      <c r="L22" s="9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10"/>
      <c r="N22" s="10"/>
      <c r="O22" s="6"/>
    </row>
    <row r="23" spans="1:15" x14ac:dyDescent="0.2">
      <c r="A23" s="126" t="s">
        <v>189</v>
      </c>
      <c r="B23" s="4" t="s">
        <v>102</v>
      </c>
      <c r="C23" s="4" t="s">
        <v>41</v>
      </c>
      <c r="D23" s="7"/>
      <c r="E23" s="7"/>
      <c r="F23" s="8" t="str">
        <f t="shared" ref="F23" si="36">IF(ISBLANK(B23),"",IF(I23="L","Baixa",IF(I23="A","Média",IF(I23="","","Alta"))))</f>
        <v>Média</v>
      </c>
      <c r="G23" s="7" t="str">
        <f t="shared" ref="G23" si="37">CONCATENATE(B23,I23)</f>
        <v>CEA</v>
      </c>
      <c r="H23" s="5">
        <f t="shared" ref="H23" si="38">IF(ISBLANK(B23),"",IF(B23="ALI",IF(I23="L",7,IF(I23="A",10,15)),IF(B23="AIE",IF(I23="L",5,IF(I23="A",7,10)),IF(B23="SE",IF(I23="L",4,IF(I23="A",5,7)),IF(OR(B23="EE",B23="CE"),IF(I23="L",3,IF(I23="A",4,6)),0)))))</f>
        <v>4</v>
      </c>
      <c r="I23" s="122" t="str">
        <f t="shared" ref="I23" si="39"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>A</v>
      </c>
      <c r="J23" s="7" t="str">
        <f t="shared" ref="J23" si="40">CONCATENATE(B23,C23)</f>
        <v>CEI</v>
      </c>
      <c r="K23" s="9">
        <f t="shared" ref="K23" si="41">IF(OR(H23="",H23=0),L23,H23)</f>
        <v>4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10"/>
      <c r="N23" s="10"/>
      <c r="O23" s="6"/>
    </row>
    <row r="24" spans="1:15" x14ac:dyDescent="0.2">
      <c r="A24" s="126" t="s">
        <v>190</v>
      </c>
      <c r="B24" s="4" t="s">
        <v>102</v>
      </c>
      <c r="C24" s="4" t="s">
        <v>41</v>
      </c>
      <c r="D24" s="7"/>
      <c r="E24" s="7"/>
      <c r="F24" s="8" t="str">
        <f t="shared" si="12"/>
        <v>Média</v>
      </c>
      <c r="G24" s="7" t="str">
        <f t="shared" si="13"/>
        <v>CEA</v>
      </c>
      <c r="H24" s="5">
        <f t="shared" si="14"/>
        <v>4</v>
      </c>
      <c r="I24" s="122" t="str">
        <f t="shared" si="15"/>
        <v>A</v>
      </c>
      <c r="J24" s="7" t="str">
        <f t="shared" si="16"/>
        <v>CEI</v>
      </c>
      <c r="K24" s="9">
        <f t="shared" si="17"/>
        <v>4</v>
      </c>
      <c r="L24" s="9">
        <f>IF(NOT(ISERROR(VLOOKUP(B24,Deflatores!G$42:H$64,2,FALSE))),VLOOKUP(B24,Deflatores!G$42:H$64,2,FALSE),IF(OR(ISBLANK(C24),ISBLANK(B24)),"",VLOOKUP(C24,Deflatores!G$4:H$38,2,FALSE)*H24+VLOOKUP(C24,Deflatores!G$4:I$38,3,FALSE)))</f>
        <v>4</v>
      </c>
      <c r="M24" s="10"/>
      <c r="N24" s="10"/>
      <c r="O24" s="6"/>
    </row>
    <row r="25" spans="1:15" x14ac:dyDescent="0.2">
      <c r="A25" s="126"/>
      <c r="B25" s="4"/>
      <c r="C25" s="4"/>
      <c r="D25" s="7"/>
      <c r="E25" s="7"/>
      <c r="F25" s="8" t="str">
        <f t="shared" ref="F25:F26" si="42">IF(ISBLANK(B25),"",IF(I25="L","Baixa",IF(I25="A","Média",IF(I25="","","Alta"))))</f>
        <v/>
      </c>
      <c r="G25" s="7" t="str">
        <f t="shared" ref="G25:G26" si="43">CONCATENATE(B25,I25)</f>
        <v/>
      </c>
      <c r="H25" s="5" t="str">
        <f t="shared" ref="H25:H26" si="44">IF(ISBLANK(B25),"",IF(B25="ALI",IF(I25="L",7,IF(I25="A",10,15)),IF(B25="AIE",IF(I25="L",5,IF(I25="A",7,10)),IF(B25="SE",IF(I25="L",4,IF(I25="A",5,7)),IF(OR(B25="EE",B25="CE"),IF(I25="L",3,IF(I25="A",4,6)),0)))))</f>
        <v/>
      </c>
      <c r="I25" s="122" t="str">
        <f t="shared" ref="I25:I26" si="45"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/>
      </c>
      <c r="J25" s="7" t="str">
        <f t="shared" ref="J25:J26" si="46">CONCATENATE(B25,C25)</f>
        <v/>
      </c>
      <c r="K25" s="9" t="str">
        <f t="shared" ref="K25:K26" si="47">IF(OR(H25="",H25=0),L25,H25)</f>
        <v/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">
      <c r="A26" s="128" t="s">
        <v>191</v>
      </c>
      <c r="B26" s="4"/>
      <c r="C26" s="4"/>
      <c r="D26" s="7"/>
      <c r="E26" s="7"/>
      <c r="F26" s="8" t="str">
        <f t="shared" si="42"/>
        <v/>
      </c>
      <c r="G26" s="7" t="str">
        <f t="shared" si="43"/>
        <v/>
      </c>
      <c r="H26" s="5" t="str">
        <f t="shared" si="44"/>
        <v/>
      </c>
      <c r="I26" s="122" t="str">
        <f t="shared" si="45"/>
        <v/>
      </c>
      <c r="J26" s="7" t="str">
        <f t="shared" si="46"/>
        <v/>
      </c>
      <c r="K26" s="9" t="str">
        <f t="shared" si="47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191</v>
      </c>
      <c r="B27" s="4" t="s">
        <v>98</v>
      </c>
      <c r="C27" s="4" t="s">
        <v>41</v>
      </c>
      <c r="D27" s="7"/>
      <c r="E27" s="7"/>
      <c r="F27" s="8" t="str">
        <f t="shared" si="12"/>
        <v>Baixa</v>
      </c>
      <c r="G27" s="7" t="str">
        <f t="shared" si="13"/>
        <v>ALIL</v>
      </c>
      <c r="H27" s="5">
        <f t="shared" si="14"/>
        <v>7</v>
      </c>
      <c r="I27" s="122" t="str">
        <f t="shared" si="15"/>
        <v>L</v>
      </c>
      <c r="J27" s="7" t="str">
        <f t="shared" si="16"/>
        <v>ALII</v>
      </c>
      <c r="K27" s="9">
        <f t="shared" si="17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 t="s">
        <v>192</v>
      </c>
      <c r="B28" s="4" t="s">
        <v>100</v>
      </c>
      <c r="C28" s="4" t="s">
        <v>41</v>
      </c>
      <c r="D28" s="7"/>
      <c r="E28" s="7"/>
      <c r="F28" s="8" t="str">
        <f t="shared" ref="F28" si="48">IF(ISBLANK(B28),"",IF(I28="L","Baixa",IF(I28="A","Média",IF(I28="","","Alta"))))</f>
        <v>Média</v>
      </c>
      <c r="G28" s="7" t="str">
        <f t="shared" ref="G28" si="49">CONCATENATE(B28,I28)</f>
        <v>EEA</v>
      </c>
      <c r="H28" s="5">
        <f t="shared" ref="H28" si="50">IF(ISBLANK(B28),"",IF(B28="ALI",IF(I28="L",7,IF(I28="A",10,15)),IF(B28="AIE",IF(I28="L",5,IF(I28="A",7,10)),IF(B28="SE",IF(I28="L",4,IF(I28="A",5,7)),IF(OR(B28="EE",B28="CE"),IF(I28="L",3,IF(I28="A",4,6)),0)))))</f>
        <v>4</v>
      </c>
      <c r="I28" s="122" t="str">
        <f t="shared" ref="I28" si="51"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>A</v>
      </c>
      <c r="J28" s="7" t="str">
        <f t="shared" ref="J28" si="52">CONCATENATE(B28,C28)</f>
        <v>EEI</v>
      </c>
      <c r="K28" s="9">
        <f t="shared" ref="K28" si="53">IF(OR(H28="",H28=0),L28,H28)</f>
        <v>4</v>
      </c>
      <c r="L28" s="9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10"/>
      <c r="N28" s="10"/>
      <c r="O28" s="6"/>
    </row>
    <row r="29" spans="1:15" x14ac:dyDescent="0.2">
      <c r="A29" s="126" t="s">
        <v>193</v>
      </c>
      <c r="B29" s="4" t="s">
        <v>100</v>
      </c>
      <c r="C29" s="4" t="s">
        <v>41</v>
      </c>
      <c r="D29" s="7"/>
      <c r="E29" s="7"/>
      <c r="F29" s="8" t="str">
        <f t="shared" si="12"/>
        <v>Média</v>
      </c>
      <c r="G29" s="7" t="str">
        <f t="shared" si="13"/>
        <v>EEA</v>
      </c>
      <c r="H29" s="5">
        <f t="shared" si="14"/>
        <v>4</v>
      </c>
      <c r="I29" s="122" t="str">
        <f t="shared" si="15"/>
        <v>A</v>
      </c>
      <c r="J29" s="7" t="str">
        <f t="shared" si="16"/>
        <v>EEI</v>
      </c>
      <c r="K29" s="9">
        <f t="shared" si="17"/>
        <v>4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10"/>
      <c r="N29" s="10"/>
      <c r="O29" s="6"/>
    </row>
    <row r="30" spans="1:15" x14ac:dyDescent="0.2">
      <c r="A30" s="126" t="s">
        <v>194</v>
      </c>
      <c r="B30" s="4" t="s">
        <v>102</v>
      </c>
      <c r="C30" s="4" t="s">
        <v>41</v>
      </c>
      <c r="D30" s="7"/>
      <c r="E30" s="7"/>
      <c r="F30" s="8" t="str">
        <f t="shared" ref="F30" si="54">IF(ISBLANK(B30),"",IF(I30="L","Baixa",IF(I30="A","Média",IF(I30="","","Alta"))))</f>
        <v>Média</v>
      </c>
      <c r="G30" s="7" t="str">
        <f t="shared" ref="G30" si="55">CONCATENATE(B30,I30)</f>
        <v>CEA</v>
      </c>
      <c r="H30" s="5">
        <f t="shared" ref="H30" si="56">IF(ISBLANK(B30),"",IF(B30="ALI",IF(I30="L",7,IF(I30="A",10,15)),IF(B30="AIE",IF(I30="L",5,IF(I30="A",7,10)),IF(B30="SE",IF(I30="L",4,IF(I30="A",5,7)),IF(OR(B30="EE",B30="CE"),IF(I30="L",3,IF(I30="A",4,6)),0)))))</f>
        <v>4</v>
      </c>
      <c r="I30" s="122" t="str">
        <f t="shared" ref="I30" si="57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>A</v>
      </c>
      <c r="J30" s="7" t="str">
        <f t="shared" ref="J30" si="58">CONCATENATE(B30,C30)</f>
        <v>CEI</v>
      </c>
      <c r="K30" s="9">
        <f t="shared" ref="K30" si="59">IF(OR(H30="",H30=0),L30,H30)</f>
        <v>4</v>
      </c>
      <c r="L30" s="9">
        <f>IF(NOT(ISERROR(VLOOKUP(B30,Deflatores!G$42:H$64,2,FALSE))),VLOOKUP(B30,Deflatores!G$42:H$64,2,FALSE),IF(OR(ISBLANK(C30),ISBLANK(B30)),"",VLOOKUP(C30,Deflatores!G$4:H$38,2,FALSE)*H30+VLOOKUP(C30,Deflatores!G$4:I$38,3,FALSE)))</f>
        <v>4</v>
      </c>
      <c r="M30" s="10"/>
      <c r="N30" s="10"/>
      <c r="O30" s="6"/>
    </row>
    <row r="31" spans="1:15" x14ac:dyDescent="0.2">
      <c r="A31" s="126" t="s">
        <v>195</v>
      </c>
      <c r="B31" s="4" t="s">
        <v>102</v>
      </c>
      <c r="C31" s="4" t="s">
        <v>41</v>
      </c>
      <c r="D31" s="7"/>
      <c r="E31" s="7"/>
      <c r="F31" s="8" t="str">
        <f t="shared" si="12"/>
        <v>Média</v>
      </c>
      <c r="G31" s="7" t="str">
        <f t="shared" si="13"/>
        <v>CEA</v>
      </c>
      <c r="H31" s="5">
        <f t="shared" si="14"/>
        <v>4</v>
      </c>
      <c r="I31" s="122" t="str">
        <f t="shared" si="15"/>
        <v>A</v>
      </c>
      <c r="J31" s="7" t="str">
        <f t="shared" si="16"/>
        <v>CEI</v>
      </c>
      <c r="K31" s="9">
        <f t="shared" si="17"/>
        <v>4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4</v>
      </c>
      <c r="M31" s="10"/>
      <c r="N31" s="10"/>
      <c r="O31" s="6"/>
    </row>
    <row r="32" spans="1:15" x14ac:dyDescent="0.2">
      <c r="A32" s="126" t="s">
        <v>196</v>
      </c>
      <c r="B32" s="4" t="s">
        <v>102</v>
      </c>
      <c r="C32" s="4" t="s">
        <v>41</v>
      </c>
      <c r="D32" s="7"/>
      <c r="E32" s="7"/>
      <c r="F32" s="8" t="str">
        <f t="shared" ref="F32:F37" si="60">IF(ISBLANK(B32),"",IF(I32="L","Baixa",IF(I32="A","Média",IF(I32="","","Alta"))))</f>
        <v>Média</v>
      </c>
      <c r="G32" s="7" t="str">
        <f t="shared" ref="G32:G37" si="61">CONCATENATE(B32,I32)</f>
        <v>CEA</v>
      </c>
      <c r="H32" s="5">
        <f t="shared" ref="H32:H37" si="62">IF(ISBLANK(B32),"",IF(B32="ALI",IF(I32="L",7,IF(I32="A",10,15)),IF(B32="AIE",IF(I32="L",5,IF(I32="A",7,10)),IF(B32="SE",IF(I32="L",4,IF(I32="A",5,7)),IF(OR(B32="EE",B32="CE"),IF(I32="L",3,IF(I32="A",4,6)),0)))))</f>
        <v>4</v>
      </c>
      <c r="I32" s="122" t="str">
        <f t="shared" ref="I32:I37" si="63"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>A</v>
      </c>
      <c r="J32" s="7" t="str">
        <f t="shared" ref="J32:J37" si="64">CONCATENATE(B32,C32)</f>
        <v>CEI</v>
      </c>
      <c r="K32" s="9">
        <f t="shared" ref="K32:K37" si="65">IF(OR(H32="",H32=0),L32,H32)</f>
        <v>4</v>
      </c>
      <c r="L32" s="9">
        <f>IF(NOT(ISERROR(VLOOKUP(B32,Deflatores!G$42:H$64,2,FALSE))),VLOOKUP(B32,Deflatores!G$42:H$64,2,FALSE),IF(OR(ISBLANK(C32),ISBLANK(B32)),"",VLOOKUP(C32,Deflatores!G$4:H$38,2,FALSE)*H32+VLOOKUP(C32,Deflatores!G$4:I$38,3,FALSE)))</f>
        <v>4</v>
      </c>
      <c r="M32" s="10"/>
      <c r="N32" s="10"/>
      <c r="O32" s="6"/>
    </row>
    <row r="33" spans="1:15" x14ac:dyDescent="0.2">
      <c r="A33" s="126"/>
      <c r="B33" s="4"/>
      <c r="C33" s="4"/>
      <c r="D33" s="7"/>
      <c r="E33" s="7"/>
      <c r="F33" s="8" t="str">
        <f t="shared" ref="F33:F34" si="66">IF(ISBLANK(B33),"",IF(I33="L","Baixa",IF(I33="A","Média",IF(I33="","","Alta"))))</f>
        <v/>
      </c>
      <c r="G33" s="7" t="str">
        <f t="shared" ref="G33:G34" si="67">CONCATENATE(B33,I33)</f>
        <v/>
      </c>
      <c r="H33" s="5" t="str">
        <f t="shared" ref="H33:H34" si="68">IF(ISBLANK(B33),"",IF(B33="ALI",IF(I33="L",7,IF(I33="A",10,15)),IF(B33="AIE",IF(I33="L",5,IF(I33="A",7,10)),IF(B33="SE",IF(I33="L",4,IF(I33="A",5,7)),IF(OR(B33="EE",B33="CE"),IF(I33="L",3,IF(I33="A",4,6)),0)))))</f>
        <v/>
      </c>
      <c r="I33" s="122" t="str">
        <f t="shared" ref="I33:I34" si="69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/>
      </c>
      <c r="J33" s="7" t="str">
        <f t="shared" ref="J33:J34" si="70">CONCATENATE(B33,C33)</f>
        <v/>
      </c>
      <c r="K33" s="9" t="str">
        <f t="shared" ref="K33:K34" si="71">IF(OR(H33="",H33=0),L33,H33)</f>
        <v/>
      </c>
      <c r="L33" s="9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10"/>
      <c r="N33" s="10"/>
      <c r="O33" s="6"/>
    </row>
    <row r="34" spans="1:15" x14ac:dyDescent="0.2">
      <c r="A34" s="128" t="s">
        <v>197</v>
      </c>
      <c r="B34" s="4"/>
      <c r="C34" s="4"/>
      <c r="D34" s="7"/>
      <c r="E34" s="7"/>
      <c r="F34" s="8" t="str">
        <f t="shared" si="66"/>
        <v/>
      </c>
      <c r="G34" s="7" t="str">
        <f t="shared" si="67"/>
        <v/>
      </c>
      <c r="H34" s="5" t="str">
        <f t="shared" si="68"/>
        <v/>
      </c>
      <c r="I34" s="122" t="str">
        <f t="shared" si="69"/>
        <v/>
      </c>
      <c r="J34" s="7" t="str">
        <f t="shared" si="70"/>
        <v/>
      </c>
      <c r="K34" s="9" t="str">
        <f t="shared" si="71"/>
        <v/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">
      <c r="A35" s="126" t="s">
        <v>197</v>
      </c>
      <c r="B35" s="4" t="s">
        <v>98</v>
      </c>
      <c r="C35" s="4" t="s">
        <v>41</v>
      </c>
      <c r="D35" s="7"/>
      <c r="E35" s="7"/>
      <c r="F35" s="8" t="str">
        <f t="shared" si="60"/>
        <v>Baixa</v>
      </c>
      <c r="G35" s="7" t="str">
        <f t="shared" si="61"/>
        <v>ALIL</v>
      </c>
      <c r="H35" s="5">
        <f t="shared" si="62"/>
        <v>7</v>
      </c>
      <c r="I35" s="122" t="str">
        <f t="shared" si="63"/>
        <v>L</v>
      </c>
      <c r="J35" s="7" t="str">
        <f t="shared" si="64"/>
        <v>ALII</v>
      </c>
      <c r="K35" s="9">
        <f t="shared" si="65"/>
        <v>7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7</v>
      </c>
      <c r="M35" s="10"/>
      <c r="N35" s="10"/>
      <c r="O35" s="6"/>
    </row>
    <row r="36" spans="1:15" x14ac:dyDescent="0.2">
      <c r="A36" s="126" t="s">
        <v>198</v>
      </c>
      <c r="B36" s="4" t="s">
        <v>100</v>
      </c>
      <c r="C36" s="4" t="s">
        <v>41</v>
      </c>
      <c r="D36" s="7"/>
      <c r="E36" s="7"/>
      <c r="F36" s="8" t="str">
        <f t="shared" ref="F36" si="72">IF(ISBLANK(B36),"",IF(I36="L","Baixa",IF(I36="A","Média",IF(I36="","","Alta"))))</f>
        <v>Média</v>
      </c>
      <c r="G36" s="7" t="str">
        <f t="shared" ref="G36" si="73">CONCATENATE(B36,I36)</f>
        <v>EEA</v>
      </c>
      <c r="H36" s="5">
        <f t="shared" ref="H36" si="74">IF(ISBLANK(B36),"",IF(B36="ALI",IF(I36="L",7,IF(I36="A",10,15)),IF(B36="AIE",IF(I36="L",5,IF(I36="A",7,10)),IF(B36="SE",IF(I36="L",4,IF(I36="A",5,7)),IF(OR(B36="EE",B36="CE"),IF(I36="L",3,IF(I36="A",4,6)),0)))))</f>
        <v>4</v>
      </c>
      <c r="I36" s="122" t="str">
        <f t="shared" ref="I36" si="75">IF(OR(ISBLANK(D36),ISBLANK(E36)),IF(OR(B36="ALI",B36="AIE"),"L",IF(OR(B36="EE",B36="SE",B36="CE"),"A","")),IF(B36="EE",IF(E36&gt;=3,IF(D36&gt;=5,"H","A"),IF(E36&gt;=2,IF(D36&gt;=16,"H",IF(D36&lt;=4,"L","A")),IF(D36&lt;=15,"L","A"))),IF(OR(B36="SE",B36="CE"),IF(E36&gt;=4,IF(D36&gt;=6,"H","A"),IF(E36&gt;=2,IF(D36&gt;=20,"H",IF(D36&lt;=5,"L","A")),IF(D36&lt;=19,"L","A"))),IF(OR(B36="ALI",B36="AIE"),IF(E36&gt;=6,IF(D36&gt;=20,"H","A"),IF(E36&gt;=2,IF(D36&gt;=51,"H",IF(D36&lt;=19,"L","A")),IF(D36&lt;=50,"L","A"))),""))))</f>
        <v>A</v>
      </c>
      <c r="J36" s="7" t="str">
        <f t="shared" ref="J36" si="76">CONCATENATE(B36,C36)</f>
        <v>EEI</v>
      </c>
      <c r="K36" s="9">
        <f t="shared" ref="K36" si="77">IF(OR(H36="",H36=0),L36,H36)</f>
        <v>4</v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10"/>
      <c r="N36" s="10"/>
      <c r="O36" s="6"/>
    </row>
    <row r="37" spans="1:15" x14ac:dyDescent="0.2">
      <c r="A37" s="126" t="s">
        <v>199</v>
      </c>
      <c r="B37" s="4" t="s">
        <v>100</v>
      </c>
      <c r="C37" s="4" t="s">
        <v>41</v>
      </c>
      <c r="D37" s="7"/>
      <c r="E37" s="7"/>
      <c r="F37" s="8" t="str">
        <f t="shared" si="60"/>
        <v>Média</v>
      </c>
      <c r="G37" s="7" t="str">
        <f t="shared" si="61"/>
        <v>EEA</v>
      </c>
      <c r="H37" s="5">
        <f t="shared" si="62"/>
        <v>4</v>
      </c>
      <c r="I37" s="122" t="str">
        <f t="shared" si="63"/>
        <v>A</v>
      </c>
      <c r="J37" s="7" t="str">
        <f t="shared" si="64"/>
        <v>EEI</v>
      </c>
      <c r="K37" s="9">
        <f t="shared" si="65"/>
        <v>4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4</v>
      </c>
      <c r="M37" s="10"/>
      <c r="N37" s="10"/>
      <c r="O37" s="6"/>
    </row>
    <row r="38" spans="1:15" x14ac:dyDescent="0.2">
      <c r="A38" s="126" t="s">
        <v>200</v>
      </c>
      <c r="B38" s="4" t="s">
        <v>102</v>
      </c>
      <c r="C38" s="4" t="s">
        <v>41</v>
      </c>
      <c r="D38" s="7"/>
      <c r="E38" s="7"/>
      <c r="F38" s="8" t="str">
        <f t="shared" ref="F38:F40" si="78">IF(ISBLANK(B38),"",IF(I38="L","Baixa",IF(I38="A","Média",IF(I38="","","Alta"))))</f>
        <v>Média</v>
      </c>
      <c r="G38" s="7" t="str">
        <f t="shared" ref="G38:G40" si="79">CONCATENATE(B38,I38)</f>
        <v>CEA</v>
      </c>
      <c r="H38" s="5">
        <f t="shared" ref="H38:H40" si="80">IF(ISBLANK(B38),"",IF(B38="ALI",IF(I38="L",7,IF(I38="A",10,15)),IF(B38="AIE",IF(I38="L",5,IF(I38="A",7,10)),IF(B38="SE",IF(I38="L",4,IF(I38="A",5,7)),IF(OR(B38="EE",B38="CE"),IF(I38="L",3,IF(I38="A",4,6)),0)))))</f>
        <v>4</v>
      </c>
      <c r="I38" s="122" t="str">
        <f t="shared" ref="I38:I40" si="81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>A</v>
      </c>
      <c r="J38" s="7" t="str">
        <f t="shared" ref="J38:J40" si="82">CONCATENATE(B38,C38)</f>
        <v>CEI</v>
      </c>
      <c r="K38" s="9">
        <f t="shared" ref="K38:K40" si="83">IF(OR(H38="",H38=0),L38,H38)</f>
        <v>4</v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10"/>
      <c r="N38" s="10"/>
      <c r="O38" s="6"/>
    </row>
    <row r="39" spans="1:15" x14ac:dyDescent="0.2">
      <c r="A39" s="126" t="s">
        <v>201</v>
      </c>
      <c r="B39" s="4" t="s">
        <v>102</v>
      </c>
      <c r="C39" s="4" t="s">
        <v>41</v>
      </c>
      <c r="D39" s="7"/>
      <c r="E39" s="7"/>
      <c r="F39" s="8" t="str">
        <f t="shared" ref="F39" si="84">IF(ISBLANK(B39),"",IF(I39="L","Baixa",IF(I39="A","Média",IF(I39="","","Alta"))))</f>
        <v>Média</v>
      </c>
      <c r="G39" s="7" t="str">
        <f t="shared" ref="G39" si="85">CONCATENATE(B39,I39)</f>
        <v>CEA</v>
      </c>
      <c r="H39" s="5">
        <f t="shared" ref="H39" si="86">IF(ISBLANK(B39),"",IF(B39="ALI",IF(I39="L",7,IF(I39="A",10,15)),IF(B39="AIE",IF(I39="L",5,IF(I39="A",7,10)),IF(B39="SE",IF(I39="L",4,IF(I39="A",5,7)),IF(OR(B39="EE",B39="CE"),IF(I39="L",3,IF(I39="A",4,6)),0)))))</f>
        <v>4</v>
      </c>
      <c r="I39" s="122" t="str">
        <f t="shared" ref="I39" si="87">IF(OR(ISBLANK(D39),ISBLANK(E39)),IF(OR(B39="ALI",B39="AIE"),"L",IF(OR(B39="EE",B39="SE",B39="CE"),"A","")),IF(B39="EE",IF(E39&gt;=3,IF(D39&gt;=5,"H","A"),IF(E39&gt;=2,IF(D39&gt;=16,"H",IF(D39&lt;=4,"L","A")),IF(D39&lt;=15,"L","A"))),IF(OR(B39="SE",B39="CE"),IF(E39&gt;=4,IF(D39&gt;=6,"H","A"),IF(E39&gt;=2,IF(D39&gt;=20,"H",IF(D39&lt;=5,"L","A")),IF(D39&lt;=19,"L","A"))),IF(OR(B39="ALI",B39="AIE"),IF(E39&gt;=6,IF(D39&gt;=20,"H","A"),IF(E39&gt;=2,IF(D39&gt;=51,"H",IF(D39&lt;=19,"L","A")),IF(D39&lt;=50,"L","A"))),""))))</f>
        <v>A</v>
      </c>
      <c r="J39" s="7" t="str">
        <f t="shared" ref="J39" si="88">CONCATENATE(B39,C39)</f>
        <v>CEI</v>
      </c>
      <c r="K39" s="9">
        <f t="shared" ref="K39" si="89">IF(OR(H39="",H39=0),L39,H39)</f>
        <v>4</v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>4</v>
      </c>
      <c r="M39" s="10"/>
      <c r="N39" s="10"/>
      <c r="O39" s="6"/>
    </row>
    <row r="40" spans="1:15" x14ac:dyDescent="0.2">
      <c r="A40" s="126" t="s">
        <v>202</v>
      </c>
      <c r="B40" s="4" t="s">
        <v>100</v>
      </c>
      <c r="C40" s="4" t="s">
        <v>41</v>
      </c>
      <c r="D40" s="7"/>
      <c r="E40" s="7"/>
      <c r="F40" s="8" t="str">
        <f t="shared" si="78"/>
        <v>Média</v>
      </c>
      <c r="G40" s="7" t="str">
        <f t="shared" si="79"/>
        <v>EEA</v>
      </c>
      <c r="H40" s="5">
        <f t="shared" si="80"/>
        <v>4</v>
      </c>
      <c r="I40" s="122" t="str">
        <f t="shared" si="81"/>
        <v>A</v>
      </c>
      <c r="J40" s="7" t="str">
        <f t="shared" si="82"/>
        <v>EEI</v>
      </c>
      <c r="K40" s="9">
        <f t="shared" si="83"/>
        <v>4</v>
      </c>
      <c r="L40" s="9">
        <f>IF(NOT(ISERROR(VLOOKUP(B40,Deflatores!G$42:H$64,2,FALSE))),VLOOKUP(B40,Deflatores!G$42:H$64,2,FALSE),IF(OR(ISBLANK(C40),ISBLANK(B40)),"",VLOOKUP(C40,Deflatores!G$4:H$38,2,FALSE)*H40+VLOOKUP(C40,Deflatores!G$4:I$38,3,FALSE)))</f>
        <v>4</v>
      </c>
      <c r="M40" s="10"/>
      <c r="N40" s="10"/>
      <c r="O40" s="6"/>
    </row>
    <row r="41" spans="1:15" x14ac:dyDescent="0.2">
      <c r="A41" s="126"/>
      <c r="B41" s="4"/>
      <c r="C41" s="4"/>
      <c r="D41" s="7"/>
      <c r="E41" s="7"/>
      <c r="F41" s="8" t="str">
        <f t="shared" ref="F41" si="90">IF(ISBLANK(B41),"",IF(I41="L","Baixa",IF(I41="A","Média",IF(I41="","","Alta"))))</f>
        <v/>
      </c>
      <c r="G41" s="7" t="str">
        <f t="shared" ref="G41" si="91">CONCATENATE(B41,I41)</f>
        <v/>
      </c>
      <c r="H41" s="5" t="str">
        <f t="shared" ref="H41" si="92">IF(ISBLANK(B41),"",IF(B41="ALI",IF(I41="L",7,IF(I41="A",10,15)),IF(B41="AIE",IF(I41="L",5,IF(I41="A",7,10)),IF(B41="SE",IF(I41="L",4,IF(I41="A",5,7)),IF(OR(B41="EE",B41="CE"),IF(I41="L",3,IF(I41="A",4,6)),0)))))</f>
        <v/>
      </c>
      <c r="I41" s="122" t="str">
        <f t="shared" ref="I41" si="93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/>
      </c>
      <c r="J41" s="7" t="str">
        <f t="shared" ref="J41" si="94">CONCATENATE(B41,C41)</f>
        <v/>
      </c>
      <c r="K41" s="9" t="str">
        <f t="shared" ref="K41" si="95">IF(OR(H41="",H41=0),L41,H41)</f>
        <v/>
      </c>
      <c r="L41" s="9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10"/>
      <c r="N41" s="10"/>
      <c r="O41" s="6"/>
    </row>
    <row r="42" spans="1:15" x14ac:dyDescent="0.2">
      <c r="A42" s="128" t="s">
        <v>203</v>
      </c>
      <c r="B42" s="4"/>
      <c r="C42" s="4"/>
      <c r="D42" s="7"/>
      <c r="E42" s="7"/>
      <c r="F42" s="8" t="str">
        <f t="shared" si="12"/>
        <v/>
      </c>
      <c r="G42" s="7" t="str">
        <f t="shared" si="13"/>
        <v/>
      </c>
      <c r="H42" s="5" t="str">
        <f t="shared" si="14"/>
        <v/>
      </c>
      <c r="I42" s="122" t="str">
        <f t="shared" si="15"/>
        <v/>
      </c>
      <c r="J42" s="7" t="str">
        <f t="shared" si="16"/>
        <v/>
      </c>
      <c r="K42" s="9" t="str">
        <f t="shared" si="17"/>
        <v/>
      </c>
      <c r="L42" s="9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/>
      <c r="N42" s="10"/>
      <c r="O42" s="6"/>
    </row>
    <row r="43" spans="1:15" x14ac:dyDescent="0.2">
      <c r="A43" s="126" t="s">
        <v>203</v>
      </c>
      <c r="B43" s="4" t="s">
        <v>98</v>
      </c>
      <c r="C43" s="4" t="s">
        <v>41</v>
      </c>
      <c r="D43" s="7"/>
      <c r="E43" s="7"/>
      <c r="F43" s="8" t="str">
        <f t="shared" ref="F43" si="96">IF(ISBLANK(B43),"",IF(I43="L","Baixa",IF(I43="A","Média",IF(I43="","","Alta"))))</f>
        <v>Baixa</v>
      </c>
      <c r="G43" s="7" t="str">
        <f t="shared" ref="G43" si="97">CONCATENATE(B43,I43)</f>
        <v>ALIL</v>
      </c>
      <c r="H43" s="5">
        <f t="shared" ref="H43" si="98">IF(ISBLANK(B43),"",IF(B43="ALI",IF(I43="L",7,IF(I43="A",10,15)),IF(B43="AIE",IF(I43="L",5,IF(I43="A",7,10)),IF(B43="SE",IF(I43="L",4,IF(I43="A",5,7)),IF(OR(B43="EE",B43="CE"),IF(I43="L",3,IF(I43="A",4,6)),0)))))</f>
        <v>7</v>
      </c>
      <c r="I43" s="122" t="str">
        <f t="shared" ref="I43" si="99"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>L</v>
      </c>
      <c r="J43" s="7" t="str">
        <f t="shared" ref="J43" si="100">CONCATENATE(B43,C43)</f>
        <v>ALII</v>
      </c>
      <c r="K43" s="9">
        <f t="shared" ref="K43" si="101">IF(OR(H43="",H43=0),L43,H43)</f>
        <v>7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7</v>
      </c>
      <c r="M43" s="10"/>
      <c r="N43" s="10"/>
      <c r="O43" s="6"/>
    </row>
    <row r="44" spans="1:15" x14ac:dyDescent="0.2">
      <c r="A44" s="126" t="s">
        <v>204</v>
      </c>
      <c r="B44" s="4" t="s">
        <v>100</v>
      </c>
      <c r="C44" s="4" t="s">
        <v>41</v>
      </c>
      <c r="D44" s="7"/>
      <c r="E44" s="7"/>
      <c r="F44" s="8" t="str">
        <f t="shared" si="12"/>
        <v>Média</v>
      </c>
      <c r="G44" s="7" t="str">
        <f t="shared" si="13"/>
        <v>EEA</v>
      </c>
      <c r="H44" s="5">
        <f t="shared" si="14"/>
        <v>4</v>
      </c>
      <c r="I44" s="122" t="str">
        <f t="shared" si="15"/>
        <v>A</v>
      </c>
      <c r="J44" s="7" t="str">
        <f t="shared" si="16"/>
        <v>EEI</v>
      </c>
      <c r="K44" s="9">
        <f t="shared" si="17"/>
        <v>4</v>
      </c>
      <c r="L44" s="9">
        <f>IF(NOT(ISERROR(VLOOKUP(B44,Deflatores!G$42:H$64,2,FALSE))),VLOOKUP(B44,Deflatores!G$42:H$64,2,FALSE),IF(OR(ISBLANK(C44),ISBLANK(B44)),"",VLOOKUP(C44,Deflatores!G$4:H$38,2,FALSE)*H44+VLOOKUP(C44,Deflatores!G$4:I$38,3,FALSE)))</f>
        <v>4</v>
      </c>
      <c r="M44" s="10"/>
      <c r="N44" s="10"/>
      <c r="O44" s="6"/>
    </row>
    <row r="45" spans="1:15" x14ac:dyDescent="0.2">
      <c r="A45" s="126" t="s">
        <v>205</v>
      </c>
      <c r="B45" s="4" t="s">
        <v>100</v>
      </c>
      <c r="C45" s="4" t="s">
        <v>41</v>
      </c>
      <c r="D45" s="7"/>
      <c r="E45" s="7"/>
      <c r="F45" s="8" t="str">
        <f t="shared" ref="F45" si="102">IF(ISBLANK(B45),"",IF(I45="L","Baixa",IF(I45="A","Média",IF(I45="","","Alta"))))</f>
        <v>Média</v>
      </c>
      <c r="G45" s="7" t="str">
        <f t="shared" ref="G45" si="103">CONCATENATE(B45,I45)</f>
        <v>EEA</v>
      </c>
      <c r="H45" s="5">
        <f t="shared" ref="H45" si="104">IF(ISBLANK(B45),"",IF(B45="ALI",IF(I45="L",7,IF(I45="A",10,15)),IF(B45="AIE",IF(I45="L",5,IF(I45="A",7,10)),IF(B45="SE",IF(I45="L",4,IF(I45="A",5,7)),IF(OR(B45="EE",B45="CE"),IF(I45="L",3,IF(I45="A",4,6)),0)))))</f>
        <v>4</v>
      </c>
      <c r="I45" s="122" t="str">
        <f t="shared" ref="I45" si="105"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>A</v>
      </c>
      <c r="J45" s="7" t="str">
        <f t="shared" ref="J45" si="106">CONCATENATE(B45,C45)</f>
        <v>EEI</v>
      </c>
      <c r="K45" s="9">
        <f t="shared" ref="K45" si="107">IF(OR(H45="",H45=0),L45,H45)</f>
        <v>4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10"/>
      <c r="N45" s="10"/>
      <c r="O45" s="6"/>
    </row>
    <row r="46" spans="1:15" x14ac:dyDescent="0.2">
      <c r="A46" s="126" t="s">
        <v>206</v>
      </c>
      <c r="B46" s="4" t="s">
        <v>102</v>
      </c>
      <c r="C46" s="4" t="s">
        <v>41</v>
      </c>
      <c r="D46" s="7"/>
      <c r="E46" s="7"/>
      <c r="F46" s="8" t="str">
        <f t="shared" si="0"/>
        <v>Média</v>
      </c>
      <c r="G46" s="7" t="str">
        <f t="shared" si="1"/>
        <v>CEA</v>
      </c>
      <c r="H46" s="5">
        <f t="shared" si="2"/>
        <v>4</v>
      </c>
      <c r="I46" s="122" t="str">
        <f t="shared" si="3"/>
        <v>A</v>
      </c>
      <c r="J46" s="7" t="str">
        <f t="shared" si="4"/>
        <v>CEI</v>
      </c>
      <c r="K46" s="9">
        <f t="shared" si="5"/>
        <v>4</v>
      </c>
      <c r="L46" s="9">
        <f>IF(NOT(ISERROR(VLOOKUP(B46,Deflatores!G$42:H$64,2,FALSE))),VLOOKUP(B46,Deflatores!G$42:H$64,2,FALSE),IF(OR(ISBLANK(C46),ISBLANK(B46)),"",VLOOKUP(C46,Deflatores!G$4:H$38,2,FALSE)*H46+VLOOKUP(C46,Deflatores!G$4:I$38,3,FALSE)))</f>
        <v>4</v>
      </c>
      <c r="M46" s="10"/>
      <c r="N46" s="10"/>
      <c r="O46" s="6"/>
    </row>
    <row r="47" spans="1:15" x14ac:dyDescent="0.2">
      <c r="A47" s="126" t="s">
        <v>207</v>
      </c>
      <c r="B47" s="4" t="s">
        <v>102</v>
      </c>
      <c r="C47" s="4" t="s">
        <v>41</v>
      </c>
      <c r="D47" s="7"/>
      <c r="E47" s="7"/>
      <c r="F47" s="8" t="str">
        <f t="shared" ref="F47:F54" si="108">IF(ISBLANK(B47),"",IF(I47="L","Baixa",IF(I47="A","Média",IF(I47="","","Alta"))))</f>
        <v>Média</v>
      </c>
      <c r="G47" s="7" t="str">
        <f t="shared" ref="G47:G54" si="109">CONCATENATE(B47,I47)</f>
        <v>CEA</v>
      </c>
      <c r="H47" s="5">
        <f t="shared" ref="H47:H54" si="110">IF(ISBLANK(B47),"",IF(B47="ALI",IF(I47="L",7,IF(I47="A",10,15)),IF(B47="AIE",IF(I47="L",5,IF(I47="A",7,10)),IF(B47="SE",IF(I47="L",4,IF(I47="A",5,7)),IF(OR(B47="EE",B47="CE"),IF(I47="L",3,IF(I47="A",4,6)),0)))))</f>
        <v>4</v>
      </c>
      <c r="I47" s="122" t="str">
        <f t="shared" ref="I47:I54" si="111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>A</v>
      </c>
      <c r="J47" s="7" t="str">
        <f t="shared" ref="J47:J54" si="112">CONCATENATE(B47,C47)</f>
        <v>CEI</v>
      </c>
      <c r="K47" s="9">
        <f t="shared" ref="K47:K54" si="113">IF(OR(H47="",H47=0),L47,H47)</f>
        <v>4</v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10"/>
      <c r="N47" s="10"/>
      <c r="O47" s="6"/>
    </row>
    <row r="48" spans="1:15" x14ac:dyDescent="0.2">
      <c r="A48" s="126" t="s">
        <v>208</v>
      </c>
      <c r="B48" s="4" t="s">
        <v>102</v>
      </c>
      <c r="C48" s="4" t="s">
        <v>41</v>
      </c>
      <c r="D48" s="7"/>
      <c r="E48" s="7"/>
      <c r="F48" s="8" t="str">
        <f t="shared" si="108"/>
        <v>Média</v>
      </c>
      <c r="G48" s="7" t="str">
        <f t="shared" si="109"/>
        <v>CEA</v>
      </c>
      <c r="H48" s="5">
        <f t="shared" si="110"/>
        <v>4</v>
      </c>
      <c r="I48" s="122" t="str">
        <f t="shared" si="111"/>
        <v>A</v>
      </c>
      <c r="J48" s="7" t="str">
        <f t="shared" si="112"/>
        <v>CEI</v>
      </c>
      <c r="K48" s="9">
        <f t="shared" si="113"/>
        <v>4</v>
      </c>
      <c r="L48" s="9">
        <f>IF(NOT(ISERROR(VLOOKUP(B48,Deflatores!G$42:H$64,2,FALSE))),VLOOKUP(B48,Deflatores!G$42:H$64,2,FALSE),IF(OR(ISBLANK(C48),ISBLANK(B48)),"",VLOOKUP(C48,Deflatores!G$4:H$38,2,FALSE)*H48+VLOOKUP(C48,Deflatores!G$4:I$38,3,FALSE)))</f>
        <v>4</v>
      </c>
      <c r="M48" s="10"/>
      <c r="N48" s="10"/>
      <c r="O48" s="6"/>
    </row>
    <row r="49" spans="1:15" x14ac:dyDescent="0.2">
      <c r="A49" s="126"/>
      <c r="B49" s="4"/>
      <c r="C49" s="4"/>
      <c r="D49" s="7"/>
      <c r="E49" s="7"/>
      <c r="F49" s="8" t="str">
        <f t="shared" ref="F49" si="114">IF(ISBLANK(B49),"",IF(I49="L","Baixa",IF(I49="A","Média",IF(I49="","","Alta"))))</f>
        <v/>
      </c>
      <c r="G49" s="7" t="str">
        <f t="shared" ref="G49" si="115">CONCATENATE(B49,I49)</f>
        <v/>
      </c>
      <c r="H49" s="5" t="str">
        <f t="shared" ref="H49" si="116">IF(ISBLANK(B49),"",IF(B49="ALI",IF(I49="L",7,IF(I49="A",10,15)),IF(B49="AIE",IF(I49="L",5,IF(I49="A",7,10)),IF(B49="SE",IF(I49="L",4,IF(I49="A",5,7)),IF(OR(B49="EE",B49="CE"),IF(I49="L",3,IF(I49="A",4,6)),0)))))</f>
        <v/>
      </c>
      <c r="I49" s="122" t="str">
        <f t="shared" ref="I49" si="117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/>
      </c>
      <c r="J49" s="7" t="str">
        <f t="shared" ref="J49" si="118">CONCATENATE(B49,C49)</f>
        <v/>
      </c>
      <c r="K49" s="9" t="str">
        <f t="shared" ref="K49" si="119">IF(OR(H49="",H49=0),L49,H49)</f>
        <v/>
      </c>
      <c r="L49" s="9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10"/>
      <c r="N49" s="10"/>
      <c r="O49" s="6"/>
    </row>
    <row r="50" spans="1:15" x14ac:dyDescent="0.2">
      <c r="A50" s="128" t="s">
        <v>209</v>
      </c>
      <c r="B50" s="4"/>
      <c r="C50" s="4"/>
      <c r="D50" s="7"/>
      <c r="E50" s="7"/>
      <c r="F50" s="8" t="str">
        <f t="shared" si="108"/>
        <v/>
      </c>
      <c r="G50" s="7" t="str">
        <f t="shared" si="109"/>
        <v/>
      </c>
      <c r="H50" s="5" t="str">
        <f t="shared" si="110"/>
        <v/>
      </c>
      <c r="I50" s="122" t="str">
        <f t="shared" si="111"/>
        <v/>
      </c>
      <c r="J50" s="7" t="str">
        <f t="shared" si="112"/>
        <v/>
      </c>
      <c r="K50" s="9" t="str">
        <f t="shared" si="113"/>
        <v/>
      </c>
      <c r="L50" s="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ht="13.5" customHeight="1" x14ac:dyDescent="0.2">
      <c r="A51" s="126" t="s">
        <v>209</v>
      </c>
      <c r="B51" s="4" t="s">
        <v>98</v>
      </c>
      <c r="C51" s="4" t="s">
        <v>41</v>
      </c>
      <c r="D51" s="7"/>
      <c r="E51" s="7"/>
      <c r="F51" s="8" t="str">
        <f t="shared" si="108"/>
        <v>Baixa</v>
      </c>
      <c r="G51" s="7" t="str">
        <f t="shared" si="109"/>
        <v>ALIL</v>
      </c>
      <c r="H51" s="5">
        <f t="shared" si="110"/>
        <v>7</v>
      </c>
      <c r="I51" s="122" t="str">
        <f t="shared" si="111"/>
        <v>L</v>
      </c>
      <c r="J51" s="7" t="str">
        <f t="shared" si="112"/>
        <v>ALII</v>
      </c>
      <c r="K51" s="9">
        <f t="shared" si="113"/>
        <v>7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7</v>
      </c>
      <c r="M51" s="10"/>
      <c r="N51" s="10"/>
      <c r="O51" s="6"/>
    </row>
    <row r="52" spans="1:15" x14ac:dyDescent="0.2">
      <c r="A52" s="126" t="s">
        <v>210</v>
      </c>
      <c r="B52" s="4" t="s">
        <v>100</v>
      </c>
      <c r="C52" s="4" t="s">
        <v>41</v>
      </c>
      <c r="D52" s="7"/>
      <c r="E52" s="7"/>
      <c r="F52" s="8" t="str">
        <f t="shared" si="108"/>
        <v>Média</v>
      </c>
      <c r="G52" s="7" t="str">
        <f t="shared" si="109"/>
        <v>EEA</v>
      </c>
      <c r="H52" s="5">
        <f t="shared" si="110"/>
        <v>4</v>
      </c>
      <c r="I52" s="122" t="str">
        <f t="shared" si="111"/>
        <v>A</v>
      </c>
      <c r="J52" s="7" t="str">
        <f t="shared" si="112"/>
        <v>EEI</v>
      </c>
      <c r="K52" s="9">
        <f t="shared" si="113"/>
        <v>4</v>
      </c>
      <c r="L52" s="9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10"/>
      <c r="N52" s="10"/>
      <c r="O52" s="6"/>
    </row>
    <row r="53" spans="1:15" x14ac:dyDescent="0.2">
      <c r="A53" s="126" t="s">
        <v>211</v>
      </c>
      <c r="B53" s="4" t="s">
        <v>100</v>
      </c>
      <c r="C53" s="4" t="s">
        <v>41</v>
      </c>
      <c r="D53" s="7"/>
      <c r="E53" s="7"/>
      <c r="F53" s="8" t="str">
        <f t="shared" si="108"/>
        <v>Média</v>
      </c>
      <c r="G53" s="7" t="str">
        <f t="shared" si="109"/>
        <v>EEA</v>
      </c>
      <c r="H53" s="5">
        <f t="shared" si="110"/>
        <v>4</v>
      </c>
      <c r="I53" s="122" t="str">
        <f t="shared" si="111"/>
        <v>A</v>
      </c>
      <c r="J53" s="7" t="str">
        <f t="shared" si="112"/>
        <v>EEI</v>
      </c>
      <c r="K53" s="9">
        <f t="shared" si="113"/>
        <v>4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4</v>
      </c>
      <c r="M53" s="10"/>
      <c r="N53" s="10"/>
      <c r="O53" s="6"/>
    </row>
    <row r="54" spans="1:15" x14ac:dyDescent="0.2">
      <c r="A54" s="126" t="s">
        <v>212</v>
      </c>
      <c r="B54" s="4" t="s">
        <v>102</v>
      </c>
      <c r="C54" s="4" t="s">
        <v>41</v>
      </c>
      <c r="D54" s="7"/>
      <c r="E54" s="7"/>
      <c r="F54" s="8" t="str">
        <f t="shared" si="108"/>
        <v>Média</v>
      </c>
      <c r="G54" s="7" t="str">
        <f t="shared" si="109"/>
        <v>CEA</v>
      </c>
      <c r="H54" s="5">
        <f t="shared" si="110"/>
        <v>4</v>
      </c>
      <c r="I54" s="122" t="str">
        <f t="shared" si="111"/>
        <v>A</v>
      </c>
      <c r="J54" s="7" t="str">
        <f t="shared" si="112"/>
        <v>CEI</v>
      </c>
      <c r="K54" s="9">
        <f t="shared" si="113"/>
        <v>4</v>
      </c>
      <c r="L54" s="9">
        <f>IF(NOT(ISERROR(VLOOKUP(B54,Deflatores!G$42:H$64,2,FALSE))),VLOOKUP(B54,Deflatores!G$42:H$64,2,FALSE),IF(OR(ISBLANK(C54),ISBLANK(B54)),"",VLOOKUP(C54,Deflatores!G$4:H$38,2,FALSE)*H54+VLOOKUP(C54,Deflatores!G$4:I$38,3,FALSE)))</f>
        <v>4</v>
      </c>
      <c r="M54" s="10"/>
      <c r="N54" s="10"/>
      <c r="O54" s="6"/>
    </row>
    <row r="55" spans="1:15" x14ac:dyDescent="0.2">
      <c r="A55" s="126" t="s">
        <v>213</v>
      </c>
      <c r="B55" s="4" t="s">
        <v>102</v>
      </c>
      <c r="C55" s="4" t="s">
        <v>41</v>
      </c>
      <c r="D55" s="7"/>
      <c r="E55" s="7"/>
      <c r="F55" s="8" t="str">
        <f t="shared" ref="F55" si="120">IF(ISBLANK(B55),"",IF(I55="L","Baixa",IF(I55="A","Média",IF(I55="","","Alta"))))</f>
        <v>Média</v>
      </c>
      <c r="G55" s="7" t="str">
        <f t="shared" ref="G55" si="121">CONCATENATE(B55,I55)</f>
        <v>CEA</v>
      </c>
      <c r="H55" s="5">
        <f t="shared" ref="H55" si="122">IF(ISBLANK(B55),"",IF(B55="ALI",IF(I55="L",7,IF(I55="A",10,15)),IF(B55="AIE",IF(I55="L",5,IF(I55="A",7,10)),IF(B55="SE",IF(I55="L",4,IF(I55="A",5,7)),IF(OR(B55="EE",B55="CE"),IF(I55="L",3,IF(I55="A",4,6)),0)))))</f>
        <v>4</v>
      </c>
      <c r="I55" s="122" t="str">
        <f t="shared" ref="I55" si="123"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>A</v>
      </c>
      <c r="J55" s="7" t="str">
        <f t="shared" ref="J55" si="124">CONCATENATE(B55,C55)</f>
        <v>CEI</v>
      </c>
      <c r="K55" s="9">
        <f t="shared" ref="K55" si="125">IF(OR(H55="",H55=0),L55,H55)</f>
        <v>4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4</v>
      </c>
      <c r="M55" s="10"/>
      <c r="N55" s="10"/>
      <c r="O55" s="6"/>
    </row>
    <row r="56" spans="1:15" x14ac:dyDescent="0.2">
      <c r="A56" s="126" t="s">
        <v>214</v>
      </c>
      <c r="B56" s="4" t="s">
        <v>102</v>
      </c>
      <c r="C56" s="4" t="s">
        <v>41</v>
      </c>
      <c r="D56" s="7"/>
      <c r="E56" s="7"/>
      <c r="F56" s="8" t="str">
        <f t="shared" ref="F56" si="126">IF(ISBLANK(B56),"",IF(I56="L","Baixa",IF(I56="A","Média",IF(I56="","","Alta"))))</f>
        <v>Média</v>
      </c>
      <c r="G56" s="7" t="str">
        <f t="shared" ref="G56" si="127">CONCATENATE(B56,I56)</f>
        <v>CEA</v>
      </c>
      <c r="H56" s="5">
        <f t="shared" ref="H56" si="128">IF(ISBLANK(B56),"",IF(B56="ALI",IF(I56="L",7,IF(I56="A",10,15)),IF(B56="AIE",IF(I56="L",5,IF(I56="A",7,10)),IF(B56="SE",IF(I56="L",4,IF(I56="A",5,7)),IF(OR(B56="EE",B56="CE"),IF(I56="L",3,IF(I56="A",4,6)),0)))))</f>
        <v>4</v>
      </c>
      <c r="I56" s="122" t="str">
        <f t="shared" ref="I56" si="129"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>A</v>
      </c>
      <c r="J56" s="7" t="str">
        <f t="shared" ref="J56" si="130">CONCATENATE(B56,C56)</f>
        <v>CEI</v>
      </c>
      <c r="K56" s="9">
        <f t="shared" ref="K56" si="131">IF(OR(H56="",H56=0),L56,H56)</f>
        <v>4</v>
      </c>
      <c r="L56" s="9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10"/>
      <c r="N56" s="10"/>
      <c r="O56" s="6"/>
    </row>
    <row r="57" spans="1:15" x14ac:dyDescent="0.2">
      <c r="A57" s="126"/>
      <c r="B57" s="4"/>
      <c r="C57" s="4"/>
      <c r="D57" s="7"/>
      <c r="E57" s="7"/>
      <c r="F57" s="8" t="str">
        <f t="shared" ref="F57" si="132">IF(ISBLANK(B57),"",IF(I57="L","Baixa",IF(I57="A","Média",IF(I57="","","Alta"))))</f>
        <v/>
      </c>
      <c r="G57" s="7" t="str">
        <f t="shared" ref="G57" si="133">CONCATENATE(B57,I57)</f>
        <v/>
      </c>
      <c r="H57" s="5" t="str">
        <f t="shared" ref="H57" si="134">IF(ISBLANK(B57),"",IF(B57="ALI",IF(I57="L",7,IF(I57="A",10,15)),IF(B57="AIE",IF(I57="L",5,IF(I57="A",7,10)),IF(B57="SE",IF(I57="L",4,IF(I57="A",5,7)),IF(OR(B57="EE",B57="CE"),IF(I57="L",3,IF(I57="A",4,6)),0)))))</f>
        <v/>
      </c>
      <c r="I57" s="122" t="str">
        <f t="shared" ref="I57" si="13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/>
      </c>
      <c r="J57" s="7" t="str">
        <f t="shared" ref="J57" si="136">CONCATENATE(B57,C57)</f>
        <v/>
      </c>
      <c r="K57" s="9" t="str">
        <f t="shared" ref="K57" si="137">IF(OR(H57="",H57=0),L57,H57)</f>
        <v/>
      </c>
      <c r="L57" s="9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10"/>
      <c r="N57" s="10"/>
      <c r="O57" s="6"/>
    </row>
    <row r="58" spans="1:15" x14ac:dyDescent="0.2">
      <c r="A58" s="128" t="s">
        <v>215</v>
      </c>
      <c r="B58" s="4"/>
      <c r="C58" s="4"/>
      <c r="D58" s="7"/>
      <c r="E58" s="7"/>
      <c r="F58" s="8" t="str">
        <f t="shared" ref="F58:F59" si="138">IF(ISBLANK(B58),"",IF(I58="L","Baixa",IF(I58="A","Média",IF(I58="","","Alta"))))</f>
        <v/>
      </c>
      <c r="G58" s="7" t="str">
        <f t="shared" ref="G58:G59" si="139">CONCATENATE(B58,I58)</f>
        <v/>
      </c>
      <c r="H58" s="5" t="str">
        <f t="shared" ref="H58:H59" si="140">IF(ISBLANK(B58),"",IF(B58="ALI",IF(I58="L",7,IF(I58="A",10,15)),IF(B58="AIE",IF(I58="L",5,IF(I58="A",7,10)),IF(B58="SE",IF(I58="L",4,IF(I58="A",5,7)),IF(OR(B58="EE",B58="CE"),IF(I58="L",3,IF(I58="A",4,6)),0)))))</f>
        <v/>
      </c>
      <c r="I58" s="122" t="str">
        <f t="shared" ref="I58:I59" si="141"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/>
      </c>
      <c r="J58" s="7" t="str">
        <f t="shared" ref="J58:J59" si="142">CONCATENATE(B58,C58)</f>
        <v/>
      </c>
      <c r="K58" s="9" t="str">
        <f t="shared" ref="K58:K59" si="143">IF(OR(H58="",H58=0),L58,H58)</f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6" t="s">
        <v>215</v>
      </c>
      <c r="B59" s="4" t="s">
        <v>98</v>
      </c>
      <c r="C59" s="4" t="s">
        <v>41</v>
      </c>
      <c r="D59" s="7"/>
      <c r="E59" s="7"/>
      <c r="F59" s="8" t="str">
        <f t="shared" si="138"/>
        <v>Baixa</v>
      </c>
      <c r="G59" s="7" t="str">
        <f t="shared" si="139"/>
        <v>ALIL</v>
      </c>
      <c r="H59" s="5">
        <f t="shared" si="140"/>
        <v>7</v>
      </c>
      <c r="I59" s="122" t="str">
        <f t="shared" si="141"/>
        <v>L</v>
      </c>
      <c r="J59" s="7" t="str">
        <f t="shared" si="142"/>
        <v>ALII</v>
      </c>
      <c r="K59" s="9">
        <f t="shared" si="143"/>
        <v>7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7</v>
      </c>
      <c r="M59" s="10"/>
      <c r="N59" s="10"/>
      <c r="O59" s="6"/>
    </row>
    <row r="60" spans="1:15" x14ac:dyDescent="0.2">
      <c r="A60" s="126" t="s">
        <v>216</v>
      </c>
      <c r="B60" s="4" t="s">
        <v>100</v>
      </c>
      <c r="C60" s="4" t="s">
        <v>41</v>
      </c>
      <c r="D60" s="7"/>
      <c r="E60" s="7"/>
      <c r="F60" s="8" t="str">
        <f t="shared" si="0"/>
        <v>Média</v>
      </c>
      <c r="G60" s="7" t="str">
        <f t="shared" si="1"/>
        <v>EEA</v>
      </c>
      <c r="H60" s="5">
        <f t="shared" si="2"/>
        <v>4</v>
      </c>
      <c r="I60" s="122" t="str">
        <f t="shared" si="3"/>
        <v>A</v>
      </c>
      <c r="J60" s="7" t="str">
        <f t="shared" si="4"/>
        <v>EEI</v>
      </c>
      <c r="K60" s="9">
        <f t="shared" si="5"/>
        <v>4</v>
      </c>
      <c r="L60" s="9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10"/>
      <c r="N60" s="10"/>
      <c r="O60" s="6"/>
    </row>
    <row r="61" spans="1:15" x14ac:dyDescent="0.2">
      <c r="A61" s="126" t="s">
        <v>217</v>
      </c>
      <c r="B61" s="4" t="s">
        <v>102</v>
      </c>
      <c r="C61" s="4" t="s">
        <v>41</v>
      </c>
      <c r="D61" s="7"/>
      <c r="E61" s="7"/>
      <c r="F61" s="8" t="str">
        <f t="shared" si="0"/>
        <v>Média</v>
      </c>
      <c r="G61" s="7" t="str">
        <f t="shared" si="1"/>
        <v>CEA</v>
      </c>
      <c r="H61" s="5">
        <f t="shared" si="2"/>
        <v>4</v>
      </c>
      <c r="I61" s="122" t="str">
        <f t="shared" si="3"/>
        <v>A</v>
      </c>
      <c r="J61" s="7" t="str">
        <f t="shared" si="4"/>
        <v>CEI</v>
      </c>
      <c r="K61" s="9">
        <f t="shared" si="5"/>
        <v>4</v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10"/>
      <c r="N61" s="10"/>
      <c r="O61" s="6"/>
    </row>
    <row r="62" spans="1:15" x14ac:dyDescent="0.2">
      <c r="A62" s="126" t="s">
        <v>218</v>
      </c>
      <c r="B62" s="4" t="s">
        <v>102</v>
      </c>
      <c r="C62" s="4" t="s">
        <v>41</v>
      </c>
      <c r="D62" s="7"/>
      <c r="E62" s="7"/>
      <c r="F62" s="8" t="str">
        <f t="shared" ref="F62:F63" si="144">IF(ISBLANK(B62),"",IF(I62="L","Baixa",IF(I62="A","Média",IF(I62="","","Alta"))))</f>
        <v>Média</v>
      </c>
      <c r="G62" s="7" t="str">
        <f t="shared" ref="G62:G63" si="145">CONCATENATE(B62,I62)</f>
        <v>CEA</v>
      </c>
      <c r="H62" s="5">
        <f t="shared" ref="H62:H63" si="146">IF(ISBLANK(B62),"",IF(B62="ALI",IF(I62="L",7,IF(I62="A",10,15)),IF(B62="AIE",IF(I62="L",5,IF(I62="A",7,10)),IF(B62="SE",IF(I62="L",4,IF(I62="A",5,7)),IF(OR(B62="EE",B62="CE"),IF(I62="L",3,IF(I62="A",4,6)),0)))))</f>
        <v>4</v>
      </c>
      <c r="I62" s="122" t="str">
        <f t="shared" ref="I62:I63" si="147"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>A</v>
      </c>
      <c r="J62" s="7" t="str">
        <f t="shared" ref="J62:J63" si="148">CONCATENATE(B62,C62)</f>
        <v>CEI</v>
      </c>
      <c r="K62" s="9">
        <f t="shared" ref="K62:K63" si="149">IF(OR(H62="",H62=0),L62,H62)</f>
        <v>4</v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10"/>
      <c r="N62" s="10"/>
      <c r="O62" s="6"/>
    </row>
    <row r="63" spans="1:15" x14ac:dyDescent="0.2">
      <c r="A63" s="126" t="s">
        <v>219</v>
      </c>
      <c r="B63" s="4" t="s">
        <v>102</v>
      </c>
      <c r="C63" s="4" t="s">
        <v>41</v>
      </c>
      <c r="D63" s="7"/>
      <c r="E63" s="7"/>
      <c r="F63" s="8" t="str">
        <f t="shared" si="144"/>
        <v>Média</v>
      </c>
      <c r="G63" s="7" t="str">
        <f t="shared" si="145"/>
        <v>CEA</v>
      </c>
      <c r="H63" s="5">
        <f t="shared" si="146"/>
        <v>4</v>
      </c>
      <c r="I63" s="122" t="str">
        <f t="shared" si="147"/>
        <v>A</v>
      </c>
      <c r="J63" s="7" t="str">
        <f t="shared" si="148"/>
        <v>CEI</v>
      </c>
      <c r="K63" s="9">
        <f t="shared" si="149"/>
        <v>4</v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10"/>
      <c r="N63" s="10"/>
      <c r="O63" s="6"/>
    </row>
    <row r="64" spans="1:15" x14ac:dyDescent="0.2">
      <c r="A64" s="126" t="s">
        <v>220</v>
      </c>
      <c r="B64" s="4" t="s">
        <v>102</v>
      </c>
      <c r="C64" s="4" t="s">
        <v>41</v>
      </c>
      <c r="D64" s="7"/>
      <c r="E64" s="7"/>
      <c r="F64" s="8" t="str">
        <f t="shared" ref="F64" si="150">IF(ISBLANK(B64),"",IF(I64="L","Baixa",IF(I64="A","Média",IF(I64="","","Alta"))))</f>
        <v>Média</v>
      </c>
      <c r="G64" s="7" t="str">
        <f t="shared" ref="G64" si="151">CONCATENATE(B64,I64)</f>
        <v>CEA</v>
      </c>
      <c r="H64" s="5">
        <f t="shared" ref="H64" si="152">IF(ISBLANK(B64),"",IF(B64="ALI",IF(I64="L",7,IF(I64="A",10,15)),IF(B64="AIE",IF(I64="L",5,IF(I64="A",7,10)),IF(B64="SE",IF(I64="L",4,IF(I64="A",5,7)),IF(OR(B64="EE",B64="CE"),IF(I64="L",3,IF(I64="A",4,6)),0)))))</f>
        <v>4</v>
      </c>
      <c r="I64" s="122" t="str">
        <f t="shared" ref="I64" si="153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A</v>
      </c>
      <c r="J64" s="7" t="str">
        <f t="shared" ref="J64" si="154">CONCATENATE(B64,C64)</f>
        <v>CEI</v>
      </c>
      <c r="K64" s="9">
        <f t="shared" ref="K64" si="155">IF(OR(H64="",H64=0),L64,H64)</f>
        <v>4</v>
      </c>
      <c r="L64" s="9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10"/>
      <c r="N64" s="10"/>
      <c r="O64" s="6"/>
    </row>
    <row r="65" spans="1:15" x14ac:dyDescent="0.2">
      <c r="A65" s="126" t="s">
        <v>221</v>
      </c>
      <c r="B65" s="4" t="s">
        <v>102</v>
      </c>
      <c r="C65" s="4" t="s">
        <v>41</v>
      </c>
      <c r="D65" s="7"/>
      <c r="E65" s="7"/>
      <c r="F65" s="8" t="str">
        <f t="shared" ref="F65" si="156">IF(ISBLANK(B65),"",IF(I65="L","Baixa",IF(I65="A","Média",IF(I65="","","Alta"))))</f>
        <v>Média</v>
      </c>
      <c r="G65" s="7" t="str">
        <f t="shared" ref="G65" si="157">CONCATENATE(B65,I65)</f>
        <v>CEA</v>
      </c>
      <c r="H65" s="5">
        <f t="shared" ref="H65" si="158">IF(ISBLANK(B65),"",IF(B65="ALI",IF(I65="L",7,IF(I65="A",10,15)),IF(B65="AIE",IF(I65="L",5,IF(I65="A",7,10)),IF(B65="SE",IF(I65="L",4,IF(I65="A",5,7)),IF(OR(B65="EE",B65="CE"),IF(I65="L",3,IF(I65="A",4,6)),0)))))</f>
        <v>4</v>
      </c>
      <c r="I65" s="122" t="str">
        <f t="shared" ref="I65" si="159">IF(OR(ISBLANK(D65),ISBLANK(E65)),IF(OR(B65="ALI",B65="AIE"),"L",IF(OR(B65="EE",B65="SE",B65="CE"),"A","")),IF(B65="EE",IF(E65&gt;=3,IF(D65&gt;=5,"H","A"),IF(E65&gt;=2,IF(D65&gt;=16,"H",IF(D65&lt;=4,"L","A")),IF(D65&lt;=15,"L","A"))),IF(OR(B65="SE",B65="CE"),IF(E65&gt;=4,IF(D65&gt;=6,"H","A"),IF(E65&gt;=2,IF(D65&gt;=20,"H",IF(D65&lt;=5,"L","A")),IF(D65&lt;=19,"L","A"))),IF(OR(B65="ALI",B65="AIE"),IF(E65&gt;=6,IF(D65&gt;=20,"H","A"),IF(E65&gt;=2,IF(D65&gt;=51,"H",IF(D65&lt;=19,"L","A")),IF(D65&lt;=50,"L","A"))),""))))</f>
        <v>A</v>
      </c>
      <c r="J65" s="7" t="str">
        <f t="shared" ref="J65" si="160">CONCATENATE(B65,C65)</f>
        <v>CEI</v>
      </c>
      <c r="K65" s="9">
        <f t="shared" ref="K65" si="161">IF(OR(H65="",H65=0),L65,H65)</f>
        <v>4</v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>4</v>
      </c>
      <c r="M65" s="10"/>
      <c r="N65" s="10"/>
      <c r="O65" s="6"/>
    </row>
    <row r="66" spans="1:15" x14ac:dyDescent="0.2">
      <c r="A66" s="126" t="s">
        <v>222</v>
      </c>
      <c r="B66" s="4" t="s">
        <v>102</v>
      </c>
      <c r="C66" s="4" t="s">
        <v>41</v>
      </c>
      <c r="D66" s="7"/>
      <c r="E66" s="7"/>
      <c r="F66" s="8" t="str">
        <f t="shared" si="0"/>
        <v>Média</v>
      </c>
      <c r="G66" s="7" t="str">
        <f t="shared" si="1"/>
        <v>CEA</v>
      </c>
      <c r="H66" s="5">
        <f t="shared" si="2"/>
        <v>4</v>
      </c>
      <c r="I66" s="122" t="str">
        <f t="shared" si="3"/>
        <v>A</v>
      </c>
      <c r="J66" s="7" t="str">
        <f t="shared" si="4"/>
        <v>CEI</v>
      </c>
      <c r="K66" s="9">
        <f t="shared" si="5"/>
        <v>4</v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>4</v>
      </c>
      <c r="M66" s="10"/>
      <c r="N66" s="10"/>
      <c r="O66" s="6"/>
    </row>
    <row r="67" spans="1:15" x14ac:dyDescent="0.2">
      <c r="A67" s="126" t="s">
        <v>223</v>
      </c>
      <c r="B67" s="4" t="s">
        <v>102</v>
      </c>
      <c r="C67" s="4" t="s">
        <v>41</v>
      </c>
      <c r="D67" s="7"/>
      <c r="E67" s="7"/>
      <c r="F67" s="8" t="str">
        <f t="shared" si="0"/>
        <v>Média</v>
      </c>
      <c r="G67" s="7" t="str">
        <f t="shared" si="1"/>
        <v>CEA</v>
      </c>
      <c r="H67" s="5">
        <f t="shared" si="2"/>
        <v>4</v>
      </c>
      <c r="I67" s="122" t="str">
        <f t="shared" si="3"/>
        <v>A</v>
      </c>
      <c r="J67" s="7" t="str">
        <f t="shared" si="4"/>
        <v>CEI</v>
      </c>
      <c r="K67" s="9">
        <f t="shared" si="5"/>
        <v>4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133"/>
      <c r="N67" s="10"/>
      <c r="O67" s="6"/>
    </row>
    <row r="68" spans="1:15" x14ac:dyDescent="0.2">
      <c r="A68" s="126" t="s">
        <v>224</v>
      </c>
      <c r="B68" s="4" t="s">
        <v>102</v>
      </c>
      <c r="C68" s="4" t="s">
        <v>41</v>
      </c>
      <c r="D68" s="7"/>
      <c r="E68" s="7"/>
      <c r="F68" s="8" t="str">
        <f t="shared" ref="F68" si="162">IF(ISBLANK(B68),"",IF(I68="L","Baixa",IF(I68="A","Média",IF(I68="","","Alta"))))</f>
        <v>Média</v>
      </c>
      <c r="G68" s="7" t="str">
        <f t="shared" ref="G68" si="163">CONCATENATE(B68,I68)</f>
        <v>CEA</v>
      </c>
      <c r="H68" s="5">
        <f t="shared" ref="H68" si="164">IF(ISBLANK(B68),"",IF(B68="ALI",IF(I68="L",7,IF(I68="A",10,15)),IF(B68="AIE",IF(I68="L",5,IF(I68="A",7,10)),IF(B68="SE",IF(I68="L",4,IF(I68="A",5,7)),IF(OR(B68="EE",B68="CE"),IF(I68="L",3,IF(I68="A",4,6)),0)))))</f>
        <v>4</v>
      </c>
      <c r="I68" s="122" t="str">
        <f t="shared" ref="I68" si="165"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>A</v>
      </c>
      <c r="J68" s="7" t="str">
        <f t="shared" ref="J68" si="166">CONCATENATE(B68,C68)</f>
        <v>CEI</v>
      </c>
      <c r="K68" s="9">
        <f t="shared" ref="K68" si="167">IF(OR(H68="",H68=0),L68,H68)</f>
        <v>4</v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>4</v>
      </c>
      <c r="M68" s="133"/>
      <c r="N68" s="10"/>
      <c r="O68" s="6"/>
    </row>
    <row r="69" spans="1:15" x14ac:dyDescent="0.2">
      <c r="A69" s="126"/>
      <c r="B69" s="4"/>
      <c r="C69" s="4"/>
      <c r="D69" s="7"/>
      <c r="E69" s="7"/>
      <c r="F69" s="8" t="str">
        <f t="shared" ref="F69" si="168">IF(ISBLANK(B69),"",IF(I69="L","Baixa",IF(I69="A","Média",IF(I69="","","Alta"))))</f>
        <v/>
      </c>
      <c r="G69" s="7" t="str">
        <f t="shared" ref="G69" si="169">CONCATENATE(B69,I69)</f>
        <v/>
      </c>
      <c r="H69" s="5" t="str">
        <f t="shared" ref="H69" si="170">IF(ISBLANK(B69),"",IF(B69="ALI",IF(I69="L",7,IF(I69="A",10,15)),IF(B69="AIE",IF(I69="L",5,IF(I69="A",7,10)),IF(B69="SE",IF(I69="L",4,IF(I69="A",5,7)),IF(OR(B69="EE",B69="CE"),IF(I69="L",3,IF(I69="A",4,6)),0)))))</f>
        <v/>
      </c>
      <c r="I69" s="122" t="str">
        <f t="shared" ref="I69" si="171">IF(OR(ISBLANK(D69),ISBLANK(E69)),IF(OR(B69="ALI",B69="AIE"),"L",IF(OR(B69="EE",B69="SE",B69="CE"),"A","")),IF(B69="EE",IF(E69&gt;=3,IF(D69&gt;=5,"H","A"),IF(E69&gt;=2,IF(D69&gt;=16,"H",IF(D69&lt;=4,"L","A")),IF(D69&lt;=15,"L","A"))),IF(OR(B69="SE",B69="CE"),IF(E69&gt;=4,IF(D69&gt;=6,"H","A"),IF(E69&gt;=2,IF(D69&gt;=20,"H",IF(D69&lt;=5,"L","A")),IF(D69&lt;=19,"L","A"))),IF(OR(B69="ALI",B69="AIE"),IF(E69&gt;=6,IF(D69&gt;=20,"H","A"),IF(E69&gt;=2,IF(D69&gt;=51,"H",IF(D69&lt;=19,"L","A")),IF(D69&lt;=50,"L","A"))),""))))</f>
        <v/>
      </c>
      <c r="J69" s="7" t="str">
        <f t="shared" ref="J69" si="172">CONCATENATE(B69,C69)</f>
        <v/>
      </c>
      <c r="K69" s="9" t="str">
        <f t="shared" ref="K69" si="173">IF(OR(H69="",H69=0),L69,H69)</f>
        <v/>
      </c>
      <c r="L69" s="9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33"/>
      <c r="N69" s="10"/>
      <c r="O69" s="6"/>
    </row>
    <row r="70" spans="1:15" x14ac:dyDescent="0.2">
      <c r="A70" s="128" t="s">
        <v>225</v>
      </c>
      <c r="B70" s="4"/>
      <c r="C70" s="4"/>
      <c r="D70" s="7"/>
      <c r="E70" s="7"/>
      <c r="F70" s="8" t="str">
        <f t="shared" si="0"/>
        <v/>
      </c>
      <c r="G70" s="7" t="str">
        <f t="shared" si="1"/>
        <v/>
      </c>
      <c r="H70" s="5" t="str">
        <f t="shared" si="2"/>
        <v/>
      </c>
      <c r="I70" s="122" t="str">
        <f t="shared" si="3"/>
        <v/>
      </c>
      <c r="J70" s="7" t="str">
        <f t="shared" si="4"/>
        <v/>
      </c>
      <c r="K70" s="9" t="str">
        <f t="shared" si="5"/>
        <v/>
      </c>
      <c r="L70" s="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33"/>
      <c r="N70" s="10"/>
      <c r="O70" s="6"/>
    </row>
    <row r="71" spans="1:15" x14ac:dyDescent="0.2">
      <c r="A71" s="126" t="s">
        <v>225</v>
      </c>
      <c r="B71" s="4" t="s">
        <v>98</v>
      </c>
      <c r="C71" s="4" t="s">
        <v>41</v>
      </c>
      <c r="D71" s="7"/>
      <c r="E71" s="7"/>
      <c r="F71" s="8" t="str">
        <f t="shared" ref="F71:F73" si="174">IF(ISBLANK(B71),"",IF(I71="L","Baixa",IF(I71="A","Média",IF(I71="","","Alta"))))</f>
        <v>Baixa</v>
      </c>
      <c r="G71" s="7" t="str">
        <f t="shared" ref="G71:G73" si="175">CONCATENATE(B71,I71)</f>
        <v>ALIL</v>
      </c>
      <c r="H71" s="5">
        <f t="shared" ref="H71:H73" si="176">IF(ISBLANK(B71),"",IF(B71="ALI",IF(I71="L",7,IF(I71="A",10,15)),IF(B71="AIE",IF(I71="L",5,IF(I71="A",7,10)),IF(B71="SE",IF(I71="L",4,IF(I71="A",5,7)),IF(OR(B71="EE",B71="CE"),IF(I71="L",3,IF(I71="A",4,6)),0)))))</f>
        <v>7</v>
      </c>
      <c r="I71" s="122" t="str">
        <f t="shared" ref="I71:I73" si="177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>L</v>
      </c>
      <c r="J71" s="7" t="str">
        <f t="shared" ref="J71:J73" si="178">CONCATENATE(B71,C71)</f>
        <v>ALII</v>
      </c>
      <c r="K71" s="9">
        <f t="shared" ref="K71:K73" si="179">IF(OR(H71="",H71=0),L71,H71)</f>
        <v>7</v>
      </c>
      <c r="L71" s="9">
        <f>IF(NOT(ISERROR(VLOOKUP(B71,Deflatores!G$42:H$64,2,FALSE))),VLOOKUP(B71,Deflatores!G$42:H$64,2,FALSE),IF(OR(ISBLANK(C71),ISBLANK(B71)),"",VLOOKUP(C71,Deflatores!G$4:H$38,2,FALSE)*H71+VLOOKUP(C71,Deflatores!G$4:I$38,3,FALSE)))</f>
        <v>7</v>
      </c>
      <c r="M71" s="133"/>
      <c r="N71" s="10"/>
      <c r="O71" s="6"/>
    </row>
    <row r="72" spans="1:15" x14ac:dyDescent="0.2">
      <c r="A72" s="126" t="s">
        <v>226</v>
      </c>
      <c r="B72" s="4" t="s">
        <v>100</v>
      </c>
      <c r="C72" s="4" t="s">
        <v>41</v>
      </c>
      <c r="D72" s="7"/>
      <c r="E72" s="7"/>
      <c r="F72" s="8" t="str">
        <f t="shared" ref="F72" si="180">IF(ISBLANK(B72),"",IF(I72="L","Baixa",IF(I72="A","Média",IF(I72="","","Alta"))))</f>
        <v>Média</v>
      </c>
      <c r="G72" s="7" t="str">
        <f t="shared" ref="G72" si="181">CONCATENATE(B72,I72)</f>
        <v>EEA</v>
      </c>
      <c r="H72" s="5">
        <f t="shared" ref="H72" si="182">IF(ISBLANK(B72),"",IF(B72="ALI",IF(I72="L",7,IF(I72="A",10,15)),IF(B72="AIE",IF(I72="L",5,IF(I72="A",7,10)),IF(B72="SE",IF(I72="L",4,IF(I72="A",5,7)),IF(OR(B72="EE",B72="CE"),IF(I72="L",3,IF(I72="A",4,6)),0)))))</f>
        <v>4</v>
      </c>
      <c r="I72" s="122" t="str">
        <f t="shared" ref="I72" si="183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>A</v>
      </c>
      <c r="J72" s="7" t="str">
        <f t="shared" ref="J72" si="184">CONCATENATE(B72,C72)</f>
        <v>EEI</v>
      </c>
      <c r="K72" s="9">
        <f t="shared" ref="K72" si="185">IF(OR(H72="",H72=0),L72,H72)</f>
        <v>4</v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33"/>
      <c r="N72" s="10"/>
      <c r="O72" s="6"/>
    </row>
    <row r="73" spans="1:15" x14ac:dyDescent="0.2">
      <c r="A73" s="126" t="s">
        <v>227</v>
      </c>
      <c r="B73" s="4" t="s">
        <v>102</v>
      </c>
      <c r="C73" s="4" t="s">
        <v>41</v>
      </c>
      <c r="D73" s="7"/>
      <c r="E73" s="7"/>
      <c r="F73" s="8" t="str">
        <f t="shared" si="174"/>
        <v>Média</v>
      </c>
      <c r="G73" s="7" t="str">
        <f t="shared" si="175"/>
        <v>CEA</v>
      </c>
      <c r="H73" s="5">
        <f t="shared" si="176"/>
        <v>4</v>
      </c>
      <c r="I73" s="122" t="str">
        <f t="shared" si="177"/>
        <v>A</v>
      </c>
      <c r="J73" s="7" t="str">
        <f t="shared" si="178"/>
        <v>CEI</v>
      </c>
      <c r="K73" s="9">
        <f t="shared" si="179"/>
        <v>4</v>
      </c>
      <c r="L73" s="9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133"/>
      <c r="N73" s="10"/>
      <c r="O73" s="6"/>
    </row>
    <row r="74" spans="1:15" x14ac:dyDescent="0.2">
      <c r="A74" s="126" t="s">
        <v>228</v>
      </c>
      <c r="B74" s="4" t="s">
        <v>103</v>
      </c>
      <c r="C74" s="4" t="s">
        <v>41</v>
      </c>
      <c r="D74" s="7"/>
      <c r="E74" s="7"/>
      <c r="F74" s="8" t="str">
        <f t="shared" ref="F74:F84" si="186">IF(ISBLANK(B74),"",IF(I74="L","Baixa",IF(I74="A","Média",IF(I74="","","Alta"))))</f>
        <v>Média</v>
      </c>
      <c r="G74" s="7" t="str">
        <f t="shared" ref="G74:G84" si="187">CONCATENATE(B74,I74)</f>
        <v>SEA</v>
      </c>
      <c r="H74" s="5">
        <f t="shared" ref="H74:H84" si="188">IF(ISBLANK(B74),"",IF(B74="ALI",IF(I74="L",7,IF(I74="A",10,15)),IF(B74="AIE",IF(I74="L",5,IF(I74="A",7,10)),IF(B74="SE",IF(I74="L",4,IF(I74="A",5,7)),IF(OR(B74="EE",B74="CE"),IF(I74="L",3,IF(I74="A",4,6)),0)))))</f>
        <v>5</v>
      </c>
      <c r="I74" s="122" t="str">
        <f t="shared" ref="I74:I84" si="189"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>A</v>
      </c>
      <c r="J74" s="7" t="str">
        <f t="shared" ref="J74:J84" si="190">CONCATENATE(B74,C74)</f>
        <v>SEI</v>
      </c>
      <c r="K74" s="9">
        <f t="shared" ref="K74:K84" si="191">IF(OR(H74="",H74=0),L74,H74)</f>
        <v>5</v>
      </c>
      <c r="L74" s="9">
        <f>IF(NOT(ISERROR(VLOOKUP(B74,Deflatores!G$42:H$64,2,FALSE))),VLOOKUP(B74,Deflatores!G$42:H$64,2,FALSE),IF(OR(ISBLANK(C74),ISBLANK(B74)),"",VLOOKUP(C74,Deflatores!G$4:H$38,2,FALSE)*H74+VLOOKUP(C74,Deflatores!G$4:I$38,3,FALSE)))</f>
        <v>5</v>
      </c>
      <c r="M74" s="133"/>
      <c r="N74" s="10"/>
      <c r="O74" s="6"/>
    </row>
    <row r="75" spans="1:15" x14ac:dyDescent="0.2">
      <c r="A75" s="128" t="s">
        <v>229</v>
      </c>
      <c r="B75" s="4"/>
      <c r="C75" s="4"/>
      <c r="D75" s="7"/>
      <c r="E75" s="7"/>
      <c r="F75" s="8" t="str">
        <f t="shared" ref="F75" si="192">IF(ISBLANK(B75),"",IF(I75="L","Baixa",IF(I75="A","Média",IF(I75="","","Alta"))))</f>
        <v/>
      </c>
      <c r="G75" s="7" t="str">
        <f t="shared" ref="G75" si="193">CONCATENATE(B75,I75)</f>
        <v/>
      </c>
      <c r="H75" s="5" t="str">
        <f t="shared" ref="H75" si="194">IF(ISBLANK(B75),"",IF(B75="ALI",IF(I75="L",7,IF(I75="A",10,15)),IF(B75="AIE",IF(I75="L",5,IF(I75="A",7,10)),IF(B75="SE",IF(I75="L",4,IF(I75="A",5,7)),IF(OR(B75="EE",B75="CE"),IF(I75="L",3,IF(I75="A",4,6)),0)))))</f>
        <v/>
      </c>
      <c r="I75" s="122" t="str">
        <f t="shared" ref="I75" si="195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/>
      </c>
      <c r="J75" s="7" t="str">
        <f t="shared" ref="J75" si="196">CONCATENATE(B75,C75)</f>
        <v/>
      </c>
      <c r="K75" s="9" t="str">
        <f t="shared" ref="K75" si="197">IF(OR(H75="",H75=0),L75,H75)</f>
        <v/>
      </c>
      <c r="L75" s="9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33"/>
      <c r="N75" s="10"/>
      <c r="O75" s="6"/>
    </row>
    <row r="76" spans="1:15" x14ac:dyDescent="0.2">
      <c r="A76" s="126" t="s">
        <v>230</v>
      </c>
      <c r="B76" s="4" t="s">
        <v>102</v>
      </c>
      <c r="C76" s="4" t="s">
        <v>41</v>
      </c>
      <c r="D76" s="7"/>
      <c r="E76" s="7"/>
      <c r="F76" s="8" t="str">
        <f t="shared" si="186"/>
        <v>Média</v>
      </c>
      <c r="G76" s="7" t="str">
        <f t="shared" si="187"/>
        <v>CEA</v>
      </c>
      <c r="H76" s="5">
        <f t="shared" si="188"/>
        <v>4</v>
      </c>
      <c r="I76" s="122" t="str">
        <f t="shared" si="189"/>
        <v>A</v>
      </c>
      <c r="J76" s="7" t="str">
        <f t="shared" si="190"/>
        <v>CEI</v>
      </c>
      <c r="K76" s="9">
        <f t="shared" si="191"/>
        <v>4</v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133"/>
      <c r="N76" s="10"/>
      <c r="O76" s="6"/>
    </row>
    <row r="77" spans="1:15" x14ac:dyDescent="0.2">
      <c r="A77" s="126" t="s">
        <v>231</v>
      </c>
      <c r="B77" s="4" t="s">
        <v>102</v>
      </c>
      <c r="C77" s="4" t="s">
        <v>41</v>
      </c>
      <c r="D77" s="7"/>
      <c r="E77" s="7"/>
      <c r="F77" s="8" t="str">
        <f t="shared" ref="F77" si="198">IF(ISBLANK(B77),"",IF(I77="L","Baixa",IF(I77="A","Média",IF(I77="","","Alta"))))</f>
        <v>Média</v>
      </c>
      <c r="G77" s="7" t="str">
        <f t="shared" ref="G77" si="199">CONCATENATE(B77,I77)</f>
        <v>CEA</v>
      </c>
      <c r="H77" s="5">
        <f t="shared" ref="H77" si="200">IF(ISBLANK(B77),"",IF(B77="ALI",IF(I77="L",7,IF(I77="A",10,15)),IF(B77="AIE",IF(I77="L",5,IF(I77="A",7,10)),IF(B77="SE",IF(I77="L",4,IF(I77="A",5,7)),IF(OR(B77="EE",B77="CE"),IF(I77="L",3,IF(I77="A",4,6)),0)))))</f>
        <v>4</v>
      </c>
      <c r="I77" s="122" t="str">
        <f t="shared" ref="I77" si="201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>A</v>
      </c>
      <c r="J77" s="7" t="str">
        <f t="shared" ref="J77" si="202">CONCATENATE(B77,C77)</f>
        <v>CEI</v>
      </c>
      <c r="K77" s="9">
        <f t="shared" ref="K77" si="203">IF(OR(H77="",H77=0),L77,H77)</f>
        <v>4</v>
      </c>
      <c r="L77" s="9">
        <f>IF(NOT(ISERROR(VLOOKUP(B77,Deflatores!G$42:H$64,2,FALSE))),VLOOKUP(B77,Deflatores!G$42:H$64,2,FALSE),IF(OR(ISBLANK(C77),ISBLANK(B77)),"",VLOOKUP(C77,Deflatores!G$4:H$38,2,FALSE)*H77+VLOOKUP(C77,Deflatores!G$4:I$38,3,FALSE)))</f>
        <v>4</v>
      </c>
      <c r="M77" s="133"/>
      <c r="N77" s="10"/>
      <c r="O77" s="6"/>
    </row>
    <row r="78" spans="1:15" x14ac:dyDescent="0.2">
      <c r="A78" s="126" t="s">
        <v>232</v>
      </c>
      <c r="B78" s="4" t="s">
        <v>102</v>
      </c>
      <c r="C78" s="4" t="s">
        <v>41</v>
      </c>
      <c r="D78" s="7"/>
      <c r="E78" s="7"/>
      <c r="F78" s="8" t="str">
        <f t="shared" si="186"/>
        <v>Média</v>
      </c>
      <c r="G78" s="7" t="str">
        <f t="shared" si="187"/>
        <v>CEA</v>
      </c>
      <c r="H78" s="5">
        <f t="shared" si="188"/>
        <v>4</v>
      </c>
      <c r="I78" s="122" t="str">
        <f t="shared" si="189"/>
        <v>A</v>
      </c>
      <c r="J78" s="7" t="str">
        <f t="shared" si="190"/>
        <v>CEI</v>
      </c>
      <c r="K78" s="9">
        <f t="shared" si="191"/>
        <v>4</v>
      </c>
      <c r="L78" s="9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133"/>
      <c r="N78" s="10"/>
      <c r="O78" s="6"/>
    </row>
    <row r="79" spans="1:15" x14ac:dyDescent="0.2">
      <c r="A79" s="126" t="s">
        <v>233</v>
      </c>
      <c r="B79" s="4" t="s">
        <v>103</v>
      </c>
      <c r="C79" s="4" t="s">
        <v>41</v>
      </c>
      <c r="D79" s="7"/>
      <c r="E79" s="7"/>
      <c r="F79" s="8" t="str">
        <f t="shared" si="186"/>
        <v>Média</v>
      </c>
      <c r="G79" s="7" t="str">
        <f t="shared" si="187"/>
        <v>SEA</v>
      </c>
      <c r="H79" s="5">
        <f t="shared" si="188"/>
        <v>5</v>
      </c>
      <c r="I79" s="122" t="str">
        <f t="shared" si="189"/>
        <v>A</v>
      </c>
      <c r="J79" s="7" t="str">
        <f t="shared" si="190"/>
        <v>SEI</v>
      </c>
      <c r="K79" s="9">
        <f t="shared" si="191"/>
        <v>5</v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>5</v>
      </c>
      <c r="M79" s="10"/>
      <c r="N79" s="10"/>
      <c r="O79" s="6"/>
    </row>
    <row r="80" spans="1:15" x14ac:dyDescent="0.2">
      <c r="A80" s="128" t="s">
        <v>234</v>
      </c>
      <c r="B80" s="4"/>
      <c r="C80" s="4"/>
      <c r="D80" s="7"/>
      <c r="E80" s="7"/>
      <c r="F80" s="8" t="str">
        <f t="shared" si="186"/>
        <v/>
      </c>
      <c r="G80" s="7" t="str">
        <f t="shared" si="187"/>
        <v/>
      </c>
      <c r="H80" s="5" t="str">
        <f t="shared" si="188"/>
        <v/>
      </c>
      <c r="I80" s="122" t="str">
        <f t="shared" si="189"/>
        <v/>
      </c>
      <c r="J80" s="7" t="str">
        <f t="shared" si="190"/>
        <v/>
      </c>
      <c r="K80" s="9" t="str">
        <f t="shared" si="191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6" t="s">
        <v>235</v>
      </c>
      <c r="B81" s="4" t="s">
        <v>102</v>
      </c>
      <c r="C81" s="4" t="s">
        <v>41</v>
      </c>
      <c r="D81" s="7"/>
      <c r="E81" s="7"/>
      <c r="F81" s="8" t="str">
        <f t="shared" ref="F81" si="204">IF(ISBLANK(B81),"",IF(I81="L","Baixa",IF(I81="A","Média",IF(I81="","","Alta"))))</f>
        <v>Média</v>
      </c>
      <c r="G81" s="7" t="str">
        <f t="shared" ref="G81" si="205">CONCATENATE(B81,I81)</f>
        <v>CEA</v>
      </c>
      <c r="H81" s="5">
        <f t="shared" ref="H81" si="206">IF(ISBLANK(B81),"",IF(B81="ALI",IF(I81="L",7,IF(I81="A",10,15)),IF(B81="AIE",IF(I81="L",5,IF(I81="A",7,10)),IF(B81="SE",IF(I81="L",4,IF(I81="A",5,7)),IF(OR(B81="EE",B81="CE"),IF(I81="L",3,IF(I81="A",4,6)),0)))))</f>
        <v>4</v>
      </c>
      <c r="I81" s="122" t="str">
        <f t="shared" ref="I81" si="207"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>A</v>
      </c>
      <c r="J81" s="7" t="str">
        <f t="shared" ref="J81" si="208">CONCATENATE(B81,C81)</f>
        <v>CEI</v>
      </c>
      <c r="K81" s="9">
        <f t="shared" ref="K81" si="209">IF(OR(H81="",H81=0),L81,H81)</f>
        <v>4</v>
      </c>
      <c r="L81" s="9">
        <f>IF(NOT(ISERROR(VLOOKUP(B81,Deflatores!G$42:H$64,2,FALSE))),VLOOKUP(B81,Deflatores!G$42:H$64,2,FALSE),IF(OR(ISBLANK(C81),ISBLANK(B81)),"",VLOOKUP(C81,Deflatores!G$4:H$38,2,FALSE)*H81+VLOOKUP(C81,Deflatores!G$4:I$38,3,FALSE)))</f>
        <v>4</v>
      </c>
      <c r="M81" s="10"/>
      <c r="N81" s="10"/>
      <c r="O81" s="6"/>
    </row>
    <row r="82" spans="1:15" x14ac:dyDescent="0.2">
      <c r="A82" s="126" t="s">
        <v>236</v>
      </c>
      <c r="B82" s="4" t="s">
        <v>102</v>
      </c>
      <c r="C82" s="4" t="s">
        <v>41</v>
      </c>
      <c r="D82" s="7"/>
      <c r="E82" s="7"/>
      <c r="F82" s="8" t="str">
        <f t="shared" si="186"/>
        <v>Média</v>
      </c>
      <c r="G82" s="7" t="str">
        <f t="shared" si="187"/>
        <v>CEA</v>
      </c>
      <c r="H82" s="5">
        <f t="shared" si="188"/>
        <v>4</v>
      </c>
      <c r="I82" s="122" t="str">
        <f t="shared" si="189"/>
        <v>A</v>
      </c>
      <c r="J82" s="7" t="str">
        <f t="shared" si="190"/>
        <v>CEI</v>
      </c>
      <c r="K82" s="9">
        <f t="shared" si="191"/>
        <v>4</v>
      </c>
      <c r="L82" s="9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133"/>
      <c r="N82" s="10"/>
      <c r="O82" s="6"/>
    </row>
    <row r="83" spans="1:15" x14ac:dyDescent="0.2">
      <c r="A83" s="126" t="s">
        <v>238</v>
      </c>
      <c r="B83" s="4" t="s">
        <v>100</v>
      </c>
      <c r="C83" s="4" t="s">
        <v>41</v>
      </c>
      <c r="D83" s="7"/>
      <c r="E83" s="7"/>
      <c r="F83" s="8" t="str">
        <f t="shared" si="186"/>
        <v>Média</v>
      </c>
      <c r="G83" s="7" t="str">
        <f t="shared" si="187"/>
        <v>EEA</v>
      </c>
      <c r="H83" s="5">
        <f t="shared" si="188"/>
        <v>4</v>
      </c>
      <c r="I83" s="122" t="str">
        <f t="shared" si="189"/>
        <v>A</v>
      </c>
      <c r="J83" s="7" t="str">
        <f t="shared" si="190"/>
        <v>EEI</v>
      </c>
      <c r="K83" s="9">
        <f t="shared" si="191"/>
        <v>4</v>
      </c>
      <c r="L83" s="9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133"/>
      <c r="N83" s="10"/>
      <c r="O83" s="6"/>
    </row>
    <row r="84" spans="1:15" x14ac:dyDescent="0.2">
      <c r="A84" s="126" t="s">
        <v>237</v>
      </c>
      <c r="B84" s="4" t="s">
        <v>100</v>
      </c>
      <c r="C84" s="4" t="s">
        <v>41</v>
      </c>
      <c r="D84" s="7"/>
      <c r="E84" s="7"/>
      <c r="F84" s="8" t="str">
        <f t="shared" si="186"/>
        <v>Média</v>
      </c>
      <c r="G84" s="7" t="str">
        <f t="shared" si="187"/>
        <v>EEA</v>
      </c>
      <c r="H84" s="5">
        <f t="shared" si="188"/>
        <v>4</v>
      </c>
      <c r="I84" s="122" t="str">
        <f t="shared" si="189"/>
        <v>A</v>
      </c>
      <c r="J84" s="7" t="str">
        <f t="shared" si="190"/>
        <v>EEI</v>
      </c>
      <c r="K84" s="9">
        <f t="shared" si="191"/>
        <v>4</v>
      </c>
      <c r="L84" s="9">
        <f>IF(NOT(ISERROR(VLOOKUP(B84,Deflatores!G$42:H$64,2,FALSE))),VLOOKUP(B84,Deflatores!G$42:H$64,2,FALSE),IF(OR(ISBLANK(C84),ISBLANK(B84)),"",VLOOKUP(C84,Deflatores!G$4:H$38,2,FALSE)*H84+VLOOKUP(C84,Deflatores!G$4:I$38,3,FALSE)))</f>
        <v>4</v>
      </c>
      <c r="M84" s="133"/>
      <c r="N84" s="10"/>
      <c r="O84" s="6"/>
    </row>
    <row r="85" spans="1:15" x14ac:dyDescent="0.2">
      <c r="A85" s="128" t="s">
        <v>239</v>
      </c>
      <c r="B85" s="4"/>
      <c r="C85" s="4"/>
      <c r="D85" s="7"/>
      <c r="E85" s="7"/>
      <c r="F85" s="8" t="str">
        <f t="shared" si="0"/>
        <v/>
      </c>
      <c r="G85" s="7" t="str">
        <f t="shared" si="1"/>
        <v/>
      </c>
      <c r="H85" s="5" t="str">
        <f t="shared" si="2"/>
        <v/>
      </c>
      <c r="I85" s="122" t="str">
        <f t="shared" si="3"/>
        <v/>
      </c>
      <c r="J85" s="7" t="str">
        <f t="shared" si="4"/>
        <v/>
      </c>
      <c r="K85" s="9" t="str">
        <f t="shared" si="5"/>
        <v/>
      </c>
      <c r="L85" s="9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33"/>
      <c r="N85" s="10"/>
      <c r="O85" s="6"/>
    </row>
    <row r="86" spans="1:15" x14ac:dyDescent="0.2">
      <c r="A86" s="126" t="s">
        <v>240</v>
      </c>
      <c r="B86" s="4" t="s">
        <v>102</v>
      </c>
      <c r="C86" s="4" t="s">
        <v>41</v>
      </c>
      <c r="D86" s="7"/>
      <c r="E86" s="7"/>
      <c r="F86" s="8" t="str">
        <f t="shared" si="0"/>
        <v>Média</v>
      </c>
      <c r="G86" s="7" t="str">
        <f t="shared" si="1"/>
        <v>CEA</v>
      </c>
      <c r="H86" s="5">
        <f t="shared" si="2"/>
        <v>4</v>
      </c>
      <c r="I86" s="122" t="str">
        <f t="shared" si="3"/>
        <v>A</v>
      </c>
      <c r="J86" s="7" t="str">
        <f t="shared" si="4"/>
        <v>CEI</v>
      </c>
      <c r="K86" s="9">
        <f t="shared" si="5"/>
        <v>4</v>
      </c>
      <c r="L86" s="9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133"/>
      <c r="N86" s="10"/>
      <c r="O86" s="6"/>
    </row>
    <row r="87" spans="1:15" ht="13.5" customHeight="1" x14ac:dyDescent="0.2">
      <c r="A87" s="126" t="s">
        <v>241</v>
      </c>
      <c r="B87" s="4" t="s">
        <v>102</v>
      </c>
      <c r="C87" s="4" t="s">
        <v>41</v>
      </c>
      <c r="D87" s="7"/>
      <c r="E87" s="7"/>
      <c r="F87" s="8" t="str">
        <f t="shared" ref="F87:F88" si="210">IF(ISBLANK(B87),"",IF(I87="L","Baixa",IF(I87="A","Média",IF(I87="","","Alta"))))</f>
        <v>Média</v>
      </c>
      <c r="G87" s="7" t="str">
        <f t="shared" ref="G87:G88" si="211">CONCATENATE(B87,I87)</f>
        <v>CEA</v>
      </c>
      <c r="H87" s="5">
        <f t="shared" ref="H87:H88" si="212">IF(ISBLANK(B87),"",IF(B87="ALI",IF(I87="L",7,IF(I87="A",10,15)),IF(B87="AIE",IF(I87="L",5,IF(I87="A",7,10)),IF(B87="SE",IF(I87="L",4,IF(I87="A",5,7)),IF(OR(B87="EE",B87="CE"),IF(I87="L",3,IF(I87="A",4,6)),0)))))</f>
        <v>4</v>
      </c>
      <c r="I87" s="122" t="str">
        <f t="shared" ref="I87:I88" si="213">IF(OR(ISBLANK(D87),ISBLANK(E87)),IF(OR(B87="ALI",B87="AIE"),"L",IF(OR(B87="EE",B87="SE",B87="CE"),"A","")),IF(B87="EE",IF(E87&gt;=3,IF(D87&gt;=5,"H","A"),IF(E87&gt;=2,IF(D87&gt;=16,"H",IF(D87&lt;=4,"L","A")),IF(D87&lt;=15,"L","A"))),IF(OR(B87="SE",B87="CE"),IF(E87&gt;=4,IF(D87&gt;=6,"H","A"),IF(E87&gt;=2,IF(D87&gt;=20,"H",IF(D87&lt;=5,"L","A")),IF(D87&lt;=19,"L","A"))),IF(OR(B87="ALI",B87="AIE"),IF(E87&gt;=6,IF(D87&gt;=20,"H","A"),IF(E87&gt;=2,IF(D87&gt;=51,"H",IF(D87&lt;=19,"L","A")),IF(D87&lt;=50,"L","A"))),""))))</f>
        <v>A</v>
      </c>
      <c r="J87" s="7" t="str">
        <f t="shared" ref="J87:J88" si="214">CONCATENATE(B87,C87)</f>
        <v>CEI</v>
      </c>
      <c r="K87" s="9">
        <f t="shared" ref="K87:K88" si="215">IF(OR(H87="",H87=0),L87,H87)</f>
        <v>4</v>
      </c>
      <c r="L87" s="9">
        <f>IF(NOT(ISERROR(VLOOKUP(B87,Deflatores!G$42:H$64,2,FALSE))),VLOOKUP(B87,Deflatores!G$42:H$64,2,FALSE),IF(OR(ISBLANK(C87),ISBLANK(B87)),"",VLOOKUP(C87,Deflatores!G$4:H$38,2,FALSE)*H87+VLOOKUP(C87,Deflatores!G$4:I$38,3,FALSE)))</f>
        <v>4</v>
      </c>
      <c r="M87" s="133"/>
      <c r="N87" s="10"/>
      <c r="O87" s="6"/>
    </row>
    <row r="88" spans="1:15" x14ac:dyDescent="0.2">
      <c r="A88" s="126" t="s">
        <v>242</v>
      </c>
      <c r="B88" s="4" t="s">
        <v>102</v>
      </c>
      <c r="C88" s="4" t="s">
        <v>41</v>
      </c>
      <c r="D88" s="7"/>
      <c r="E88" s="7"/>
      <c r="F88" s="8" t="str">
        <f t="shared" si="210"/>
        <v>Média</v>
      </c>
      <c r="G88" s="7" t="str">
        <f t="shared" si="211"/>
        <v>CEA</v>
      </c>
      <c r="H88" s="5">
        <f t="shared" si="212"/>
        <v>4</v>
      </c>
      <c r="I88" s="122" t="str">
        <f t="shared" si="213"/>
        <v>A</v>
      </c>
      <c r="J88" s="7" t="str">
        <f t="shared" si="214"/>
        <v>CEI</v>
      </c>
      <c r="K88" s="9">
        <f t="shared" si="215"/>
        <v>4</v>
      </c>
      <c r="L88" s="9">
        <f>IF(NOT(ISERROR(VLOOKUP(B88,Deflatores!G$42:H$64,2,FALSE))),VLOOKUP(B88,Deflatores!G$42:H$64,2,FALSE),IF(OR(ISBLANK(C88),ISBLANK(B88)),"",VLOOKUP(C88,Deflatores!G$4:H$38,2,FALSE)*H88+VLOOKUP(C88,Deflatores!G$4:I$38,3,FALSE)))</f>
        <v>4</v>
      </c>
      <c r="M88" s="133"/>
      <c r="N88" s="10"/>
      <c r="O88" s="6"/>
    </row>
    <row r="89" spans="1:15" x14ac:dyDescent="0.2">
      <c r="A89" s="126"/>
      <c r="B89" s="4"/>
      <c r="C89" s="4"/>
      <c r="D89" s="7"/>
      <c r="E89" s="7"/>
      <c r="F89" s="8" t="str">
        <f t="shared" ref="F89" si="216">IF(ISBLANK(B89),"",IF(I89="L","Baixa",IF(I89="A","Média",IF(I89="","","Alta"))))</f>
        <v/>
      </c>
      <c r="G89" s="7" t="str">
        <f t="shared" ref="G89" si="217">CONCATENATE(B89,I89)</f>
        <v/>
      </c>
      <c r="H89" s="5" t="str">
        <f t="shared" ref="H89" si="218">IF(ISBLANK(B89),"",IF(B89="ALI",IF(I89="L",7,IF(I89="A",10,15)),IF(B89="AIE",IF(I89="L",5,IF(I89="A",7,10)),IF(B89="SE",IF(I89="L",4,IF(I89="A",5,7)),IF(OR(B89="EE",B89="CE"),IF(I89="L",3,IF(I89="A",4,6)),0)))))</f>
        <v/>
      </c>
      <c r="I89" s="122" t="str">
        <f t="shared" ref="I89" si="219"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/>
      </c>
      <c r="J89" s="7" t="str">
        <f t="shared" ref="J89" si="220">CONCATENATE(B89,C89)</f>
        <v/>
      </c>
      <c r="K89" s="9" t="str">
        <f t="shared" ref="K89" si="221">IF(OR(H89="",H89=0),L89,H89)</f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33"/>
      <c r="N89" s="10"/>
      <c r="O89" s="6"/>
    </row>
    <row r="90" spans="1:15" x14ac:dyDescent="0.2">
      <c r="A90" s="128" t="s">
        <v>243</v>
      </c>
      <c r="B90" s="4"/>
      <c r="C90" s="4"/>
      <c r="D90" s="7"/>
      <c r="E90" s="7"/>
      <c r="F90" s="8" t="str">
        <f t="shared" si="0"/>
        <v/>
      </c>
      <c r="G90" s="7" t="str">
        <f t="shared" si="1"/>
        <v/>
      </c>
      <c r="H90" s="5" t="str">
        <f t="shared" si="2"/>
        <v/>
      </c>
      <c r="I90" s="122" t="str">
        <f t="shared" si="3"/>
        <v/>
      </c>
      <c r="J90" s="7" t="str">
        <f t="shared" si="4"/>
        <v/>
      </c>
      <c r="K90" s="9" t="str">
        <f t="shared" si="5"/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33"/>
      <c r="N90" s="10"/>
      <c r="O90" s="6"/>
    </row>
    <row r="91" spans="1:15" x14ac:dyDescent="0.2">
      <c r="A91" s="126" t="s">
        <v>243</v>
      </c>
      <c r="B91" s="4" t="s">
        <v>98</v>
      </c>
      <c r="C91" s="4" t="s">
        <v>41</v>
      </c>
      <c r="D91" s="7"/>
      <c r="E91" s="7"/>
      <c r="F91" s="8" t="str">
        <f t="shared" si="0"/>
        <v>Baixa</v>
      </c>
      <c r="G91" s="7" t="str">
        <f t="shared" si="1"/>
        <v>ALIL</v>
      </c>
      <c r="H91" s="5">
        <f t="shared" si="2"/>
        <v>7</v>
      </c>
      <c r="I91" s="122" t="str">
        <f t="shared" si="3"/>
        <v>L</v>
      </c>
      <c r="J91" s="7" t="str">
        <f t="shared" si="4"/>
        <v>ALII</v>
      </c>
      <c r="K91" s="9">
        <f t="shared" si="5"/>
        <v>7</v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>7</v>
      </c>
      <c r="M91" s="10"/>
      <c r="N91" s="10"/>
      <c r="O91" s="6"/>
    </row>
    <row r="92" spans="1:15" x14ac:dyDescent="0.2">
      <c r="A92" s="126" t="s">
        <v>244</v>
      </c>
      <c r="B92" s="4" t="s">
        <v>100</v>
      </c>
      <c r="C92" s="4" t="s">
        <v>41</v>
      </c>
      <c r="D92" s="7"/>
      <c r="E92" s="7"/>
      <c r="F92" s="8" t="str">
        <f t="shared" si="0"/>
        <v>Média</v>
      </c>
      <c r="G92" s="7" t="str">
        <f t="shared" si="1"/>
        <v>EEA</v>
      </c>
      <c r="H92" s="5">
        <f t="shared" si="2"/>
        <v>4</v>
      </c>
      <c r="I92" s="122" t="str">
        <f t="shared" si="3"/>
        <v>A</v>
      </c>
      <c r="J92" s="7" t="str">
        <f t="shared" si="4"/>
        <v>EEI</v>
      </c>
      <c r="K92" s="9">
        <f t="shared" si="5"/>
        <v>4</v>
      </c>
      <c r="L92" s="9">
        <f>IF(NOT(ISERROR(VLOOKUP(B92,Deflatores!G$42:H$64,2,FALSE))),VLOOKUP(B92,Deflatores!G$42:H$64,2,FALSE),IF(OR(ISBLANK(C92),ISBLANK(B92)),"",VLOOKUP(C92,Deflatores!G$4:H$38,2,FALSE)*H92+VLOOKUP(C92,Deflatores!G$4:I$38,3,FALSE)))</f>
        <v>4</v>
      </c>
      <c r="M92" s="10"/>
      <c r="N92" s="10"/>
      <c r="O92" s="6"/>
    </row>
    <row r="93" spans="1:15" x14ac:dyDescent="0.2">
      <c r="A93" s="126" t="s">
        <v>245</v>
      </c>
      <c r="B93" s="4" t="s">
        <v>100</v>
      </c>
      <c r="C93" s="4" t="s">
        <v>41</v>
      </c>
      <c r="D93" s="7"/>
      <c r="E93" s="7"/>
      <c r="F93" s="8" t="str">
        <f t="shared" ref="F93" si="222">IF(ISBLANK(B93),"",IF(I93="L","Baixa",IF(I93="A","Média",IF(I93="","","Alta"))))</f>
        <v>Média</v>
      </c>
      <c r="G93" s="7" t="str">
        <f t="shared" ref="G93" si="223">CONCATENATE(B93,I93)</f>
        <v>EEA</v>
      </c>
      <c r="H93" s="5">
        <f t="shared" ref="H93" si="224">IF(ISBLANK(B93),"",IF(B93="ALI",IF(I93="L",7,IF(I93="A",10,15)),IF(B93="AIE",IF(I93="L",5,IF(I93="A",7,10)),IF(B93="SE",IF(I93="L",4,IF(I93="A",5,7)),IF(OR(B93="EE",B93="CE"),IF(I93="L",3,IF(I93="A",4,6)),0)))))</f>
        <v>4</v>
      </c>
      <c r="I93" s="122" t="str">
        <f t="shared" ref="I93" si="225"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>A</v>
      </c>
      <c r="J93" s="7" t="str">
        <f t="shared" ref="J93" si="226">CONCATENATE(B93,C93)</f>
        <v>EEI</v>
      </c>
      <c r="K93" s="9">
        <f t="shared" ref="K93" si="227">IF(OR(H93="",H93=0),L93,H93)</f>
        <v>4</v>
      </c>
      <c r="L93" s="9">
        <f>IF(NOT(ISERROR(VLOOKUP(B93,Deflatores!G$42:H$64,2,FALSE))),VLOOKUP(B93,Deflatores!G$42:H$64,2,FALSE),IF(OR(ISBLANK(C93),ISBLANK(B93)),"",VLOOKUP(C93,Deflatores!G$4:H$38,2,FALSE)*H93+VLOOKUP(C93,Deflatores!G$4:I$38,3,FALSE)))</f>
        <v>4</v>
      </c>
      <c r="M93" s="10"/>
      <c r="N93" s="10"/>
      <c r="O93" s="6"/>
    </row>
    <row r="94" spans="1:15" x14ac:dyDescent="0.2">
      <c r="A94" s="126" t="s">
        <v>246</v>
      </c>
      <c r="B94" s="4" t="s">
        <v>100</v>
      </c>
      <c r="C94" s="4" t="s">
        <v>41</v>
      </c>
      <c r="D94" s="7"/>
      <c r="E94" s="7"/>
      <c r="F94" s="8" t="str">
        <f t="shared" si="0"/>
        <v>Média</v>
      </c>
      <c r="G94" s="7" t="str">
        <f t="shared" si="1"/>
        <v>EEA</v>
      </c>
      <c r="H94" s="5">
        <f t="shared" si="2"/>
        <v>4</v>
      </c>
      <c r="I94" s="122" t="str">
        <f t="shared" si="3"/>
        <v>A</v>
      </c>
      <c r="J94" s="7" t="str">
        <f t="shared" si="4"/>
        <v>EEI</v>
      </c>
      <c r="K94" s="9">
        <f t="shared" si="5"/>
        <v>4</v>
      </c>
      <c r="L94" s="9">
        <f>IF(NOT(ISERROR(VLOOKUP(B94,Deflatores!G$42:H$64,2,FALSE))),VLOOKUP(B94,Deflatores!G$42:H$64,2,FALSE),IF(OR(ISBLANK(C94),ISBLANK(B94)),"",VLOOKUP(C94,Deflatores!G$4:H$38,2,FALSE)*H94+VLOOKUP(C94,Deflatores!G$4:I$38,3,FALSE)))</f>
        <v>4</v>
      </c>
      <c r="M94" s="10"/>
      <c r="N94" s="10"/>
      <c r="O94" s="6"/>
    </row>
    <row r="95" spans="1:15" x14ac:dyDescent="0.2">
      <c r="A95" s="126" t="s">
        <v>247</v>
      </c>
      <c r="B95" s="4" t="s">
        <v>102</v>
      </c>
      <c r="C95" s="4" t="s">
        <v>41</v>
      </c>
      <c r="D95" s="7"/>
      <c r="E95" s="7"/>
      <c r="F95" s="8" t="str">
        <f>IF(ISBLANK(B95),"",IF(I95="L","Baixa",IF(I95="A","Média",IF(I95="","","Alta"))))</f>
        <v>Média</v>
      </c>
      <c r="G95" s="7" t="str">
        <f>CONCATENATE(B95,I95)</f>
        <v>CEA</v>
      </c>
      <c r="H95" s="5">
        <f>IF(ISBLANK(B95),"",IF(B95="ALI",IF(I95="L",7,IF(I95="A",10,15)),IF(B95="AIE",IF(I95="L",5,IF(I95="A",7,10)),IF(B95="SE",IF(I95="L",4,IF(I95="A",5,7)),IF(OR(B95="EE",B95="CE"),IF(I95="L",3,IF(I95="A",4,6)),0)))))</f>
        <v>4</v>
      </c>
      <c r="I95" s="122" t="str">
        <f>IF(OR(ISBLANK(D95),ISBLANK(E95)),IF(OR(B95="ALI",B95="AIE"),"L",IF(OR(B95="EE",B95="SE",B95="CE"),"A","")),IF(B95="EE",IF(E95&gt;=3,IF(D95&gt;=5,"H","A"),IF(E95&gt;=2,IF(D95&gt;=16,"H",IF(D95&lt;=4,"L","A")),IF(D95&lt;=15,"L","A"))),IF(OR(B95="SE",B95="CE"),IF(E95&gt;=4,IF(D95&gt;=6,"H","A"),IF(E95&gt;=2,IF(D95&gt;=20,"H",IF(D95&lt;=5,"L","A")),IF(D95&lt;=19,"L","A"))),IF(OR(B95="ALI",B95="AIE"),IF(E95&gt;=6,IF(D95&gt;=20,"H","A"),IF(E95&gt;=2,IF(D95&gt;=51,"H",IF(D95&lt;=19,"L","A")),IF(D95&lt;=50,"L","A"))),""))))</f>
        <v>A</v>
      </c>
      <c r="J95" s="7" t="str">
        <f>CONCATENATE(B95,C95)</f>
        <v>CEI</v>
      </c>
      <c r="K95" s="9">
        <f>IF(OR(H95="",H95=0),L95,H95)</f>
        <v>4</v>
      </c>
      <c r="L95" s="9">
        <f>IF(NOT(ISERROR(VLOOKUP(B95,Deflatores!G$42:H$64,2,FALSE))),VLOOKUP(B95,Deflatores!G$42:H$64,2,FALSE),IF(OR(ISBLANK(C95),ISBLANK(B95)),"",VLOOKUP(C95,Deflatores!G$4:H$38,2,FALSE)*H95+VLOOKUP(C95,Deflatores!G$4:I$38,3,FALSE)))</f>
        <v>4</v>
      </c>
      <c r="M95" s="133"/>
      <c r="N95" s="10"/>
      <c r="O95" s="6"/>
    </row>
    <row r="96" spans="1:15" x14ac:dyDescent="0.2">
      <c r="A96" s="128" t="s">
        <v>248</v>
      </c>
      <c r="B96" s="4"/>
      <c r="C96" s="4"/>
      <c r="D96" s="7"/>
      <c r="E96" s="7"/>
      <c r="F96" s="8" t="str">
        <f>IF(ISBLANK(B96),"",IF(I96="L","Baixa",IF(I96="A","Média",IF(I96="","","Alta"))))</f>
        <v/>
      </c>
      <c r="G96" s="7" t="str">
        <f>CONCATENATE(B96,I96)</f>
        <v/>
      </c>
      <c r="H96" s="5" t="str">
        <f>IF(ISBLANK(B96),"",IF(B96="ALI",IF(I96="L",7,IF(I96="A",10,15)),IF(B96="AIE",IF(I96="L",5,IF(I96="A",7,10)),IF(B96="SE",IF(I96="L",4,IF(I96="A",5,7)),IF(OR(B96="EE",B96="CE"),IF(I96="L",3,IF(I96="A",4,6)),0)))))</f>
        <v/>
      </c>
      <c r="I96" s="122" t="str">
        <f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/>
      </c>
      <c r="J96" s="7" t="str">
        <f>CONCATENATE(B96,C96)</f>
        <v/>
      </c>
      <c r="K96" s="9" t="str">
        <f>IF(OR(H96="",H96=0),L96,H96)</f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33"/>
      <c r="N96" s="10"/>
      <c r="O96" s="6"/>
    </row>
    <row r="97" spans="1:15" x14ac:dyDescent="0.2">
      <c r="A97" s="126" t="s">
        <v>249</v>
      </c>
      <c r="B97" s="4" t="s">
        <v>103</v>
      </c>
      <c r="C97" s="4" t="s">
        <v>41</v>
      </c>
      <c r="D97" s="7"/>
      <c r="E97" s="7"/>
      <c r="F97" s="8" t="str">
        <f>IF(ISBLANK(B97),"",IF(I97="L","Baixa",IF(I97="A","Média",IF(I97="","","Alta"))))</f>
        <v>Média</v>
      </c>
      <c r="G97" s="7" t="str">
        <f>CONCATENATE(B97,I97)</f>
        <v>SEA</v>
      </c>
      <c r="H97" s="5">
        <f>IF(ISBLANK(B97),"",IF(B97="ALI",IF(I97="L",7,IF(I97="A",10,15)),IF(B97="AIE",IF(I97="L",5,IF(I97="A",7,10)),IF(B97="SE",IF(I97="L",4,IF(I97="A",5,7)),IF(OR(B97="EE",B97="CE"),IF(I97="L",3,IF(I97="A",4,6)),0)))))</f>
        <v>5</v>
      </c>
      <c r="I97" s="122" t="str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>A</v>
      </c>
      <c r="J97" s="7" t="str">
        <f>CONCATENATE(B97,C97)</f>
        <v>SEI</v>
      </c>
      <c r="K97" s="9">
        <f>IF(OR(H97="",H97=0),L97,H97)</f>
        <v>5</v>
      </c>
      <c r="L97" s="9">
        <f>IF(NOT(ISERROR(VLOOKUP(B97,Deflatores!G$42:H$64,2,FALSE))),VLOOKUP(B97,Deflatores!G$42:H$64,2,FALSE),IF(OR(ISBLANK(C97),ISBLANK(B97)),"",VLOOKUP(C97,Deflatores!G$4:H$38,2,FALSE)*H97+VLOOKUP(C97,Deflatores!G$4:I$38,3,FALSE)))</f>
        <v>5</v>
      </c>
      <c r="M97" s="133"/>
      <c r="N97" s="10"/>
      <c r="O97" s="6"/>
    </row>
    <row r="98" spans="1:15" x14ac:dyDescent="0.2">
      <c r="A98" s="126" t="s">
        <v>250</v>
      </c>
      <c r="B98" s="4" t="s">
        <v>100</v>
      </c>
      <c r="C98" s="4" t="s">
        <v>41</v>
      </c>
      <c r="D98" s="7"/>
      <c r="E98" s="7"/>
      <c r="F98" s="8" t="str">
        <f>IF(ISBLANK(B98),"",IF(I98="L","Baixa",IF(I98="A","Média",IF(I98="","","Alta"))))</f>
        <v>Média</v>
      </c>
      <c r="G98" s="7" t="str">
        <f>CONCATENATE(B98,I98)</f>
        <v>EEA</v>
      </c>
      <c r="H98" s="5">
        <f>IF(ISBLANK(B98),"",IF(B98="ALI",IF(I98="L",7,IF(I98="A",10,15)),IF(B98="AIE",IF(I98="L",5,IF(I98="A",7,10)),IF(B98="SE",IF(I98="L",4,IF(I98="A",5,7)),IF(OR(B98="EE",B98="CE"),IF(I98="L",3,IF(I98="A",4,6)),0)))))</f>
        <v>4</v>
      </c>
      <c r="I98" s="122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>A</v>
      </c>
      <c r="J98" s="7" t="str">
        <f>CONCATENATE(B98,C98)</f>
        <v>EEI</v>
      </c>
      <c r="K98" s="9">
        <f>IF(OR(H98="",H98=0),L98,H98)</f>
        <v>4</v>
      </c>
      <c r="L98" s="9">
        <f>IF(NOT(ISERROR(VLOOKUP(B98,Deflatores!G$42:H$64,2,FALSE))),VLOOKUP(B98,Deflatores!G$42:H$64,2,FALSE),IF(OR(ISBLANK(C98),ISBLANK(B98)),"",VLOOKUP(C98,Deflatores!G$4:H$38,2,FALSE)*H98+VLOOKUP(C98,Deflatores!G$4:I$38,3,FALSE)))</f>
        <v>4</v>
      </c>
      <c r="M98" s="133"/>
      <c r="N98" s="10"/>
      <c r="O98" s="6"/>
    </row>
    <row r="99" spans="1:15" x14ac:dyDescent="0.2">
      <c r="A99" s="126" t="s">
        <v>251</v>
      </c>
      <c r="B99" s="4" t="s">
        <v>100</v>
      </c>
      <c r="C99" s="4" t="s">
        <v>41</v>
      </c>
      <c r="D99" s="7"/>
      <c r="E99" s="7"/>
      <c r="F99" s="8" t="str">
        <f t="shared" si="0"/>
        <v>Média</v>
      </c>
      <c r="G99" s="7" t="str">
        <f t="shared" si="1"/>
        <v>EEA</v>
      </c>
      <c r="H99" s="5">
        <f t="shared" si="2"/>
        <v>4</v>
      </c>
      <c r="I99" s="122" t="str">
        <f t="shared" si="3"/>
        <v>A</v>
      </c>
      <c r="J99" s="7" t="str">
        <f t="shared" si="4"/>
        <v>EEI</v>
      </c>
      <c r="K99" s="9">
        <f t="shared" si="5"/>
        <v>4</v>
      </c>
      <c r="L99" s="9">
        <f>IF(NOT(ISERROR(VLOOKUP(B99,Deflatores!G$42:H$64,2,FALSE))),VLOOKUP(B99,Deflatores!G$42:H$64,2,FALSE),IF(OR(ISBLANK(C99),ISBLANK(B99)),"",VLOOKUP(C99,Deflatores!G$4:H$38,2,FALSE)*H99+VLOOKUP(C99,Deflatores!G$4:I$38,3,FALSE)))</f>
        <v>4</v>
      </c>
      <c r="M99" s="133"/>
      <c r="N99" s="10"/>
      <c r="O99" s="6"/>
    </row>
    <row r="100" spans="1:15" x14ac:dyDescent="0.2">
      <c r="A100" s="126" t="s">
        <v>252</v>
      </c>
      <c r="B100" s="4" t="s">
        <v>102</v>
      </c>
      <c r="C100" s="4" t="s">
        <v>41</v>
      </c>
      <c r="D100" s="7"/>
      <c r="E100" s="7"/>
      <c r="F100" s="8" t="str">
        <f t="shared" ref="F100:F101" si="228">IF(ISBLANK(B100),"",IF(I100="L","Baixa",IF(I100="A","Média",IF(I100="","","Alta"))))</f>
        <v>Média</v>
      </c>
      <c r="G100" s="7" t="str">
        <f t="shared" ref="G100:G101" si="229">CONCATENATE(B100,I100)</f>
        <v>CEA</v>
      </c>
      <c r="H100" s="5">
        <f t="shared" ref="H100:H101" si="230">IF(ISBLANK(B100),"",IF(B100="ALI",IF(I100="L",7,IF(I100="A",10,15)),IF(B100="AIE",IF(I100="L",5,IF(I100="A",7,10)),IF(B100="SE",IF(I100="L",4,IF(I100="A",5,7)),IF(OR(B100="EE",B100="CE"),IF(I100="L",3,IF(I100="A",4,6)),0)))))</f>
        <v>4</v>
      </c>
      <c r="I100" s="122" t="str">
        <f t="shared" ref="I100:I101" si="231"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>A</v>
      </c>
      <c r="J100" s="7" t="str">
        <f t="shared" ref="J100:J101" si="232">CONCATENATE(B100,C100)</f>
        <v>CEI</v>
      </c>
      <c r="K100" s="9">
        <f t="shared" ref="K100:K101" si="233">IF(OR(H100="",H100=0),L100,H100)</f>
        <v>4</v>
      </c>
      <c r="L100" s="9">
        <f>IF(NOT(ISERROR(VLOOKUP(B100,Deflatores!G$42:H$64,2,FALSE))),VLOOKUP(B100,Deflatores!G$42:H$64,2,FALSE),IF(OR(ISBLANK(C100),ISBLANK(B100)),"",VLOOKUP(C100,Deflatores!G$4:H$38,2,FALSE)*H100+VLOOKUP(C100,Deflatores!G$4:I$38,3,FALSE)))</f>
        <v>4</v>
      </c>
      <c r="M100" s="133"/>
      <c r="N100" s="10"/>
      <c r="O100" s="6"/>
    </row>
    <row r="101" spans="1:15" x14ac:dyDescent="0.2">
      <c r="A101" s="128" t="s">
        <v>253</v>
      </c>
      <c r="B101" s="4" t="s">
        <v>103</v>
      </c>
      <c r="C101" s="4" t="s">
        <v>41</v>
      </c>
      <c r="D101" s="7"/>
      <c r="E101" s="7"/>
      <c r="F101" s="8" t="str">
        <f t="shared" si="228"/>
        <v>Média</v>
      </c>
      <c r="G101" s="7" t="str">
        <f t="shared" si="229"/>
        <v>SEA</v>
      </c>
      <c r="H101" s="5">
        <f t="shared" si="230"/>
        <v>5</v>
      </c>
      <c r="I101" s="122" t="str">
        <f t="shared" si="231"/>
        <v>A</v>
      </c>
      <c r="J101" s="7" t="str">
        <f t="shared" si="232"/>
        <v>SEI</v>
      </c>
      <c r="K101" s="9">
        <f t="shared" si="233"/>
        <v>5</v>
      </c>
      <c r="L101" s="9">
        <f>IF(NOT(ISERROR(VLOOKUP(B101,Deflatores!G$42:H$64,2,FALSE))),VLOOKUP(B101,Deflatores!G$42:H$64,2,FALSE),IF(OR(ISBLANK(C101),ISBLANK(B101)),"",VLOOKUP(C101,Deflatores!G$4:H$38,2,FALSE)*H101+VLOOKUP(C101,Deflatores!G$4:I$38,3,FALSE)))</f>
        <v>5</v>
      </c>
      <c r="M101" s="133"/>
      <c r="N101" s="10"/>
      <c r="O101" s="6"/>
    </row>
    <row r="102" spans="1:15" x14ac:dyDescent="0.2">
      <c r="A102" s="128" t="s">
        <v>254</v>
      </c>
      <c r="B102" s="4"/>
      <c r="C102" s="4"/>
      <c r="D102" s="7"/>
      <c r="E102" s="7"/>
      <c r="F102" s="8" t="str">
        <f t="shared" ref="F102" si="234">IF(ISBLANK(B102),"",IF(I102="L","Baixa",IF(I102="A","Média",IF(I102="","","Alta"))))</f>
        <v/>
      </c>
      <c r="G102" s="7" t="str">
        <f t="shared" ref="G102" si="235">CONCATENATE(B102,I102)</f>
        <v/>
      </c>
      <c r="H102" s="5" t="str">
        <f t="shared" ref="H102" si="236">IF(ISBLANK(B102),"",IF(B102="ALI",IF(I102="L",7,IF(I102="A",10,15)),IF(B102="AIE",IF(I102="L",5,IF(I102="A",7,10)),IF(B102="SE",IF(I102="L",4,IF(I102="A",5,7)),IF(OR(B102="EE",B102="CE"),IF(I102="L",3,IF(I102="A",4,6)),0)))))</f>
        <v/>
      </c>
      <c r="I102" s="122" t="str">
        <f t="shared" ref="I102" si="237">IF(OR(ISBLANK(D102),ISBLANK(E102)),IF(OR(B102="ALI",B102="AIE"),"L",IF(OR(B102="EE",B102="SE",B102="CE"),"A","")),IF(B102="EE",IF(E102&gt;=3,IF(D102&gt;=5,"H","A"),IF(E102&gt;=2,IF(D102&gt;=16,"H",IF(D102&lt;=4,"L","A")),IF(D102&lt;=15,"L","A"))),IF(OR(B102="SE",B102="CE"),IF(E102&gt;=4,IF(D102&gt;=6,"H","A"),IF(E102&gt;=2,IF(D102&gt;=20,"H",IF(D102&lt;=5,"L","A")),IF(D102&lt;=19,"L","A"))),IF(OR(B102="ALI",B102="AIE"),IF(E102&gt;=6,IF(D102&gt;=20,"H","A"),IF(E102&gt;=2,IF(D102&gt;=51,"H",IF(D102&lt;=19,"L","A")),IF(D102&lt;=50,"L","A"))),""))))</f>
        <v/>
      </c>
      <c r="J102" s="7" t="str">
        <f t="shared" ref="J102" si="238">CONCATENATE(B102,C102)</f>
        <v/>
      </c>
      <c r="K102" s="9" t="str">
        <f t="shared" ref="K102" si="239">IF(OR(H102="",H102=0),L102,H102)</f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33"/>
      <c r="N102" s="10"/>
      <c r="O102" s="6"/>
    </row>
    <row r="103" spans="1:15" x14ac:dyDescent="0.2">
      <c r="A103" s="126" t="s">
        <v>255</v>
      </c>
      <c r="B103" s="4" t="s">
        <v>102</v>
      </c>
      <c r="C103" s="4" t="s">
        <v>41</v>
      </c>
      <c r="D103" s="7"/>
      <c r="E103" s="7"/>
      <c r="F103" s="8" t="str">
        <f t="shared" si="0"/>
        <v>Média</v>
      </c>
      <c r="G103" s="7" t="str">
        <f t="shared" si="1"/>
        <v>CEA</v>
      </c>
      <c r="H103" s="5">
        <f t="shared" si="2"/>
        <v>4</v>
      </c>
      <c r="I103" s="122" t="str">
        <f t="shared" si="3"/>
        <v>A</v>
      </c>
      <c r="J103" s="7" t="str">
        <f t="shared" si="4"/>
        <v>CEI</v>
      </c>
      <c r="K103" s="9">
        <f t="shared" si="5"/>
        <v>4</v>
      </c>
      <c r="L103" s="9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133"/>
      <c r="N103" s="10"/>
      <c r="O103" s="6"/>
    </row>
    <row r="104" spans="1:15" x14ac:dyDescent="0.2">
      <c r="A104" s="126" t="s">
        <v>256</v>
      </c>
      <c r="B104" s="4" t="s">
        <v>100</v>
      </c>
      <c r="C104" s="4" t="s">
        <v>41</v>
      </c>
      <c r="D104" s="7"/>
      <c r="E104" s="7"/>
      <c r="F104" s="8" t="str">
        <f t="shared" si="0"/>
        <v>Média</v>
      </c>
      <c r="G104" s="7" t="str">
        <f t="shared" si="1"/>
        <v>EEA</v>
      </c>
      <c r="H104" s="5">
        <f t="shared" si="2"/>
        <v>4</v>
      </c>
      <c r="I104" s="122" t="str">
        <f t="shared" si="3"/>
        <v>A</v>
      </c>
      <c r="J104" s="7" t="str">
        <f t="shared" si="4"/>
        <v>EEI</v>
      </c>
      <c r="K104" s="9">
        <f t="shared" si="5"/>
        <v>4</v>
      </c>
      <c r="L104" s="9">
        <f>IF(NOT(ISERROR(VLOOKUP(B104,Deflatores!G$42:H$64,2,FALSE))),VLOOKUP(B104,Deflatores!G$42:H$64,2,FALSE),IF(OR(ISBLANK(C104),ISBLANK(B104)),"",VLOOKUP(C104,Deflatores!G$4:H$38,2,FALSE)*H104+VLOOKUP(C104,Deflatores!G$4:I$38,3,FALSE)))</f>
        <v>4</v>
      </c>
      <c r="M104" s="10"/>
      <c r="N104" s="10"/>
      <c r="O104" s="6"/>
    </row>
    <row r="105" spans="1:15" ht="13.5" customHeight="1" x14ac:dyDescent="0.2">
      <c r="A105" s="126" t="s">
        <v>257</v>
      </c>
      <c r="B105" s="4" t="s">
        <v>100</v>
      </c>
      <c r="C105" s="4" t="s">
        <v>41</v>
      </c>
      <c r="D105" s="7"/>
      <c r="E105" s="7"/>
      <c r="F105" s="8" t="str">
        <f t="shared" si="0"/>
        <v>Média</v>
      </c>
      <c r="G105" s="7" t="str">
        <f t="shared" si="1"/>
        <v>EEA</v>
      </c>
      <c r="H105" s="5">
        <f t="shared" si="2"/>
        <v>4</v>
      </c>
      <c r="I105" s="122" t="str">
        <f t="shared" si="3"/>
        <v>A</v>
      </c>
      <c r="J105" s="7" t="str">
        <f t="shared" si="4"/>
        <v>EEI</v>
      </c>
      <c r="K105" s="9">
        <f t="shared" si="5"/>
        <v>4</v>
      </c>
      <c r="L105" s="9">
        <f>IF(NOT(ISERROR(VLOOKUP(B105,Deflatores!G$42:H$64,2,FALSE))),VLOOKUP(B105,Deflatores!G$42:H$64,2,FALSE),IF(OR(ISBLANK(C105),ISBLANK(B105)),"",VLOOKUP(C105,Deflatores!G$4:H$38,2,FALSE)*H105+VLOOKUP(C105,Deflatores!G$4:I$38,3,FALSE)))</f>
        <v>4</v>
      </c>
      <c r="M105" s="10"/>
      <c r="N105" s="10"/>
      <c r="O105" s="132"/>
    </row>
    <row r="106" spans="1:15" x14ac:dyDescent="0.2">
      <c r="A106" s="126" t="s">
        <v>258</v>
      </c>
      <c r="B106" s="4" t="s">
        <v>100</v>
      </c>
      <c r="C106" s="4" t="s">
        <v>41</v>
      </c>
      <c r="D106" s="7"/>
      <c r="E106" s="7"/>
      <c r="F106" s="8" t="str">
        <f t="shared" si="0"/>
        <v>Média</v>
      </c>
      <c r="G106" s="7" t="str">
        <f t="shared" si="1"/>
        <v>EEA</v>
      </c>
      <c r="H106" s="5">
        <f t="shared" si="2"/>
        <v>4</v>
      </c>
      <c r="I106" s="122" t="str">
        <f t="shared" si="3"/>
        <v>A</v>
      </c>
      <c r="J106" s="7" t="str">
        <f t="shared" si="4"/>
        <v>EEI</v>
      </c>
      <c r="K106" s="9">
        <f t="shared" si="5"/>
        <v>4</v>
      </c>
      <c r="L106" s="9">
        <f>IF(NOT(ISERROR(VLOOKUP(B106,Deflatores!G$42:H$64,2,FALSE))),VLOOKUP(B106,Deflatores!G$42:H$64,2,FALSE),IF(OR(ISBLANK(C106),ISBLANK(B106)),"",VLOOKUP(C106,Deflatores!G$4:H$38,2,FALSE)*H106+VLOOKUP(C106,Deflatores!G$4:I$38,3,FALSE)))</f>
        <v>4</v>
      </c>
      <c r="M106" s="10"/>
      <c r="N106" s="10"/>
      <c r="O106" s="132"/>
    </row>
    <row r="107" spans="1:15" x14ac:dyDescent="0.2">
      <c r="A107" s="126" t="s">
        <v>259</v>
      </c>
      <c r="B107" s="4" t="s">
        <v>102</v>
      </c>
      <c r="C107" s="4" t="s">
        <v>41</v>
      </c>
      <c r="D107" s="7"/>
      <c r="E107" s="7"/>
      <c r="F107" s="8" t="str">
        <f t="shared" ref="F107" si="240">IF(ISBLANK(B107),"",IF(I107="L","Baixa",IF(I107="A","Média",IF(I107="","","Alta"))))</f>
        <v>Média</v>
      </c>
      <c r="G107" s="7" t="str">
        <f t="shared" ref="G107" si="241">CONCATENATE(B107,I107)</f>
        <v>CEA</v>
      </c>
      <c r="H107" s="5">
        <f t="shared" ref="H107" si="242">IF(ISBLANK(B107),"",IF(B107="ALI",IF(I107="L",7,IF(I107="A",10,15)),IF(B107="AIE",IF(I107="L",5,IF(I107="A",7,10)),IF(B107="SE",IF(I107="L",4,IF(I107="A",5,7)),IF(OR(B107="EE",B107="CE"),IF(I107="L",3,IF(I107="A",4,6)),0)))))</f>
        <v>4</v>
      </c>
      <c r="I107" s="122" t="str">
        <f t="shared" ref="I107" si="243"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>A</v>
      </c>
      <c r="J107" s="7" t="str">
        <f t="shared" ref="J107" si="244">CONCATENATE(B107,C107)</f>
        <v>CEI</v>
      </c>
      <c r="K107" s="9">
        <f t="shared" ref="K107" si="245">IF(OR(H107="",H107=0),L107,H107)</f>
        <v>4</v>
      </c>
      <c r="L107" s="9">
        <f>IF(NOT(ISERROR(VLOOKUP(B107,Deflatores!G$42:H$64,2,FALSE))),VLOOKUP(B107,Deflatores!G$42:H$64,2,FALSE),IF(OR(ISBLANK(C107),ISBLANK(B107)),"",VLOOKUP(C107,Deflatores!G$4:H$38,2,FALSE)*H107+VLOOKUP(C107,Deflatores!G$4:I$38,3,FALSE)))</f>
        <v>4</v>
      </c>
      <c r="M107" s="10"/>
      <c r="N107" s="10"/>
      <c r="O107" s="132"/>
    </row>
    <row r="108" spans="1:15" x14ac:dyDescent="0.2">
      <c r="A108" s="128" t="s">
        <v>260</v>
      </c>
      <c r="B108" s="4"/>
      <c r="C108" s="4"/>
      <c r="D108" s="7"/>
      <c r="E108" s="7"/>
      <c r="F108" s="8" t="str">
        <f t="shared" ref="F108" si="246">IF(ISBLANK(B108),"",IF(I108="L","Baixa",IF(I108="A","Média",IF(I108="","","Alta"))))</f>
        <v/>
      </c>
      <c r="G108" s="7" t="str">
        <f t="shared" ref="G108" si="247">CONCATENATE(B108,I108)</f>
        <v/>
      </c>
      <c r="H108" s="5" t="str">
        <f t="shared" ref="H108" si="248">IF(ISBLANK(B108),"",IF(B108="ALI",IF(I108="L",7,IF(I108="A",10,15)),IF(B108="AIE",IF(I108="L",5,IF(I108="A",7,10)),IF(B108="SE",IF(I108="L",4,IF(I108="A",5,7)),IF(OR(B108="EE",B108="CE"),IF(I108="L",3,IF(I108="A",4,6)),0)))))</f>
        <v/>
      </c>
      <c r="I108" s="122" t="str">
        <f t="shared" ref="I108" si="249">IF(OR(ISBLANK(D108),ISBLANK(E108)),IF(OR(B108="ALI",B108="AIE"),"L",IF(OR(B108="EE",B108="SE",B108="CE"),"A","")),IF(B108="EE",IF(E108&gt;=3,IF(D108&gt;=5,"H","A"),IF(E108&gt;=2,IF(D108&gt;=16,"H",IF(D108&lt;=4,"L","A")),IF(D108&lt;=15,"L","A"))),IF(OR(B108="SE",B108="CE"),IF(E108&gt;=4,IF(D108&gt;=6,"H","A"),IF(E108&gt;=2,IF(D108&gt;=20,"H",IF(D108&lt;=5,"L","A")),IF(D108&lt;=19,"L","A"))),IF(OR(B108="ALI",B108="AIE"),IF(E108&gt;=6,IF(D108&gt;=20,"H","A"),IF(E108&gt;=2,IF(D108&gt;=51,"H",IF(D108&lt;=19,"L","A")),IF(D108&lt;=50,"L","A"))),""))))</f>
        <v/>
      </c>
      <c r="J108" s="7" t="str">
        <f t="shared" ref="J108" si="250">CONCATENATE(B108,C108)</f>
        <v/>
      </c>
      <c r="K108" s="9" t="str">
        <f t="shared" ref="K108" si="251">IF(OR(H108="",H108=0),L108,H108)</f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132"/>
    </row>
    <row r="109" spans="1:15" x14ac:dyDescent="0.2">
      <c r="A109" s="126" t="s">
        <v>261</v>
      </c>
      <c r="B109" s="4" t="s">
        <v>102</v>
      </c>
      <c r="C109" s="4" t="s">
        <v>41</v>
      </c>
      <c r="D109" s="7"/>
      <c r="E109" s="7"/>
      <c r="F109" s="8" t="str">
        <f t="shared" ref="F109" si="252">IF(ISBLANK(B109),"",IF(I109="L","Baixa",IF(I109="A","Média",IF(I109="","","Alta"))))</f>
        <v>Média</v>
      </c>
      <c r="G109" s="7" t="str">
        <f t="shared" ref="G109" si="253">CONCATENATE(B109,I109)</f>
        <v>CEA</v>
      </c>
      <c r="H109" s="5">
        <f t="shared" ref="H109" si="254">IF(ISBLANK(B109),"",IF(B109="ALI",IF(I109="L",7,IF(I109="A",10,15)),IF(B109="AIE",IF(I109="L",5,IF(I109="A",7,10)),IF(B109="SE",IF(I109="L",4,IF(I109="A",5,7)),IF(OR(B109="EE",B109="CE"),IF(I109="L",3,IF(I109="A",4,6)),0)))))</f>
        <v>4</v>
      </c>
      <c r="I109" s="122" t="str">
        <f t="shared" ref="I109" si="25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>A</v>
      </c>
      <c r="J109" s="7" t="str">
        <f t="shared" ref="J109" si="256">CONCATENATE(B109,C109)</f>
        <v>CEI</v>
      </c>
      <c r="K109" s="9">
        <f t="shared" ref="K109" si="257">IF(OR(H109="",H109=0),L109,H109)</f>
        <v>4</v>
      </c>
      <c r="L109" s="9">
        <f>IF(NOT(ISERROR(VLOOKUP(B109,Deflatores!G$42:H$64,2,FALSE))),VLOOKUP(B109,Deflatores!G$42:H$64,2,FALSE),IF(OR(ISBLANK(C109),ISBLANK(B109)),"",VLOOKUP(C109,Deflatores!G$4:H$38,2,FALSE)*H109+VLOOKUP(C109,Deflatores!G$4:I$38,3,FALSE)))</f>
        <v>4</v>
      </c>
      <c r="M109" s="10"/>
      <c r="N109" s="10"/>
      <c r="O109" s="132"/>
    </row>
    <row r="110" spans="1:15" x14ac:dyDescent="0.2">
      <c r="A110" s="126" t="s">
        <v>262</v>
      </c>
      <c r="B110" s="4" t="s">
        <v>100</v>
      </c>
      <c r="C110" s="4" t="s">
        <v>41</v>
      </c>
      <c r="D110" s="7"/>
      <c r="E110" s="7"/>
      <c r="F110" s="8" t="str">
        <f t="shared" ref="F110" si="258">IF(ISBLANK(B110),"",IF(I110="L","Baixa",IF(I110="A","Média",IF(I110="","","Alta"))))</f>
        <v>Média</v>
      </c>
      <c r="G110" s="7" t="str">
        <f t="shared" ref="G110" si="259">CONCATENATE(B110,I110)</f>
        <v>EEA</v>
      </c>
      <c r="H110" s="5">
        <f t="shared" ref="H110" si="260">IF(ISBLANK(B110),"",IF(B110="ALI",IF(I110="L",7,IF(I110="A",10,15)),IF(B110="AIE",IF(I110="L",5,IF(I110="A",7,10)),IF(B110="SE",IF(I110="L",4,IF(I110="A",5,7)),IF(OR(B110="EE",B110="CE"),IF(I110="L",3,IF(I110="A",4,6)),0)))))</f>
        <v>4</v>
      </c>
      <c r="I110" s="122" t="str">
        <f t="shared" ref="I110" si="26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>A</v>
      </c>
      <c r="J110" s="7" t="str">
        <f t="shared" ref="J110" si="262">CONCATENATE(B110,C110)</f>
        <v>EEI</v>
      </c>
      <c r="K110" s="9">
        <f t="shared" ref="K110" si="263">IF(OR(H110="",H110=0),L110,H110)</f>
        <v>4</v>
      </c>
      <c r="L110" s="9">
        <f>IF(NOT(ISERROR(VLOOKUP(B110,Deflatores!G$42:H$64,2,FALSE))),VLOOKUP(B110,Deflatores!G$42:H$64,2,FALSE),IF(OR(ISBLANK(C110),ISBLANK(B110)),"",VLOOKUP(C110,Deflatores!G$4:H$38,2,FALSE)*H110+VLOOKUP(C110,Deflatores!G$4:I$38,3,FALSE)))</f>
        <v>4</v>
      </c>
      <c r="M110" s="10"/>
      <c r="N110" s="10"/>
      <c r="O110" s="132"/>
    </row>
    <row r="111" spans="1:15" ht="13.5" customHeight="1" x14ac:dyDescent="0.2">
      <c r="A111" s="126" t="s">
        <v>263</v>
      </c>
      <c r="B111" s="4" t="s">
        <v>100</v>
      </c>
      <c r="C111" s="4" t="s">
        <v>41</v>
      </c>
      <c r="D111" s="7"/>
      <c r="E111" s="7"/>
      <c r="F111" s="8" t="str">
        <f t="shared" si="0"/>
        <v>Média</v>
      </c>
      <c r="G111" s="7" t="str">
        <f t="shared" si="1"/>
        <v>EEA</v>
      </c>
      <c r="H111" s="5">
        <f t="shared" si="2"/>
        <v>4</v>
      </c>
      <c r="I111" s="122" t="str">
        <f t="shared" si="3"/>
        <v>A</v>
      </c>
      <c r="J111" s="7" t="str">
        <f t="shared" si="4"/>
        <v>EEI</v>
      </c>
      <c r="K111" s="9">
        <f t="shared" si="5"/>
        <v>4</v>
      </c>
      <c r="L111" s="9">
        <f>IF(NOT(ISERROR(VLOOKUP(B111,Deflatores!G$42:H$64,2,FALSE))),VLOOKUP(B111,Deflatores!G$42:H$64,2,FALSE),IF(OR(ISBLANK(C111),ISBLANK(B111)),"",VLOOKUP(C111,Deflatores!G$4:H$38,2,FALSE)*H111+VLOOKUP(C111,Deflatores!G$4:I$38,3,FALSE)))</f>
        <v>4</v>
      </c>
      <c r="M111" s="10"/>
      <c r="N111" s="10"/>
      <c r="O111" s="132"/>
    </row>
    <row r="112" spans="1:15" ht="13.5" customHeight="1" x14ac:dyDescent="0.2">
      <c r="A112" s="126" t="s">
        <v>264</v>
      </c>
      <c r="B112" s="4" t="s">
        <v>100</v>
      </c>
      <c r="C112" s="4" t="s">
        <v>41</v>
      </c>
      <c r="D112" s="7"/>
      <c r="E112" s="7"/>
      <c r="F112" s="8" t="str">
        <f t="shared" si="0"/>
        <v>Média</v>
      </c>
      <c r="G112" s="7" t="str">
        <f t="shared" si="1"/>
        <v>EEA</v>
      </c>
      <c r="H112" s="5">
        <f t="shared" si="2"/>
        <v>4</v>
      </c>
      <c r="I112" s="122" t="str">
        <f t="shared" si="3"/>
        <v>A</v>
      </c>
      <c r="J112" s="7" t="str">
        <f t="shared" si="4"/>
        <v>EEI</v>
      </c>
      <c r="K112" s="9">
        <f t="shared" si="5"/>
        <v>4</v>
      </c>
      <c r="L112" s="9">
        <f>IF(NOT(ISERROR(VLOOKUP(B112,Deflatores!G$42:H$64,2,FALSE))),VLOOKUP(B112,Deflatores!G$42:H$64,2,FALSE),IF(OR(ISBLANK(C112),ISBLANK(B112)),"",VLOOKUP(C112,Deflatores!G$4:H$38,2,FALSE)*H112+VLOOKUP(C112,Deflatores!G$4:I$38,3,FALSE)))</f>
        <v>4</v>
      </c>
      <c r="M112" s="10"/>
      <c r="N112" s="10"/>
      <c r="O112" s="132"/>
    </row>
    <row r="113" spans="1:15" x14ac:dyDescent="0.2">
      <c r="A113" s="126" t="s">
        <v>265</v>
      </c>
      <c r="B113" s="4" t="s">
        <v>102</v>
      </c>
      <c r="C113" s="4" t="s">
        <v>41</v>
      </c>
      <c r="D113" s="7"/>
      <c r="E113" s="7"/>
      <c r="F113" s="8" t="str">
        <f t="shared" si="0"/>
        <v>Média</v>
      </c>
      <c r="G113" s="7" t="str">
        <f t="shared" si="1"/>
        <v>CEA</v>
      </c>
      <c r="H113" s="5">
        <f t="shared" si="2"/>
        <v>4</v>
      </c>
      <c r="I113" s="122" t="str">
        <f t="shared" si="3"/>
        <v>A</v>
      </c>
      <c r="J113" s="7" t="str">
        <f t="shared" si="4"/>
        <v>CEI</v>
      </c>
      <c r="K113" s="9">
        <f t="shared" si="5"/>
        <v>4</v>
      </c>
      <c r="L113" s="9">
        <f>IF(NOT(ISERROR(VLOOKUP(B113,Deflatores!G$42:H$64,2,FALSE))),VLOOKUP(B113,Deflatores!G$42:H$64,2,FALSE),IF(OR(ISBLANK(C113),ISBLANK(B113)),"",VLOOKUP(C113,Deflatores!G$4:H$38,2,FALSE)*H113+VLOOKUP(C113,Deflatores!G$4:I$38,3,FALSE)))</f>
        <v>4</v>
      </c>
      <c r="M113" s="10"/>
      <c r="N113" s="10"/>
      <c r="O113" s="132"/>
    </row>
    <row r="114" spans="1:15" x14ac:dyDescent="0.2">
      <c r="A114" s="128" t="s">
        <v>266</v>
      </c>
      <c r="B114" s="4"/>
      <c r="C114" s="4"/>
      <c r="D114" s="7"/>
      <c r="E114" s="7"/>
      <c r="F114" s="8" t="str">
        <f t="shared" si="0"/>
        <v/>
      </c>
      <c r="G114" s="7" t="str">
        <f t="shared" si="1"/>
        <v/>
      </c>
      <c r="H114" s="5" t="str">
        <f t="shared" si="2"/>
        <v/>
      </c>
      <c r="I114" s="122" t="str">
        <f t="shared" si="3"/>
        <v/>
      </c>
      <c r="J114" s="7" t="str">
        <f t="shared" si="4"/>
        <v/>
      </c>
      <c r="K114" s="9" t="str">
        <f t="shared" si="5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132"/>
    </row>
    <row r="115" spans="1:15" x14ac:dyDescent="0.2">
      <c r="A115" s="126" t="s">
        <v>267</v>
      </c>
      <c r="B115" s="4" t="s">
        <v>102</v>
      </c>
      <c r="C115" s="4" t="s">
        <v>41</v>
      </c>
      <c r="D115" s="7"/>
      <c r="E115" s="7"/>
      <c r="F115" s="8" t="str">
        <f t="shared" ref="F115" si="264">IF(ISBLANK(B115),"",IF(I115="L","Baixa",IF(I115="A","Média",IF(I115="","","Alta"))))</f>
        <v>Média</v>
      </c>
      <c r="G115" s="7" t="str">
        <f t="shared" ref="G115" si="265">CONCATENATE(B115,I115)</f>
        <v>CEA</v>
      </c>
      <c r="H115" s="5">
        <f t="shared" ref="H115" si="266">IF(ISBLANK(B115),"",IF(B115="ALI",IF(I115="L",7,IF(I115="A",10,15)),IF(B115="AIE",IF(I115="L",5,IF(I115="A",7,10)),IF(B115="SE",IF(I115="L",4,IF(I115="A",5,7)),IF(OR(B115="EE",B115="CE"),IF(I115="L",3,IF(I115="A",4,6)),0)))))</f>
        <v>4</v>
      </c>
      <c r="I115" s="122" t="str">
        <f t="shared" ref="I115" si="267">IF(OR(ISBLANK(D115),ISBLANK(E115)),IF(OR(B115="ALI",B115="AIE"),"L",IF(OR(B115="EE",B115="SE",B115="CE"),"A","")),IF(B115="EE",IF(E115&gt;=3,IF(D115&gt;=5,"H","A"),IF(E115&gt;=2,IF(D115&gt;=16,"H",IF(D115&lt;=4,"L","A")),IF(D115&lt;=15,"L","A"))),IF(OR(B115="SE",B115="CE"),IF(E115&gt;=4,IF(D115&gt;=6,"H","A"),IF(E115&gt;=2,IF(D115&gt;=20,"H",IF(D115&lt;=5,"L","A")),IF(D115&lt;=19,"L","A"))),IF(OR(B115="ALI",B115="AIE"),IF(E115&gt;=6,IF(D115&gt;=20,"H","A"),IF(E115&gt;=2,IF(D115&gt;=51,"H",IF(D115&lt;=19,"L","A")),IF(D115&lt;=50,"L","A"))),""))))</f>
        <v>A</v>
      </c>
      <c r="J115" s="7" t="str">
        <f t="shared" ref="J115" si="268">CONCATENATE(B115,C115)</f>
        <v>CEI</v>
      </c>
      <c r="K115" s="9">
        <f t="shared" ref="K115" si="269">IF(OR(H115="",H115=0),L115,H115)</f>
        <v>4</v>
      </c>
      <c r="L115" s="9">
        <f>IF(NOT(ISERROR(VLOOKUP(B115,Deflatores!G$42:H$64,2,FALSE))),VLOOKUP(B115,Deflatores!G$42:H$64,2,FALSE),IF(OR(ISBLANK(C115),ISBLANK(B115)),"",VLOOKUP(C115,Deflatores!G$4:H$38,2,FALSE)*H115+VLOOKUP(C115,Deflatores!G$4:I$38,3,FALSE)))</f>
        <v>4</v>
      </c>
      <c r="M115" s="10"/>
      <c r="N115" s="10"/>
      <c r="O115" s="132"/>
    </row>
    <row r="116" spans="1:15" x14ac:dyDescent="0.2">
      <c r="A116" s="126" t="s">
        <v>268</v>
      </c>
      <c r="B116" s="4" t="s">
        <v>100</v>
      </c>
      <c r="C116" s="4" t="s">
        <v>41</v>
      </c>
      <c r="D116" s="7"/>
      <c r="E116" s="7"/>
      <c r="F116" s="8" t="str">
        <f t="shared" ref="F116" si="270">IF(ISBLANK(B116),"",IF(I116="L","Baixa",IF(I116="A","Média",IF(I116="","","Alta"))))</f>
        <v>Média</v>
      </c>
      <c r="G116" s="7" t="str">
        <f t="shared" ref="G116" si="271">CONCATENATE(B116,I116)</f>
        <v>EEA</v>
      </c>
      <c r="H116" s="5">
        <f t="shared" ref="H116" si="272">IF(ISBLANK(B116),"",IF(B116="ALI",IF(I116="L",7,IF(I116="A",10,15)),IF(B116="AIE",IF(I116="L",5,IF(I116="A",7,10)),IF(B116="SE",IF(I116="L",4,IF(I116="A",5,7)),IF(OR(B116="EE",B116="CE"),IF(I116="L",3,IF(I116="A",4,6)),0)))))</f>
        <v>4</v>
      </c>
      <c r="I116" s="122" t="str">
        <f t="shared" ref="I116" si="273"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>A</v>
      </c>
      <c r="J116" s="7" t="str">
        <f t="shared" ref="J116" si="274">CONCATENATE(B116,C116)</f>
        <v>EEI</v>
      </c>
      <c r="K116" s="9">
        <f t="shared" ref="K116" si="275">IF(OR(H116="",H116=0),L116,H116)</f>
        <v>4</v>
      </c>
      <c r="L116" s="9">
        <f>IF(NOT(ISERROR(VLOOKUP(B116,Deflatores!G$42:H$64,2,FALSE))),VLOOKUP(B116,Deflatores!G$42:H$64,2,FALSE),IF(OR(ISBLANK(C116),ISBLANK(B116)),"",VLOOKUP(C116,Deflatores!G$4:H$38,2,FALSE)*H116+VLOOKUP(C116,Deflatores!G$4:I$38,3,FALSE)))</f>
        <v>4</v>
      </c>
      <c r="M116" s="10"/>
      <c r="N116" s="10"/>
      <c r="O116" s="132"/>
    </row>
    <row r="117" spans="1:15" x14ac:dyDescent="0.2">
      <c r="A117" s="126" t="s">
        <v>269</v>
      </c>
      <c r="B117" s="4" t="s">
        <v>100</v>
      </c>
      <c r="C117" s="4" t="s">
        <v>41</v>
      </c>
      <c r="D117" s="7"/>
      <c r="E117" s="7"/>
      <c r="F117" s="8" t="str">
        <f t="shared" ref="F117" si="276">IF(ISBLANK(B117),"",IF(I117="L","Baixa",IF(I117="A","Média",IF(I117="","","Alta"))))</f>
        <v>Média</v>
      </c>
      <c r="G117" s="7" t="str">
        <f t="shared" ref="G117" si="277">CONCATENATE(B117,I117)</f>
        <v>EEA</v>
      </c>
      <c r="H117" s="5">
        <f t="shared" ref="H117" si="278">IF(ISBLANK(B117),"",IF(B117="ALI",IF(I117="L",7,IF(I117="A",10,15)),IF(B117="AIE",IF(I117="L",5,IF(I117="A",7,10)),IF(B117="SE",IF(I117="L",4,IF(I117="A",5,7)),IF(OR(B117="EE",B117="CE"),IF(I117="L",3,IF(I117="A",4,6)),0)))))</f>
        <v>4</v>
      </c>
      <c r="I117" s="122" t="str">
        <f t="shared" ref="I117" si="279"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>A</v>
      </c>
      <c r="J117" s="7" t="str">
        <f t="shared" ref="J117" si="280">CONCATENATE(B117,C117)</f>
        <v>EEI</v>
      </c>
      <c r="K117" s="9">
        <f t="shared" ref="K117" si="281">IF(OR(H117="",H117=0),L117,H117)</f>
        <v>4</v>
      </c>
      <c r="L117" s="9">
        <f>IF(NOT(ISERROR(VLOOKUP(B117,Deflatores!G$42:H$64,2,FALSE))),VLOOKUP(B117,Deflatores!G$42:H$64,2,FALSE),IF(OR(ISBLANK(C117),ISBLANK(B117)),"",VLOOKUP(C117,Deflatores!G$4:H$38,2,FALSE)*H117+VLOOKUP(C117,Deflatores!G$4:I$38,3,FALSE)))</f>
        <v>4</v>
      </c>
      <c r="M117" s="10"/>
      <c r="N117" s="10"/>
      <c r="O117" s="132"/>
    </row>
    <row r="118" spans="1:15" x14ac:dyDescent="0.2">
      <c r="A118" s="126" t="s">
        <v>270</v>
      </c>
      <c r="B118" s="4" t="s">
        <v>100</v>
      </c>
      <c r="C118" s="4" t="s">
        <v>41</v>
      </c>
      <c r="D118" s="7"/>
      <c r="E118" s="7"/>
      <c r="F118" s="8" t="str">
        <f t="shared" si="0"/>
        <v>Média</v>
      </c>
      <c r="G118" s="7" t="str">
        <f t="shared" si="1"/>
        <v>EEA</v>
      </c>
      <c r="H118" s="5">
        <f t="shared" si="2"/>
        <v>4</v>
      </c>
      <c r="I118" s="122" t="str">
        <f t="shared" si="3"/>
        <v>A</v>
      </c>
      <c r="J118" s="7" t="str">
        <f t="shared" si="4"/>
        <v>EEI</v>
      </c>
      <c r="K118" s="9">
        <f t="shared" si="5"/>
        <v>4</v>
      </c>
      <c r="L118" s="9">
        <f>IF(NOT(ISERROR(VLOOKUP(B118,Deflatores!G$42:H$64,2,FALSE))),VLOOKUP(B118,Deflatores!G$42:H$64,2,FALSE),IF(OR(ISBLANK(C118),ISBLANK(B118)),"",VLOOKUP(C118,Deflatores!G$4:H$38,2,FALSE)*H118+VLOOKUP(C118,Deflatores!G$4:I$38,3,FALSE)))</f>
        <v>4</v>
      </c>
      <c r="M118" s="10"/>
      <c r="N118" s="10"/>
      <c r="O118" s="6"/>
    </row>
    <row r="119" spans="1:15" x14ac:dyDescent="0.2">
      <c r="A119" s="126" t="s">
        <v>271</v>
      </c>
      <c r="B119" s="4" t="s">
        <v>102</v>
      </c>
      <c r="C119" s="4" t="s">
        <v>41</v>
      </c>
      <c r="D119" s="7"/>
      <c r="E119" s="7"/>
      <c r="F119" s="8" t="str">
        <f>IF(ISBLANK(B119),"",IF(I119="L","Baixa",IF(I119="A","Média",IF(I119="","","Alta"))))</f>
        <v>Média</v>
      </c>
      <c r="G119" s="7" t="str">
        <f>CONCATENATE(B119,I119)</f>
        <v>CEA</v>
      </c>
      <c r="H119" s="5">
        <f>IF(ISBLANK(B119),"",IF(B119="ALI",IF(I119="L",7,IF(I119="A",10,15)),IF(B119="AIE",IF(I119="L",5,IF(I119="A",7,10)),IF(B119="SE",IF(I119="L",4,IF(I119="A",5,7)),IF(OR(B119="EE",B119="CE"),IF(I119="L",3,IF(I119="A",4,6)),0)))))</f>
        <v>4</v>
      </c>
      <c r="I119" s="122" t="str">
        <f>IF(OR(ISBLANK(D119),ISBLANK(E119)),IF(OR(B119="ALI",B119="AIE"),"L",IF(OR(B119="EE",B119="SE",B119="CE"),"A","")),IF(B119="EE",IF(E119&gt;=3,IF(D119&gt;=5,"H","A"),IF(E119&gt;=2,IF(D119&gt;=16,"H",IF(D119&lt;=4,"L","A")),IF(D119&lt;=15,"L","A"))),IF(OR(B119="SE",B119="CE"),IF(E119&gt;=4,IF(D119&gt;=6,"H","A"),IF(E119&gt;=2,IF(D119&gt;=20,"H",IF(D119&lt;=5,"L","A")),IF(D119&lt;=19,"L","A"))),IF(OR(B119="ALI",B119="AIE"),IF(E119&gt;=6,IF(D119&gt;=20,"H","A"),IF(E119&gt;=2,IF(D119&gt;=51,"H",IF(D119&lt;=19,"L","A")),IF(D119&lt;=50,"L","A"))),""))))</f>
        <v>A</v>
      </c>
      <c r="J119" s="7" t="str">
        <f>CONCATENATE(B119,C119)</f>
        <v>CEI</v>
      </c>
      <c r="K119" s="9">
        <f>IF(OR(H119="",H119=0),L119,H119)</f>
        <v>4</v>
      </c>
      <c r="L119" s="9">
        <f>IF(NOT(ISERROR(VLOOKUP(B119,Deflatores!G$42:H$64,2,FALSE))),VLOOKUP(B119,Deflatores!G$42:H$64,2,FALSE),IF(OR(ISBLANK(C119),ISBLANK(B119)),"",VLOOKUP(C119,Deflatores!G$4:H$38,2,FALSE)*H119+VLOOKUP(C119,Deflatores!G$4:I$38,3,FALSE)))</f>
        <v>4</v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si="0"/>
        <v/>
      </c>
      <c r="G120" s="7" t="str">
        <f t="shared" si="1"/>
        <v/>
      </c>
      <c r="H120" s="5" t="str">
        <f t="shared" si="2"/>
        <v/>
      </c>
      <c r="I120" s="122" t="str">
        <f t="shared" si="3"/>
        <v/>
      </c>
      <c r="J120" s="7" t="str">
        <f t="shared" si="4"/>
        <v/>
      </c>
      <c r="K120" s="9" t="str">
        <f t="shared" si="5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8" t="s">
        <v>272</v>
      </c>
      <c r="B121" s="4"/>
      <c r="C121" s="4"/>
      <c r="D121" s="7"/>
      <c r="E121" s="7"/>
      <c r="F121" s="8" t="str">
        <f t="shared" si="0"/>
        <v/>
      </c>
      <c r="G121" s="7" t="str">
        <f t="shared" si="1"/>
        <v/>
      </c>
      <c r="H121" s="5" t="str">
        <f t="shared" si="2"/>
        <v/>
      </c>
      <c r="I121" s="122" t="str">
        <f t="shared" si="3"/>
        <v/>
      </c>
      <c r="J121" s="7" t="str">
        <f t="shared" si="4"/>
        <v/>
      </c>
      <c r="K121" s="9" t="str">
        <f t="shared" si="5"/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6" t="s">
        <v>272</v>
      </c>
      <c r="B122" s="4" t="s">
        <v>98</v>
      </c>
      <c r="C122" s="4" t="s">
        <v>41</v>
      </c>
      <c r="D122" s="7"/>
      <c r="E122" s="7"/>
      <c r="F122" s="8" t="str">
        <f t="shared" ref="F122:F123" si="282">IF(ISBLANK(B122),"",IF(I122="L","Baixa",IF(I122="A","Média",IF(I122="","","Alta"))))</f>
        <v>Baixa</v>
      </c>
      <c r="G122" s="7" t="str">
        <f t="shared" ref="G122:G123" si="283">CONCATENATE(B122,I122)</f>
        <v>ALIL</v>
      </c>
      <c r="H122" s="5">
        <f t="shared" ref="H122:H123" si="284">IF(ISBLANK(B122),"",IF(B122="ALI",IF(I122="L",7,IF(I122="A",10,15)),IF(B122="AIE",IF(I122="L",5,IF(I122="A",7,10)),IF(B122="SE",IF(I122="L",4,IF(I122="A",5,7)),IF(OR(B122="EE",B122="CE"),IF(I122="L",3,IF(I122="A",4,6)),0)))))</f>
        <v>7</v>
      </c>
      <c r="I122" s="122" t="str">
        <f t="shared" ref="I122:I123" si="285">IF(OR(ISBLANK(D122),ISBLANK(E122)),IF(OR(B122="ALI",B122="AIE"),"L",IF(OR(B122="EE",B122="SE",B122="CE"),"A","")),IF(B122="EE",IF(E122&gt;=3,IF(D122&gt;=5,"H","A"),IF(E122&gt;=2,IF(D122&gt;=16,"H",IF(D122&lt;=4,"L","A")),IF(D122&lt;=15,"L","A"))),IF(OR(B122="SE",B122="CE"),IF(E122&gt;=4,IF(D122&gt;=6,"H","A"),IF(E122&gt;=2,IF(D122&gt;=20,"H",IF(D122&lt;=5,"L","A")),IF(D122&lt;=19,"L","A"))),IF(OR(B122="ALI",B122="AIE"),IF(E122&gt;=6,IF(D122&gt;=20,"H","A"),IF(E122&gt;=2,IF(D122&gt;=51,"H",IF(D122&lt;=19,"L","A")),IF(D122&lt;=50,"L","A"))),""))))</f>
        <v>L</v>
      </c>
      <c r="J122" s="7" t="str">
        <f t="shared" ref="J122:J123" si="286">CONCATENATE(B122,C122)</f>
        <v>ALII</v>
      </c>
      <c r="K122" s="9">
        <f t="shared" ref="K122:K123" si="287">IF(OR(H122="",H122=0),L122,H122)</f>
        <v>7</v>
      </c>
      <c r="L122" s="9">
        <f>IF(NOT(ISERROR(VLOOKUP(B122,Deflatores!G$42:H$64,2,FALSE))),VLOOKUP(B122,Deflatores!G$42:H$64,2,FALSE),IF(OR(ISBLANK(C122),ISBLANK(B122)),"",VLOOKUP(C122,Deflatores!G$4:H$38,2,FALSE)*H122+VLOOKUP(C122,Deflatores!G$4:I$38,3,FALSE)))</f>
        <v>7</v>
      </c>
      <c r="M122" s="10"/>
      <c r="N122" s="10"/>
      <c r="O122" s="6"/>
    </row>
    <row r="123" spans="1:15" x14ac:dyDescent="0.2">
      <c r="A123" s="126" t="s">
        <v>273</v>
      </c>
      <c r="B123" s="4" t="s">
        <v>102</v>
      </c>
      <c r="C123" s="4" t="s">
        <v>41</v>
      </c>
      <c r="D123" s="7"/>
      <c r="E123" s="7"/>
      <c r="F123" s="8" t="str">
        <f t="shared" si="282"/>
        <v>Média</v>
      </c>
      <c r="G123" s="7" t="str">
        <f t="shared" si="283"/>
        <v>CEA</v>
      </c>
      <c r="H123" s="5">
        <f t="shared" si="284"/>
        <v>4</v>
      </c>
      <c r="I123" s="122" t="str">
        <f t="shared" si="285"/>
        <v>A</v>
      </c>
      <c r="J123" s="7" t="str">
        <f t="shared" si="286"/>
        <v>CEI</v>
      </c>
      <c r="K123" s="9">
        <f t="shared" si="287"/>
        <v>4</v>
      </c>
      <c r="L123" s="9">
        <f>IF(NOT(ISERROR(VLOOKUP(B123,Deflatores!G$42:H$64,2,FALSE))),VLOOKUP(B123,Deflatores!G$42:H$64,2,FALSE),IF(OR(ISBLANK(C123),ISBLANK(B123)),"",VLOOKUP(C123,Deflatores!G$4:H$38,2,FALSE)*H123+VLOOKUP(C123,Deflatores!G$4:I$38,3,FALSE)))</f>
        <v>4</v>
      </c>
      <c r="M123" s="10"/>
      <c r="N123" s="10"/>
      <c r="O123" s="6"/>
    </row>
    <row r="124" spans="1:15" x14ac:dyDescent="0.2">
      <c r="A124" s="126" t="s">
        <v>274</v>
      </c>
      <c r="B124" s="4" t="s">
        <v>102</v>
      </c>
      <c r="C124" s="4" t="s">
        <v>41</v>
      </c>
      <c r="D124" s="7"/>
      <c r="E124" s="7"/>
      <c r="F124" s="8" t="str">
        <f t="shared" si="0"/>
        <v>Média</v>
      </c>
      <c r="G124" s="7" t="str">
        <f t="shared" si="1"/>
        <v>CEA</v>
      </c>
      <c r="H124" s="5">
        <f t="shared" si="2"/>
        <v>4</v>
      </c>
      <c r="I124" s="122" t="str">
        <f t="shared" si="3"/>
        <v>A</v>
      </c>
      <c r="J124" s="7" t="str">
        <f t="shared" si="4"/>
        <v>CEI</v>
      </c>
      <c r="K124" s="9">
        <f t="shared" si="5"/>
        <v>4</v>
      </c>
      <c r="L124" s="9">
        <f>IF(NOT(ISERROR(VLOOKUP(B124,Deflatores!G$42:H$64,2,FALSE))),VLOOKUP(B124,Deflatores!G$42:H$64,2,FALSE),IF(OR(ISBLANK(C124),ISBLANK(B124)),"",VLOOKUP(C124,Deflatores!G$4:H$38,2,FALSE)*H124+VLOOKUP(C124,Deflatores!G$4:I$38,3,FALSE)))</f>
        <v>4</v>
      </c>
      <c r="M124" s="10"/>
      <c r="N124" s="10"/>
      <c r="O124" s="6"/>
    </row>
    <row r="125" spans="1:15" x14ac:dyDescent="0.2">
      <c r="A125" s="128" t="s">
        <v>275</v>
      </c>
      <c r="B125" s="4"/>
      <c r="C125" s="4"/>
      <c r="D125" s="7"/>
      <c r="E125" s="7"/>
      <c r="F125" s="8" t="str">
        <f t="shared" ref="F125" si="288">IF(ISBLANK(B125),"",IF(I125="L","Baixa",IF(I125="A","Média",IF(I125="","","Alta"))))</f>
        <v/>
      </c>
      <c r="G125" s="7" t="str">
        <f t="shared" ref="G125" si="289">CONCATENATE(B125,I125)</f>
        <v/>
      </c>
      <c r="H125" s="5" t="str">
        <f t="shared" ref="H125" si="290">IF(ISBLANK(B125),"",IF(B125="ALI",IF(I125="L",7,IF(I125="A",10,15)),IF(B125="AIE",IF(I125="L",5,IF(I125="A",7,10)),IF(B125="SE",IF(I125="L",4,IF(I125="A",5,7)),IF(OR(B125="EE",B125="CE"),IF(I125="L",3,IF(I125="A",4,6)),0)))))</f>
        <v/>
      </c>
      <c r="I125" s="122" t="str">
        <f t="shared" ref="I125" si="291"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/>
      </c>
      <c r="J125" s="7" t="str">
        <f t="shared" ref="J125" si="292">CONCATENATE(B125,C125)</f>
        <v/>
      </c>
      <c r="K125" s="9" t="str">
        <f t="shared" ref="K125" si="293">IF(OR(H125="",H125=0),L125,H125)</f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 t="s">
        <v>276</v>
      </c>
      <c r="B126" s="4" t="s">
        <v>102</v>
      </c>
      <c r="C126" s="4" t="s">
        <v>41</v>
      </c>
      <c r="D126" s="7"/>
      <c r="E126" s="7"/>
      <c r="F126" s="8" t="str">
        <f t="shared" ref="F126" si="294">IF(ISBLANK(B126),"",IF(I126="L","Baixa",IF(I126="A","Média",IF(I126="","","Alta"))))</f>
        <v>Média</v>
      </c>
      <c r="G126" s="7" t="str">
        <f t="shared" ref="G126" si="295">CONCATENATE(B126,I126)</f>
        <v>CEA</v>
      </c>
      <c r="H126" s="5">
        <f t="shared" ref="H126" si="296">IF(ISBLANK(B126),"",IF(B126="ALI",IF(I126="L",7,IF(I126="A",10,15)),IF(B126="AIE",IF(I126="L",5,IF(I126="A",7,10)),IF(B126="SE",IF(I126="L",4,IF(I126="A",5,7)),IF(OR(B126="EE",B126="CE"),IF(I126="L",3,IF(I126="A",4,6)),0)))))</f>
        <v>4</v>
      </c>
      <c r="I126" s="122" t="str">
        <f t="shared" ref="I126" si="297"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>A</v>
      </c>
      <c r="J126" s="7" t="str">
        <f t="shared" ref="J126" si="298">CONCATENATE(B126,C126)</f>
        <v>CEI</v>
      </c>
      <c r="K126" s="9">
        <f t="shared" ref="K126" si="299">IF(OR(H126="",H126=0),L126,H126)</f>
        <v>4</v>
      </c>
      <c r="L126" s="9">
        <f>IF(NOT(ISERROR(VLOOKUP(B126,Deflatores!G$42:H$64,2,FALSE))),VLOOKUP(B126,Deflatores!G$42:H$64,2,FALSE),IF(OR(ISBLANK(C126),ISBLANK(B126)),"",VLOOKUP(C126,Deflatores!G$4:H$38,2,FALSE)*H126+VLOOKUP(C126,Deflatores!G$4:I$38,3,FALSE)))</f>
        <v>4</v>
      </c>
      <c r="M126" s="10"/>
      <c r="N126" s="10"/>
      <c r="O126" s="6"/>
    </row>
    <row r="127" spans="1:15" x14ac:dyDescent="0.2">
      <c r="A127" s="126" t="s">
        <v>277</v>
      </c>
      <c r="B127" s="4" t="s">
        <v>102</v>
      </c>
      <c r="C127" s="4" t="s">
        <v>41</v>
      </c>
      <c r="D127" s="7"/>
      <c r="E127" s="7"/>
      <c r="F127" s="8" t="str">
        <f t="shared" ref="F127" si="300">IF(ISBLANK(B127),"",IF(I127="L","Baixa",IF(I127="A","Média",IF(I127="","","Alta"))))</f>
        <v>Média</v>
      </c>
      <c r="G127" s="7" t="str">
        <f t="shared" ref="G127" si="301">CONCATENATE(B127,I127)</f>
        <v>CEA</v>
      </c>
      <c r="H127" s="5">
        <f t="shared" ref="H127" si="302">IF(ISBLANK(B127),"",IF(B127="ALI",IF(I127="L",7,IF(I127="A",10,15)),IF(B127="AIE",IF(I127="L",5,IF(I127="A",7,10)),IF(B127="SE",IF(I127="L",4,IF(I127="A",5,7)),IF(OR(B127="EE",B127="CE"),IF(I127="L",3,IF(I127="A",4,6)),0)))))</f>
        <v>4</v>
      </c>
      <c r="I127" s="122" t="str">
        <f t="shared" ref="I127" si="30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>A</v>
      </c>
      <c r="J127" s="7" t="str">
        <f t="shared" ref="J127" si="304">CONCATENATE(B127,C127)</f>
        <v>CEI</v>
      </c>
      <c r="K127" s="9">
        <f t="shared" ref="K127" si="305">IF(OR(H127="",H127=0),L127,H127)</f>
        <v>4</v>
      </c>
      <c r="L127" s="9">
        <f>IF(NOT(ISERROR(VLOOKUP(B127,Deflatores!G$42:H$64,2,FALSE))),VLOOKUP(B127,Deflatores!G$42:H$64,2,FALSE),IF(OR(ISBLANK(C127),ISBLANK(B127)),"",VLOOKUP(C127,Deflatores!G$4:H$38,2,FALSE)*H127+VLOOKUP(C127,Deflatores!G$4:I$38,3,FALSE)))</f>
        <v>4</v>
      </c>
      <c r="M127" s="10"/>
      <c r="N127" s="10"/>
      <c r="O127" s="6"/>
    </row>
    <row r="128" spans="1:15" ht="15" customHeight="1" x14ac:dyDescent="0.2">
      <c r="A128" s="126" t="s">
        <v>278</v>
      </c>
      <c r="B128" s="4" t="s">
        <v>102</v>
      </c>
      <c r="C128" s="4" t="s">
        <v>41</v>
      </c>
      <c r="D128" s="7"/>
      <c r="E128" s="7"/>
      <c r="F128" s="8" t="str">
        <f t="shared" si="0"/>
        <v>Média</v>
      </c>
      <c r="G128" s="7" t="str">
        <f t="shared" si="1"/>
        <v>CEA</v>
      </c>
      <c r="H128" s="5">
        <f t="shared" si="2"/>
        <v>4</v>
      </c>
      <c r="I128" s="122" t="str">
        <f t="shared" si="3"/>
        <v>A</v>
      </c>
      <c r="J128" s="7" t="str">
        <f t="shared" si="4"/>
        <v>CEI</v>
      </c>
      <c r="K128" s="9">
        <f t="shared" si="5"/>
        <v>4</v>
      </c>
      <c r="L128" s="9">
        <f>IF(NOT(ISERROR(VLOOKUP(B128,Deflatores!G$42:H$64,2,FALSE))),VLOOKUP(B128,Deflatores!G$42:H$64,2,FALSE),IF(OR(ISBLANK(C128),ISBLANK(B128)),"",VLOOKUP(C128,Deflatores!G$4:H$38,2,FALSE)*H128+VLOOKUP(C128,Deflatores!G$4:I$38,3,FALSE)))</f>
        <v>4</v>
      </c>
      <c r="M128" s="10"/>
      <c r="N128" s="10"/>
      <c r="O128" s="6"/>
    </row>
    <row r="129" spans="1:15" ht="13.5" customHeight="1" x14ac:dyDescent="0.2">
      <c r="A129" s="128" t="s">
        <v>279</v>
      </c>
      <c r="B129" s="4"/>
      <c r="C129" s="4"/>
      <c r="D129" s="7"/>
      <c r="E129" s="7"/>
      <c r="F129" s="8" t="str">
        <f t="shared" si="0"/>
        <v/>
      </c>
      <c r="G129" s="7" t="str">
        <f t="shared" si="1"/>
        <v/>
      </c>
      <c r="H129" s="5" t="str">
        <f t="shared" si="2"/>
        <v/>
      </c>
      <c r="I129" s="122" t="str">
        <f t="shared" si="3"/>
        <v/>
      </c>
      <c r="J129" s="7" t="str">
        <f t="shared" si="4"/>
        <v/>
      </c>
      <c r="K129" s="9" t="str">
        <f t="shared" si="5"/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6" t="s">
        <v>280</v>
      </c>
      <c r="B130" s="4" t="s">
        <v>102</v>
      </c>
      <c r="C130" s="4" t="s">
        <v>41</v>
      </c>
      <c r="D130" s="7"/>
      <c r="E130" s="7"/>
      <c r="F130" s="8" t="str">
        <f t="shared" si="0"/>
        <v>Média</v>
      </c>
      <c r="G130" s="7" t="str">
        <f t="shared" si="1"/>
        <v>CEA</v>
      </c>
      <c r="H130" s="5">
        <f t="shared" si="2"/>
        <v>4</v>
      </c>
      <c r="I130" s="122" t="str">
        <f t="shared" si="3"/>
        <v>A</v>
      </c>
      <c r="J130" s="7" t="str">
        <f t="shared" si="4"/>
        <v>CEI</v>
      </c>
      <c r="K130" s="9">
        <f t="shared" si="5"/>
        <v>4</v>
      </c>
      <c r="L130" s="9">
        <f>IF(NOT(ISERROR(VLOOKUP(B130,Deflatores!G$42:H$64,2,FALSE))),VLOOKUP(B130,Deflatores!G$42:H$64,2,FALSE),IF(OR(ISBLANK(C130),ISBLANK(B130)),"",VLOOKUP(C130,Deflatores!G$4:H$38,2,FALSE)*H130+VLOOKUP(C130,Deflatores!G$4:I$38,3,FALSE)))</f>
        <v>4</v>
      </c>
      <c r="M130" s="10"/>
      <c r="N130" s="10"/>
      <c r="O130" s="6"/>
    </row>
    <row r="131" spans="1:15" x14ac:dyDescent="0.2">
      <c r="A131" s="126" t="s">
        <v>281</v>
      </c>
      <c r="B131" s="4" t="s">
        <v>100</v>
      </c>
      <c r="C131" s="4" t="s">
        <v>41</v>
      </c>
      <c r="D131" s="7"/>
      <c r="E131" s="7"/>
      <c r="F131" s="8" t="str">
        <f t="shared" si="0"/>
        <v>Média</v>
      </c>
      <c r="G131" s="7" t="str">
        <f t="shared" si="1"/>
        <v>EEA</v>
      </c>
      <c r="H131" s="5">
        <f t="shared" si="2"/>
        <v>4</v>
      </c>
      <c r="I131" s="122" t="str">
        <f t="shared" si="3"/>
        <v>A</v>
      </c>
      <c r="J131" s="7" t="str">
        <f t="shared" si="4"/>
        <v>EEI</v>
      </c>
      <c r="K131" s="9">
        <f t="shared" si="5"/>
        <v>4</v>
      </c>
      <c r="L131" s="9">
        <f>IF(NOT(ISERROR(VLOOKUP(B131,Deflatores!G$42:H$64,2,FALSE))),VLOOKUP(B131,Deflatores!G$42:H$64,2,FALSE),IF(OR(ISBLANK(C131),ISBLANK(B131)),"",VLOOKUP(C131,Deflatores!G$4:H$38,2,FALSE)*H131+VLOOKUP(C131,Deflatores!G$4:I$38,3,FALSE)))</f>
        <v>4</v>
      </c>
      <c r="M131" s="10"/>
      <c r="N131" s="10"/>
      <c r="O131" s="6"/>
    </row>
    <row r="132" spans="1:15" ht="14.25" customHeight="1" x14ac:dyDescent="0.2">
      <c r="A132" s="128" t="s">
        <v>282</v>
      </c>
      <c r="B132" s="4"/>
      <c r="C132" s="4"/>
      <c r="D132" s="7"/>
      <c r="E132" s="7"/>
      <c r="F132" s="8" t="str">
        <f t="shared" ref="F132" si="306">IF(ISBLANK(B132),"",IF(I132="L","Baixa",IF(I132="A","Média",IF(I132="","","Alta"))))</f>
        <v/>
      </c>
      <c r="G132" s="7" t="str">
        <f t="shared" ref="G132" si="307">CONCATENATE(B132,I132)</f>
        <v/>
      </c>
      <c r="H132" s="5" t="str">
        <f t="shared" ref="H132" si="308">IF(ISBLANK(B132),"",IF(B132="ALI",IF(I132="L",7,IF(I132="A",10,15)),IF(B132="AIE",IF(I132="L",5,IF(I132="A",7,10)),IF(B132="SE",IF(I132="L",4,IF(I132="A",5,7)),IF(OR(B132="EE",B132="CE"),IF(I132="L",3,IF(I132="A",4,6)),0)))))</f>
        <v/>
      </c>
      <c r="I132" s="122" t="str">
        <f t="shared" ref="I132" si="309">IF(OR(ISBLANK(D132),ISBLANK(E132)),IF(OR(B132="ALI",B132="AIE"),"L",IF(OR(B132="EE",B132="SE",B132="CE"),"A","")),IF(B132="EE",IF(E132&gt;=3,IF(D132&gt;=5,"H","A"),IF(E132&gt;=2,IF(D132&gt;=16,"H",IF(D132&lt;=4,"L","A")),IF(D132&lt;=15,"L","A"))),IF(OR(B132="SE",B132="CE"),IF(E132&gt;=4,IF(D132&gt;=6,"H","A"),IF(E132&gt;=2,IF(D132&gt;=20,"H",IF(D132&lt;=5,"L","A")),IF(D132&lt;=19,"L","A"))),IF(OR(B132="ALI",B132="AIE"),IF(E132&gt;=6,IF(D132&gt;=20,"H","A"),IF(E132&gt;=2,IF(D132&gt;=51,"H",IF(D132&lt;=19,"L","A")),IF(D132&lt;=50,"L","A"))),""))))</f>
        <v/>
      </c>
      <c r="J132" s="7" t="str">
        <f t="shared" ref="J132" si="310">CONCATENATE(B132,C132)</f>
        <v/>
      </c>
      <c r="K132" s="9" t="str">
        <f t="shared" ref="K132" si="311">IF(OR(H132="",H132=0),L132,H132)</f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 t="s">
        <v>283</v>
      </c>
      <c r="B133" s="4" t="s">
        <v>102</v>
      </c>
      <c r="C133" s="4" t="s">
        <v>41</v>
      </c>
      <c r="D133" s="7"/>
      <c r="E133" s="7"/>
      <c r="F133" s="8" t="str">
        <f t="shared" ref="F133:F134" si="312">IF(ISBLANK(B133),"",IF(I133="L","Baixa",IF(I133="A","Média",IF(I133="","","Alta"))))</f>
        <v>Média</v>
      </c>
      <c r="G133" s="7" t="str">
        <f t="shared" ref="G133:G134" si="313">CONCATENATE(B133,I133)</f>
        <v>CEA</v>
      </c>
      <c r="H133" s="5">
        <f t="shared" ref="H133:H134" si="314">IF(ISBLANK(B133),"",IF(B133="ALI",IF(I133="L",7,IF(I133="A",10,15)),IF(B133="AIE",IF(I133="L",5,IF(I133="A",7,10)),IF(B133="SE",IF(I133="L",4,IF(I133="A",5,7)),IF(OR(B133="EE",B133="CE"),IF(I133="L",3,IF(I133="A",4,6)),0)))))</f>
        <v>4</v>
      </c>
      <c r="I133" s="122" t="str">
        <f t="shared" ref="I133:I134" si="315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>A</v>
      </c>
      <c r="J133" s="7" t="str">
        <f t="shared" ref="J133:J134" si="316">CONCATENATE(B133,C133)</f>
        <v>CEI</v>
      </c>
      <c r="K133" s="9">
        <f t="shared" ref="K133:K134" si="317">IF(OR(H133="",H133=0),L133,H133)</f>
        <v>4</v>
      </c>
      <c r="L133" s="9">
        <f>IF(NOT(ISERROR(VLOOKUP(B133,Deflatores!G$42:H$64,2,FALSE))),VLOOKUP(B133,Deflatores!G$42:H$64,2,FALSE),IF(OR(ISBLANK(C133),ISBLANK(B133)),"",VLOOKUP(C133,Deflatores!G$4:H$38,2,FALSE)*H133+VLOOKUP(C133,Deflatores!G$4:I$38,3,FALSE)))</f>
        <v>4</v>
      </c>
      <c r="M133" s="10"/>
      <c r="N133" s="10"/>
      <c r="O133" s="6"/>
    </row>
    <row r="134" spans="1:15" x14ac:dyDescent="0.2">
      <c r="A134" s="126" t="s">
        <v>284</v>
      </c>
      <c r="B134" s="4" t="s">
        <v>100</v>
      </c>
      <c r="C134" s="4" t="s">
        <v>41</v>
      </c>
      <c r="D134" s="7"/>
      <c r="E134" s="7"/>
      <c r="F134" s="8" t="str">
        <f t="shared" si="312"/>
        <v>Média</v>
      </c>
      <c r="G134" s="7" t="str">
        <f t="shared" si="313"/>
        <v>EEA</v>
      </c>
      <c r="H134" s="5">
        <f t="shared" si="314"/>
        <v>4</v>
      </c>
      <c r="I134" s="122" t="str">
        <f t="shared" si="315"/>
        <v>A</v>
      </c>
      <c r="J134" s="7" t="str">
        <f t="shared" si="316"/>
        <v>EEI</v>
      </c>
      <c r="K134" s="9">
        <f t="shared" si="317"/>
        <v>4</v>
      </c>
      <c r="L134" s="9">
        <f>IF(NOT(ISERROR(VLOOKUP(B134,Deflatores!G$42:H$64,2,FALSE))),VLOOKUP(B134,Deflatores!G$42:H$64,2,FALSE),IF(OR(ISBLANK(C134),ISBLANK(B134)),"",VLOOKUP(C134,Deflatores!G$4:H$38,2,FALSE)*H134+VLOOKUP(C134,Deflatores!G$4:I$38,3,FALSE)))</f>
        <v>4</v>
      </c>
      <c r="M134" s="10"/>
      <c r="N134" s="10"/>
      <c r="O134" s="6"/>
    </row>
    <row r="135" spans="1:15" x14ac:dyDescent="0.2">
      <c r="A135" s="128" t="s">
        <v>285</v>
      </c>
      <c r="B135" s="4"/>
      <c r="C135" s="4"/>
      <c r="D135" s="7"/>
      <c r="E135" s="7"/>
      <c r="F135" s="8" t="str">
        <f t="shared" ref="F135" si="318">IF(ISBLANK(B135),"",IF(I135="L","Baixa",IF(I135="A","Média",IF(I135="","","Alta"))))</f>
        <v/>
      </c>
      <c r="G135" s="7" t="str">
        <f t="shared" ref="G135" si="319">CONCATENATE(B135,I135)</f>
        <v/>
      </c>
      <c r="H135" s="5" t="str">
        <f t="shared" ref="H135" si="320">IF(ISBLANK(B135),"",IF(B135="ALI",IF(I135="L",7,IF(I135="A",10,15)),IF(B135="AIE",IF(I135="L",5,IF(I135="A",7,10)),IF(B135="SE",IF(I135="L",4,IF(I135="A",5,7)),IF(OR(B135="EE",B135="CE"),IF(I135="L",3,IF(I135="A",4,6)),0)))))</f>
        <v/>
      </c>
      <c r="I135" s="122" t="str">
        <f t="shared" ref="I135" si="321"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/>
      </c>
      <c r="J135" s="7" t="str">
        <f t="shared" ref="J135" si="322">CONCATENATE(B135,C135)</f>
        <v/>
      </c>
      <c r="K135" s="9" t="str">
        <f t="shared" ref="K135" si="323">IF(OR(H135="",H135=0),L135,H135)</f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6" t="s">
        <v>286</v>
      </c>
      <c r="B136" s="4" t="s">
        <v>103</v>
      </c>
      <c r="C136" s="4" t="s">
        <v>41</v>
      </c>
      <c r="D136" s="7"/>
      <c r="E136" s="7"/>
      <c r="F136" s="8" t="str">
        <f t="shared" si="0"/>
        <v>Média</v>
      </c>
      <c r="G136" s="7" t="str">
        <f t="shared" si="1"/>
        <v>SEA</v>
      </c>
      <c r="H136" s="5">
        <f t="shared" si="2"/>
        <v>5</v>
      </c>
      <c r="I136" s="122" t="str">
        <f t="shared" si="3"/>
        <v>A</v>
      </c>
      <c r="J136" s="7" t="str">
        <f t="shared" si="4"/>
        <v>SEI</v>
      </c>
      <c r="K136" s="9">
        <f t="shared" si="5"/>
        <v>5</v>
      </c>
      <c r="L136" s="9">
        <f>IF(NOT(ISERROR(VLOOKUP(B136,Deflatores!G$42:H$64,2,FALSE))),VLOOKUP(B136,Deflatores!G$42:H$64,2,FALSE),IF(OR(ISBLANK(C136),ISBLANK(B136)),"",VLOOKUP(C136,Deflatores!G$4:H$38,2,FALSE)*H136+VLOOKUP(C136,Deflatores!G$4:I$38,3,FALSE)))</f>
        <v>5</v>
      </c>
      <c r="M136" s="10"/>
      <c r="N136" s="10"/>
      <c r="O136" s="6"/>
    </row>
    <row r="137" spans="1:15" x14ac:dyDescent="0.2">
      <c r="A137" s="126" t="s">
        <v>287</v>
      </c>
      <c r="B137" s="4" t="s">
        <v>100</v>
      </c>
      <c r="C137" s="4" t="s">
        <v>41</v>
      </c>
      <c r="D137" s="7"/>
      <c r="E137" s="7"/>
      <c r="F137" s="8" t="str">
        <f t="shared" ref="F137" si="324">IF(ISBLANK(B137),"",IF(I137="L","Baixa",IF(I137="A","Média",IF(I137="","","Alta"))))</f>
        <v>Média</v>
      </c>
      <c r="G137" s="7" t="str">
        <f t="shared" ref="G137" si="325">CONCATENATE(B137,I137)</f>
        <v>EEA</v>
      </c>
      <c r="H137" s="5">
        <f t="shared" ref="H137" si="326">IF(ISBLANK(B137),"",IF(B137="ALI",IF(I137="L",7,IF(I137="A",10,15)),IF(B137="AIE",IF(I137="L",5,IF(I137="A",7,10)),IF(B137="SE",IF(I137="L",4,IF(I137="A",5,7)),IF(OR(B137="EE",B137="CE"),IF(I137="L",3,IF(I137="A",4,6)),0)))))</f>
        <v>4</v>
      </c>
      <c r="I137" s="122" t="str">
        <f t="shared" ref="I137" si="327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>A</v>
      </c>
      <c r="J137" s="7" t="str">
        <f t="shared" ref="J137" si="328">CONCATENATE(B137,C137)</f>
        <v>EEI</v>
      </c>
      <c r="K137" s="9">
        <f t="shared" ref="K137" si="329">IF(OR(H137="",H137=0),L137,H137)</f>
        <v>4</v>
      </c>
      <c r="L137" s="9">
        <f>IF(NOT(ISERROR(VLOOKUP(B137,Deflatores!G$42:H$64,2,FALSE))),VLOOKUP(B137,Deflatores!G$42:H$64,2,FALSE),IF(OR(ISBLANK(C137),ISBLANK(B137)),"",VLOOKUP(C137,Deflatores!G$4:H$38,2,FALSE)*H137+VLOOKUP(C137,Deflatores!G$4:I$38,3,FALSE)))</f>
        <v>4</v>
      </c>
      <c r="M137" s="10"/>
      <c r="N137" s="10"/>
      <c r="O137" s="6"/>
    </row>
    <row r="138" spans="1:15" x14ac:dyDescent="0.2">
      <c r="A138" s="126" t="s">
        <v>288</v>
      </c>
      <c r="B138" s="4" t="s">
        <v>100</v>
      </c>
      <c r="C138" s="4" t="s">
        <v>41</v>
      </c>
      <c r="D138" s="7"/>
      <c r="E138" s="7"/>
      <c r="F138" s="8" t="str">
        <f t="shared" si="0"/>
        <v>Média</v>
      </c>
      <c r="G138" s="7" t="str">
        <f t="shared" si="1"/>
        <v>EEA</v>
      </c>
      <c r="H138" s="5">
        <f t="shared" si="2"/>
        <v>4</v>
      </c>
      <c r="I138" s="122" t="str">
        <f t="shared" si="3"/>
        <v>A</v>
      </c>
      <c r="J138" s="7" t="str">
        <f t="shared" si="4"/>
        <v>EEI</v>
      </c>
      <c r="K138" s="9">
        <f t="shared" si="5"/>
        <v>4</v>
      </c>
      <c r="L138" s="9">
        <f>IF(NOT(ISERROR(VLOOKUP(B138,Deflatores!G$42:H$64,2,FALSE))),VLOOKUP(B138,Deflatores!G$42:H$64,2,FALSE),IF(OR(ISBLANK(C138),ISBLANK(B138)),"",VLOOKUP(C138,Deflatores!G$4:H$38,2,FALSE)*H138+VLOOKUP(C138,Deflatores!G$4:I$38,3,FALSE)))</f>
        <v>4</v>
      </c>
      <c r="M138" s="10"/>
      <c r="N138" s="10"/>
      <c r="O138" s="6"/>
    </row>
    <row r="139" spans="1:15" x14ac:dyDescent="0.2">
      <c r="A139" s="126" t="s">
        <v>289</v>
      </c>
      <c r="B139" s="4" t="s">
        <v>102</v>
      </c>
      <c r="C139" s="4" t="s">
        <v>41</v>
      </c>
      <c r="D139" s="7"/>
      <c r="E139" s="7"/>
      <c r="F139" s="8" t="str">
        <f t="shared" ref="F139" si="330">IF(ISBLANK(B139),"",IF(I139="L","Baixa",IF(I139="A","Média",IF(I139="","","Alta"))))</f>
        <v>Média</v>
      </c>
      <c r="G139" s="7" t="str">
        <f t="shared" ref="G139" si="331">CONCATENATE(B139,I139)</f>
        <v>CEA</v>
      </c>
      <c r="H139" s="5">
        <f t="shared" ref="H139" si="332">IF(ISBLANK(B139),"",IF(B139="ALI",IF(I139="L",7,IF(I139="A",10,15)),IF(B139="AIE",IF(I139="L",5,IF(I139="A",7,10)),IF(B139="SE",IF(I139="L",4,IF(I139="A",5,7)),IF(OR(B139="EE",B139="CE"),IF(I139="L",3,IF(I139="A",4,6)),0)))))</f>
        <v>4</v>
      </c>
      <c r="I139" s="122" t="str">
        <f t="shared" ref="I139" si="333">IF(OR(ISBLANK(D139),ISBLANK(E139)),IF(OR(B139="ALI",B139="AIE"),"L",IF(OR(B139="EE",B139="SE",B139="CE"),"A","")),IF(B139="EE",IF(E139&gt;=3,IF(D139&gt;=5,"H","A"),IF(E139&gt;=2,IF(D139&gt;=16,"H",IF(D139&lt;=4,"L","A")),IF(D139&lt;=15,"L","A"))),IF(OR(B139="SE",B139="CE"),IF(E139&gt;=4,IF(D139&gt;=6,"H","A"),IF(E139&gt;=2,IF(D139&gt;=20,"H",IF(D139&lt;=5,"L","A")),IF(D139&lt;=19,"L","A"))),IF(OR(B139="ALI",B139="AIE"),IF(E139&gt;=6,IF(D139&gt;=20,"H","A"),IF(E139&gt;=2,IF(D139&gt;=51,"H",IF(D139&lt;=19,"L","A")),IF(D139&lt;=50,"L","A"))),""))))</f>
        <v>A</v>
      </c>
      <c r="J139" s="7" t="str">
        <f t="shared" ref="J139" si="334">CONCATENATE(B139,C139)</f>
        <v>CEI</v>
      </c>
      <c r="K139" s="9">
        <f t="shared" ref="K139" si="335">IF(OR(H139="",H139=0),L139,H139)</f>
        <v>4</v>
      </c>
      <c r="L139" s="9">
        <f>IF(NOT(ISERROR(VLOOKUP(B139,Deflatores!G$42:H$64,2,FALSE))),VLOOKUP(B139,Deflatores!G$42:H$64,2,FALSE),IF(OR(ISBLANK(C139),ISBLANK(B139)),"",VLOOKUP(C139,Deflatores!G$4:H$38,2,FALSE)*H139+VLOOKUP(C139,Deflatores!G$4:I$38,3,FALSE)))</f>
        <v>4</v>
      </c>
      <c r="M139" s="10"/>
      <c r="N139" s="10"/>
      <c r="O139" s="6"/>
    </row>
    <row r="140" spans="1:15" x14ac:dyDescent="0.2">
      <c r="A140" s="128" t="s">
        <v>290</v>
      </c>
      <c r="B140" s="4"/>
      <c r="C140" s="4"/>
      <c r="D140" s="7"/>
      <c r="E140" s="7"/>
      <c r="F140" s="8" t="str">
        <f t="shared" ref="F140" si="336">IF(ISBLANK(B140),"",IF(I140="L","Baixa",IF(I140="A","Média",IF(I140="","","Alta"))))</f>
        <v/>
      </c>
      <c r="G140" s="7" t="str">
        <f t="shared" ref="G140" si="337">CONCATENATE(B140,I140)</f>
        <v/>
      </c>
      <c r="H140" s="5" t="str">
        <f t="shared" ref="H140" si="338">IF(ISBLANK(B140),"",IF(B140="ALI",IF(I140="L",7,IF(I140="A",10,15)),IF(B140="AIE",IF(I140="L",5,IF(I140="A",7,10)),IF(B140="SE",IF(I140="L",4,IF(I140="A",5,7)),IF(OR(B140="EE",B140="CE"),IF(I140="L",3,IF(I140="A",4,6)),0)))))</f>
        <v/>
      </c>
      <c r="I140" s="122" t="str">
        <f t="shared" ref="I140" si="339">IF(OR(ISBLANK(D140),ISBLANK(E140)),IF(OR(B140="ALI",B140="AIE"),"L",IF(OR(B140="EE",B140="SE",B140="CE"),"A","")),IF(B140="EE",IF(E140&gt;=3,IF(D140&gt;=5,"H","A"),IF(E140&gt;=2,IF(D140&gt;=16,"H",IF(D140&lt;=4,"L","A")),IF(D140&lt;=15,"L","A"))),IF(OR(B140="SE",B140="CE"),IF(E140&gt;=4,IF(D140&gt;=6,"H","A"),IF(E140&gt;=2,IF(D140&gt;=20,"H",IF(D140&lt;=5,"L","A")),IF(D140&lt;=19,"L","A"))),IF(OR(B140="ALI",B140="AIE"),IF(E140&gt;=6,IF(D140&gt;=20,"H","A"),IF(E140&gt;=2,IF(D140&gt;=51,"H",IF(D140&lt;=19,"L","A")),IF(D140&lt;=50,"L","A"))),""))))</f>
        <v/>
      </c>
      <c r="J140" s="7" t="str">
        <f t="shared" ref="J140" si="340">CONCATENATE(B140,C140)</f>
        <v/>
      </c>
      <c r="K140" s="9" t="str">
        <f t="shared" ref="K140" si="341">IF(OR(H140="",H140=0),L140,H140)</f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 t="s">
        <v>291</v>
      </c>
      <c r="B141" s="4" t="s">
        <v>102</v>
      </c>
      <c r="C141" s="4" t="s">
        <v>41</v>
      </c>
      <c r="D141" s="7"/>
      <c r="E141" s="7"/>
      <c r="F141" s="8" t="str">
        <f t="shared" ref="F141" si="342">IF(ISBLANK(B141),"",IF(I141="L","Baixa",IF(I141="A","Média",IF(I141="","","Alta"))))</f>
        <v>Média</v>
      </c>
      <c r="G141" s="7" t="str">
        <f t="shared" ref="G141" si="343">CONCATENATE(B141,I141)</f>
        <v>CEA</v>
      </c>
      <c r="H141" s="5">
        <f t="shared" ref="H141" si="344">IF(ISBLANK(B141),"",IF(B141="ALI",IF(I141="L",7,IF(I141="A",10,15)),IF(B141="AIE",IF(I141="L",5,IF(I141="A",7,10)),IF(B141="SE",IF(I141="L",4,IF(I141="A",5,7)),IF(OR(B141="EE",B141="CE"),IF(I141="L",3,IF(I141="A",4,6)),0)))))</f>
        <v>4</v>
      </c>
      <c r="I141" s="122" t="str">
        <f t="shared" ref="I141" si="345">IF(OR(ISBLANK(D141),ISBLANK(E141)),IF(OR(B141="ALI",B141="AIE"),"L",IF(OR(B141="EE",B141="SE",B141="CE"),"A","")),IF(B141="EE",IF(E141&gt;=3,IF(D141&gt;=5,"H","A"),IF(E141&gt;=2,IF(D141&gt;=16,"H",IF(D141&lt;=4,"L","A")),IF(D141&lt;=15,"L","A"))),IF(OR(B141="SE",B141="CE"),IF(E141&gt;=4,IF(D141&gt;=6,"H","A"),IF(E141&gt;=2,IF(D141&gt;=20,"H",IF(D141&lt;=5,"L","A")),IF(D141&lt;=19,"L","A"))),IF(OR(B141="ALI",B141="AIE"),IF(E141&gt;=6,IF(D141&gt;=20,"H","A"),IF(E141&gt;=2,IF(D141&gt;=51,"H",IF(D141&lt;=19,"L","A")),IF(D141&lt;=50,"L","A"))),""))))</f>
        <v>A</v>
      </c>
      <c r="J141" s="7" t="str">
        <f t="shared" ref="J141" si="346">CONCATENATE(B141,C141)</f>
        <v>CEI</v>
      </c>
      <c r="K141" s="9">
        <f t="shared" ref="K141" si="347">IF(OR(H141="",H141=0),L141,H141)</f>
        <v>4</v>
      </c>
      <c r="L141" s="9">
        <f>IF(NOT(ISERROR(VLOOKUP(B141,Deflatores!G$42:H$64,2,FALSE))),VLOOKUP(B141,Deflatores!G$42:H$64,2,FALSE),IF(OR(ISBLANK(C141),ISBLANK(B141)),"",VLOOKUP(C141,Deflatores!G$4:H$38,2,FALSE)*H141+VLOOKUP(C141,Deflatores!G$4:I$38,3,FALSE)))</f>
        <v>4</v>
      </c>
      <c r="M141" s="10"/>
      <c r="N141" s="10"/>
      <c r="O141" s="6"/>
    </row>
    <row r="142" spans="1:15" x14ac:dyDescent="0.2">
      <c r="A142" s="126" t="s">
        <v>292</v>
      </c>
      <c r="B142" s="4" t="s">
        <v>100</v>
      </c>
      <c r="C142" s="4" t="s">
        <v>41</v>
      </c>
      <c r="D142" s="7"/>
      <c r="E142" s="7"/>
      <c r="F142" s="8" t="str">
        <f t="shared" ref="F142" si="348">IF(ISBLANK(B142),"",IF(I142="L","Baixa",IF(I142="A","Média",IF(I142="","","Alta"))))</f>
        <v>Média</v>
      </c>
      <c r="G142" s="7" t="str">
        <f t="shared" ref="G142" si="349">CONCATENATE(B142,I142)</f>
        <v>EEA</v>
      </c>
      <c r="H142" s="5">
        <f t="shared" ref="H142" si="350">IF(ISBLANK(B142),"",IF(B142="ALI",IF(I142="L",7,IF(I142="A",10,15)),IF(B142="AIE",IF(I142="L",5,IF(I142="A",7,10)),IF(B142="SE",IF(I142="L",4,IF(I142="A",5,7)),IF(OR(B142="EE",B142="CE"),IF(I142="L",3,IF(I142="A",4,6)),0)))))</f>
        <v>4</v>
      </c>
      <c r="I142" s="122" t="str">
        <f t="shared" ref="I142" si="351"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>A</v>
      </c>
      <c r="J142" s="7" t="str">
        <f t="shared" ref="J142" si="352">CONCATENATE(B142,C142)</f>
        <v>EEI</v>
      </c>
      <c r="K142" s="9">
        <f t="shared" ref="K142" si="353">IF(OR(H142="",H142=0),L142,H142)</f>
        <v>4</v>
      </c>
      <c r="L142" s="9">
        <f>IF(NOT(ISERROR(VLOOKUP(B142,Deflatores!G$42:H$64,2,FALSE))),VLOOKUP(B142,Deflatores!G$42:H$64,2,FALSE),IF(OR(ISBLANK(C142),ISBLANK(B142)),"",VLOOKUP(C142,Deflatores!G$4:H$38,2,FALSE)*H142+VLOOKUP(C142,Deflatores!G$4:I$38,3,FALSE)))</f>
        <v>4</v>
      </c>
      <c r="M142" s="10"/>
      <c r="N142" s="10"/>
      <c r="O142" s="6"/>
    </row>
    <row r="143" spans="1:15" x14ac:dyDescent="0.2">
      <c r="A143" s="126" t="s">
        <v>293</v>
      </c>
      <c r="B143" s="4" t="s">
        <v>100</v>
      </c>
      <c r="C143" s="4" t="s">
        <v>41</v>
      </c>
      <c r="D143" s="7"/>
      <c r="E143" s="7"/>
      <c r="F143" s="8" t="str">
        <f t="shared" ref="F143" si="354">IF(ISBLANK(B143),"",IF(I143="L","Baixa",IF(I143="A","Média",IF(I143="","","Alta"))))</f>
        <v>Média</v>
      </c>
      <c r="G143" s="7" t="str">
        <f t="shared" ref="G143" si="355">CONCATENATE(B143,I143)</f>
        <v>EEA</v>
      </c>
      <c r="H143" s="5">
        <f t="shared" ref="H143" si="356">IF(ISBLANK(B143),"",IF(B143="ALI",IF(I143="L",7,IF(I143="A",10,15)),IF(B143="AIE",IF(I143="L",5,IF(I143="A",7,10)),IF(B143="SE",IF(I143="L",4,IF(I143="A",5,7)),IF(OR(B143="EE",B143="CE"),IF(I143="L",3,IF(I143="A",4,6)),0)))))</f>
        <v>4</v>
      </c>
      <c r="I143" s="122" t="str">
        <f t="shared" ref="I143" si="357"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>A</v>
      </c>
      <c r="J143" s="7" t="str">
        <f t="shared" ref="J143" si="358">CONCATENATE(B143,C143)</f>
        <v>EEI</v>
      </c>
      <c r="K143" s="9">
        <f t="shared" ref="K143" si="359">IF(OR(H143="",H143=0),L143,H143)</f>
        <v>4</v>
      </c>
      <c r="L143" s="9">
        <f>IF(NOT(ISERROR(VLOOKUP(B143,Deflatores!G$42:H$64,2,FALSE))),VLOOKUP(B143,Deflatores!G$42:H$64,2,FALSE),IF(OR(ISBLANK(C143),ISBLANK(B143)),"",VLOOKUP(C143,Deflatores!G$4:H$38,2,FALSE)*H143+VLOOKUP(C143,Deflatores!G$4:I$38,3,FALSE)))</f>
        <v>4</v>
      </c>
      <c r="M143" s="10"/>
      <c r="N143" s="10"/>
      <c r="O143" s="6"/>
    </row>
    <row r="144" spans="1:15" x14ac:dyDescent="0.2">
      <c r="A144" s="128"/>
      <c r="B144" s="4"/>
      <c r="C144" s="4"/>
      <c r="D144" s="7"/>
      <c r="E144" s="7"/>
      <c r="F144" s="8" t="str">
        <f t="shared" si="0"/>
        <v/>
      </c>
      <c r="G144" s="7" t="str">
        <f t="shared" si="1"/>
        <v/>
      </c>
      <c r="H144" s="5" t="str">
        <f t="shared" si="2"/>
        <v/>
      </c>
      <c r="I144" s="122" t="str">
        <f t="shared" si="3"/>
        <v/>
      </c>
      <c r="J144" s="7" t="str">
        <f t="shared" si="4"/>
        <v/>
      </c>
      <c r="K144" s="9" t="str">
        <f t="shared" si="5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8" t="s">
        <v>294</v>
      </c>
      <c r="B145" s="4"/>
      <c r="C145" s="4"/>
      <c r="D145" s="7"/>
      <c r="E145" s="7"/>
      <c r="F145" s="8" t="str">
        <f t="shared" ref="F145" si="360">IF(ISBLANK(B145),"",IF(I145="L","Baixa",IF(I145="A","Média",IF(I145="","","Alta"))))</f>
        <v/>
      </c>
      <c r="G145" s="7" t="str">
        <f t="shared" ref="G145" si="361">CONCATENATE(B145,I145)</f>
        <v/>
      </c>
      <c r="H145" s="5" t="str">
        <f t="shared" ref="H145" si="362">IF(ISBLANK(B145),"",IF(B145="ALI",IF(I145="L",7,IF(I145="A",10,15)),IF(B145="AIE",IF(I145="L",5,IF(I145="A",7,10)),IF(B145="SE",IF(I145="L",4,IF(I145="A",5,7)),IF(OR(B145="EE",B145="CE"),IF(I145="L",3,IF(I145="A",4,6)),0)))))</f>
        <v/>
      </c>
      <c r="I145" s="122" t="str">
        <f t="shared" ref="I145" si="363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/>
      </c>
      <c r="J145" s="7" t="str">
        <f t="shared" ref="J145" si="364">CONCATENATE(B145,C145)</f>
        <v/>
      </c>
      <c r="K145" s="9" t="str">
        <f t="shared" ref="K145" si="365">IF(OR(H145="",H145=0),L145,H145)</f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6" t="s">
        <v>294</v>
      </c>
      <c r="B146" s="4" t="s">
        <v>98</v>
      </c>
      <c r="C146" s="4" t="s">
        <v>41</v>
      </c>
      <c r="D146" s="7"/>
      <c r="E146" s="7"/>
      <c r="F146" s="8" t="str">
        <f t="shared" si="0"/>
        <v>Baixa</v>
      </c>
      <c r="G146" s="7" t="str">
        <f t="shared" si="1"/>
        <v>ALIL</v>
      </c>
      <c r="H146" s="5">
        <f t="shared" si="2"/>
        <v>7</v>
      </c>
      <c r="I146" s="122" t="str">
        <f t="shared" si="3"/>
        <v>L</v>
      </c>
      <c r="J146" s="7" t="str">
        <f t="shared" si="4"/>
        <v>ALII</v>
      </c>
      <c r="K146" s="9">
        <f t="shared" si="5"/>
        <v>7</v>
      </c>
      <c r="L146" s="9">
        <f>IF(NOT(ISERROR(VLOOKUP(B146,Deflatores!G$42:H$64,2,FALSE))),VLOOKUP(B146,Deflatores!G$42:H$64,2,FALSE),IF(OR(ISBLANK(C146),ISBLANK(B146)),"",VLOOKUP(C146,Deflatores!G$4:H$38,2,FALSE)*H146+VLOOKUP(C146,Deflatores!G$4:I$38,3,FALSE)))</f>
        <v>7</v>
      </c>
      <c r="M146" s="10"/>
      <c r="N146" s="10"/>
      <c r="O146" s="6"/>
    </row>
    <row r="147" spans="1:15" x14ac:dyDescent="0.2">
      <c r="A147" s="126" t="s">
        <v>295</v>
      </c>
      <c r="B147" s="4" t="s">
        <v>100</v>
      </c>
      <c r="C147" s="4" t="s">
        <v>41</v>
      </c>
      <c r="D147" s="7"/>
      <c r="E147" s="7"/>
      <c r="F147" s="8" t="str">
        <f t="shared" si="0"/>
        <v>Média</v>
      </c>
      <c r="G147" s="7" t="str">
        <f t="shared" si="1"/>
        <v>EEA</v>
      </c>
      <c r="H147" s="5">
        <f t="shared" si="2"/>
        <v>4</v>
      </c>
      <c r="I147" s="122" t="str">
        <f t="shared" si="3"/>
        <v>A</v>
      </c>
      <c r="J147" s="7" t="str">
        <f t="shared" si="4"/>
        <v>EEI</v>
      </c>
      <c r="K147" s="9">
        <f t="shared" si="5"/>
        <v>4</v>
      </c>
      <c r="L147" s="9">
        <f>IF(NOT(ISERROR(VLOOKUP(B147,Deflatores!G$42:H$64,2,FALSE))),VLOOKUP(B147,Deflatores!G$42:H$64,2,FALSE),IF(OR(ISBLANK(C147),ISBLANK(B147)),"",VLOOKUP(C147,Deflatores!G$4:H$38,2,FALSE)*H147+VLOOKUP(C147,Deflatores!G$4:I$38,3,FALSE)))</f>
        <v>4</v>
      </c>
      <c r="M147" s="10"/>
      <c r="N147" s="10"/>
      <c r="O147" s="6"/>
    </row>
    <row r="148" spans="1:15" x14ac:dyDescent="0.2">
      <c r="A148" s="126" t="s">
        <v>296</v>
      </c>
      <c r="B148" s="4" t="s">
        <v>102</v>
      </c>
      <c r="C148" s="4" t="s">
        <v>41</v>
      </c>
      <c r="D148" s="7"/>
      <c r="E148" s="7"/>
      <c r="F148" s="8" t="str">
        <f t="shared" ref="F148" si="366">IF(ISBLANK(B148),"",IF(I148="L","Baixa",IF(I148="A","Média",IF(I148="","","Alta"))))</f>
        <v>Média</v>
      </c>
      <c r="G148" s="7" t="str">
        <f t="shared" ref="G148" si="367">CONCATENATE(B148,I148)</f>
        <v>CEA</v>
      </c>
      <c r="H148" s="5">
        <f t="shared" ref="H148" si="368">IF(ISBLANK(B148),"",IF(B148="ALI",IF(I148="L",7,IF(I148="A",10,15)),IF(B148="AIE",IF(I148="L",5,IF(I148="A",7,10)),IF(B148="SE",IF(I148="L",4,IF(I148="A",5,7)),IF(OR(B148="EE",B148="CE"),IF(I148="L",3,IF(I148="A",4,6)),0)))))</f>
        <v>4</v>
      </c>
      <c r="I148" s="122" t="str">
        <f t="shared" ref="I148" si="369"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>A</v>
      </c>
      <c r="J148" s="7" t="str">
        <f t="shared" ref="J148" si="370">CONCATENATE(B148,C148)</f>
        <v>CEI</v>
      </c>
      <c r="K148" s="9">
        <f t="shared" ref="K148" si="371">IF(OR(H148="",H148=0),L148,H148)</f>
        <v>4</v>
      </c>
      <c r="L148" s="9">
        <f>IF(NOT(ISERROR(VLOOKUP(B148,Deflatores!G$42:H$64,2,FALSE))),VLOOKUP(B148,Deflatores!G$42:H$64,2,FALSE),IF(OR(ISBLANK(C148),ISBLANK(B148)),"",VLOOKUP(C148,Deflatores!G$4:H$38,2,FALSE)*H148+VLOOKUP(C148,Deflatores!G$4:I$38,3,FALSE)))</f>
        <v>4</v>
      </c>
      <c r="M148" s="10"/>
      <c r="N148" s="10"/>
      <c r="O148" s="6"/>
    </row>
    <row r="149" spans="1:15" x14ac:dyDescent="0.2">
      <c r="A149" s="126" t="s">
        <v>297</v>
      </c>
      <c r="B149" s="4" t="s">
        <v>102</v>
      </c>
      <c r="C149" s="4" t="s">
        <v>41</v>
      </c>
      <c r="D149" s="7"/>
      <c r="E149" s="7"/>
      <c r="F149" s="8"/>
      <c r="G149" s="7"/>
      <c r="H149" s="5"/>
      <c r="I149" s="122"/>
      <c r="J149" s="7"/>
      <c r="K149" s="9"/>
      <c r="L149" s="9"/>
      <c r="M149" s="10"/>
      <c r="N149" s="10"/>
      <c r="O149" s="6"/>
    </row>
    <row r="150" spans="1:15" x14ac:dyDescent="0.2">
      <c r="A150" s="126" t="s">
        <v>298</v>
      </c>
      <c r="B150" s="4" t="s">
        <v>102</v>
      </c>
      <c r="C150" s="4" t="s">
        <v>41</v>
      </c>
      <c r="D150" s="7"/>
      <c r="E150" s="7"/>
      <c r="F150" s="8"/>
      <c r="G150" s="7"/>
      <c r="H150" s="5"/>
      <c r="I150" s="122"/>
      <c r="J150" s="7"/>
      <c r="K150" s="9"/>
      <c r="L150" s="9"/>
      <c r="M150" s="10"/>
      <c r="N150" s="10"/>
      <c r="O150" s="6"/>
    </row>
    <row r="151" spans="1:15" x14ac:dyDescent="0.2">
      <c r="A151" s="126" t="s">
        <v>299</v>
      </c>
      <c r="B151" s="4" t="s">
        <v>100</v>
      </c>
      <c r="C151" s="4" t="s">
        <v>41</v>
      </c>
      <c r="D151" s="7"/>
      <c r="E151" s="7"/>
      <c r="F151" s="8" t="str">
        <f t="shared" ref="F151" si="372">IF(ISBLANK(B151),"",IF(I151="L","Baixa",IF(I151="A","Média",IF(I151="","","Alta"))))</f>
        <v>Média</v>
      </c>
      <c r="G151" s="7" t="str">
        <f t="shared" ref="G151" si="373">CONCATENATE(B151,I151)</f>
        <v>EEA</v>
      </c>
      <c r="H151" s="5">
        <f t="shared" ref="H151" si="374">IF(ISBLANK(B151),"",IF(B151="ALI",IF(I151="L",7,IF(I151="A",10,15)),IF(B151="AIE",IF(I151="L",5,IF(I151="A",7,10)),IF(B151="SE",IF(I151="L",4,IF(I151="A",5,7)),IF(OR(B151="EE",B151="CE"),IF(I151="L",3,IF(I151="A",4,6)),0)))))</f>
        <v>4</v>
      </c>
      <c r="I151" s="122" t="str">
        <f t="shared" ref="I151" si="375"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>A</v>
      </c>
      <c r="J151" s="7" t="str">
        <f t="shared" ref="J151" si="376">CONCATENATE(B151,C151)</f>
        <v>EEI</v>
      </c>
      <c r="K151" s="9">
        <f t="shared" ref="K151" si="377">IF(OR(H151="",H151=0),L151,H151)</f>
        <v>4</v>
      </c>
      <c r="L151" s="9">
        <f>IF(NOT(ISERROR(VLOOKUP(B151,Deflatores!G$42:H$64,2,FALSE))),VLOOKUP(B151,Deflatores!G$42:H$64,2,FALSE),IF(OR(ISBLANK(C151),ISBLANK(B151)),"",VLOOKUP(C151,Deflatores!G$4:H$38,2,FALSE)*H151+VLOOKUP(C151,Deflatores!G$4:I$38,3,FALSE)))</f>
        <v>4</v>
      </c>
      <c r="M151" s="10"/>
      <c r="N151" s="10"/>
      <c r="O151" s="6"/>
    </row>
    <row r="152" spans="1:15" x14ac:dyDescent="0.2">
      <c r="A152" s="126" t="s">
        <v>300</v>
      </c>
      <c r="B152" s="4" t="s">
        <v>100</v>
      </c>
      <c r="C152" s="4" t="s">
        <v>41</v>
      </c>
      <c r="D152" s="7"/>
      <c r="E152" s="7"/>
      <c r="F152" s="8" t="str">
        <f t="shared" si="0"/>
        <v>Média</v>
      </c>
      <c r="G152" s="7" t="str">
        <f t="shared" si="1"/>
        <v>EEA</v>
      </c>
      <c r="H152" s="5">
        <f t="shared" si="2"/>
        <v>4</v>
      </c>
      <c r="I152" s="122" t="str">
        <f t="shared" si="3"/>
        <v>A</v>
      </c>
      <c r="J152" s="7" t="str">
        <f t="shared" si="4"/>
        <v>EEI</v>
      </c>
      <c r="K152" s="9">
        <f t="shared" si="5"/>
        <v>4</v>
      </c>
      <c r="L152" s="9">
        <f>IF(NOT(ISERROR(VLOOKUP(B152,Deflatores!G$42:H$64,2,FALSE))),VLOOKUP(B152,Deflatores!G$42:H$64,2,FALSE),IF(OR(ISBLANK(C152),ISBLANK(B152)),"",VLOOKUP(C152,Deflatores!G$4:H$38,2,FALSE)*H152+VLOOKUP(C152,Deflatores!G$4:I$38,3,FALSE)))</f>
        <v>4</v>
      </c>
      <c r="M152" s="10"/>
      <c r="N152" s="10"/>
      <c r="O152" s="6"/>
    </row>
    <row r="153" spans="1:15" x14ac:dyDescent="0.2">
      <c r="A153" s="126"/>
      <c r="B153" s="4"/>
      <c r="C153" s="4"/>
      <c r="D153" s="7"/>
      <c r="E153" s="7"/>
      <c r="F153" s="8" t="str">
        <f t="shared" si="0"/>
        <v/>
      </c>
      <c r="G153" s="7" t="str">
        <f t="shared" si="1"/>
        <v/>
      </c>
      <c r="H153" s="5" t="str">
        <f t="shared" si="2"/>
        <v/>
      </c>
      <c r="I153" s="122" t="str">
        <f t="shared" si="3"/>
        <v/>
      </c>
      <c r="J153" s="7" t="str">
        <f t="shared" si="4"/>
        <v/>
      </c>
      <c r="K153" s="9" t="str">
        <f t="shared" si="5"/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8" t="s">
        <v>301</v>
      </c>
      <c r="B154" s="4"/>
      <c r="C154" s="4"/>
      <c r="D154" s="7"/>
      <c r="E154" s="7"/>
      <c r="F154" s="8" t="str">
        <f t="shared" si="0"/>
        <v/>
      </c>
      <c r="G154" s="7" t="str">
        <f t="shared" si="1"/>
        <v/>
      </c>
      <c r="H154" s="5" t="str">
        <f t="shared" si="2"/>
        <v/>
      </c>
      <c r="I154" s="122" t="str">
        <f t="shared" si="3"/>
        <v/>
      </c>
      <c r="J154" s="7" t="str">
        <f t="shared" si="4"/>
        <v/>
      </c>
      <c r="K154" s="9" t="str">
        <f t="shared" si="5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 t="s">
        <v>301</v>
      </c>
      <c r="B155" s="4" t="s">
        <v>98</v>
      </c>
      <c r="C155" s="4" t="s">
        <v>41</v>
      </c>
      <c r="D155" s="7"/>
      <c r="E155" s="7"/>
      <c r="F155" s="8" t="str">
        <f t="shared" ref="F155" si="378">IF(ISBLANK(B155),"",IF(I155="L","Baixa",IF(I155="A","Média",IF(I155="","","Alta"))))</f>
        <v>Baixa</v>
      </c>
      <c r="G155" s="7" t="str">
        <f t="shared" ref="G155" si="379">CONCATENATE(B155,I155)</f>
        <v>ALIL</v>
      </c>
      <c r="H155" s="5">
        <f t="shared" ref="H155" si="380">IF(ISBLANK(B155),"",IF(B155="ALI",IF(I155="L",7,IF(I155="A",10,15)),IF(B155="AIE",IF(I155="L",5,IF(I155="A",7,10)),IF(B155="SE",IF(I155="L",4,IF(I155="A",5,7)),IF(OR(B155="EE",B155="CE"),IF(I155="L",3,IF(I155="A",4,6)),0)))))</f>
        <v>7</v>
      </c>
      <c r="I155" s="122" t="str">
        <f t="shared" ref="I155" si="381">IF(OR(ISBLANK(D155),ISBLANK(E155)),IF(OR(B155="ALI",B155="AIE"),"L",IF(OR(B155="EE",B155="SE",B155="CE"),"A","")),IF(B155="EE",IF(E155&gt;=3,IF(D155&gt;=5,"H","A"),IF(E155&gt;=2,IF(D155&gt;=16,"H",IF(D155&lt;=4,"L","A")),IF(D155&lt;=15,"L","A"))),IF(OR(B155="SE",B155="CE"),IF(E155&gt;=4,IF(D155&gt;=6,"H","A"),IF(E155&gt;=2,IF(D155&gt;=20,"H",IF(D155&lt;=5,"L","A")),IF(D155&lt;=19,"L","A"))),IF(OR(B155="ALI",B155="AIE"),IF(E155&gt;=6,IF(D155&gt;=20,"H","A"),IF(E155&gt;=2,IF(D155&gt;=51,"H",IF(D155&lt;=19,"L","A")),IF(D155&lt;=50,"L","A"))),""))))</f>
        <v>L</v>
      </c>
      <c r="J155" s="7" t="str">
        <f t="shared" ref="J155" si="382">CONCATENATE(B155,C155)</f>
        <v>ALII</v>
      </c>
      <c r="K155" s="9">
        <f t="shared" ref="K155" si="383">IF(OR(H155="",H155=0),L155,H155)</f>
        <v>7</v>
      </c>
      <c r="L155" s="9">
        <f>IF(NOT(ISERROR(VLOOKUP(B155,Deflatores!G$42:H$64,2,FALSE))),VLOOKUP(B155,Deflatores!G$42:H$64,2,FALSE),IF(OR(ISBLANK(C155),ISBLANK(B155)),"",VLOOKUP(C155,Deflatores!G$4:H$38,2,FALSE)*H155+VLOOKUP(C155,Deflatores!G$4:I$38,3,FALSE)))</f>
        <v>7</v>
      </c>
      <c r="M155" s="10"/>
      <c r="N155" s="10"/>
      <c r="O155" s="6"/>
    </row>
    <row r="156" spans="1:15" x14ac:dyDescent="0.2">
      <c r="A156" s="126" t="s">
        <v>302</v>
      </c>
      <c r="B156" s="4" t="s">
        <v>102</v>
      </c>
      <c r="C156" s="4" t="s">
        <v>41</v>
      </c>
      <c r="D156" s="7"/>
      <c r="E156" s="7"/>
      <c r="F156" s="8" t="str">
        <f t="shared" si="0"/>
        <v>Média</v>
      </c>
      <c r="G156" s="7" t="str">
        <f t="shared" si="1"/>
        <v>CEA</v>
      </c>
      <c r="H156" s="5">
        <f t="shared" si="2"/>
        <v>4</v>
      </c>
      <c r="I156" s="122" t="str">
        <f t="shared" si="3"/>
        <v>A</v>
      </c>
      <c r="J156" s="7" t="str">
        <f t="shared" si="4"/>
        <v>CEI</v>
      </c>
      <c r="K156" s="9">
        <f t="shared" si="5"/>
        <v>4</v>
      </c>
      <c r="L156" s="9">
        <f>IF(NOT(ISERROR(VLOOKUP(B156,Deflatores!G$42:H$64,2,FALSE))),VLOOKUP(B156,Deflatores!G$42:H$64,2,FALSE),IF(OR(ISBLANK(C156),ISBLANK(B156)),"",VLOOKUP(C156,Deflatores!G$4:H$38,2,FALSE)*H156+VLOOKUP(C156,Deflatores!G$4:I$38,3,FALSE)))</f>
        <v>4</v>
      </c>
      <c r="M156" s="10"/>
      <c r="N156" s="10"/>
      <c r="O156" s="6"/>
    </row>
    <row r="157" spans="1:15" x14ac:dyDescent="0.2">
      <c r="A157" s="126" t="s">
        <v>303</v>
      </c>
      <c r="B157" s="4" t="s">
        <v>100</v>
      </c>
      <c r="C157" s="4" t="s">
        <v>41</v>
      </c>
      <c r="D157" s="7"/>
      <c r="E157" s="7"/>
      <c r="F157" s="8" t="str">
        <f>IF(ISBLANK(B157),"",IF(I157="L","Baixa",IF(I157="A","Média",IF(I157="","","Alta"))))</f>
        <v>Média</v>
      </c>
      <c r="G157" s="7" t="str">
        <f>CONCATENATE(B157,I157)</f>
        <v>EEA</v>
      </c>
      <c r="H157" s="5">
        <f>IF(ISBLANK(B157),"",IF(B157="ALI",IF(I157="L",7,IF(I157="A",10,15)),IF(B157="AIE",IF(I157="L",5,IF(I157="A",7,10)),IF(B157="SE",IF(I157="L",4,IF(I157="A",5,7)),IF(OR(B157="EE",B157="CE"),IF(I157="L",3,IF(I157="A",4,6)),0)))))</f>
        <v>4</v>
      </c>
      <c r="I157" s="122" t="str">
        <f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>A</v>
      </c>
      <c r="J157" s="7" t="str">
        <f>CONCATENATE(B157,C157)</f>
        <v>EEI</v>
      </c>
      <c r="K157" s="9">
        <f>IF(OR(H157="",H157=0),L157,H157)</f>
        <v>4</v>
      </c>
      <c r="L157" s="9">
        <f>IF(NOT(ISERROR(VLOOKUP(B157,Deflatores!G$42:H$64,2,FALSE))),VLOOKUP(B157,Deflatores!G$42:H$64,2,FALSE),IF(OR(ISBLANK(C157),ISBLANK(B157)),"",VLOOKUP(C157,Deflatores!G$4:H$38,2,FALSE)*H157+VLOOKUP(C157,Deflatores!G$4:I$38,3,FALSE)))</f>
        <v>4</v>
      </c>
      <c r="M157" s="10"/>
      <c r="N157" s="10"/>
      <c r="O157" s="6"/>
    </row>
    <row r="158" spans="1:15" x14ac:dyDescent="0.2">
      <c r="A158" s="126" t="s">
        <v>304</v>
      </c>
      <c r="B158" s="4" t="s">
        <v>102</v>
      </c>
      <c r="C158" s="4" t="s">
        <v>41</v>
      </c>
      <c r="D158" s="7"/>
      <c r="E158" s="7"/>
      <c r="F158" s="8" t="str">
        <f>IF(ISBLANK(B158),"",IF(I158="L","Baixa",IF(I158="A","Média",IF(I158="","","Alta"))))</f>
        <v>Média</v>
      </c>
      <c r="G158" s="7" t="str">
        <f>CONCATENATE(B158,I158)</f>
        <v>CEA</v>
      </c>
      <c r="H158" s="5">
        <f>IF(ISBLANK(B158),"",IF(B158="ALI",IF(I158="L",7,IF(I158="A",10,15)),IF(B158="AIE",IF(I158="L",5,IF(I158="A",7,10)),IF(B158="SE",IF(I158="L",4,IF(I158="A",5,7)),IF(OR(B158="EE",B158="CE"),IF(I158="L",3,IF(I158="A",4,6)),0)))))</f>
        <v>4</v>
      </c>
      <c r="I158" s="122" t="str">
        <f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>A</v>
      </c>
      <c r="J158" s="7" t="str">
        <f>CONCATENATE(B158,C158)</f>
        <v>CEI</v>
      </c>
      <c r="K158" s="9">
        <f>IF(OR(H158="",H158=0),L158,H158)</f>
        <v>4</v>
      </c>
      <c r="L158" s="9">
        <f>IF(NOT(ISERROR(VLOOKUP(B158,Deflatores!G$42:H$64,2,FALSE))),VLOOKUP(B158,Deflatores!G$42:H$64,2,FALSE),IF(OR(ISBLANK(C158),ISBLANK(B158)),"",VLOOKUP(C158,Deflatores!G$4:H$38,2,FALSE)*H158+VLOOKUP(C158,Deflatores!G$4:I$38,3,FALSE)))</f>
        <v>4</v>
      </c>
      <c r="M158" s="10"/>
      <c r="N158" s="10"/>
      <c r="O158" s="6"/>
    </row>
    <row r="159" spans="1:15" x14ac:dyDescent="0.2">
      <c r="A159" s="126" t="s">
        <v>305</v>
      </c>
      <c r="B159" s="4" t="s">
        <v>100</v>
      </c>
      <c r="C159" s="4" t="s">
        <v>41</v>
      </c>
      <c r="D159" s="7"/>
      <c r="E159" s="7"/>
      <c r="F159" s="8" t="str">
        <f t="shared" si="0"/>
        <v>Média</v>
      </c>
      <c r="G159" s="7" t="str">
        <f t="shared" si="1"/>
        <v>EEA</v>
      </c>
      <c r="H159" s="5">
        <f t="shared" si="2"/>
        <v>4</v>
      </c>
      <c r="I159" s="122" t="str">
        <f t="shared" si="3"/>
        <v>A</v>
      </c>
      <c r="J159" s="7" t="str">
        <f t="shared" si="4"/>
        <v>EEI</v>
      </c>
      <c r="K159" s="9">
        <f t="shared" si="5"/>
        <v>4</v>
      </c>
      <c r="L159" s="9">
        <f>IF(NOT(ISERROR(VLOOKUP(B159,Deflatores!G$42:H$64,2,FALSE))),VLOOKUP(B159,Deflatores!G$42:H$64,2,FALSE),IF(OR(ISBLANK(C159),ISBLANK(B159)),"",VLOOKUP(C159,Deflatores!G$4:H$38,2,FALSE)*H159+VLOOKUP(C159,Deflatores!G$4:I$38,3,FALSE)))</f>
        <v>4</v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0"/>
        <v/>
      </c>
      <c r="G160" s="7" t="str">
        <f t="shared" si="1"/>
        <v/>
      </c>
      <c r="H160" s="5" t="str">
        <f t="shared" si="2"/>
        <v/>
      </c>
      <c r="I160" s="122" t="str">
        <f t="shared" si="3"/>
        <v/>
      </c>
      <c r="J160" s="7" t="str">
        <f t="shared" si="4"/>
        <v/>
      </c>
      <c r="K160" s="9" t="str">
        <f t="shared" si="5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8" t="s">
        <v>306</v>
      </c>
      <c r="B161" s="4"/>
      <c r="C161" s="4"/>
      <c r="D161" s="7"/>
      <c r="E161" s="7"/>
      <c r="F161" s="8" t="str">
        <f t="shared" si="0"/>
        <v/>
      </c>
      <c r="G161" s="7" t="str">
        <f t="shared" si="1"/>
        <v/>
      </c>
      <c r="H161" s="5" t="str">
        <f t="shared" si="2"/>
        <v/>
      </c>
      <c r="I161" s="122" t="str">
        <f t="shared" si="3"/>
        <v/>
      </c>
      <c r="J161" s="7" t="str">
        <f t="shared" si="4"/>
        <v/>
      </c>
      <c r="K161" s="9" t="str">
        <f t="shared" si="5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6" t="s">
        <v>306</v>
      </c>
      <c r="B162" s="4" t="s">
        <v>98</v>
      </c>
      <c r="C162" s="4" t="s">
        <v>41</v>
      </c>
      <c r="D162" s="7"/>
      <c r="E162" s="7"/>
      <c r="F162" s="8" t="str">
        <f t="shared" ref="F162:F163" si="384">IF(ISBLANK(B162),"",IF(I162="L","Baixa",IF(I162="A","Média",IF(I162="","","Alta"))))</f>
        <v>Baixa</v>
      </c>
      <c r="G162" s="7" t="str">
        <f t="shared" ref="G162:G163" si="385">CONCATENATE(B162,I162)</f>
        <v>ALIL</v>
      </c>
      <c r="H162" s="5">
        <f t="shared" ref="H162:H163" si="386">IF(ISBLANK(B162),"",IF(B162="ALI",IF(I162="L",7,IF(I162="A",10,15)),IF(B162="AIE",IF(I162="L",5,IF(I162="A",7,10)),IF(B162="SE",IF(I162="L",4,IF(I162="A",5,7)),IF(OR(B162="EE",B162="CE"),IF(I162="L",3,IF(I162="A",4,6)),0)))))</f>
        <v>7</v>
      </c>
      <c r="I162" s="122" t="str">
        <f t="shared" ref="I162:I163" si="387">IF(OR(ISBLANK(D162),ISBLANK(E162)),IF(OR(B162="ALI",B162="AIE"),"L",IF(OR(B162="EE",B162="SE",B162="CE"),"A","")),IF(B162="EE",IF(E162&gt;=3,IF(D162&gt;=5,"H","A"),IF(E162&gt;=2,IF(D162&gt;=16,"H",IF(D162&lt;=4,"L","A")),IF(D162&lt;=15,"L","A"))),IF(OR(B162="SE",B162="CE"),IF(E162&gt;=4,IF(D162&gt;=6,"H","A"),IF(E162&gt;=2,IF(D162&gt;=20,"H",IF(D162&lt;=5,"L","A")),IF(D162&lt;=19,"L","A"))),IF(OR(B162="ALI",B162="AIE"),IF(E162&gt;=6,IF(D162&gt;=20,"H","A"),IF(E162&gt;=2,IF(D162&gt;=51,"H",IF(D162&lt;=19,"L","A")),IF(D162&lt;=50,"L","A"))),""))))</f>
        <v>L</v>
      </c>
      <c r="J162" s="7" t="str">
        <f t="shared" ref="J162:J163" si="388">CONCATENATE(B162,C162)</f>
        <v>ALII</v>
      </c>
      <c r="K162" s="9">
        <f t="shared" ref="K162:K163" si="389">IF(OR(H162="",H162=0),L162,H162)</f>
        <v>7</v>
      </c>
      <c r="L162" s="9">
        <f>IF(NOT(ISERROR(VLOOKUP(B162,Deflatores!G$42:H$64,2,FALSE))),VLOOKUP(B162,Deflatores!G$42:H$64,2,FALSE),IF(OR(ISBLANK(C162),ISBLANK(B162)),"",VLOOKUP(C162,Deflatores!G$4:H$38,2,FALSE)*H162+VLOOKUP(C162,Deflatores!G$4:I$38,3,FALSE)))</f>
        <v>7</v>
      </c>
      <c r="M162" s="10"/>
      <c r="N162" s="10"/>
      <c r="O162" s="6"/>
    </row>
    <row r="163" spans="1:15" x14ac:dyDescent="0.2">
      <c r="A163" s="126" t="s">
        <v>307</v>
      </c>
      <c r="B163" s="4" t="s">
        <v>100</v>
      </c>
      <c r="C163" s="4" t="s">
        <v>41</v>
      </c>
      <c r="D163" s="7"/>
      <c r="E163" s="7"/>
      <c r="F163" s="8" t="str">
        <f t="shared" si="384"/>
        <v>Média</v>
      </c>
      <c r="G163" s="7" t="str">
        <f t="shared" si="385"/>
        <v>EEA</v>
      </c>
      <c r="H163" s="5">
        <f t="shared" si="386"/>
        <v>4</v>
      </c>
      <c r="I163" s="122" t="str">
        <f t="shared" si="387"/>
        <v>A</v>
      </c>
      <c r="J163" s="7" t="str">
        <f t="shared" si="388"/>
        <v>EEI</v>
      </c>
      <c r="K163" s="9">
        <f t="shared" si="389"/>
        <v>4</v>
      </c>
      <c r="L163" s="9">
        <f>IF(NOT(ISERROR(VLOOKUP(B163,Deflatores!G$42:H$64,2,FALSE))),VLOOKUP(B163,Deflatores!G$42:H$64,2,FALSE),IF(OR(ISBLANK(C163),ISBLANK(B163)),"",VLOOKUP(C163,Deflatores!G$4:H$38,2,FALSE)*H163+VLOOKUP(C163,Deflatores!G$4:I$38,3,FALSE)))</f>
        <v>4</v>
      </c>
      <c r="M163" s="10"/>
      <c r="N163" s="10"/>
      <c r="O163" s="6"/>
    </row>
    <row r="164" spans="1:15" x14ac:dyDescent="0.2">
      <c r="A164" s="126" t="s">
        <v>308</v>
      </c>
      <c r="B164" s="4" t="s">
        <v>102</v>
      </c>
      <c r="C164" s="4" t="s">
        <v>41</v>
      </c>
      <c r="D164" s="7"/>
      <c r="E164" s="7"/>
      <c r="F164" s="8" t="str">
        <f t="shared" si="0"/>
        <v>Média</v>
      </c>
      <c r="G164" s="7" t="str">
        <f t="shared" si="1"/>
        <v>CEA</v>
      </c>
      <c r="H164" s="5">
        <f t="shared" si="2"/>
        <v>4</v>
      </c>
      <c r="I164" s="122" t="str">
        <f t="shared" si="3"/>
        <v>A</v>
      </c>
      <c r="J164" s="7" t="str">
        <f t="shared" si="4"/>
        <v>CEI</v>
      </c>
      <c r="K164" s="9">
        <f t="shared" si="5"/>
        <v>4</v>
      </c>
      <c r="L164" s="9">
        <f>IF(NOT(ISERROR(VLOOKUP(B164,Deflatores!G$42:H$64,2,FALSE))),VLOOKUP(B164,Deflatores!G$42:H$64,2,FALSE),IF(OR(ISBLANK(C164),ISBLANK(B164)),"",VLOOKUP(C164,Deflatores!G$4:H$38,2,FALSE)*H164+VLOOKUP(C164,Deflatores!G$4:I$38,3,FALSE)))</f>
        <v>4</v>
      </c>
      <c r="M164" s="10"/>
      <c r="N164" s="10"/>
      <c r="O164" s="6"/>
    </row>
    <row r="165" spans="1:15" ht="12" customHeight="1" x14ac:dyDescent="0.2">
      <c r="A165" s="126" t="s">
        <v>309</v>
      </c>
      <c r="B165" s="4" t="s">
        <v>102</v>
      </c>
      <c r="C165" s="4" t="s">
        <v>41</v>
      </c>
      <c r="D165" s="7"/>
      <c r="E165" s="7"/>
      <c r="F165" s="8" t="str">
        <f t="shared" ref="F165" si="390">IF(ISBLANK(B165),"",IF(I165="L","Baixa",IF(I165="A","Média",IF(I165="","","Alta"))))</f>
        <v>Média</v>
      </c>
      <c r="G165" s="7" t="str">
        <f t="shared" ref="G165" si="391">CONCATENATE(B165,I165)</f>
        <v>CEA</v>
      </c>
      <c r="H165" s="5">
        <f t="shared" ref="H165" si="392">IF(ISBLANK(B165),"",IF(B165="ALI",IF(I165="L",7,IF(I165="A",10,15)),IF(B165="AIE",IF(I165="L",5,IF(I165="A",7,10)),IF(B165="SE",IF(I165="L",4,IF(I165="A",5,7)),IF(OR(B165="EE",B165="CE"),IF(I165="L",3,IF(I165="A",4,6)),0)))))</f>
        <v>4</v>
      </c>
      <c r="I165" s="122" t="str">
        <f t="shared" ref="I165" si="393"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>A</v>
      </c>
      <c r="J165" s="7" t="str">
        <f t="shared" ref="J165" si="394">CONCATENATE(B165,C165)</f>
        <v>CEI</v>
      </c>
      <c r="K165" s="9">
        <f t="shared" ref="K165" si="395">IF(OR(H165="",H165=0),L165,H165)</f>
        <v>4</v>
      </c>
      <c r="L165" s="9">
        <f>IF(NOT(ISERROR(VLOOKUP(B165,Deflatores!G$42:H$64,2,FALSE))),VLOOKUP(B165,Deflatores!G$42:H$64,2,FALSE),IF(OR(ISBLANK(C165),ISBLANK(B165)),"",VLOOKUP(C165,Deflatores!G$4:H$38,2,FALSE)*H165+VLOOKUP(C165,Deflatores!G$4:I$38,3,FALSE)))</f>
        <v>4</v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0"/>
        <v/>
      </c>
      <c r="G166" s="7" t="str">
        <f t="shared" si="1"/>
        <v/>
      </c>
      <c r="H166" s="5" t="str">
        <f t="shared" si="2"/>
        <v/>
      </c>
      <c r="I166" s="122" t="str">
        <f t="shared" si="3"/>
        <v/>
      </c>
      <c r="J166" s="7" t="str">
        <f t="shared" si="4"/>
        <v/>
      </c>
      <c r="K166" s="9" t="str">
        <f t="shared" si="5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8" t="s">
        <v>310</v>
      </c>
      <c r="B167" s="4"/>
      <c r="C167" s="4"/>
      <c r="D167" s="7"/>
      <c r="E167" s="7"/>
      <c r="F167" s="8" t="str">
        <f t="shared" ref="F167" si="396">IF(ISBLANK(B167),"",IF(I167="L","Baixa",IF(I167="A","Média",IF(I167="","","Alta"))))</f>
        <v/>
      </c>
      <c r="G167" s="7" t="str">
        <f t="shared" ref="G167" si="397">CONCATENATE(B167,I167)</f>
        <v/>
      </c>
      <c r="H167" s="5" t="str">
        <f t="shared" ref="H167" si="398">IF(ISBLANK(B167),"",IF(B167="ALI",IF(I167="L",7,IF(I167="A",10,15)),IF(B167="AIE",IF(I167="L",5,IF(I167="A",7,10)),IF(B167="SE",IF(I167="L",4,IF(I167="A",5,7)),IF(OR(B167="EE",B167="CE"),IF(I167="L",3,IF(I167="A",4,6)),0)))))</f>
        <v/>
      </c>
      <c r="I167" s="122" t="str">
        <f t="shared" ref="I167" si="399"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/>
      </c>
      <c r="J167" s="7" t="str">
        <f t="shared" ref="J167" si="400">CONCATENATE(B167,C167)</f>
        <v/>
      </c>
      <c r="K167" s="9" t="str">
        <f t="shared" ref="K167" si="401">IF(OR(H167="",H167=0),L167,H167)</f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6" t="s">
        <v>311</v>
      </c>
      <c r="B168" s="4" t="s">
        <v>103</v>
      </c>
      <c r="C168" s="4" t="s">
        <v>41</v>
      </c>
      <c r="D168" s="7"/>
      <c r="E168" s="7"/>
      <c r="F168" s="8" t="str">
        <f t="shared" si="0"/>
        <v>Média</v>
      </c>
      <c r="G168" s="7" t="str">
        <f t="shared" si="1"/>
        <v>SEA</v>
      </c>
      <c r="H168" s="5">
        <f t="shared" si="2"/>
        <v>5</v>
      </c>
      <c r="I168" s="122" t="str">
        <f t="shared" si="3"/>
        <v>A</v>
      </c>
      <c r="J168" s="7" t="str">
        <f t="shared" si="4"/>
        <v>SEI</v>
      </c>
      <c r="K168" s="9">
        <f t="shared" si="5"/>
        <v>5</v>
      </c>
      <c r="L168" s="9">
        <f>IF(NOT(ISERROR(VLOOKUP(B168,Deflatores!G$42:H$64,2,FALSE))),VLOOKUP(B168,Deflatores!G$42:H$64,2,FALSE),IF(OR(ISBLANK(C168),ISBLANK(B168)),"",VLOOKUP(C168,Deflatores!G$4:H$38,2,FALSE)*H168+VLOOKUP(C168,Deflatores!G$4:I$38,3,FALSE)))</f>
        <v>5</v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ref="F169" si="402">IF(ISBLANK(B169),"",IF(I169="L","Baixa",IF(I169="A","Média",IF(I169="","","Alta"))))</f>
        <v/>
      </c>
      <c r="G169" s="7" t="str">
        <f t="shared" ref="G169" si="403">CONCATENATE(B169,I169)</f>
        <v/>
      </c>
      <c r="H169" s="5" t="str">
        <f t="shared" ref="H169" si="404">IF(ISBLANK(B169),"",IF(B169="ALI",IF(I169="L",7,IF(I169="A",10,15)),IF(B169="AIE",IF(I169="L",5,IF(I169="A",7,10)),IF(B169="SE",IF(I169="L",4,IF(I169="A",5,7)),IF(OR(B169="EE",B169="CE"),IF(I169="L",3,IF(I169="A",4,6)),0)))))</f>
        <v/>
      </c>
      <c r="I169" s="122" t="str">
        <f t="shared" ref="I169" si="405">IF(OR(ISBLANK(D169),ISBLANK(E169)),IF(OR(B169="ALI",B169="AIE"),"L",IF(OR(B169="EE",B169="SE",B169="CE"),"A","")),IF(B169="EE",IF(E169&gt;=3,IF(D169&gt;=5,"H","A"),IF(E169&gt;=2,IF(D169&gt;=16,"H",IF(D169&lt;=4,"L","A")),IF(D169&lt;=15,"L","A"))),IF(OR(B169="SE",B169="CE"),IF(E169&gt;=4,IF(D169&gt;=6,"H","A"),IF(E169&gt;=2,IF(D169&gt;=20,"H",IF(D169&lt;=5,"L","A")),IF(D169&lt;=19,"L","A"))),IF(OR(B169="ALI",B169="AIE"),IF(E169&gt;=6,IF(D169&gt;=20,"H","A"),IF(E169&gt;=2,IF(D169&gt;=51,"H",IF(D169&lt;=19,"L","A")),IF(D169&lt;=50,"L","A"))),""))))</f>
        <v/>
      </c>
      <c r="J169" s="7" t="str">
        <f t="shared" ref="J169" si="406">CONCATENATE(B169,C169)</f>
        <v/>
      </c>
      <c r="K169" s="9" t="str">
        <f t="shared" ref="K169" si="407">IF(OR(H169="",H169=0),L169,H169)</f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8" t="s">
        <v>313</v>
      </c>
      <c r="B170" s="4"/>
      <c r="C170" s="4"/>
      <c r="D170" s="7"/>
      <c r="E170" s="7"/>
      <c r="F170" s="8" t="str">
        <f t="shared" si="0"/>
        <v/>
      </c>
      <c r="G170" s="7" t="str">
        <f t="shared" si="1"/>
        <v/>
      </c>
      <c r="H170" s="5" t="str">
        <f t="shared" si="2"/>
        <v/>
      </c>
      <c r="I170" s="122" t="str">
        <f t="shared" si="3"/>
        <v/>
      </c>
      <c r="J170" s="7" t="str">
        <f t="shared" si="4"/>
        <v/>
      </c>
      <c r="K170" s="9" t="str">
        <f t="shared" si="5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6" t="s">
        <v>312</v>
      </c>
      <c r="B171" s="4" t="s">
        <v>98</v>
      </c>
      <c r="C171" s="4" t="s">
        <v>41</v>
      </c>
      <c r="D171" s="7"/>
      <c r="E171" s="7"/>
      <c r="F171" s="8" t="str">
        <f t="shared" ref="F171:F201" si="408">IF(ISBLANK(B171),"",IF(I171="L","Baixa",IF(I171="A","Média",IF(I171="","","Alta"))))</f>
        <v>Baixa</v>
      </c>
      <c r="G171" s="7" t="str">
        <f t="shared" ref="G171:G201" si="409">CONCATENATE(B171,I171)</f>
        <v>ALIL</v>
      </c>
      <c r="H171" s="5">
        <f t="shared" ref="H171:H201" si="410">IF(ISBLANK(B171),"",IF(B171="ALI",IF(I171="L",7,IF(I171="A",10,15)),IF(B171="AIE",IF(I171="L",5,IF(I171="A",7,10)),IF(B171="SE",IF(I171="L",4,IF(I171="A",5,7)),IF(OR(B171="EE",B171="CE"),IF(I171="L",3,IF(I171="A",4,6)),0)))))</f>
        <v>7</v>
      </c>
      <c r="I171" s="122" t="str">
        <f t="shared" ref="I171:I201" si="411"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>L</v>
      </c>
      <c r="J171" s="7" t="str">
        <f t="shared" ref="J171:J201" si="412">CONCATENATE(B171,C171)</f>
        <v>ALII</v>
      </c>
      <c r="K171" s="9">
        <f t="shared" ref="K171:K201" si="413">IF(OR(H171="",H171=0),L171,H171)</f>
        <v>7</v>
      </c>
      <c r="L171" s="9">
        <f>IF(NOT(ISERROR(VLOOKUP(B171,Deflatores!G$42:H$64,2,FALSE))),VLOOKUP(B171,Deflatores!G$42:H$64,2,FALSE),IF(OR(ISBLANK(C171),ISBLANK(B171)),"",VLOOKUP(C171,Deflatores!G$4:H$38,2,FALSE)*H171+VLOOKUP(C171,Deflatores!G$4:I$38,3,FALSE)))</f>
        <v>7</v>
      </c>
      <c r="M171" s="10"/>
      <c r="N171" s="10"/>
      <c r="O171" s="6"/>
    </row>
    <row r="172" spans="1:15" x14ac:dyDescent="0.2">
      <c r="A172" s="126" t="s">
        <v>314</v>
      </c>
      <c r="B172" s="4" t="s">
        <v>102</v>
      </c>
      <c r="C172" s="4" t="s">
        <v>41</v>
      </c>
      <c r="D172" s="7"/>
      <c r="E172" s="7"/>
      <c r="F172" s="8" t="str">
        <f t="shared" ref="F172:F173" si="414">IF(ISBLANK(B172),"",IF(I172="L","Baixa",IF(I172="A","Média",IF(I172="","","Alta"))))</f>
        <v>Média</v>
      </c>
      <c r="G172" s="7" t="str">
        <f t="shared" ref="G172:G173" si="415">CONCATENATE(B172,I172)</f>
        <v>CEA</v>
      </c>
      <c r="H172" s="5">
        <f t="shared" ref="H172:H173" si="416">IF(ISBLANK(B172),"",IF(B172="ALI",IF(I172="L",7,IF(I172="A",10,15)),IF(B172="AIE",IF(I172="L",5,IF(I172="A",7,10)),IF(B172="SE",IF(I172="L",4,IF(I172="A",5,7)),IF(OR(B172="EE",B172="CE"),IF(I172="L",3,IF(I172="A",4,6)),0)))))</f>
        <v>4</v>
      </c>
      <c r="I172" s="122" t="str">
        <f t="shared" ref="I172:I173" si="417"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>A</v>
      </c>
      <c r="J172" s="7" t="str">
        <f t="shared" ref="J172:J173" si="418">CONCATENATE(B172,C172)</f>
        <v>CEI</v>
      </c>
      <c r="K172" s="9">
        <f t="shared" ref="K172:K173" si="419">IF(OR(H172="",H172=0),L172,H172)</f>
        <v>4</v>
      </c>
      <c r="L172" s="9">
        <f>IF(NOT(ISERROR(VLOOKUP(B172,Deflatores!G$42:H$64,2,FALSE))),VLOOKUP(B172,Deflatores!G$42:H$64,2,FALSE),IF(OR(ISBLANK(C172),ISBLANK(B172)),"",VLOOKUP(C172,Deflatores!G$4:H$38,2,FALSE)*H172+VLOOKUP(C172,Deflatores!G$4:I$38,3,FALSE)))</f>
        <v>4</v>
      </c>
      <c r="M172" s="10"/>
      <c r="N172" s="10"/>
      <c r="O172" s="6"/>
    </row>
    <row r="173" spans="1:15" x14ac:dyDescent="0.2">
      <c r="A173" s="126" t="s">
        <v>315</v>
      </c>
      <c r="B173" s="4" t="s">
        <v>102</v>
      </c>
      <c r="C173" s="4" t="s">
        <v>41</v>
      </c>
      <c r="D173" s="7"/>
      <c r="E173" s="7"/>
      <c r="F173" s="8" t="str">
        <f t="shared" si="414"/>
        <v>Média</v>
      </c>
      <c r="G173" s="7" t="str">
        <f t="shared" si="415"/>
        <v>CEA</v>
      </c>
      <c r="H173" s="5">
        <f t="shared" si="416"/>
        <v>4</v>
      </c>
      <c r="I173" s="122" t="str">
        <f t="shared" si="417"/>
        <v>A</v>
      </c>
      <c r="J173" s="7" t="str">
        <f t="shared" si="418"/>
        <v>CEI</v>
      </c>
      <c r="K173" s="9">
        <f t="shared" si="419"/>
        <v>4</v>
      </c>
      <c r="L173" s="9">
        <f>IF(NOT(ISERROR(VLOOKUP(B173,Deflatores!G$42:H$64,2,FALSE))),VLOOKUP(B173,Deflatores!G$42:H$64,2,FALSE),IF(OR(ISBLANK(C173),ISBLANK(B173)),"",VLOOKUP(C173,Deflatores!G$4:H$38,2,FALSE)*H173+VLOOKUP(C173,Deflatores!G$4:I$38,3,FALSE)))</f>
        <v>4</v>
      </c>
      <c r="M173" s="10"/>
      <c r="N173" s="10"/>
      <c r="O173" s="6"/>
    </row>
    <row r="174" spans="1:15" x14ac:dyDescent="0.2">
      <c r="A174" s="128" t="s">
        <v>316</v>
      </c>
      <c r="B174" s="4"/>
      <c r="C174" s="4"/>
      <c r="D174" s="7"/>
      <c r="E174" s="7"/>
      <c r="F174" s="8" t="str">
        <f t="shared" si="408"/>
        <v/>
      </c>
      <c r="G174" s="7" t="str">
        <f t="shared" si="409"/>
        <v/>
      </c>
      <c r="H174" s="5" t="str">
        <f t="shared" si="410"/>
        <v/>
      </c>
      <c r="I174" s="122" t="str">
        <f t="shared" si="411"/>
        <v/>
      </c>
      <c r="J174" s="7" t="str">
        <f t="shared" si="412"/>
        <v/>
      </c>
      <c r="K174" s="9" t="str">
        <f t="shared" si="413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6" t="s">
        <v>317</v>
      </c>
      <c r="B175" s="4" t="s">
        <v>102</v>
      </c>
      <c r="C175" s="4" t="s">
        <v>41</v>
      </c>
      <c r="D175" s="7"/>
      <c r="E175" s="7"/>
      <c r="F175" s="8" t="str">
        <f t="shared" si="408"/>
        <v>Média</v>
      </c>
      <c r="G175" s="7" t="str">
        <f t="shared" si="409"/>
        <v>CEA</v>
      </c>
      <c r="H175" s="5">
        <f t="shared" si="410"/>
        <v>4</v>
      </c>
      <c r="I175" s="122" t="str">
        <f t="shared" si="411"/>
        <v>A</v>
      </c>
      <c r="J175" s="7" t="str">
        <f t="shared" si="412"/>
        <v>CEI</v>
      </c>
      <c r="K175" s="9">
        <f t="shared" si="413"/>
        <v>4</v>
      </c>
      <c r="L175" s="9">
        <f>IF(NOT(ISERROR(VLOOKUP(B175,Deflatores!G$42:H$64,2,FALSE))),VLOOKUP(B175,Deflatores!G$42:H$64,2,FALSE),IF(OR(ISBLANK(C175),ISBLANK(B175)),"",VLOOKUP(C175,Deflatores!G$4:H$38,2,FALSE)*H175+VLOOKUP(C175,Deflatores!G$4:I$38,3,FALSE)))</f>
        <v>4</v>
      </c>
      <c r="M175" s="10"/>
      <c r="N175" s="10"/>
      <c r="O175" s="6"/>
    </row>
    <row r="176" spans="1:15" x14ac:dyDescent="0.2">
      <c r="A176" s="126" t="s">
        <v>318</v>
      </c>
      <c r="B176" s="4" t="s">
        <v>102</v>
      </c>
      <c r="C176" s="4" t="s">
        <v>41</v>
      </c>
      <c r="D176" s="7"/>
      <c r="E176" s="7"/>
      <c r="F176" s="8" t="str">
        <f t="shared" si="408"/>
        <v>Média</v>
      </c>
      <c r="G176" s="7" t="str">
        <f t="shared" si="409"/>
        <v>CEA</v>
      </c>
      <c r="H176" s="5">
        <f t="shared" si="410"/>
        <v>4</v>
      </c>
      <c r="I176" s="122" t="str">
        <f t="shared" si="411"/>
        <v>A</v>
      </c>
      <c r="J176" s="7" t="str">
        <f t="shared" si="412"/>
        <v>CEI</v>
      </c>
      <c r="K176" s="9">
        <f t="shared" si="413"/>
        <v>4</v>
      </c>
      <c r="L176" s="9">
        <f>IF(NOT(ISERROR(VLOOKUP(B176,Deflatores!G$42:H$64,2,FALSE))),VLOOKUP(B176,Deflatores!G$42:H$64,2,FALSE),IF(OR(ISBLANK(C176),ISBLANK(B176)),"",VLOOKUP(C176,Deflatores!G$4:H$38,2,FALSE)*H176+VLOOKUP(C176,Deflatores!G$4:I$38,3,FALSE)))</f>
        <v>4</v>
      </c>
      <c r="M176" s="10"/>
      <c r="N176" s="10"/>
      <c r="O176" s="6"/>
    </row>
    <row r="177" spans="1:15" x14ac:dyDescent="0.2">
      <c r="A177" s="126" t="s">
        <v>319</v>
      </c>
      <c r="B177" s="4" t="s">
        <v>102</v>
      </c>
      <c r="C177" s="4" t="s">
        <v>41</v>
      </c>
      <c r="D177" s="7"/>
      <c r="E177" s="7"/>
      <c r="F177" s="8" t="str">
        <f t="shared" si="408"/>
        <v>Média</v>
      </c>
      <c r="G177" s="7" t="str">
        <f t="shared" si="409"/>
        <v>CEA</v>
      </c>
      <c r="H177" s="5">
        <f t="shared" si="410"/>
        <v>4</v>
      </c>
      <c r="I177" s="122" t="str">
        <f t="shared" si="411"/>
        <v>A</v>
      </c>
      <c r="J177" s="7" t="str">
        <f t="shared" si="412"/>
        <v>CEI</v>
      </c>
      <c r="K177" s="9">
        <f t="shared" si="413"/>
        <v>4</v>
      </c>
      <c r="L177" s="9">
        <f>IF(NOT(ISERROR(VLOOKUP(B177,Deflatores!G$42:H$64,2,FALSE))),VLOOKUP(B177,Deflatores!G$42:H$64,2,FALSE),IF(OR(ISBLANK(C177),ISBLANK(B177)),"",VLOOKUP(C177,Deflatores!G$4:H$38,2,FALSE)*H177+VLOOKUP(C177,Deflatores!G$4:I$38,3,FALSE)))</f>
        <v>4</v>
      </c>
      <c r="M177" s="10"/>
      <c r="N177" s="10"/>
      <c r="O177" s="6"/>
    </row>
    <row r="178" spans="1:15" x14ac:dyDescent="0.2">
      <c r="A178" s="126" t="s">
        <v>320</v>
      </c>
      <c r="B178" s="4" t="s">
        <v>100</v>
      </c>
      <c r="C178" s="4" t="s">
        <v>41</v>
      </c>
      <c r="D178" s="7"/>
      <c r="E178" s="7"/>
      <c r="F178" s="8" t="str">
        <f t="shared" ref="F178:F179" si="420">IF(ISBLANK(B178),"",IF(I178="L","Baixa",IF(I178="A","Média",IF(I178="","","Alta"))))</f>
        <v>Média</v>
      </c>
      <c r="G178" s="7" t="str">
        <f t="shared" ref="G178:G179" si="421">CONCATENATE(B178,I178)</f>
        <v>EEA</v>
      </c>
      <c r="H178" s="5">
        <f t="shared" ref="H178:H179" si="422">IF(ISBLANK(B178),"",IF(B178="ALI",IF(I178="L",7,IF(I178="A",10,15)),IF(B178="AIE",IF(I178="L",5,IF(I178="A",7,10)),IF(B178="SE",IF(I178="L",4,IF(I178="A",5,7)),IF(OR(B178="EE",B178="CE"),IF(I178="L",3,IF(I178="A",4,6)),0)))))</f>
        <v>4</v>
      </c>
      <c r="I178" s="122" t="str">
        <f t="shared" ref="I178:I179" si="423"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>A</v>
      </c>
      <c r="J178" s="7" t="str">
        <f t="shared" ref="J178:J179" si="424">CONCATENATE(B178,C178)</f>
        <v>EEI</v>
      </c>
      <c r="K178" s="9">
        <f t="shared" ref="K178:K179" si="425">IF(OR(H178="",H178=0),L178,H178)</f>
        <v>4</v>
      </c>
      <c r="L178" s="9">
        <f>IF(NOT(ISERROR(VLOOKUP(B178,Deflatores!G$42:H$64,2,FALSE))),VLOOKUP(B178,Deflatores!G$42:H$64,2,FALSE),IF(OR(ISBLANK(C178),ISBLANK(B178)),"",VLOOKUP(C178,Deflatores!G$4:H$38,2,FALSE)*H178+VLOOKUP(C178,Deflatores!G$4:I$38,3,FALSE)))</f>
        <v>4</v>
      </c>
      <c r="M178" s="10"/>
      <c r="N178" s="10"/>
      <c r="O178" s="6"/>
    </row>
    <row r="179" spans="1:15" x14ac:dyDescent="0.2">
      <c r="A179" s="126" t="s">
        <v>321</v>
      </c>
      <c r="B179" s="4" t="s">
        <v>102</v>
      </c>
      <c r="C179" s="4" t="s">
        <v>41</v>
      </c>
      <c r="D179" s="7"/>
      <c r="E179" s="7"/>
      <c r="F179" s="8" t="str">
        <f t="shared" si="420"/>
        <v>Média</v>
      </c>
      <c r="G179" s="7" t="str">
        <f t="shared" si="421"/>
        <v>CEA</v>
      </c>
      <c r="H179" s="5">
        <f t="shared" si="422"/>
        <v>4</v>
      </c>
      <c r="I179" s="122" t="str">
        <f t="shared" si="423"/>
        <v>A</v>
      </c>
      <c r="J179" s="7" t="str">
        <f t="shared" si="424"/>
        <v>CEI</v>
      </c>
      <c r="K179" s="9">
        <f t="shared" si="425"/>
        <v>4</v>
      </c>
      <c r="L179" s="9">
        <f>IF(NOT(ISERROR(VLOOKUP(B179,Deflatores!G$42:H$64,2,FALSE))),VLOOKUP(B179,Deflatores!G$42:H$64,2,FALSE),IF(OR(ISBLANK(C179),ISBLANK(B179)),"",VLOOKUP(C179,Deflatores!G$4:H$38,2,FALSE)*H179+VLOOKUP(C179,Deflatores!G$4:I$38,3,FALSE)))</f>
        <v>4</v>
      </c>
      <c r="M179" s="10"/>
      <c r="N179" s="10"/>
      <c r="O179" s="6"/>
    </row>
    <row r="180" spans="1:15" x14ac:dyDescent="0.2">
      <c r="A180" s="128" t="s">
        <v>322</v>
      </c>
      <c r="B180" s="4"/>
      <c r="C180" s="4"/>
      <c r="D180" s="7"/>
      <c r="E180" s="7"/>
      <c r="F180" s="8" t="str">
        <f t="shared" ref="F180" si="426">IF(ISBLANK(B180),"",IF(I180="L","Baixa",IF(I180="A","Média",IF(I180="","","Alta"))))</f>
        <v/>
      </c>
      <c r="G180" s="7" t="str">
        <f t="shared" ref="G180" si="427">CONCATENATE(B180,I180)</f>
        <v/>
      </c>
      <c r="H180" s="5" t="str">
        <f t="shared" ref="H180" si="428">IF(ISBLANK(B180),"",IF(B180="ALI",IF(I180="L",7,IF(I180="A",10,15)),IF(B180="AIE",IF(I180="L",5,IF(I180="A",7,10)),IF(B180="SE",IF(I180="L",4,IF(I180="A",5,7)),IF(OR(B180="EE",B180="CE"),IF(I180="L",3,IF(I180="A",4,6)),0)))))</f>
        <v/>
      </c>
      <c r="I180" s="122" t="str">
        <f t="shared" ref="I180" si="429"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 t="str">
        <f t="shared" ref="J180" si="430">CONCATENATE(B180,C180)</f>
        <v/>
      </c>
      <c r="K180" s="9" t="str">
        <f t="shared" ref="K180" si="431">IF(OR(H180="",H180=0),L180,H180)</f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 t="s">
        <v>323</v>
      </c>
      <c r="B181" s="4" t="s">
        <v>100</v>
      </c>
      <c r="C181" s="4" t="s">
        <v>41</v>
      </c>
      <c r="D181" s="7"/>
      <c r="E181" s="7"/>
      <c r="F181" s="8" t="str">
        <f t="shared" si="408"/>
        <v>Média</v>
      </c>
      <c r="G181" s="7" t="str">
        <f t="shared" si="409"/>
        <v>EEA</v>
      </c>
      <c r="H181" s="5">
        <f t="shared" si="410"/>
        <v>4</v>
      </c>
      <c r="I181" s="122" t="str">
        <f t="shared" si="411"/>
        <v>A</v>
      </c>
      <c r="J181" s="7" t="str">
        <f t="shared" si="412"/>
        <v>EEI</v>
      </c>
      <c r="K181" s="9">
        <f t="shared" si="413"/>
        <v>4</v>
      </c>
      <c r="L181" s="9">
        <f>IF(NOT(ISERROR(VLOOKUP(B181,Deflatores!G$42:H$64,2,FALSE))),VLOOKUP(B181,Deflatores!G$42:H$64,2,FALSE),IF(OR(ISBLANK(C181),ISBLANK(B181)),"",VLOOKUP(C181,Deflatores!G$4:H$38,2,FALSE)*H181+VLOOKUP(C181,Deflatores!G$4:I$38,3,FALSE)))</f>
        <v>4</v>
      </c>
      <c r="M181" s="10"/>
      <c r="N181" s="10"/>
      <c r="O181" s="6"/>
    </row>
    <row r="182" spans="1:15" x14ac:dyDescent="0.2">
      <c r="A182" s="126" t="s">
        <v>324</v>
      </c>
      <c r="B182" s="4" t="s">
        <v>102</v>
      </c>
      <c r="C182" s="4" t="s">
        <v>41</v>
      </c>
      <c r="D182" s="7"/>
      <c r="E182" s="7"/>
      <c r="F182" s="8" t="str">
        <f t="shared" ref="F182" si="432">IF(ISBLANK(B182),"",IF(I182="L","Baixa",IF(I182="A","Média",IF(I182="","","Alta"))))</f>
        <v>Média</v>
      </c>
      <c r="G182" s="7" t="str">
        <f t="shared" ref="G182" si="433">CONCATENATE(B182,I182)</f>
        <v>CEA</v>
      </c>
      <c r="H182" s="5">
        <f t="shared" ref="H182" si="434">IF(ISBLANK(B182),"",IF(B182="ALI",IF(I182="L",7,IF(I182="A",10,15)),IF(B182="AIE",IF(I182="L",5,IF(I182="A",7,10)),IF(B182="SE",IF(I182="L",4,IF(I182="A",5,7)),IF(OR(B182="EE",B182="CE"),IF(I182="L",3,IF(I182="A",4,6)),0)))))</f>
        <v>4</v>
      </c>
      <c r="I182" s="122" t="str">
        <f t="shared" ref="I182" si="435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>A</v>
      </c>
      <c r="J182" s="7" t="str">
        <f t="shared" ref="J182" si="436">CONCATENATE(B182,C182)</f>
        <v>CEI</v>
      </c>
      <c r="K182" s="9">
        <f t="shared" ref="K182" si="437">IF(OR(H182="",H182=0),L182,H182)</f>
        <v>4</v>
      </c>
      <c r="L182" s="9">
        <f>IF(NOT(ISERROR(VLOOKUP(B182,Deflatores!G$42:H$64,2,FALSE))),VLOOKUP(B182,Deflatores!G$42:H$64,2,FALSE),IF(OR(ISBLANK(C182),ISBLANK(B182)),"",VLOOKUP(C182,Deflatores!G$4:H$38,2,FALSE)*H182+VLOOKUP(C182,Deflatores!G$4:I$38,3,FALSE)))</f>
        <v>4</v>
      </c>
      <c r="M182" s="10"/>
      <c r="N182" s="10"/>
      <c r="O182" s="6"/>
    </row>
    <row r="183" spans="1:15" x14ac:dyDescent="0.2">
      <c r="A183" s="126" t="s">
        <v>325</v>
      </c>
      <c r="B183" s="4" t="s">
        <v>100</v>
      </c>
      <c r="C183" s="4" t="s">
        <v>41</v>
      </c>
      <c r="D183" s="7"/>
      <c r="E183" s="7"/>
      <c r="F183" s="8" t="str">
        <f t="shared" ref="F183" si="438">IF(ISBLANK(B183),"",IF(I183="L","Baixa",IF(I183="A","Média",IF(I183="","","Alta"))))</f>
        <v>Média</v>
      </c>
      <c r="G183" s="7" t="str">
        <f t="shared" ref="G183" si="439">CONCATENATE(B183,I183)</f>
        <v>EEA</v>
      </c>
      <c r="H183" s="5">
        <f t="shared" ref="H183" si="440">IF(ISBLANK(B183),"",IF(B183="ALI",IF(I183="L",7,IF(I183="A",10,15)),IF(B183="AIE",IF(I183="L",5,IF(I183="A",7,10)),IF(B183="SE",IF(I183="L",4,IF(I183="A",5,7)),IF(OR(B183="EE",B183="CE"),IF(I183="L",3,IF(I183="A",4,6)),0)))))</f>
        <v>4</v>
      </c>
      <c r="I183" s="122" t="str">
        <f t="shared" ref="I183" si="441"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>A</v>
      </c>
      <c r="J183" s="7" t="str">
        <f t="shared" ref="J183" si="442">CONCATENATE(B183,C183)</f>
        <v>EEI</v>
      </c>
      <c r="K183" s="9">
        <f t="shared" ref="K183" si="443">IF(OR(H183="",H183=0),L183,H183)</f>
        <v>4</v>
      </c>
      <c r="L183" s="9">
        <f>IF(NOT(ISERROR(VLOOKUP(B183,Deflatores!G$42:H$64,2,FALSE))),VLOOKUP(B183,Deflatores!G$42:H$64,2,FALSE),IF(OR(ISBLANK(C183),ISBLANK(B183)),"",VLOOKUP(C183,Deflatores!G$4:H$38,2,FALSE)*H183+VLOOKUP(C183,Deflatores!G$4:I$38,3,FALSE)))</f>
        <v>4</v>
      </c>
      <c r="M183" s="10"/>
      <c r="N183" s="10"/>
      <c r="O183" s="6"/>
    </row>
    <row r="184" spans="1:15" x14ac:dyDescent="0.2">
      <c r="A184" s="126" t="s">
        <v>326</v>
      </c>
      <c r="B184" s="4" t="s">
        <v>102</v>
      </c>
      <c r="C184" s="4" t="s">
        <v>41</v>
      </c>
      <c r="D184" s="7"/>
      <c r="E184" s="7"/>
      <c r="F184" s="8" t="str">
        <f t="shared" ref="F184" si="444">IF(ISBLANK(B184),"",IF(I184="L","Baixa",IF(I184="A","Média",IF(I184="","","Alta"))))</f>
        <v>Média</v>
      </c>
      <c r="G184" s="7" t="str">
        <f t="shared" ref="G184" si="445">CONCATENATE(B184,I184)</f>
        <v>CEA</v>
      </c>
      <c r="H184" s="5">
        <f t="shared" ref="H184" si="446">IF(ISBLANK(B184),"",IF(B184="ALI",IF(I184="L",7,IF(I184="A",10,15)),IF(B184="AIE",IF(I184="L",5,IF(I184="A",7,10)),IF(B184="SE",IF(I184="L",4,IF(I184="A",5,7)),IF(OR(B184="EE",B184="CE"),IF(I184="L",3,IF(I184="A",4,6)),0)))))</f>
        <v>4</v>
      </c>
      <c r="I184" s="122" t="str">
        <f t="shared" ref="I184" si="447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>A</v>
      </c>
      <c r="J184" s="7" t="str">
        <f t="shared" ref="J184" si="448">CONCATENATE(B184,C184)</f>
        <v>CEI</v>
      </c>
      <c r="K184" s="9">
        <f t="shared" ref="K184" si="449">IF(OR(H184="",H184=0),L184,H184)</f>
        <v>4</v>
      </c>
      <c r="L184" s="9">
        <f>IF(NOT(ISERROR(VLOOKUP(B184,Deflatores!G$42:H$64,2,FALSE))),VLOOKUP(B184,Deflatores!G$42:H$64,2,FALSE),IF(OR(ISBLANK(C184),ISBLANK(B184)),"",VLOOKUP(C184,Deflatores!G$4:H$38,2,FALSE)*H184+VLOOKUP(C184,Deflatores!G$4:I$38,3,FALSE)))</f>
        <v>4</v>
      </c>
      <c r="M184" s="10"/>
      <c r="N184" s="10"/>
      <c r="O184" s="6"/>
    </row>
    <row r="185" spans="1:15" x14ac:dyDescent="0.2">
      <c r="A185" s="128" t="s">
        <v>327</v>
      </c>
      <c r="B185" s="4"/>
      <c r="C185" s="4"/>
      <c r="D185" s="7"/>
      <c r="E185" s="7"/>
      <c r="F185" s="8" t="str">
        <f t="shared" ref="F185" si="450">IF(ISBLANK(B185),"",IF(I185="L","Baixa",IF(I185="A","Média",IF(I185="","","Alta"))))</f>
        <v/>
      </c>
      <c r="G185" s="7" t="str">
        <f t="shared" ref="G185" si="451">CONCATENATE(B185,I185)</f>
        <v/>
      </c>
      <c r="H185" s="5" t="str">
        <f t="shared" ref="H185" si="452">IF(ISBLANK(B185),"",IF(B185="ALI",IF(I185="L",7,IF(I185="A",10,15)),IF(B185="AIE",IF(I185="L",5,IF(I185="A",7,10)),IF(B185="SE",IF(I185="L",4,IF(I185="A",5,7)),IF(OR(B185="EE",B185="CE"),IF(I185="L",3,IF(I185="A",4,6)),0)))))</f>
        <v/>
      </c>
      <c r="I185" s="122" t="str">
        <f t="shared" ref="I185" si="453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/>
      </c>
      <c r="J185" s="7" t="str">
        <f t="shared" ref="J185" si="454">CONCATENATE(B185,C185)</f>
        <v/>
      </c>
      <c r="K185" s="9" t="str">
        <f t="shared" ref="K185" si="455">IF(OR(H185="",H185=0),L185,H185)</f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x14ac:dyDescent="0.2">
      <c r="A186" s="126" t="s">
        <v>328</v>
      </c>
      <c r="B186" s="4" t="s">
        <v>102</v>
      </c>
      <c r="C186" s="4" t="s">
        <v>41</v>
      </c>
      <c r="D186" s="7"/>
      <c r="E186" s="7"/>
      <c r="F186" s="8" t="str">
        <f t="shared" si="408"/>
        <v>Média</v>
      </c>
      <c r="G186" s="7" t="str">
        <f t="shared" si="409"/>
        <v>CEA</v>
      </c>
      <c r="H186" s="5">
        <f t="shared" si="410"/>
        <v>4</v>
      </c>
      <c r="I186" s="122" t="str">
        <f t="shared" si="411"/>
        <v>A</v>
      </c>
      <c r="J186" s="7" t="str">
        <f t="shared" si="412"/>
        <v>CEI</v>
      </c>
      <c r="K186" s="9">
        <f t="shared" si="413"/>
        <v>4</v>
      </c>
      <c r="L186" s="9">
        <f>IF(NOT(ISERROR(VLOOKUP(B186,Deflatores!G$42:H$64,2,FALSE))),VLOOKUP(B186,Deflatores!G$42:H$64,2,FALSE),IF(OR(ISBLANK(C186),ISBLANK(B186)),"",VLOOKUP(C186,Deflatores!G$4:H$38,2,FALSE)*H186+VLOOKUP(C186,Deflatores!G$4:I$38,3,FALSE)))</f>
        <v>4</v>
      </c>
      <c r="M186" s="10"/>
      <c r="N186" s="10"/>
      <c r="O186" s="6"/>
    </row>
    <row r="187" spans="1:15" x14ac:dyDescent="0.2">
      <c r="A187" s="126" t="s">
        <v>329</v>
      </c>
      <c r="B187" s="4" t="s">
        <v>100</v>
      </c>
      <c r="C187" s="4" t="s">
        <v>41</v>
      </c>
      <c r="D187" s="7"/>
      <c r="E187" s="7"/>
      <c r="F187" s="8" t="str">
        <f t="shared" ref="F187" si="456">IF(ISBLANK(B187),"",IF(I187="L","Baixa",IF(I187="A","Média",IF(I187="","","Alta"))))</f>
        <v>Média</v>
      </c>
      <c r="G187" s="7" t="str">
        <f t="shared" ref="G187" si="457">CONCATENATE(B187,I187)</f>
        <v>EEA</v>
      </c>
      <c r="H187" s="5">
        <f t="shared" ref="H187" si="458">IF(ISBLANK(B187),"",IF(B187="ALI",IF(I187="L",7,IF(I187="A",10,15)),IF(B187="AIE",IF(I187="L",5,IF(I187="A",7,10)),IF(B187="SE",IF(I187="L",4,IF(I187="A",5,7)),IF(OR(B187="EE",B187="CE"),IF(I187="L",3,IF(I187="A",4,6)),0)))))</f>
        <v>4</v>
      </c>
      <c r="I187" s="122" t="str">
        <f t="shared" ref="I187" si="459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>A</v>
      </c>
      <c r="J187" s="7" t="str">
        <f t="shared" ref="J187" si="460">CONCATENATE(B187,C187)</f>
        <v>EEI</v>
      </c>
      <c r="K187" s="9">
        <f t="shared" ref="K187" si="461">IF(OR(H187="",H187=0),L187,H187)</f>
        <v>4</v>
      </c>
      <c r="L187" s="9">
        <f>IF(NOT(ISERROR(VLOOKUP(B187,Deflatores!G$42:H$64,2,FALSE))),VLOOKUP(B187,Deflatores!G$42:H$64,2,FALSE),IF(OR(ISBLANK(C187),ISBLANK(B187)),"",VLOOKUP(C187,Deflatores!G$4:H$38,2,FALSE)*H187+VLOOKUP(C187,Deflatores!G$4:I$38,3,FALSE)))</f>
        <v>4</v>
      </c>
      <c r="M187" s="10"/>
      <c r="N187" s="10"/>
      <c r="O187" s="6"/>
    </row>
    <row r="188" spans="1:15" x14ac:dyDescent="0.2">
      <c r="A188" s="126" t="s">
        <v>330</v>
      </c>
      <c r="B188" s="4" t="s">
        <v>100</v>
      </c>
      <c r="C188" s="4" t="s">
        <v>41</v>
      </c>
      <c r="D188" s="7"/>
      <c r="E188" s="7"/>
      <c r="F188" s="8" t="str">
        <f t="shared" ref="F188" si="462">IF(ISBLANK(B188),"",IF(I188="L","Baixa",IF(I188="A","Média",IF(I188="","","Alta"))))</f>
        <v>Média</v>
      </c>
      <c r="G188" s="7" t="str">
        <f t="shared" ref="G188" si="463">CONCATENATE(B188,I188)</f>
        <v>EEA</v>
      </c>
      <c r="H188" s="5">
        <f t="shared" ref="H188" si="464">IF(ISBLANK(B188),"",IF(B188="ALI",IF(I188="L",7,IF(I188="A",10,15)),IF(B188="AIE",IF(I188="L",5,IF(I188="A",7,10)),IF(B188="SE",IF(I188="L",4,IF(I188="A",5,7)),IF(OR(B188="EE",B188="CE"),IF(I188="L",3,IF(I188="A",4,6)),0)))))</f>
        <v>4</v>
      </c>
      <c r="I188" s="122" t="str">
        <f t="shared" ref="I188" si="465">IF(OR(ISBLANK(D188),ISBLANK(E188)),IF(OR(B188="ALI",B188="AIE"),"L",IF(OR(B188="EE",B188="SE",B188="CE"),"A","")),IF(B188="EE",IF(E188&gt;=3,IF(D188&gt;=5,"H","A"),IF(E188&gt;=2,IF(D188&gt;=16,"H",IF(D188&lt;=4,"L","A")),IF(D188&lt;=15,"L","A"))),IF(OR(B188="SE",B188="CE"),IF(E188&gt;=4,IF(D188&gt;=6,"H","A"),IF(E188&gt;=2,IF(D188&gt;=20,"H",IF(D188&lt;=5,"L","A")),IF(D188&lt;=19,"L","A"))),IF(OR(B188="ALI",B188="AIE"),IF(E188&gt;=6,IF(D188&gt;=20,"H","A"),IF(E188&gt;=2,IF(D188&gt;=51,"H",IF(D188&lt;=19,"L","A")),IF(D188&lt;=50,"L","A"))),""))))</f>
        <v>A</v>
      </c>
      <c r="J188" s="7" t="str">
        <f t="shared" ref="J188" si="466">CONCATENATE(B188,C188)</f>
        <v>EEI</v>
      </c>
      <c r="K188" s="9">
        <f t="shared" ref="K188" si="467">IF(OR(H188="",H188=0),L188,H188)</f>
        <v>4</v>
      </c>
      <c r="L188" s="9">
        <f>IF(NOT(ISERROR(VLOOKUP(B188,Deflatores!G$42:H$64,2,FALSE))),VLOOKUP(B188,Deflatores!G$42:H$64,2,FALSE),IF(OR(ISBLANK(C188),ISBLANK(B188)),"",VLOOKUP(C188,Deflatores!G$4:H$38,2,FALSE)*H188+VLOOKUP(C188,Deflatores!G$4:I$38,3,FALSE)))</f>
        <v>4</v>
      </c>
      <c r="M188" s="10"/>
      <c r="N188" s="10"/>
      <c r="O188" s="6"/>
    </row>
    <row r="189" spans="1:15" ht="15" customHeight="1" x14ac:dyDescent="0.2">
      <c r="A189" s="128" t="s">
        <v>331</v>
      </c>
      <c r="B189" s="4"/>
      <c r="C189" s="4"/>
      <c r="D189" s="7"/>
      <c r="E189" s="7"/>
      <c r="F189" s="8" t="str">
        <f t="shared" si="408"/>
        <v/>
      </c>
      <c r="G189" s="7" t="str">
        <f t="shared" si="409"/>
        <v/>
      </c>
      <c r="H189" s="5" t="str">
        <f t="shared" si="410"/>
        <v/>
      </c>
      <c r="I189" s="122" t="str">
        <f t="shared" si="411"/>
        <v/>
      </c>
      <c r="J189" s="7" t="str">
        <f t="shared" si="412"/>
        <v/>
      </c>
      <c r="K189" s="9" t="str">
        <f t="shared" si="413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x14ac:dyDescent="0.2">
      <c r="A190" s="126" t="s">
        <v>332</v>
      </c>
      <c r="B190" s="4" t="s">
        <v>102</v>
      </c>
      <c r="C190" s="4" t="s">
        <v>41</v>
      </c>
      <c r="D190" s="7"/>
      <c r="E190" s="7"/>
      <c r="F190" s="8" t="str">
        <f t="shared" ref="F190:F191" si="468">IF(ISBLANK(B190),"",IF(I190="L","Baixa",IF(I190="A","Média",IF(I190="","","Alta"))))</f>
        <v>Média</v>
      </c>
      <c r="G190" s="7" t="str">
        <f t="shared" ref="G190:G191" si="469">CONCATENATE(B190,I190)</f>
        <v>CEA</v>
      </c>
      <c r="H190" s="5">
        <f t="shared" ref="H190:H191" si="470">IF(ISBLANK(B190),"",IF(B190="ALI",IF(I190="L",7,IF(I190="A",10,15)),IF(B190="AIE",IF(I190="L",5,IF(I190="A",7,10)),IF(B190="SE",IF(I190="L",4,IF(I190="A",5,7)),IF(OR(B190="EE",B190="CE"),IF(I190="L",3,IF(I190="A",4,6)),0)))))</f>
        <v>4</v>
      </c>
      <c r="I190" s="122" t="str">
        <f t="shared" ref="I190:I191" si="471">IF(OR(ISBLANK(D190),ISBLANK(E190)),IF(OR(B190="ALI",B190="AIE"),"L",IF(OR(B190="EE",B190="SE",B190="CE"),"A","")),IF(B190="EE",IF(E190&gt;=3,IF(D190&gt;=5,"H","A"),IF(E190&gt;=2,IF(D190&gt;=16,"H",IF(D190&lt;=4,"L","A")),IF(D190&lt;=15,"L","A"))),IF(OR(B190="SE",B190="CE"),IF(E190&gt;=4,IF(D190&gt;=6,"H","A"),IF(E190&gt;=2,IF(D190&gt;=20,"H",IF(D190&lt;=5,"L","A")),IF(D190&lt;=19,"L","A"))),IF(OR(B190="ALI",B190="AIE"),IF(E190&gt;=6,IF(D190&gt;=20,"H","A"),IF(E190&gt;=2,IF(D190&gt;=51,"H",IF(D190&lt;=19,"L","A")),IF(D190&lt;=50,"L","A"))),""))))</f>
        <v>A</v>
      </c>
      <c r="J190" s="7" t="str">
        <f t="shared" ref="J190:J191" si="472">CONCATENATE(B190,C190)</f>
        <v>CEI</v>
      </c>
      <c r="K190" s="9">
        <f t="shared" ref="K190:K191" si="473">IF(OR(H190="",H190=0),L190,H190)</f>
        <v>4</v>
      </c>
      <c r="L190" s="9">
        <f>IF(NOT(ISERROR(VLOOKUP(B190,Deflatores!G$42:H$64,2,FALSE))),VLOOKUP(B190,Deflatores!G$42:H$64,2,FALSE),IF(OR(ISBLANK(C190),ISBLANK(B190)),"",VLOOKUP(C190,Deflatores!G$4:H$38,2,FALSE)*H190+VLOOKUP(C190,Deflatores!G$4:I$38,3,FALSE)))</f>
        <v>4</v>
      </c>
      <c r="M190" s="10"/>
      <c r="N190" s="10"/>
      <c r="O190" s="6"/>
    </row>
    <row r="191" spans="1:15" x14ac:dyDescent="0.2">
      <c r="A191" s="126" t="s">
        <v>333</v>
      </c>
      <c r="B191" s="4" t="s">
        <v>102</v>
      </c>
      <c r="C191" s="4" t="s">
        <v>41</v>
      </c>
      <c r="D191" s="7"/>
      <c r="E191" s="7"/>
      <c r="F191" s="8" t="str">
        <f t="shared" si="468"/>
        <v>Média</v>
      </c>
      <c r="G191" s="7" t="str">
        <f t="shared" si="469"/>
        <v>CEA</v>
      </c>
      <c r="H191" s="5">
        <f t="shared" si="470"/>
        <v>4</v>
      </c>
      <c r="I191" s="122" t="str">
        <f t="shared" si="471"/>
        <v>A</v>
      </c>
      <c r="J191" s="7" t="str">
        <f t="shared" si="472"/>
        <v>CEI</v>
      </c>
      <c r="K191" s="9">
        <f t="shared" si="473"/>
        <v>4</v>
      </c>
      <c r="L191" s="9">
        <f>IF(NOT(ISERROR(VLOOKUP(B191,Deflatores!G$42:H$64,2,FALSE))),VLOOKUP(B191,Deflatores!G$42:H$64,2,FALSE),IF(OR(ISBLANK(C191),ISBLANK(B191)),"",VLOOKUP(C191,Deflatores!G$4:H$38,2,FALSE)*H191+VLOOKUP(C191,Deflatores!G$4:I$38,3,FALSE)))</f>
        <v>4</v>
      </c>
      <c r="M191" s="10"/>
      <c r="N191" s="10"/>
      <c r="O191" s="6"/>
    </row>
    <row r="192" spans="1:15" x14ac:dyDescent="0.2">
      <c r="A192" s="126" t="s">
        <v>334</v>
      </c>
      <c r="B192" s="4" t="s">
        <v>100</v>
      </c>
      <c r="C192" s="4" t="s">
        <v>41</v>
      </c>
      <c r="D192" s="7"/>
      <c r="E192" s="7"/>
      <c r="F192" s="8" t="str">
        <f t="shared" si="408"/>
        <v>Média</v>
      </c>
      <c r="G192" s="7" t="str">
        <f t="shared" si="409"/>
        <v>EEA</v>
      </c>
      <c r="H192" s="5">
        <f t="shared" si="410"/>
        <v>4</v>
      </c>
      <c r="I192" s="122" t="str">
        <f t="shared" si="411"/>
        <v>A</v>
      </c>
      <c r="J192" s="7" t="str">
        <f t="shared" si="412"/>
        <v>EEI</v>
      </c>
      <c r="K192" s="9">
        <f t="shared" si="413"/>
        <v>4</v>
      </c>
      <c r="L192" s="9">
        <f>IF(NOT(ISERROR(VLOOKUP(B192,Deflatores!G$42:H$64,2,FALSE))),VLOOKUP(B192,Deflatores!G$42:H$64,2,FALSE),IF(OR(ISBLANK(C192),ISBLANK(B192)),"",VLOOKUP(C192,Deflatores!G$4:H$38,2,FALSE)*H192+VLOOKUP(C192,Deflatores!G$4:I$38,3,FALSE)))</f>
        <v>4</v>
      </c>
      <c r="M192" s="10"/>
      <c r="N192" s="10"/>
      <c r="O192" s="6"/>
    </row>
    <row r="193" spans="1:15" x14ac:dyDescent="0.2">
      <c r="A193" s="126" t="s">
        <v>335</v>
      </c>
      <c r="B193" s="4" t="s">
        <v>100</v>
      </c>
      <c r="C193" s="4" t="s">
        <v>41</v>
      </c>
      <c r="D193" s="7"/>
      <c r="E193" s="7"/>
      <c r="F193" s="8" t="str">
        <f t="shared" ref="F193" si="474">IF(ISBLANK(B193),"",IF(I193="L","Baixa",IF(I193="A","Média",IF(I193="","","Alta"))))</f>
        <v>Média</v>
      </c>
      <c r="G193" s="7" t="str">
        <f t="shared" ref="G193" si="475">CONCATENATE(B193,I193)</f>
        <v>EEA</v>
      </c>
      <c r="H193" s="5">
        <f t="shared" ref="H193" si="476">IF(ISBLANK(B193),"",IF(B193="ALI",IF(I193="L",7,IF(I193="A",10,15)),IF(B193="AIE",IF(I193="L",5,IF(I193="A",7,10)),IF(B193="SE",IF(I193="L",4,IF(I193="A",5,7)),IF(OR(B193="EE",B193="CE"),IF(I193="L",3,IF(I193="A",4,6)),0)))))</f>
        <v>4</v>
      </c>
      <c r="I193" s="122" t="str">
        <f t="shared" ref="I193" si="477"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>A</v>
      </c>
      <c r="J193" s="7" t="str">
        <f t="shared" ref="J193" si="478">CONCATENATE(B193,C193)</f>
        <v>EEI</v>
      </c>
      <c r="K193" s="9">
        <f t="shared" ref="K193" si="479">IF(OR(H193="",H193=0),L193,H193)</f>
        <v>4</v>
      </c>
      <c r="L193" s="9">
        <f>IF(NOT(ISERROR(VLOOKUP(B193,Deflatores!G$42:H$64,2,FALSE))),VLOOKUP(B193,Deflatores!G$42:H$64,2,FALSE),IF(OR(ISBLANK(C193),ISBLANK(B193)),"",VLOOKUP(C193,Deflatores!G$4:H$38,2,FALSE)*H193+VLOOKUP(C193,Deflatores!G$4:I$38,3,FALSE)))</f>
        <v>4</v>
      </c>
      <c r="M193" s="10"/>
      <c r="N193" s="10"/>
      <c r="O193" s="6"/>
    </row>
    <row r="194" spans="1:15" ht="12.75" customHeight="1" x14ac:dyDescent="0.2">
      <c r="A194" s="128" t="s">
        <v>336</v>
      </c>
      <c r="B194" s="4"/>
      <c r="C194" s="4"/>
      <c r="D194" s="7"/>
      <c r="E194" s="7"/>
      <c r="F194" s="8" t="str">
        <f t="shared" si="408"/>
        <v/>
      </c>
      <c r="G194" s="7" t="str">
        <f t="shared" si="409"/>
        <v/>
      </c>
      <c r="H194" s="5" t="str">
        <f t="shared" si="410"/>
        <v/>
      </c>
      <c r="I194" s="122" t="str">
        <f t="shared" si="411"/>
        <v/>
      </c>
      <c r="J194" s="7" t="str">
        <f t="shared" si="412"/>
        <v/>
      </c>
      <c r="K194" s="9" t="str">
        <f t="shared" si="41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 t="s">
        <v>337</v>
      </c>
      <c r="B195" s="4" t="s">
        <v>102</v>
      </c>
      <c r="C195" s="4" t="s">
        <v>41</v>
      </c>
      <c r="D195" s="7"/>
      <c r="E195" s="7"/>
      <c r="F195" s="8" t="str">
        <f t="shared" si="408"/>
        <v>Média</v>
      </c>
      <c r="G195" s="7" t="str">
        <f t="shared" si="409"/>
        <v>CEA</v>
      </c>
      <c r="H195" s="5">
        <f t="shared" si="410"/>
        <v>4</v>
      </c>
      <c r="I195" s="122" t="str">
        <f t="shared" si="411"/>
        <v>A</v>
      </c>
      <c r="J195" s="7" t="str">
        <f t="shared" si="412"/>
        <v>CEI</v>
      </c>
      <c r="K195" s="9">
        <f t="shared" si="413"/>
        <v>4</v>
      </c>
      <c r="L195" s="9">
        <f>IF(NOT(ISERROR(VLOOKUP(B195,Deflatores!G$42:H$64,2,FALSE))),VLOOKUP(B195,Deflatores!G$42:H$64,2,FALSE),IF(OR(ISBLANK(C195),ISBLANK(B195)),"",VLOOKUP(C195,Deflatores!G$4:H$38,2,FALSE)*H195+VLOOKUP(C195,Deflatores!G$4:I$38,3,FALSE)))</f>
        <v>4</v>
      </c>
      <c r="M195" s="10"/>
      <c r="N195" s="10"/>
      <c r="O195" s="6"/>
    </row>
    <row r="196" spans="1:15" x14ac:dyDescent="0.2">
      <c r="A196" s="126" t="s">
        <v>338</v>
      </c>
      <c r="B196" s="4" t="s">
        <v>100</v>
      </c>
      <c r="C196" s="4" t="s">
        <v>41</v>
      </c>
      <c r="D196" s="7"/>
      <c r="E196" s="7"/>
      <c r="F196" s="8" t="str">
        <f t="shared" si="408"/>
        <v>Média</v>
      </c>
      <c r="G196" s="7" t="str">
        <f t="shared" si="409"/>
        <v>EEA</v>
      </c>
      <c r="H196" s="5">
        <f t="shared" si="410"/>
        <v>4</v>
      </c>
      <c r="I196" s="122" t="str">
        <f t="shared" si="411"/>
        <v>A</v>
      </c>
      <c r="J196" s="7" t="str">
        <f t="shared" si="412"/>
        <v>EEI</v>
      </c>
      <c r="K196" s="9">
        <f t="shared" si="413"/>
        <v>4</v>
      </c>
      <c r="L196" s="9">
        <f>IF(NOT(ISERROR(VLOOKUP(B196,Deflatores!G$42:H$64,2,FALSE))),VLOOKUP(B196,Deflatores!G$42:H$64,2,FALSE),IF(OR(ISBLANK(C196),ISBLANK(B196)),"",VLOOKUP(C196,Deflatores!G$4:H$38,2,FALSE)*H196+VLOOKUP(C196,Deflatores!G$4:I$38,3,FALSE)))</f>
        <v>4</v>
      </c>
      <c r="M196" s="10"/>
      <c r="N196" s="10"/>
      <c r="O196" s="6"/>
    </row>
    <row r="197" spans="1:15" x14ac:dyDescent="0.2">
      <c r="A197" s="126" t="s">
        <v>339</v>
      </c>
      <c r="B197" s="4" t="s">
        <v>100</v>
      </c>
      <c r="C197" s="4" t="s">
        <v>41</v>
      </c>
      <c r="D197" s="7"/>
      <c r="E197" s="7"/>
      <c r="F197" s="8" t="str">
        <f t="shared" ref="F197:F198" si="480">IF(ISBLANK(B197),"",IF(I197="L","Baixa",IF(I197="A","Média",IF(I197="","","Alta"))))</f>
        <v>Média</v>
      </c>
      <c r="G197" s="7" t="str">
        <f t="shared" ref="G197:G198" si="481">CONCATENATE(B197,I197)</f>
        <v>EEA</v>
      </c>
      <c r="H197" s="5">
        <f t="shared" ref="H197:H198" si="482">IF(ISBLANK(B197),"",IF(B197="ALI",IF(I197="L",7,IF(I197="A",10,15)),IF(B197="AIE",IF(I197="L",5,IF(I197="A",7,10)),IF(B197="SE",IF(I197="L",4,IF(I197="A",5,7)),IF(OR(B197="EE",B197="CE"),IF(I197="L",3,IF(I197="A",4,6)),0)))))</f>
        <v>4</v>
      </c>
      <c r="I197" s="122" t="str">
        <f t="shared" ref="I197:I198" si="483">IF(OR(ISBLANK(D197),ISBLANK(E197)),IF(OR(B197="ALI",B197="AIE"),"L",IF(OR(B197="EE",B197="SE",B197="CE"),"A","")),IF(B197="EE",IF(E197&gt;=3,IF(D197&gt;=5,"H","A"),IF(E197&gt;=2,IF(D197&gt;=16,"H",IF(D197&lt;=4,"L","A")),IF(D197&lt;=15,"L","A"))),IF(OR(B197="SE",B197="CE"),IF(E197&gt;=4,IF(D197&gt;=6,"H","A"),IF(E197&gt;=2,IF(D197&gt;=20,"H",IF(D197&lt;=5,"L","A")),IF(D197&lt;=19,"L","A"))),IF(OR(B197="ALI",B197="AIE"),IF(E197&gt;=6,IF(D197&gt;=20,"H","A"),IF(E197&gt;=2,IF(D197&gt;=51,"H",IF(D197&lt;=19,"L","A")),IF(D197&lt;=50,"L","A"))),""))))</f>
        <v>A</v>
      </c>
      <c r="J197" s="7" t="str">
        <f t="shared" ref="J197:J198" si="484">CONCATENATE(B197,C197)</f>
        <v>EEI</v>
      </c>
      <c r="K197" s="9">
        <f t="shared" ref="K197:K198" si="485">IF(OR(H197="",H197=0),L197,H197)</f>
        <v>4</v>
      </c>
      <c r="L197" s="9">
        <f>IF(NOT(ISERROR(VLOOKUP(B197,Deflatores!G$42:H$64,2,FALSE))),VLOOKUP(B197,Deflatores!G$42:H$64,2,FALSE),IF(OR(ISBLANK(C197),ISBLANK(B197)),"",VLOOKUP(C197,Deflatores!G$4:H$38,2,FALSE)*H197+VLOOKUP(C197,Deflatores!G$4:I$38,3,FALSE)))</f>
        <v>4</v>
      </c>
      <c r="M197" s="10"/>
      <c r="N197" s="10"/>
      <c r="O197" s="6"/>
    </row>
    <row r="198" spans="1:15" x14ac:dyDescent="0.2">
      <c r="A198" s="126" t="s">
        <v>340</v>
      </c>
      <c r="B198" s="4"/>
      <c r="C198" s="4"/>
      <c r="D198" s="7"/>
      <c r="E198" s="7"/>
      <c r="F198" s="8" t="str">
        <f t="shared" si="480"/>
        <v/>
      </c>
      <c r="G198" s="7" t="str">
        <f t="shared" si="481"/>
        <v/>
      </c>
      <c r="H198" s="5" t="str">
        <f t="shared" si="482"/>
        <v/>
      </c>
      <c r="I198" s="122" t="str">
        <f t="shared" si="483"/>
        <v/>
      </c>
      <c r="J198" s="7" t="str">
        <f t="shared" si="484"/>
        <v/>
      </c>
      <c r="K198" s="9" t="str">
        <f t="shared" si="485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8" t="s">
        <v>340</v>
      </c>
      <c r="B199" s="4"/>
      <c r="C199" s="4"/>
      <c r="D199" s="7"/>
      <c r="E199" s="7"/>
      <c r="F199" s="8" t="str">
        <f t="shared" ref="F199" si="486">IF(ISBLANK(B199),"",IF(I199="L","Baixa",IF(I199="A","Média",IF(I199="","","Alta"))))</f>
        <v/>
      </c>
      <c r="G199" s="7" t="str">
        <f t="shared" ref="G199" si="487">CONCATENATE(B199,I199)</f>
        <v/>
      </c>
      <c r="H199" s="5" t="str">
        <f t="shared" ref="H199" si="488">IF(ISBLANK(B199),"",IF(B199="ALI",IF(I199="L",7,IF(I199="A",10,15)),IF(B199="AIE",IF(I199="L",5,IF(I199="A",7,10)),IF(B199="SE",IF(I199="L",4,IF(I199="A",5,7)),IF(OR(B199="EE",B199="CE"),IF(I199="L",3,IF(I199="A",4,6)),0)))))</f>
        <v/>
      </c>
      <c r="I199" s="122" t="str">
        <f t="shared" ref="I199" si="489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/>
      </c>
      <c r="J199" s="7" t="str">
        <f t="shared" ref="J199" si="490">CONCATENATE(B199,C199)</f>
        <v/>
      </c>
      <c r="K199" s="9" t="str">
        <f t="shared" ref="K199" si="491">IF(OR(H199="",H199=0),L199,H199)</f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">
      <c r="A200" s="126" t="s">
        <v>341</v>
      </c>
      <c r="B200" s="4" t="s">
        <v>102</v>
      </c>
      <c r="C200" s="4" t="s">
        <v>41</v>
      </c>
      <c r="D200" s="7"/>
      <c r="E200" s="7"/>
      <c r="F200" s="8" t="str">
        <f t="shared" ref="F200" si="492">IF(ISBLANK(B200),"",IF(I200="L","Baixa",IF(I200="A","Média",IF(I200="","","Alta"))))</f>
        <v>Média</v>
      </c>
      <c r="G200" s="7" t="str">
        <f t="shared" ref="G200" si="493">CONCATENATE(B200,I200)</f>
        <v>CEA</v>
      </c>
      <c r="H200" s="5">
        <f t="shared" ref="H200" si="494">IF(ISBLANK(B200),"",IF(B200="ALI",IF(I200="L",7,IF(I200="A",10,15)),IF(B200="AIE",IF(I200="L",5,IF(I200="A",7,10)),IF(B200="SE",IF(I200="L",4,IF(I200="A",5,7)),IF(OR(B200="EE",B200="CE"),IF(I200="L",3,IF(I200="A",4,6)),0)))))</f>
        <v>4</v>
      </c>
      <c r="I200" s="122" t="str">
        <f t="shared" ref="I200" si="495">IF(OR(ISBLANK(D200),ISBLANK(E200)),IF(OR(B200="ALI",B200="AIE"),"L",IF(OR(B200="EE",B200="SE",B200="CE"),"A","")),IF(B200="EE",IF(E200&gt;=3,IF(D200&gt;=5,"H","A"),IF(E200&gt;=2,IF(D200&gt;=16,"H",IF(D200&lt;=4,"L","A")),IF(D200&lt;=15,"L","A"))),IF(OR(B200="SE",B200="CE"),IF(E200&gt;=4,IF(D200&gt;=6,"H","A"),IF(E200&gt;=2,IF(D200&gt;=20,"H",IF(D200&lt;=5,"L","A")),IF(D200&lt;=19,"L","A"))),IF(OR(B200="ALI",B200="AIE"),IF(E200&gt;=6,IF(D200&gt;=20,"H","A"),IF(E200&gt;=2,IF(D200&gt;=51,"H",IF(D200&lt;=19,"L","A")),IF(D200&lt;=50,"L","A"))),""))))</f>
        <v>A</v>
      </c>
      <c r="J200" s="7" t="str">
        <f t="shared" ref="J200" si="496">CONCATENATE(B200,C200)</f>
        <v>CEI</v>
      </c>
      <c r="K200" s="9">
        <f t="shared" ref="K200" si="497">IF(OR(H200="",H200=0),L200,H200)</f>
        <v>4</v>
      </c>
      <c r="L200" s="9">
        <f>IF(NOT(ISERROR(VLOOKUP(B200,Deflatores!G$42:H$64,2,FALSE))),VLOOKUP(B200,Deflatores!G$42:H$64,2,FALSE),IF(OR(ISBLANK(C200),ISBLANK(B200)),"",VLOOKUP(C200,Deflatores!G$4:H$38,2,FALSE)*H200+VLOOKUP(C200,Deflatores!G$4:I$38,3,FALSE)))</f>
        <v>4</v>
      </c>
      <c r="M200" s="10"/>
      <c r="N200" s="10"/>
      <c r="O200" s="6"/>
    </row>
    <row r="201" spans="1:15" x14ac:dyDescent="0.2">
      <c r="A201" s="126" t="s">
        <v>342</v>
      </c>
      <c r="B201" s="4" t="s">
        <v>100</v>
      </c>
      <c r="C201" s="4" t="s">
        <v>41</v>
      </c>
      <c r="D201" s="7"/>
      <c r="E201" s="7"/>
      <c r="F201" s="8" t="str">
        <f t="shared" si="408"/>
        <v>Média</v>
      </c>
      <c r="G201" s="7" t="str">
        <f t="shared" si="409"/>
        <v>EEA</v>
      </c>
      <c r="H201" s="5">
        <f t="shared" si="410"/>
        <v>4</v>
      </c>
      <c r="I201" s="122" t="str">
        <f t="shared" si="411"/>
        <v>A</v>
      </c>
      <c r="J201" s="7" t="str">
        <f t="shared" si="412"/>
        <v>EEI</v>
      </c>
      <c r="K201" s="9">
        <f t="shared" si="413"/>
        <v>4</v>
      </c>
      <c r="L201" s="9">
        <f>IF(NOT(ISERROR(VLOOKUP(B201,Deflatores!G$42:H$64,2,FALSE))),VLOOKUP(B201,Deflatores!G$42:H$64,2,FALSE),IF(OR(ISBLANK(C201),ISBLANK(B201)),"",VLOOKUP(C201,Deflatores!G$4:H$38,2,FALSE)*H201+VLOOKUP(C201,Deflatores!G$4:I$38,3,FALSE)))</f>
        <v>4</v>
      </c>
      <c r="M201" s="10"/>
      <c r="N201" s="10"/>
      <c r="O201" s="6"/>
    </row>
    <row r="202" spans="1:15" x14ac:dyDescent="0.2">
      <c r="A202" s="126" t="s">
        <v>343</v>
      </c>
      <c r="B202" s="4" t="s">
        <v>100</v>
      </c>
      <c r="C202" s="4" t="s">
        <v>41</v>
      </c>
      <c r="D202" s="7"/>
      <c r="E202" s="7"/>
      <c r="F202" s="8" t="str">
        <f t="shared" si="0"/>
        <v>Média</v>
      </c>
      <c r="G202" s="7" t="str">
        <f t="shared" si="1"/>
        <v>EEA</v>
      </c>
      <c r="H202" s="5">
        <f t="shared" si="2"/>
        <v>4</v>
      </c>
      <c r="I202" s="122" t="str">
        <f t="shared" si="3"/>
        <v>A</v>
      </c>
      <c r="J202" s="7" t="str">
        <f t="shared" si="4"/>
        <v>EEI</v>
      </c>
      <c r="K202" s="9">
        <f t="shared" si="5"/>
        <v>4</v>
      </c>
      <c r="L202" s="9">
        <f>IF(NOT(ISERROR(VLOOKUP(B202,Deflatores!G$42:H$64,2,FALSE))),VLOOKUP(B202,Deflatores!G$42:H$64,2,FALSE),IF(OR(ISBLANK(C202),ISBLANK(B202)),"",VLOOKUP(C202,Deflatores!G$4:H$38,2,FALSE)*H202+VLOOKUP(C202,Deflatores!G$4:I$38,3,FALSE)))</f>
        <v>4</v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>IF(ISBLANK(B203),"",IF(I203="L","Baixa",IF(I203="A","Média",IF(I203="","","Alta"))))</f>
        <v/>
      </c>
      <c r="G203" s="7" t="str">
        <f>CONCATENATE(B203,I203)</f>
        <v/>
      </c>
      <c r="H203" s="5" t="str">
        <f>IF(ISBLANK(B203),"",IF(B203="ALI",IF(I203="L",7,IF(I203="A",10,15)),IF(B203="AIE",IF(I203="L",5,IF(I203="A",7,10)),IF(B203="SE",IF(I203="L",4,IF(I203="A",5,7)),IF(OR(B203="EE",B203="CE"),IF(I203="L",3,IF(I203="A",4,6)),0)))))</f>
        <v/>
      </c>
      <c r="I203" s="122" t="str">
        <f>IF(OR(ISBLANK(D203),ISBLANK(E203)),IF(OR(B203="ALI",B203="AIE"),"L",IF(OR(B203="EE",B203="SE",B203="CE"),"A","")),IF(B203="EE",IF(E203&gt;=3,IF(D203&gt;=5,"H","A"),IF(E203&gt;=2,IF(D203&gt;=16,"H",IF(D203&lt;=4,"L","A")),IF(D203&lt;=15,"L","A"))),IF(OR(B203="SE",B203="CE"),IF(E203&gt;=4,IF(D203&gt;=6,"H","A"),IF(E203&gt;=2,IF(D203&gt;=20,"H",IF(D203&lt;=5,"L","A")),IF(D203&lt;=19,"L","A"))),IF(OR(B203="ALI",B203="AIE"),IF(E203&gt;=6,IF(D203&gt;=20,"H","A"),IF(E203&gt;=2,IF(D203&gt;=51,"H",IF(D203&lt;=19,"L","A")),IF(D203&lt;=50,"L","A"))),""))))</f>
        <v/>
      </c>
      <c r="J203" s="7" t="str">
        <f>CONCATENATE(B203,C203)</f>
        <v/>
      </c>
      <c r="K203" s="9" t="str">
        <f>IF(OR(H203="",H203=0),L203,H203)</f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8" t="s">
        <v>344</v>
      </c>
      <c r="B204" s="4"/>
      <c r="C204" s="4"/>
      <c r="D204" s="7"/>
      <c r="E204" s="7"/>
      <c r="F204" s="8" t="str">
        <f>IF(ISBLANK(B204),"",IF(I204="L","Baixa",IF(I204="A","Média",IF(I204="","","Alta"))))</f>
        <v/>
      </c>
      <c r="G204" s="7" t="str">
        <f>CONCATENATE(B204,I204)</f>
        <v/>
      </c>
      <c r="H204" s="5" t="str">
        <f>IF(ISBLANK(B204),"",IF(B204="ALI",IF(I204="L",7,IF(I204="A",10,15)),IF(B204="AIE",IF(I204="L",5,IF(I204="A",7,10)),IF(B204="SE",IF(I204="L",4,IF(I204="A",5,7)),IF(OR(B204="EE",B204="CE"),IF(I204="L",3,IF(I204="A",4,6)),0)))))</f>
        <v/>
      </c>
      <c r="I204" s="122" t="str">
        <f>IF(OR(ISBLANK(D204),ISBLANK(E204)),IF(OR(B204="ALI",B204="AIE"),"L",IF(OR(B204="EE",B204="SE",B204="CE"),"A","")),IF(B204="EE",IF(E204&gt;=3,IF(D204&gt;=5,"H","A"),IF(E204&gt;=2,IF(D204&gt;=16,"H",IF(D204&lt;=4,"L","A")),IF(D204&lt;=15,"L","A"))),IF(OR(B204="SE",B204="CE"),IF(E204&gt;=4,IF(D204&gt;=6,"H","A"),IF(E204&gt;=2,IF(D204&gt;=20,"H",IF(D204&lt;=5,"L","A")),IF(D204&lt;=19,"L","A"))),IF(OR(B204="ALI",B204="AIE"),IF(E204&gt;=6,IF(D204&gt;=20,"H","A"),IF(E204&gt;=2,IF(D204&gt;=51,"H",IF(D204&lt;=19,"L","A")),IF(D204&lt;=50,"L","A"))),""))))</f>
        <v/>
      </c>
      <c r="J204" s="7" t="str">
        <f>CONCATENATE(B204,C204)</f>
        <v/>
      </c>
      <c r="K204" s="9" t="str">
        <f>IF(OR(H204="",H204=0),L204,H204)</f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 t="s">
        <v>344</v>
      </c>
      <c r="B205" s="4" t="s">
        <v>98</v>
      </c>
      <c r="C205" s="4" t="s">
        <v>41</v>
      </c>
      <c r="D205" s="7"/>
      <c r="E205" s="7"/>
      <c r="F205" s="8" t="str">
        <f>IF(ISBLANK(B205),"",IF(I205="L","Baixa",IF(I205="A","Média",IF(I205="","","Alta"))))</f>
        <v>Baixa</v>
      </c>
      <c r="G205" s="7" t="str">
        <f>CONCATENATE(B205,I205)</f>
        <v>ALIL</v>
      </c>
      <c r="H205" s="5">
        <f>IF(ISBLANK(B205),"",IF(B205="ALI",IF(I205="L",7,IF(I205="A",10,15)),IF(B205="AIE",IF(I205="L",5,IF(I205="A",7,10)),IF(B205="SE",IF(I205="L",4,IF(I205="A",5,7)),IF(OR(B205="EE",B205="CE"),IF(I205="L",3,IF(I205="A",4,6)),0)))))</f>
        <v>7</v>
      </c>
      <c r="I205" s="122" t="str">
        <f>IF(OR(ISBLANK(D205),ISBLANK(E205)),IF(OR(B205="ALI",B205="AIE"),"L",IF(OR(B205="EE",B205="SE",B205="CE"),"A","")),IF(B205="EE",IF(E205&gt;=3,IF(D205&gt;=5,"H","A"),IF(E205&gt;=2,IF(D205&gt;=16,"H",IF(D205&lt;=4,"L","A")),IF(D205&lt;=15,"L","A"))),IF(OR(B205="SE",B205="CE"),IF(E205&gt;=4,IF(D205&gt;=6,"H","A"),IF(E205&gt;=2,IF(D205&gt;=20,"H",IF(D205&lt;=5,"L","A")),IF(D205&lt;=19,"L","A"))),IF(OR(B205="ALI",B205="AIE"),IF(E205&gt;=6,IF(D205&gt;=20,"H","A"),IF(E205&gt;=2,IF(D205&gt;=51,"H",IF(D205&lt;=19,"L","A")),IF(D205&lt;=50,"L","A"))),""))))</f>
        <v>L</v>
      </c>
      <c r="J205" s="7" t="str">
        <f>CONCATENATE(B205,C205)</f>
        <v>ALII</v>
      </c>
      <c r="K205" s="9">
        <f>IF(OR(H205="",H205=0),L205,H205)</f>
        <v>7</v>
      </c>
      <c r="L205" s="9">
        <f>IF(NOT(ISERROR(VLOOKUP(B205,Deflatores!G$42:H$64,2,FALSE))),VLOOKUP(B205,Deflatores!G$42:H$64,2,FALSE),IF(OR(ISBLANK(C205),ISBLANK(B205)),"",VLOOKUP(C205,Deflatores!G$4:H$38,2,FALSE)*H205+VLOOKUP(C205,Deflatores!G$4:I$38,3,FALSE)))</f>
        <v>7</v>
      </c>
      <c r="M205" s="10"/>
      <c r="N205" s="10"/>
      <c r="O205" s="6"/>
    </row>
    <row r="206" spans="1:15" x14ac:dyDescent="0.2">
      <c r="A206" s="126" t="s">
        <v>346</v>
      </c>
      <c r="B206" s="4" t="s">
        <v>102</v>
      </c>
      <c r="C206" s="4" t="s">
        <v>41</v>
      </c>
      <c r="D206" s="7"/>
      <c r="E206" s="7"/>
      <c r="F206" s="8" t="str">
        <f>IF(ISBLANK(B206),"",IF(I206="L","Baixa",IF(I206="A","Média",IF(I206="","","Alta"))))</f>
        <v>Média</v>
      </c>
      <c r="G206" s="7" t="str">
        <f>CONCATENATE(B206,I206)</f>
        <v>CEA</v>
      </c>
      <c r="H206" s="5">
        <f>IF(ISBLANK(B206),"",IF(B206="ALI",IF(I206="L",7,IF(I206="A",10,15)),IF(B206="AIE",IF(I206="L",5,IF(I206="A",7,10)),IF(B206="SE",IF(I206="L",4,IF(I206="A",5,7)),IF(OR(B206="EE",B206="CE"),IF(I206="L",3,IF(I206="A",4,6)),0)))))</f>
        <v>4</v>
      </c>
      <c r="I206" s="122" t="str">
        <f>IF(OR(ISBLANK(D206),ISBLANK(E206)),IF(OR(B206="ALI",B206="AIE"),"L",IF(OR(B206="EE",B206="SE",B206="CE"),"A","")),IF(B206="EE",IF(E206&gt;=3,IF(D206&gt;=5,"H","A"),IF(E206&gt;=2,IF(D206&gt;=16,"H",IF(D206&lt;=4,"L","A")),IF(D206&lt;=15,"L","A"))),IF(OR(B206="SE",B206="CE"),IF(E206&gt;=4,IF(D206&gt;=6,"H","A"),IF(E206&gt;=2,IF(D206&gt;=20,"H",IF(D206&lt;=5,"L","A")),IF(D206&lt;=19,"L","A"))),IF(OR(B206="ALI",B206="AIE"),IF(E206&gt;=6,IF(D206&gt;=20,"H","A"),IF(E206&gt;=2,IF(D206&gt;=51,"H",IF(D206&lt;=19,"L","A")),IF(D206&lt;=50,"L","A"))),""))))</f>
        <v>A</v>
      </c>
      <c r="J206" s="7" t="str">
        <f>CONCATENATE(B206,C206)</f>
        <v>CEI</v>
      </c>
      <c r="K206" s="9">
        <f>IF(OR(H206="",H206=0),L206,H206)</f>
        <v>4</v>
      </c>
      <c r="L206" s="9">
        <f>IF(NOT(ISERROR(VLOOKUP(B206,Deflatores!G$42:H$64,2,FALSE))),VLOOKUP(B206,Deflatores!G$42:H$64,2,FALSE),IF(OR(ISBLANK(C206),ISBLANK(B206)),"",VLOOKUP(C206,Deflatores!G$4:H$38,2,FALSE)*H206+VLOOKUP(C206,Deflatores!G$4:I$38,3,FALSE)))</f>
        <v>4</v>
      </c>
      <c r="M206" s="10"/>
      <c r="N206" s="10"/>
      <c r="O206" s="6"/>
    </row>
    <row r="207" spans="1:15" ht="15" customHeight="1" x14ac:dyDescent="0.2">
      <c r="A207" s="126" t="s">
        <v>345</v>
      </c>
      <c r="B207" s="4" t="s">
        <v>100</v>
      </c>
      <c r="C207" s="4" t="s">
        <v>41</v>
      </c>
      <c r="D207" s="7"/>
      <c r="E207" s="7"/>
      <c r="F207" s="8" t="str">
        <f t="shared" ref="F207:F319" si="498">IF(ISBLANK(B207),"",IF(I207="L","Baixa",IF(I207="A","Média",IF(I207="","","Alta"))))</f>
        <v>Média</v>
      </c>
      <c r="G207" s="7" t="str">
        <f t="shared" ref="G207:G319" si="499">CONCATENATE(B207,I207)</f>
        <v>EEA</v>
      </c>
      <c r="H207" s="5">
        <f t="shared" ref="H207:H319" si="500">IF(ISBLANK(B207),"",IF(B207="ALI",IF(I207="L",7,IF(I207="A",10,15)),IF(B207="AIE",IF(I207="L",5,IF(I207="A",7,10)),IF(B207="SE",IF(I207="L",4,IF(I207="A",5,7)),IF(OR(B207="EE",B207="CE"),IF(I207="L",3,IF(I207="A",4,6)),0)))))</f>
        <v>4</v>
      </c>
      <c r="I207" s="122" t="str">
        <f t="shared" ref="I207:I319" si="501">IF(OR(ISBLANK(D207),ISBLANK(E207)),IF(OR(B207="ALI",B207="AIE"),"L",IF(OR(B207="EE",B207="SE",B207="CE"),"A","")),IF(B207="EE",IF(E207&gt;=3,IF(D207&gt;=5,"H","A"),IF(E207&gt;=2,IF(D207&gt;=16,"H",IF(D207&lt;=4,"L","A")),IF(D207&lt;=15,"L","A"))),IF(OR(B207="SE",B207="CE"),IF(E207&gt;=4,IF(D207&gt;=6,"H","A"),IF(E207&gt;=2,IF(D207&gt;=20,"H",IF(D207&lt;=5,"L","A")),IF(D207&lt;=19,"L","A"))),IF(OR(B207="ALI",B207="AIE"),IF(E207&gt;=6,IF(D207&gt;=20,"H","A"),IF(E207&gt;=2,IF(D207&gt;=51,"H",IF(D207&lt;=19,"L","A")),IF(D207&lt;=50,"L","A"))),""))))</f>
        <v>A</v>
      </c>
      <c r="J207" s="7" t="str">
        <f t="shared" ref="J207:J319" si="502">CONCATENATE(B207,C207)</f>
        <v>EEI</v>
      </c>
      <c r="K207" s="9">
        <f t="shared" si="5"/>
        <v>4</v>
      </c>
      <c r="L207" s="9">
        <f>IF(NOT(ISERROR(VLOOKUP(B207,Deflatores!G$42:H$64,2,FALSE))),VLOOKUP(B207,Deflatores!G$42:H$64,2,FALSE),IF(OR(ISBLANK(C207),ISBLANK(B207)),"",VLOOKUP(C207,Deflatores!G$4:H$38,2,FALSE)*H207+VLOOKUP(C207,Deflatores!G$4:I$38,3,FALSE)))</f>
        <v>4</v>
      </c>
      <c r="M207" s="10"/>
      <c r="N207" s="10"/>
      <c r="O207" s="6"/>
    </row>
    <row r="208" spans="1:15" ht="14.25" customHeight="1" x14ac:dyDescent="0.2">
      <c r="A208" s="126" t="s">
        <v>347</v>
      </c>
      <c r="B208" s="4" t="s">
        <v>100</v>
      </c>
      <c r="C208" s="4" t="s">
        <v>41</v>
      </c>
      <c r="D208" s="7"/>
      <c r="E208" s="7"/>
      <c r="F208" s="8" t="str">
        <f t="shared" si="498"/>
        <v>Média</v>
      </c>
      <c r="G208" s="7" t="str">
        <f t="shared" si="499"/>
        <v>EEA</v>
      </c>
      <c r="H208" s="5">
        <f t="shared" si="500"/>
        <v>4</v>
      </c>
      <c r="I208" s="122" t="str">
        <f t="shared" si="501"/>
        <v>A</v>
      </c>
      <c r="J208" s="7" t="str">
        <f t="shared" si="502"/>
        <v>EEI</v>
      </c>
      <c r="K208" s="9">
        <f t="shared" si="5"/>
        <v>4</v>
      </c>
      <c r="L208" s="9">
        <f>IF(NOT(ISERROR(VLOOKUP(B208,Deflatores!G$42:H$64,2,FALSE))),VLOOKUP(B208,Deflatores!G$42:H$64,2,FALSE),IF(OR(ISBLANK(C208),ISBLANK(B208)),"",VLOOKUP(C208,Deflatores!G$4:H$38,2,FALSE)*H208+VLOOKUP(C208,Deflatores!G$4:I$38,3,FALSE)))</f>
        <v>4</v>
      </c>
      <c r="M208" s="10"/>
      <c r="N208" s="10"/>
      <c r="O208" s="6"/>
    </row>
    <row r="209" spans="1:15" ht="15.75" customHeight="1" x14ac:dyDescent="0.2">
      <c r="A209" s="126" t="s">
        <v>348</v>
      </c>
      <c r="B209" s="4" t="s">
        <v>102</v>
      </c>
      <c r="C209" s="4" t="s">
        <v>41</v>
      </c>
      <c r="D209" s="7"/>
      <c r="E209" s="7"/>
      <c r="F209" s="8" t="str">
        <f t="shared" si="498"/>
        <v>Média</v>
      </c>
      <c r="G209" s="7" t="str">
        <f t="shared" si="499"/>
        <v>CEA</v>
      </c>
      <c r="H209" s="5">
        <f t="shared" si="500"/>
        <v>4</v>
      </c>
      <c r="I209" s="122" t="str">
        <f t="shared" si="501"/>
        <v>A</v>
      </c>
      <c r="J209" s="7" t="str">
        <f t="shared" si="502"/>
        <v>CEI</v>
      </c>
      <c r="K209" s="9">
        <f t="shared" si="5"/>
        <v>4</v>
      </c>
      <c r="L209" s="9">
        <f>IF(NOT(ISERROR(VLOOKUP(B209,Deflatores!G$42:H$64,2,FALSE))),VLOOKUP(B209,Deflatores!G$42:H$64,2,FALSE),IF(OR(ISBLANK(C209),ISBLANK(B209)),"",VLOOKUP(C209,Deflatores!G$4:H$38,2,FALSE)*H209+VLOOKUP(C209,Deflatores!G$4:I$38,3,FALSE)))</f>
        <v>4</v>
      </c>
      <c r="M209" s="10"/>
      <c r="N209" s="10"/>
      <c r="O209" s="6"/>
    </row>
    <row r="210" spans="1:15" ht="15.75" customHeight="1" x14ac:dyDescent="0.2">
      <c r="A210" s="126" t="s">
        <v>349</v>
      </c>
      <c r="B210" s="4" t="s">
        <v>100</v>
      </c>
      <c r="C210" s="4" t="s">
        <v>41</v>
      </c>
      <c r="D210" s="7"/>
      <c r="E210" s="7"/>
      <c r="F210" s="8" t="str">
        <f t="shared" ref="F210" si="503">IF(ISBLANK(B210),"",IF(I210="L","Baixa",IF(I210="A","Média",IF(I210="","","Alta"))))</f>
        <v>Média</v>
      </c>
      <c r="G210" s="7" t="str">
        <f t="shared" ref="G210" si="504">CONCATENATE(B210,I210)</f>
        <v>EEA</v>
      </c>
      <c r="H210" s="5">
        <f t="shared" ref="H210" si="505">IF(ISBLANK(B210),"",IF(B210="ALI",IF(I210="L",7,IF(I210="A",10,15)),IF(B210="AIE",IF(I210="L",5,IF(I210="A",7,10)),IF(B210="SE",IF(I210="L",4,IF(I210="A",5,7)),IF(OR(B210="EE",B210="CE"),IF(I210="L",3,IF(I210="A",4,6)),0)))))</f>
        <v>4</v>
      </c>
      <c r="I210" s="122" t="str">
        <f t="shared" ref="I210" si="506">IF(OR(ISBLANK(D210),ISBLANK(E210)),IF(OR(B210="ALI",B210="AIE"),"L",IF(OR(B210="EE",B210="SE",B210="CE"),"A","")),IF(B210="EE",IF(E210&gt;=3,IF(D210&gt;=5,"H","A"),IF(E210&gt;=2,IF(D210&gt;=16,"H",IF(D210&lt;=4,"L","A")),IF(D210&lt;=15,"L","A"))),IF(OR(B210="SE",B210="CE"),IF(E210&gt;=4,IF(D210&gt;=6,"H","A"),IF(E210&gt;=2,IF(D210&gt;=20,"H",IF(D210&lt;=5,"L","A")),IF(D210&lt;=19,"L","A"))),IF(OR(B210="ALI",B210="AIE"),IF(E210&gt;=6,IF(D210&gt;=20,"H","A"),IF(E210&gt;=2,IF(D210&gt;=51,"H",IF(D210&lt;=19,"L","A")),IF(D210&lt;=50,"L","A"))),""))))</f>
        <v>A</v>
      </c>
      <c r="J210" s="7" t="str">
        <f t="shared" ref="J210" si="507">CONCATENATE(B210,C210)</f>
        <v>EEI</v>
      </c>
      <c r="K210" s="9">
        <f t="shared" ref="K210" si="508">IF(OR(H210="",H210=0),L210,H210)</f>
        <v>4</v>
      </c>
      <c r="L210" s="9">
        <f>IF(NOT(ISERROR(VLOOKUP(B210,Deflatores!G$42:H$64,2,FALSE))),VLOOKUP(B210,Deflatores!G$42:H$64,2,FALSE),IF(OR(ISBLANK(C210),ISBLANK(B210)),"",VLOOKUP(C210,Deflatores!G$4:H$38,2,FALSE)*H210+VLOOKUP(C210,Deflatores!G$4:I$38,3,FALSE)))</f>
        <v>4</v>
      </c>
      <c r="M210" s="10"/>
      <c r="N210" s="10"/>
      <c r="O210" s="6"/>
    </row>
    <row r="211" spans="1:15" ht="15.75" customHeight="1" x14ac:dyDescent="0.2">
      <c r="A211" s="126"/>
      <c r="B211" s="4"/>
      <c r="C211" s="4"/>
      <c r="D211" s="7"/>
      <c r="E211" s="7"/>
      <c r="F211" s="8" t="str">
        <f t="shared" si="498"/>
        <v/>
      </c>
      <c r="G211" s="7" t="str">
        <f t="shared" si="499"/>
        <v/>
      </c>
      <c r="H211" s="5" t="str">
        <f t="shared" si="500"/>
        <v/>
      </c>
      <c r="I211" s="122" t="str">
        <f t="shared" si="501"/>
        <v/>
      </c>
      <c r="J211" s="7" t="str">
        <f t="shared" si="502"/>
        <v/>
      </c>
      <c r="K211" s="9" t="str">
        <f t="shared" si="5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3.5" customHeight="1" x14ac:dyDescent="0.2">
      <c r="A212" s="128" t="s">
        <v>350</v>
      </c>
      <c r="B212" s="4"/>
      <c r="C212" s="4"/>
      <c r="D212" s="7"/>
      <c r="E212" s="7"/>
      <c r="F212" s="8" t="str">
        <f t="shared" si="498"/>
        <v/>
      </c>
      <c r="G212" s="7" t="str">
        <f t="shared" si="499"/>
        <v/>
      </c>
      <c r="H212" s="5" t="str">
        <f t="shared" si="500"/>
        <v/>
      </c>
      <c r="I212" s="122" t="str">
        <f t="shared" si="501"/>
        <v/>
      </c>
      <c r="J212" s="7" t="str">
        <f t="shared" si="502"/>
        <v/>
      </c>
      <c r="K212" s="9" t="str">
        <f t="shared" ref="K212" si="509">IF(OR(H212="",H212=0),L212,H212)</f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ht="13.5" customHeight="1" x14ac:dyDescent="0.2">
      <c r="A213" s="126" t="s">
        <v>350</v>
      </c>
      <c r="B213" s="4" t="s">
        <v>98</v>
      </c>
      <c r="C213" s="4" t="s">
        <v>41</v>
      </c>
      <c r="D213" s="7"/>
      <c r="E213" s="7"/>
      <c r="F213" s="8" t="str">
        <f t="shared" ref="F213" si="510">IF(ISBLANK(B213),"",IF(I213="L","Baixa",IF(I213="A","Média",IF(I213="","","Alta"))))</f>
        <v>Baixa</v>
      </c>
      <c r="G213" s="7" t="str">
        <f t="shared" ref="G213" si="511">CONCATENATE(B213,I213)</f>
        <v>ALIL</v>
      </c>
      <c r="H213" s="5">
        <f t="shared" ref="H213" si="512">IF(ISBLANK(B213),"",IF(B213="ALI",IF(I213="L",7,IF(I213="A",10,15)),IF(B213="AIE",IF(I213="L",5,IF(I213="A",7,10)),IF(B213="SE",IF(I213="L",4,IF(I213="A",5,7)),IF(OR(B213="EE",B213="CE"),IF(I213="L",3,IF(I213="A",4,6)),0)))))</f>
        <v>7</v>
      </c>
      <c r="I213" s="122" t="str">
        <f t="shared" ref="I213" si="513">IF(OR(ISBLANK(D213),ISBLANK(E213)),IF(OR(B213="ALI",B213="AIE"),"L",IF(OR(B213="EE",B213="SE",B213="CE"),"A","")),IF(B213="EE",IF(E213&gt;=3,IF(D213&gt;=5,"H","A"),IF(E213&gt;=2,IF(D213&gt;=16,"H",IF(D213&lt;=4,"L","A")),IF(D213&lt;=15,"L","A"))),IF(OR(B213="SE",B213="CE"),IF(E213&gt;=4,IF(D213&gt;=6,"H","A"),IF(E213&gt;=2,IF(D213&gt;=20,"H",IF(D213&lt;=5,"L","A")),IF(D213&lt;=19,"L","A"))),IF(OR(B213="ALI",B213="AIE"),IF(E213&gt;=6,IF(D213&gt;=20,"H","A"),IF(E213&gt;=2,IF(D213&gt;=51,"H",IF(D213&lt;=19,"L","A")),IF(D213&lt;=50,"L","A"))),""))))</f>
        <v>L</v>
      </c>
      <c r="J213" s="7" t="str">
        <f t="shared" ref="J213" si="514">CONCATENATE(B213,C213)</f>
        <v>ALII</v>
      </c>
      <c r="K213" s="9">
        <f t="shared" ref="K213" si="515">IF(OR(H213="",H213=0),L213,H213)</f>
        <v>7</v>
      </c>
      <c r="L213" s="9">
        <f>IF(NOT(ISERROR(VLOOKUP(B213,Deflatores!G$42:H$64,2,FALSE))),VLOOKUP(B213,Deflatores!G$42:H$64,2,FALSE),IF(OR(ISBLANK(C213),ISBLANK(B213)),"",VLOOKUP(C213,Deflatores!G$4:H$38,2,FALSE)*H213+VLOOKUP(C213,Deflatores!G$4:I$38,3,FALSE)))</f>
        <v>7</v>
      </c>
      <c r="M213" s="10"/>
      <c r="N213" s="10"/>
      <c r="O213" s="6"/>
    </row>
    <row r="214" spans="1:15" x14ac:dyDescent="0.2">
      <c r="A214" s="128" t="s">
        <v>351</v>
      </c>
      <c r="B214" s="4"/>
      <c r="C214" s="4"/>
      <c r="D214" s="7"/>
      <c r="E214" s="7"/>
      <c r="F214" s="8" t="str">
        <f t="shared" si="498"/>
        <v/>
      </c>
      <c r="G214" s="7" t="str">
        <f t="shared" si="499"/>
        <v/>
      </c>
      <c r="H214" s="5" t="str">
        <f t="shared" si="500"/>
        <v/>
      </c>
      <c r="I214" s="122" t="str">
        <f t="shared" si="501"/>
        <v/>
      </c>
      <c r="J214" s="7" t="str">
        <f t="shared" si="502"/>
        <v/>
      </c>
      <c r="K214" s="9" t="str">
        <f t="shared" ref="K214:K321" si="516">IF(OR(H214="",H214=0),L214,H214)</f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">
      <c r="A215" s="126" t="s">
        <v>352</v>
      </c>
      <c r="B215" s="4" t="s">
        <v>102</v>
      </c>
      <c r="C215" s="4" t="s">
        <v>41</v>
      </c>
      <c r="D215" s="7"/>
      <c r="E215" s="7"/>
      <c r="F215" s="8" t="str">
        <f t="shared" ref="F215" si="517">IF(ISBLANK(B215),"",IF(I215="L","Baixa",IF(I215="A","Média",IF(I215="","","Alta"))))</f>
        <v>Média</v>
      </c>
      <c r="G215" s="7" t="str">
        <f t="shared" ref="G215" si="518">CONCATENATE(B215,I215)</f>
        <v>CEA</v>
      </c>
      <c r="H215" s="5">
        <f t="shared" ref="H215" si="519">IF(ISBLANK(B215),"",IF(B215="ALI",IF(I215="L",7,IF(I215="A",10,15)),IF(B215="AIE",IF(I215="L",5,IF(I215="A",7,10)),IF(B215="SE",IF(I215="L",4,IF(I215="A",5,7)),IF(OR(B215="EE",B215="CE"),IF(I215="L",3,IF(I215="A",4,6)),0)))))</f>
        <v>4</v>
      </c>
      <c r="I215" s="122" t="str">
        <f t="shared" ref="I215" si="520">IF(OR(ISBLANK(D215),ISBLANK(E215)),IF(OR(B215="ALI",B215="AIE"),"L",IF(OR(B215="EE",B215="SE",B215="CE"),"A","")),IF(B215="EE",IF(E215&gt;=3,IF(D215&gt;=5,"H","A"),IF(E215&gt;=2,IF(D215&gt;=16,"H",IF(D215&lt;=4,"L","A")),IF(D215&lt;=15,"L","A"))),IF(OR(B215="SE",B215="CE"),IF(E215&gt;=4,IF(D215&gt;=6,"H","A"),IF(E215&gt;=2,IF(D215&gt;=20,"H",IF(D215&lt;=5,"L","A")),IF(D215&lt;=19,"L","A"))),IF(OR(B215="ALI",B215="AIE"),IF(E215&gt;=6,IF(D215&gt;=20,"H","A"),IF(E215&gt;=2,IF(D215&gt;=51,"H",IF(D215&lt;=19,"L","A")),IF(D215&lt;=50,"L","A"))),""))))</f>
        <v>A</v>
      </c>
      <c r="J215" s="7" t="str">
        <f t="shared" ref="J215" si="521">CONCATENATE(B215,C215)</f>
        <v>CEI</v>
      </c>
      <c r="K215" s="9">
        <f t="shared" ref="K215" si="522">IF(OR(H215="",H215=0),L215,H215)</f>
        <v>4</v>
      </c>
      <c r="L215" s="9">
        <f>IF(NOT(ISERROR(VLOOKUP(B215,Deflatores!G$42:H$64,2,FALSE))),VLOOKUP(B215,Deflatores!G$42:H$64,2,FALSE),IF(OR(ISBLANK(C215),ISBLANK(B215)),"",VLOOKUP(C215,Deflatores!G$4:H$38,2,FALSE)*H215+VLOOKUP(C215,Deflatores!G$4:I$38,3,FALSE)))</f>
        <v>4</v>
      </c>
      <c r="M215" s="10"/>
      <c r="N215" s="10"/>
      <c r="O215" s="6"/>
    </row>
    <row r="216" spans="1:15" ht="13.5" customHeight="1" x14ac:dyDescent="0.2">
      <c r="A216" s="126" t="s">
        <v>353</v>
      </c>
      <c r="B216" s="4" t="s">
        <v>102</v>
      </c>
      <c r="C216" s="4" t="s">
        <v>41</v>
      </c>
      <c r="D216" s="7"/>
      <c r="E216" s="7"/>
      <c r="F216" s="8" t="str">
        <f t="shared" si="498"/>
        <v>Média</v>
      </c>
      <c r="G216" s="7" t="str">
        <f t="shared" si="499"/>
        <v>CEA</v>
      </c>
      <c r="H216" s="5">
        <f t="shared" si="500"/>
        <v>4</v>
      </c>
      <c r="I216" s="122" t="str">
        <f t="shared" si="501"/>
        <v>A</v>
      </c>
      <c r="J216" s="7" t="str">
        <f t="shared" si="502"/>
        <v>CEI</v>
      </c>
      <c r="K216" s="9">
        <f t="shared" si="516"/>
        <v>4</v>
      </c>
      <c r="L216" s="9">
        <f>IF(NOT(ISERROR(VLOOKUP(B216,Deflatores!G$42:H$64,2,FALSE))),VLOOKUP(B216,Deflatores!G$42:H$64,2,FALSE),IF(OR(ISBLANK(C216),ISBLANK(B216)),"",VLOOKUP(C216,Deflatores!G$4:H$38,2,FALSE)*H216+VLOOKUP(C216,Deflatores!G$4:I$38,3,FALSE)))</f>
        <v>4</v>
      </c>
      <c r="M216" s="10"/>
      <c r="N216" s="10"/>
      <c r="O216" s="6"/>
    </row>
    <row r="217" spans="1:15" x14ac:dyDescent="0.2">
      <c r="A217" s="126" t="s">
        <v>354</v>
      </c>
      <c r="B217" s="4" t="s">
        <v>102</v>
      </c>
      <c r="C217" s="4" t="s">
        <v>41</v>
      </c>
      <c r="D217" s="7"/>
      <c r="E217" s="7"/>
      <c r="F217" s="8" t="str">
        <f t="shared" ref="F217" si="523">IF(ISBLANK(B217),"",IF(I217="L","Baixa",IF(I217="A","Média",IF(I217="","","Alta"))))</f>
        <v>Média</v>
      </c>
      <c r="G217" s="7" t="str">
        <f t="shared" ref="G217" si="524">CONCATENATE(B217,I217)</f>
        <v>CEA</v>
      </c>
      <c r="H217" s="5">
        <f t="shared" ref="H217" si="525">IF(ISBLANK(B217),"",IF(B217="ALI",IF(I217="L",7,IF(I217="A",10,15)),IF(B217="AIE",IF(I217="L",5,IF(I217="A",7,10)),IF(B217="SE",IF(I217="L",4,IF(I217="A",5,7)),IF(OR(B217="EE",B217="CE"),IF(I217="L",3,IF(I217="A",4,6)),0)))))</f>
        <v>4</v>
      </c>
      <c r="I217" s="122" t="str">
        <f t="shared" ref="I217" si="526">IF(OR(ISBLANK(D217),ISBLANK(E217)),IF(OR(B217="ALI",B217="AIE"),"L",IF(OR(B217="EE",B217="SE",B217="CE"),"A","")),IF(B217="EE",IF(E217&gt;=3,IF(D217&gt;=5,"H","A"),IF(E217&gt;=2,IF(D217&gt;=16,"H",IF(D217&lt;=4,"L","A")),IF(D217&lt;=15,"L","A"))),IF(OR(B217="SE",B217="CE"),IF(E217&gt;=4,IF(D217&gt;=6,"H","A"),IF(E217&gt;=2,IF(D217&gt;=20,"H",IF(D217&lt;=5,"L","A")),IF(D217&lt;=19,"L","A"))),IF(OR(B217="ALI",B217="AIE"),IF(E217&gt;=6,IF(D217&gt;=20,"H","A"),IF(E217&gt;=2,IF(D217&gt;=51,"H",IF(D217&lt;=19,"L","A")),IF(D217&lt;=50,"L","A"))),""))))</f>
        <v>A</v>
      </c>
      <c r="J217" s="7" t="str">
        <f t="shared" ref="J217" si="527">CONCATENATE(B217,C217)</f>
        <v>CEI</v>
      </c>
      <c r="K217" s="9">
        <f t="shared" ref="K217" si="528">IF(OR(H217="",H217=0),L217,H217)</f>
        <v>4</v>
      </c>
      <c r="L217" s="9">
        <f>IF(NOT(ISERROR(VLOOKUP(B217,Deflatores!G$42:H$64,2,FALSE))),VLOOKUP(B217,Deflatores!G$42:H$64,2,FALSE),IF(OR(ISBLANK(C217),ISBLANK(B217)),"",VLOOKUP(C217,Deflatores!G$4:H$38,2,FALSE)*H217+VLOOKUP(C217,Deflatores!G$4:I$38,3,FALSE)))</f>
        <v>4</v>
      </c>
      <c r="M217" s="10"/>
      <c r="N217" s="10"/>
      <c r="O217" s="6"/>
    </row>
    <row r="218" spans="1:15" x14ac:dyDescent="0.2">
      <c r="A218" s="126" t="s">
        <v>355</v>
      </c>
      <c r="B218" s="4" t="s">
        <v>102</v>
      </c>
      <c r="C218" s="4" t="s">
        <v>41</v>
      </c>
      <c r="D218" s="7"/>
      <c r="E218" s="7"/>
      <c r="F218" s="8" t="str">
        <f t="shared" si="498"/>
        <v>Média</v>
      </c>
      <c r="G218" s="7" t="str">
        <f t="shared" si="499"/>
        <v>CEA</v>
      </c>
      <c r="H218" s="5">
        <f t="shared" si="500"/>
        <v>4</v>
      </c>
      <c r="I218" s="122" t="str">
        <f t="shared" si="501"/>
        <v>A</v>
      </c>
      <c r="J218" s="7" t="str">
        <f t="shared" si="502"/>
        <v>CEI</v>
      </c>
      <c r="K218" s="9">
        <f t="shared" si="516"/>
        <v>4</v>
      </c>
      <c r="L218" s="9">
        <f>IF(NOT(ISERROR(VLOOKUP(B218,Deflatores!G$42:H$64,2,FALSE))),VLOOKUP(B218,Deflatores!G$42:H$64,2,FALSE),IF(OR(ISBLANK(C218),ISBLANK(B218)),"",VLOOKUP(C218,Deflatores!G$4:H$38,2,FALSE)*H218+VLOOKUP(C218,Deflatores!G$4:I$38,3,FALSE)))</f>
        <v>4</v>
      </c>
      <c r="M218" s="10"/>
      <c r="N218" s="10"/>
      <c r="O218" s="6"/>
    </row>
    <row r="219" spans="1:15" ht="25.5" x14ac:dyDescent="0.2">
      <c r="A219" s="126" t="s">
        <v>356</v>
      </c>
      <c r="B219" s="4" t="s">
        <v>102</v>
      </c>
      <c r="C219" s="4" t="s">
        <v>41</v>
      </c>
      <c r="D219" s="7"/>
      <c r="E219" s="7"/>
      <c r="F219" s="8" t="str">
        <f t="shared" si="498"/>
        <v>Média</v>
      </c>
      <c r="G219" s="7" t="str">
        <f t="shared" si="499"/>
        <v>CEA</v>
      </c>
      <c r="H219" s="5">
        <f t="shared" si="500"/>
        <v>4</v>
      </c>
      <c r="I219" s="122" t="str">
        <f t="shared" si="501"/>
        <v>A</v>
      </c>
      <c r="J219" s="7" t="str">
        <f t="shared" si="502"/>
        <v>CEI</v>
      </c>
      <c r="K219" s="9">
        <f t="shared" si="516"/>
        <v>4</v>
      </c>
      <c r="L219" s="9">
        <f>IF(NOT(ISERROR(VLOOKUP(B219,Deflatores!G$42:H$64,2,FALSE))),VLOOKUP(B219,Deflatores!G$42:H$64,2,FALSE),IF(OR(ISBLANK(C219),ISBLANK(B219)),"",VLOOKUP(C219,Deflatores!G$4:H$38,2,FALSE)*H219+VLOOKUP(C219,Deflatores!G$4:I$38,3,FALSE)))</f>
        <v>4</v>
      </c>
      <c r="M219" s="10"/>
      <c r="N219" s="10"/>
      <c r="O219" s="6"/>
    </row>
    <row r="220" spans="1:15" x14ac:dyDescent="0.2">
      <c r="A220" s="126" t="s">
        <v>357</v>
      </c>
      <c r="B220" s="4" t="s">
        <v>102</v>
      </c>
      <c r="C220" s="4" t="s">
        <v>41</v>
      </c>
      <c r="D220" s="7"/>
      <c r="E220" s="7"/>
      <c r="F220" s="8" t="str">
        <f t="shared" ref="F220" si="529">IF(ISBLANK(B220),"",IF(I220="L","Baixa",IF(I220="A","Média",IF(I220="","","Alta"))))</f>
        <v>Média</v>
      </c>
      <c r="G220" s="7" t="str">
        <f t="shared" ref="G220" si="530">CONCATENATE(B220,I220)</f>
        <v>CEA</v>
      </c>
      <c r="H220" s="5">
        <f t="shared" ref="H220" si="531">IF(ISBLANK(B220),"",IF(B220="ALI",IF(I220="L",7,IF(I220="A",10,15)),IF(B220="AIE",IF(I220="L",5,IF(I220="A",7,10)),IF(B220="SE",IF(I220="L",4,IF(I220="A",5,7)),IF(OR(B220="EE",B220="CE"),IF(I220="L",3,IF(I220="A",4,6)),0)))))</f>
        <v>4</v>
      </c>
      <c r="I220" s="122" t="str">
        <f t="shared" ref="I220" si="532">IF(OR(ISBLANK(D220),ISBLANK(E220)),IF(OR(B220="ALI",B220="AIE"),"L",IF(OR(B220="EE",B220="SE",B220="CE"),"A","")),IF(B220="EE",IF(E220&gt;=3,IF(D220&gt;=5,"H","A"),IF(E220&gt;=2,IF(D220&gt;=16,"H",IF(D220&lt;=4,"L","A")),IF(D220&lt;=15,"L","A"))),IF(OR(B220="SE",B220="CE"),IF(E220&gt;=4,IF(D220&gt;=6,"H","A"),IF(E220&gt;=2,IF(D220&gt;=20,"H",IF(D220&lt;=5,"L","A")),IF(D220&lt;=19,"L","A"))),IF(OR(B220="ALI",B220="AIE"),IF(E220&gt;=6,IF(D220&gt;=20,"H","A"),IF(E220&gt;=2,IF(D220&gt;=51,"H",IF(D220&lt;=19,"L","A")),IF(D220&lt;=50,"L","A"))),""))))</f>
        <v>A</v>
      </c>
      <c r="J220" s="7" t="str">
        <f t="shared" ref="J220" si="533">CONCATENATE(B220,C220)</f>
        <v>CEI</v>
      </c>
      <c r="K220" s="9">
        <f t="shared" ref="K220" si="534">IF(OR(H220="",H220=0),L220,H220)</f>
        <v>4</v>
      </c>
      <c r="L220" s="9">
        <f>IF(NOT(ISERROR(VLOOKUP(B220,Deflatores!G$42:H$64,2,FALSE))),VLOOKUP(B220,Deflatores!G$42:H$64,2,FALSE),IF(OR(ISBLANK(C220),ISBLANK(B220)),"",VLOOKUP(C220,Deflatores!G$4:H$38,2,FALSE)*H220+VLOOKUP(C220,Deflatores!G$4:I$38,3,FALSE)))</f>
        <v>4</v>
      </c>
      <c r="M220" s="10"/>
      <c r="N220" s="10"/>
      <c r="O220" s="6"/>
    </row>
    <row r="221" spans="1:15" x14ac:dyDescent="0.2">
      <c r="A221" s="126" t="s">
        <v>358</v>
      </c>
      <c r="B221" s="4" t="s">
        <v>102</v>
      </c>
      <c r="C221" s="4" t="s">
        <v>41</v>
      </c>
      <c r="D221" s="7"/>
      <c r="E221" s="7"/>
      <c r="F221" s="8" t="str">
        <f t="shared" si="498"/>
        <v>Média</v>
      </c>
      <c r="G221" s="7" t="str">
        <f t="shared" si="499"/>
        <v>CEA</v>
      </c>
      <c r="H221" s="5">
        <f t="shared" si="500"/>
        <v>4</v>
      </c>
      <c r="I221" s="122" t="str">
        <f t="shared" si="501"/>
        <v>A</v>
      </c>
      <c r="J221" s="7" t="str">
        <f t="shared" si="502"/>
        <v>CEI</v>
      </c>
      <c r="K221" s="9">
        <f t="shared" si="516"/>
        <v>4</v>
      </c>
      <c r="L221" s="9">
        <f>IF(NOT(ISERROR(VLOOKUP(B221,Deflatores!G$42:H$64,2,FALSE))),VLOOKUP(B221,Deflatores!G$42:H$64,2,FALSE),IF(OR(ISBLANK(C221),ISBLANK(B221)),"",VLOOKUP(C221,Deflatores!G$4:H$38,2,FALSE)*H221+VLOOKUP(C221,Deflatores!G$4:I$38,3,FALSE)))</f>
        <v>4</v>
      </c>
      <c r="M221" s="10"/>
      <c r="N221" s="10"/>
      <c r="O221" s="6"/>
    </row>
    <row r="222" spans="1:15" x14ac:dyDescent="0.2">
      <c r="A222" s="126" t="s">
        <v>359</v>
      </c>
      <c r="B222" s="4" t="s">
        <v>102</v>
      </c>
      <c r="C222" s="4" t="s">
        <v>41</v>
      </c>
      <c r="D222" s="7"/>
      <c r="E222" s="7"/>
      <c r="F222" s="8" t="str">
        <f t="shared" ref="F222:F223" si="535">IF(ISBLANK(B222),"",IF(I222="L","Baixa",IF(I222="A","Média",IF(I222="","","Alta"))))</f>
        <v>Média</v>
      </c>
      <c r="G222" s="7" t="str">
        <f t="shared" ref="G222:G223" si="536">CONCATENATE(B222,I222)</f>
        <v>CEA</v>
      </c>
      <c r="H222" s="5">
        <f t="shared" ref="H222:H223" si="537">IF(ISBLANK(B222),"",IF(B222="ALI",IF(I222="L",7,IF(I222="A",10,15)),IF(B222="AIE",IF(I222="L",5,IF(I222="A",7,10)),IF(B222="SE",IF(I222="L",4,IF(I222="A",5,7)),IF(OR(B222="EE",B222="CE"),IF(I222="L",3,IF(I222="A",4,6)),0)))))</f>
        <v>4</v>
      </c>
      <c r="I222" s="122" t="str">
        <f t="shared" ref="I222:I223" si="538">IF(OR(ISBLANK(D222),ISBLANK(E222)),IF(OR(B222="ALI",B222="AIE"),"L",IF(OR(B222="EE",B222="SE",B222="CE"),"A","")),IF(B222="EE",IF(E222&gt;=3,IF(D222&gt;=5,"H","A"),IF(E222&gt;=2,IF(D222&gt;=16,"H",IF(D222&lt;=4,"L","A")),IF(D222&lt;=15,"L","A"))),IF(OR(B222="SE",B222="CE"),IF(E222&gt;=4,IF(D222&gt;=6,"H","A"),IF(E222&gt;=2,IF(D222&gt;=20,"H",IF(D222&lt;=5,"L","A")),IF(D222&lt;=19,"L","A"))),IF(OR(B222="ALI",B222="AIE"),IF(E222&gt;=6,IF(D222&gt;=20,"H","A"),IF(E222&gt;=2,IF(D222&gt;=51,"H",IF(D222&lt;=19,"L","A")),IF(D222&lt;=50,"L","A"))),""))))</f>
        <v>A</v>
      </c>
      <c r="J222" s="7" t="str">
        <f t="shared" ref="J222:J223" si="539">CONCATENATE(B222,C222)</f>
        <v>CEI</v>
      </c>
      <c r="K222" s="9">
        <f t="shared" ref="K222:K223" si="540">IF(OR(H222="",H222=0),L222,H222)</f>
        <v>4</v>
      </c>
      <c r="L222" s="9">
        <f>IF(NOT(ISERROR(VLOOKUP(B222,Deflatores!G$42:H$64,2,FALSE))),VLOOKUP(B222,Deflatores!G$42:H$64,2,FALSE),IF(OR(ISBLANK(C222),ISBLANK(B222)),"",VLOOKUP(C222,Deflatores!G$4:H$38,2,FALSE)*H222+VLOOKUP(C222,Deflatores!G$4:I$38,3,FALSE)))</f>
        <v>4</v>
      </c>
      <c r="M222" s="10"/>
      <c r="N222" s="10"/>
      <c r="O222" s="6"/>
    </row>
    <row r="223" spans="1:15" x14ac:dyDescent="0.2">
      <c r="A223" s="126" t="s">
        <v>360</v>
      </c>
      <c r="B223" s="4" t="s">
        <v>100</v>
      </c>
      <c r="C223" s="4" t="s">
        <v>41</v>
      </c>
      <c r="D223" s="7"/>
      <c r="E223" s="7"/>
      <c r="F223" s="8" t="str">
        <f t="shared" si="535"/>
        <v>Média</v>
      </c>
      <c r="G223" s="7" t="str">
        <f t="shared" si="536"/>
        <v>EEA</v>
      </c>
      <c r="H223" s="5">
        <f t="shared" si="537"/>
        <v>4</v>
      </c>
      <c r="I223" s="122" t="str">
        <f t="shared" si="538"/>
        <v>A</v>
      </c>
      <c r="J223" s="7" t="str">
        <f t="shared" si="539"/>
        <v>EEI</v>
      </c>
      <c r="K223" s="9">
        <f t="shared" si="540"/>
        <v>4</v>
      </c>
      <c r="L223" s="9">
        <f>IF(NOT(ISERROR(VLOOKUP(B223,Deflatores!G$42:H$64,2,FALSE))),VLOOKUP(B223,Deflatores!G$42:H$64,2,FALSE),IF(OR(ISBLANK(C223),ISBLANK(B223)),"",VLOOKUP(C223,Deflatores!G$4:H$38,2,FALSE)*H223+VLOOKUP(C223,Deflatores!G$4:I$38,3,FALSE)))</f>
        <v>4</v>
      </c>
      <c r="M223" s="10"/>
      <c r="N223" s="10"/>
      <c r="O223" s="6"/>
    </row>
    <row r="224" spans="1:15" x14ac:dyDescent="0.2">
      <c r="A224" s="128" t="s">
        <v>361</v>
      </c>
      <c r="B224" s="4"/>
      <c r="C224" s="4"/>
      <c r="D224" s="7"/>
      <c r="E224" s="7"/>
      <c r="F224" s="8" t="str">
        <f t="shared" si="498"/>
        <v/>
      </c>
      <c r="G224" s="7" t="str">
        <f t="shared" si="499"/>
        <v/>
      </c>
      <c r="H224" s="5" t="str">
        <f t="shared" si="500"/>
        <v/>
      </c>
      <c r="I224" s="122" t="str">
        <f t="shared" si="501"/>
        <v/>
      </c>
      <c r="J224" s="7" t="str">
        <f t="shared" si="502"/>
        <v/>
      </c>
      <c r="K224" s="9" t="str">
        <f t="shared" si="516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ht="15.75" customHeight="1" x14ac:dyDescent="0.2">
      <c r="A225" s="126" t="s">
        <v>362</v>
      </c>
      <c r="B225" s="4" t="s">
        <v>102</v>
      </c>
      <c r="C225" s="4" t="s">
        <v>41</v>
      </c>
      <c r="D225" s="7"/>
      <c r="E225" s="7"/>
      <c r="F225" s="8" t="str">
        <f t="shared" ref="F225:F228" si="541">IF(ISBLANK(B225),"",IF(I225="L","Baixa",IF(I225="A","Média",IF(I225="","","Alta"))))</f>
        <v>Média</v>
      </c>
      <c r="G225" s="7" t="str">
        <f t="shared" ref="G225:G228" si="542">CONCATENATE(B225,I225)</f>
        <v>CEA</v>
      </c>
      <c r="H225" s="5">
        <f t="shared" ref="H225:H228" si="543">IF(ISBLANK(B225),"",IF(B225="ALI",IF(I225="L",7,IF(I225="A",10,15)),IF(B225="AIE",IF(I225="L",5,IF(I225="A",7,10)),IF(B225="SE",IF(I225="L",4,IF(I225="A",5,7)),IF(OR(B225="EE",B225="CE"),IF(I225="L",3,IF(I225="A",4,6)),0)))))</f>
        <v>4</v>
      </c>
      <c r="I225" s="122" t="str">
        <f t="shared" ref="I225:I228" si="544">IF(OR(ISBLANK(D225),ISBLANK(E225)),IF(OR(B225="ALI",B225="AIE"),"L",IF(OR(B225="EE",B225="SE",B225="CE"),"A","")),IF(B225="EE",IF(E225&gt;=3,IF(D225&gt;=5,"H","A"),IF(E225&gt;=2,IF(D225&gt;=16,"H",IF(D225&lt;=4,"L","A")),IF(D225&lt;=15,"L","A"))),IF(OR(B225="SE",B225="CE"),IF(E225&gt;=4,IF(D225&gt;=6,"H","A"),IF(E225&gt;=2,IF(D225&gt;=20,"H",IF(D225&lt;=5,"L","A")),IF(D225&lt;=19,"L","A"))),IF(OR(B225="ALI",B225="AIE"),IF(E225&gt;=6,IF(D225&gt;=20,"H","A"),IF(E225&gt;=2,IF(D225&gt;=51,"H",IF(D225&lt;=19,"L","A")),IF(D225&lt;=50,"L","A"))),""))))</f>
        <v>A</v>
      </c>
      <c r="J225" s="7" t="str">
        <f t="shared" ref="J225:J228" si="545">CONCATENATE(B225,C225)</f>
        <v>CEI</v>
      </c>
      <c r="K225" s="9">
        <f t="shared" ref="K225:K228" si="546">IF(OR(H225="",H225=0),L225,H225)</f>
        <v>4</v>
      </c>
      <c r="L225" s="9">
        <f>IF(NOT(ISERROR(VLOOKUP(B225,Deflatores!G$42:H$64,2,FALSE))),VLOOKUP(B225,Deflatores!G$42:H$64,2,FALSE),IF(OR(ISBLANK(C225),ISBLANK(B225)),"",VLOOKUP(C225,Deflatores!G$4:H$38,2,FALSE)*H225+VLOOKUP(C225,Deflatores!G$4:I$38,3,FALSE)))</f>
        <v>4</v>
      </c>
      <c r="M225" s="10"/>
      <c r="N225" s="10"/>
      <c r="O225" s="6"/>
    </row>
    <row r="226" spans="1:15" x14ac:dyDescent="0.2">
      <c r="A226" s="126" t="s">
        <v>363</v>
      </c>
      <c r="B226" s="4" t="s">
        <v>102</v>
      </c>
      <c r="C226" s="4" t="s">
        <v>41</v>
      </c>
      <c r="D226" s="7"/>
      <c r="E226" s="7"/>
      <c r="F226" s="8" t="str">
        <f t="shared" si="541"/>
        <v>Média</v>
      </c>
      <c r="G226" s="7" t="str">
        <f t="shared" si="542"/>
        <v>CEA</v>
      </c>
      <c r="H226" s="5">
        <f t="shared" si="543"/>
        <v>4</v>
      </c>
      <c r="I226" s="122" t="str">
        <f t="shared" si="544"/>
        <v>A</v>
      </c>
      <c r="J226" s="7" t="str">
        <f t="shared" si="545"/>
        <v>CEI</v>
      </c>
      <c r="K226" s="9">
        <f t="shared" si="546"/>
        <v>4</v>
      </c>
      <c r="L226" s="9">
        <f>IF(NOT(ISERROR(VLOOKUP(B226,Deflatores!G$42:H$64,2,FALSE))),VLOOKUP(B226,Deflatores!G$42:H$64,2,FALSE),IF(OR(ISBLANK(C226),ISBLANK(B226)),"",VLOOKUP(C226,Deflatores!G$4:H$38,2,FALSE)*H226+VLOOKUP(C226,Deflatores!G$4:I$38,3,FALSE)))</f>
        <v>4</v>
      </c>
      <c r="M226" s="10"/>
      <c r="N226" s="10"/>
      <c r="O226" s="6"/>
    </row>
    <row r="227" spans="1:15" ht="14.25" customHeight="1" x14ac:dyDescent="0.2">
      <c r="A227" s="126" t="s">
        <v>364</v>
      </c>
      <c r="B227" s="4" t="s">
        <v>102</v>
      </c>
      <c r="C227" s="4" t="s">
        <v>41</v>
      </c>
      <c r="D227" s="7"/>
      <c r="E227" s="7"/>
      <c r="F227" s="8" t="str">
        <f t="shared" si="541"/>
        <v>Média</v>
      </c>
      <c r="G227" s="7" t="str">
        <f t="shared" si="542"/>
        <v>CEA</v>
      </c>
      <c r="H227" s="5">
        <f t="shared" si="543"/>
        <v>4</v>
      </c>
      <c r="I227" s="122" t="str">
        <f t="shared" si="544"/>
        <v>A</v>
      </c>
      <c r="J227" s="7" t="str">
        <f t="shared" si="545"/>
        <v>CEI</v>
      </c>
      <c r="K227" s="9">
        <f t="shared" si="546"/>
        <v>4</v>
      </c>
      <c r="L227" s="9">
        <f>IF(NOT(ISERROR(VLOOKUP(B227,Deflatores!G$42:H$64,2,FALSE))),VLOOKUP(B227,Deflatores!G$42:H$64,2,FALSE),IF(OR(ISBLANK(C227),ISBLANK(B227)),"",VLOOKUP(C227,Deflatores!G$4:H$38,2,FALSE)*H227+VLOOKUP(C227,Deflatores!G$4:I$38,3,FALSE)))</f>
        <v>4</v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541"/>
        <v/>
      </c>
      <c r="G228" s="7" t="str">
        <f t="shared" si="542"/>
        <v/>
      </c>
      <c r="H228" s="5" t="str">
        <f t="shared" si="543"/>
        <v/>
      </c>
      <c r="I228" s="122" t="str">
        <f t="shared" si="544"/>
        <v/>
      </c>
      <c r="J228" s="7" t="str">
        <f t="shared" si="545"/>
        <v/>
      </c>
      <c r="K228" s="9" t="str">
        <f t="shared" si="546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8"/>
      <c r="B229" s="4"/>
      <c r="C229" s="4"/>
      <c r="D229" s="7"/>
      <c r="E229" s="7"/>
      <c r="F229" s="8" t="str">
        <f t="shared" si="498"/>
        <v/>
      </c>
      <c r="G229" s="7" t="str">
        <f t="shared" si="499"/>
        <v/>
      </c>
      <c r="H229" s="5" t="str">
        <f t="shared" si="500"/>
        <v/>
      </c>
      <c r="I229" s="122" t="str">
        <f t="shared" si="501"/>
        <v/>
      </c>
      <c r="J229" s="7" t="str">
        <f t="shared" si="502"/>
        <v/>
      </c>
      <c r="K229" s="9" t="str">
        <f t="shared" si="516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6"/>
      <c r="B230" s="4"/>
      <c r="C230" s="4"/>
      <c r="D230" s="7"/>
      <c r="E230" s="7"/>
      <c r="F230" s="8" t="str">
        <f t="shared" si="498"/>
        <v/>
      </c>
      <c r="G230" s="7" t="str">
        <f t="shared" si="499"/>
        <v/>
      </c>
      <c r="H230" s="5" t="str">
        <f t="shared" si="500"/>
        <v/>
      </c>
      <c r="I230" s="122" t="str">
        <f t="shared" si="501"/>
        <v/>
      </c>
      <c r="J230" s="7" t="str">
        <f t="shared" si="502"/>
        <v/>
      </c>
      <c r="K230" s="9" t="str">
        <f t="shared" si="516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ref="F231:F254" si="547">IF(ISBLANK(B231),"",IF(I231="L","Baixa",IF(I231="A","Média",IF(I231="","","Alta"))))</f>
        <v/>
      </c>
      <c r="G231" s="7" t="str">
        <f t="shared" ref="G231:G254" si="548">CONCATENATE(B231,I231)</f>
        <v/>
      </c>
      <c r="H231" s="5" t="str">
        <f t="shared" ref="H231:H254" si="549">IF(ISBLANK(B231),"",IF(B231="ALI",IF(I231="L",7,IF(I231="A",10,15)),IF(B231="AIE",IF(I231="L",5,IF(I231="A",7,10)),IF(B231="SE",IF(I231="L",4,IF(I231="A",5,7)),IF(OR(B231="EE",B231="CE"),IF(I231="L",3,IF(I231="A",4,6)),0)))))</f>
        <v/>
      </c>
      <c r="I231" s="122" t="str">
        <f t="shared" ref="I231:I254" si="550">IF(OR(ISBLANK(D231),ISBLANK(E231)),IF(OR(B231="ALI",B231="AIE"),"L",IF(OR(B231="EE",B231="SE",B231="CE"),"A","")),IF(B231="EE",IF(E231&gt;=3,IF(D231&gt;=5,"H","A"),IF(E231&gt;=2,IF(D231&gt;=16,"H",IF(D231&lt;=4,"L","A")),IF(D231&lt;=15,"L","A"))),IF(OR(B231="SE",B231="CE"),IF(E231&gt;=4,IF(D231&gt;=6,"H","A"),IF(E231&gt;=2,IF(D231&gt;=20,"H",IF(D231&lt;=5,"L","A")),IF(D231&lt;=19,"L","A"))),IF(OR(B231="ALI",B231="AIE"),IF(E231&gt;=6,IF(D231&gt;=20,"H","A"),IF(E231&gt;=2,IF(D231&gt;=51,"H",IF(D231&lt;=19,"L","A")),IF(D231&lt;=50,"L","A"))),""))))</f>
        <v/>
      </c>
      <c r="J231" s="7" t="str">
        <f t="shared" ref="J231:J254" si="551">CONCATENATE(B231,C231)</f>
        <v/>
      </c>
      <c r="K231" s="9" t="str">
        <f t="shared" ref="K231:K254" si="552">IF(OR(H231="",H231=0),L231,H231)</f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6"/>
      <c r="B232" s="4"/>
      <c r="C232" s="4"/>
      <c r="D232" s="7"/>
      <c r="E232" s="7"/>
      <c r="F232" s="8" t="str">
        <f>IF(ISBLANK(B232),"",IF(I232="L","Baixa",IF(I232="A","Média",IF(I232="","","Alta"))))</f>
        <v/>
      </c>
      <c r="G232" s="7" t="str">
        <f>CONCATENATE(B232,I232)</f>
        <v/>
      </c>
      <c r="H232" s="5" t="str">
        <f>IF(ISBLANK(B232),"",IF(B232="ALI",IF(I232="L",7,IF(I232="A",10,15)),IF(B232="AIE",IF(I232="L",5,IF(I232="A",7,10)),IF(B232="SE",IF(I232="L",4,IF(I232="A",5,7)),IF(OR(B232="EE",B232="CE"),IF(I232="L",3,IF(I232="A",4,6)),0)))))</f>
        <v/>
      </c>
      <c r="I232" s="122" t="str">
        <f>IF(OR(ISBLANK(D232),ISBLANK(E232)),IF(OR(B232="ALI",B232="AIE"),"L",IF(OR(B232="EE",B232="SE",B232="CE"),"A","")),IF(B232="EE",IF(E232&gt;=3,IF(D232&gt;=5,"H","A"),IF(E232&gt;=2,IF(D232&gt;=16,"H",IF(D232&lt;=4,"L","A")),IF(D232&lt;=15,"L","A"))),IF(OR(B232="SE",B232="CE"),IF(E232&gt;=4,IF(D232&gt;=6,"H","A"),IF(E232&gt;=2,IF(D232&gt;=20,"H",IF(D232&lt;=5,"L","A")),IF(D232&lt;=19,"L","A"))),IF(OR(B232="ALI",B232="AIE"),IF(E232&gt;=6,IF(D232&gt;=20,"H","A"),IF(E232&gt;=2,IF(D232&gt;=51,"H",IF(D232&lt;=19,"L","A")),IF(D232&lt;=50,"L","A"))),""))))</f>
        <v/>
      </c>
      <c r="J232" s="7" t="str">
        <f>CONCATENATE(B232,C232)</f>
        <v/>
      </c>
      <c r="K232" s="9" t="str">
        <f>IF(OR(H232="",H232=0),L232,H232)</f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9"/>
      <c r="B233" s="4"/>
      <c r="C233" s="4"/>
      <c r="D233" s="7"/>
      <c r="E233" s="7"/>
      <c r="F233" s="8" t="str">
        <f t="shared" ref="F233" si="553">IF(ISBLANK(B233),"",IF(I233="L","Baixa",IF(I233="A","Média",IF(I233="","","Alta"))))</f>
        <v/>
      </c>
      <c r="G233" s="7" t="str">
        <f t="shared" ref="G233" si="554">CONCATENATE(B233,I233)</f>
        <v/>
      </c>
      <c r="H233" s="5" t="str">
        <f t="shared" ref="H233" si="555">IF(ISBLANK(B233),"",IF(B233="ALI",IF(I233="L",7,IF(I233="A",10,15)),IF(B233="AIE",IF(I233="L",5,IF(I233="A",7,10)),IF(B233="SE",IF(I233="L",4,IF(I233="A",5,7)),IF(OR(B233="EE",B233="CE"),IF(I233="L",3,IF(I233="A",4,6)),0)))))</f>
        <v/>
      </c>
      <c r="I233" s="122" t="str">
        <f t="shared" ref="I233" si="556">IF(OR(ISBLANK(D233),ISBLANK(E233)),IF(OR(B233="ALI",B233="AIE"),"L",IF(OR(B233="EE",B233="SE",B233="CE"),"A","")),IF(B233="EE",IF(E233&gt;=3,IF(D233&gt;=5,"H","A"),IF(E233&gt;=2,IF(D233&gt;=16,"H",IF(D233&lt;=4,"L","A")),IF(D233&lt;=15,"L","A"))),IF(OR(B233="SE",B233="CE"),IF(E233&gt;=4,IF(D233&gt;=6,"H","A"),IF(E233&gt;=2,IF(D233&gt;=20,"H",IF(D233&lt;=5,"L","A")),IF(D233&lt;=19,"L","A"))),IF(OR(B233="ALI",B233="AIE"),IF(E233&gt;=6,IF(D233&gt;=20,"H","A"),IF(E233&gt;=2,IF(D233&gt;=51,"H",IF(D233&lt;=19,"L","A")),IF(D233&lt;=50,"L","A"))),""))))</f>
        <v/>
      </c>
      <c r="J233" s="7" t="str">
        <f t="shared" ref="J233" si="557">CONCATENATE(B233,C233)</f>
        <v/>
      </c>
      <c r="K233" s="9" t="str">
        <f t="shared" ref="K233" si="558">IF(OR(H233="",H233=0),L233,H233)</f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8"/>
      <c r="B234" s="4"/>
      <c r="C234" s="4"/>
      <c r="D234" s="7"/>
      <c r="E234" s="7"/>
      <c r="F234" s="8" t="str">
        <f t="shared" si="547"/>
        <v/>
      </c>
      <c r="G234" s="7" t="str">
        <f t="shared" si="548"/>
        <v/>
      </c>
      <c r="H234" s="5" t="str">
        <f t="shared" si="549"/>
        <v/>
      </c>
      <c r="I234" s="122" t="str">
        <f t="shared" si="550"/>
        <v/>
      </c>
      <c r="J234" s="7" t="str">
        <f t="shared" si="551"/>
        <v/>
      </c>
      <c r="K234" s="9" t="str">
        <f t="shared" si="552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ht="15" customHeight="1" x14ac:dyDescent="0.2">
      <c r="A235" s="126"/>
      <c r="B235" s="4"/>
      <c r="C235" s="4"/>
      <c r="D235" s="7"/>
      <c r="E235" s="7"/>
      <c r="F235" s="8" t="str">
        <f t="shared" ref="F235:F237" si="559">IF(ISBLANK(B235),"",IF(I235="L","Baixa",IF(I235="A","Média",IF(I235="","","Alta"))))</f>
        <v/>
      </c>
      <c r="G235" s="7" t="str">
        <f t="shared" ref="G235:G237" si="560">CONCATENATE(B235,I235)</f>
        <v/>
      </c>
      <c r="H235" s="5" t="str">
        <f t="shared" ref="H235:H237" si="561">IF(ISBLANK(B235),"",IF(B235="ALI",IF(I235="L",7,IF(I235="A",10,15)),IF(B235="AIE",IF(I235="L",5,IF(I235="A",7,10)),IF(B235="SE",IF(I235="L",4,IF(I235="A",5,7)),IF(OR(B235="EE",B235="CE"),IF(I235="L",3,IF(I235="A",4,6)),0)))))</f>
        <v/>
      </c>
      <c r="I235" s="122" t="str">
        <f t="shared" ref="I235:I237" si="562">IF(OR(ISBLANK(D235),ISBLANK(E235)),IF(OR(B235="ALI",B235="AIE"),"L",IF(OR(B235="EE",B235="SE",B235="CE"),"A","")),IF(B235="EE",IF(E235&gt;=3,IF(D235&gt;=5,"H","A"),IF(E235&gt;=2,IF(D235&gt;=16,"H",IF(D235&lt;=4,"L","A")),IF(D235&lt;=15,"L","A"))),IF(OR(B235="SE",B235="CE"),IF(E235&gt;=4,IF(D235&gt;=6,"H","A"),IF(E235&gt;=2,IF(D235&gt;=20,"H",IF(D235&lt;=5,"L","A")),IF(D235&lt;=19,"L","A"))),IF(OR(B235="ALI",B235="AIE"),IF(E235&gt;=6,IF(D235&gt;=20,"H","A"),IF(E235&gt;=2,IF(D235&gt;=51,"H",IF(D235&lt;=19,"L","A")),IF(D235&lt;=50,"L","A"))),""))))</f>
        <v/>
      </c>
      <c r="J235" s="7" t="str">
        <f t="shared" ref="J235:J237" si="563">CONCATENATE(B235,C235)</f>
        <v/>
      </c>
      <c r="K235" s="9" t="str">
        <f t="shared" ref="K235:K237" si="564">IF(OR(H235="",H235=0),L235,H235)</f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ht="15" customHeight="1" x14ac:dyDescent="0.2">
      <c r="A236" s="126"/>
      <c r="B236" s="4"/>
      <c r="C236" s="4"/>
      <c r="D236" s="7"/>
      <c r="E236" s="7"/>
      <c r="F236" s="8" t="str">
        <f t="shared" ref="F236" si="565">IF(ISBLANK(B236),"",IF(I236="L","Baixa",IF(I236="A","Média",IF(I236="","","Alta"))))</f>
        <v/>
      </c>
      <c r="G236" s="7" t="str">
        <f t="shared" ref="G236" si="566">CONCATENATE(B236,I236)</f>
        <v/>
      </c>
      <c r="H236" s="5" t="str">
        <f t="shared" ref="H236" si="567">IF(ISBLANK(B236),"",IF(B236="ALI",IF(I236="L",7,IF(I236="A",10,15)),IF(B236="AIE",IF(I236="L",5,IF(I236="A",7,10)),IF(B236="SE",IF(I236="L",4,IF(I236="A",5,7)),IF(OR(B236="EE",B236="CE"),IF(I236="L",3,IF(I236="A",4,6)),0)))))</f>
        <v/>
      </c>
      <c r="I236" s="122" t="str">
        <f t="shared" ref="I236" si="568">IF(OR(ISBLANK(D236),ISBLANK(E236)),IF(OR(B236="ALI",B236="AIE"),"L",IF(OR(B236="EE",B236="SE",B236="CE"),"A","")),IF(B236="EE",IF(E236&gt;=3,IF(D236&gt;=5,"H","A"),IF(E236&gt;=2,IF(D236&gt;=16,"H",IF(D236&lt;=4,"L","A")),IF(D236&lt;=15,"L","A"))),IF(OR(B236="SE",B236="CE"),IF(E236&gt;=4,IF(D236&gt;=6,"H","A"),IF(E236&gt;=2,IF(D236&gt;=20,"H",IF(D236&lt;=5,"L","A")),IF(D236&lt;=19,"L","A"))),IF(OR(B236="ALI",B236="AIE"),IF(E236&gt;=6,IF(D236&gt;=20,"H","A"),IF(E236&gt;=2,IF(D236&gt;=51,"H",IF(D236&lt;=19,"L","A")),IF(D236&lt;=50,"L","A"))),""))))</f>
        <v/>
      </c>
      <c r="J236" s="7" t="str">
        <f t="shared" ref="J236" si="569">CONCATENATE(B236,C236)</f>
        <v/>
      </c>
      <c r="K236" s="9" t="str">
        <f t="shared" ref="K236" si="570">IF(OR(H236="",H236=0),L236,H236)</f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6"/>
      <c r="B237" s="4"/>
      <c r="C237" s="4"/>
      <c r="D237" s="7"/>
      <c r="E237" s="7"/>
      <c r="F237" s="8" t="str">
        <f t="shared" si="559"/>
        <v/>
      </c>
      <c r="G237" s="7" t="str">
        <f t="shared" si="560"/>
        <v/>
      </c>
      <c r="H237" s="5" t="str">
        <f t="shared" si="561"/>
        <v/>
      </c>
      <c r="I237" s="122" t="str">
        <f t="shared" si="562"/>
        <v/>
      </c>
      <c r="J237" s="7" t="str">
        <f t="shared" si="563"/>
        <v/>
      </c>
      <c r="K237" s="9" t="str">
        <f t="shared" si="564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8"/>
      <c r="B238" s="4"/>
      <c r="C238" s="4"/>
      <c r="D238" s="7"/>
      <c r="E238" s="7"/>
      <c r="F238" s="8" t="str">
        <f t="shared" si="547"/>
        <v/>
      </c>
      <c r="G238" s="7" t="str">
        <f t="shared" si="548"/>
        <v/>
      </c>
      <c r="H238" s="5" t="str">
        <f t="shared" si="549"/>
        <v/>
      </c>
      <c r="I238" s="122" t="str">
        <f t="shared" si="550"/>
        <v/>
      </c>
      <c r="J238" s="7" t="str">
        <f t="shared" si="551"/>
        <v/>
      </c>
      <c r="K238" s="9" t="str">
        <f t="shared" si="552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ref="F239" si="571">IF(ISBLANK(B239),"",IF(I239="L","Baixa",IF(I239="A","Média",IF(I239="","","Alta"))))</f>
        <v/>
      </c>
      <c r="G239" s="7" t="str">
        <f t="shared" ref="G239" si="572">CONCATENATE(B239,I239)</f>
        <v/>
      </c>
      <c r="H239" s="5" t="str">
        <f t="shared" ref="H239" si="573">IF(ISBLANK(B239),"",IF(B239="ALI",IF(I239="L",7,IF(I239="A",10,15)),IF(B239="AIE",IF(I239="L",5,IF(I239="A",7,10)),IF(B239="SE",IF(I239="L",4,IF(I239="A",5,7)),IF(OR(B239="EE",B239="CE"),IF(I239="L",3,IF(I239="A",4,6)),0)))))</f>
        <v/>
      </c>
      <c r="I239" s="122" t="str">
        <f t="shared" ref="I239" si="574">IF(OR(ISBLANK(D239),ISBLANK(E239)),IF(OR(B239="ALI",B239="AIE"),"L",IF(OR(B239="EE",B239="SE",B239="CE"),"A","")),IF(B239="EE",IF(E239&gt;=3,IF(D239&gt;=5,"H","A"),IF(E239&gt;=2,IF(D239&gt;=16,"H",IF(D239&lt;=4,"L","A")),IF(D239&lt;=15,"L","A"))),IF(OR(B239="SE",B239="CE"),IF(E239&gt;=4,IF(D239&gt;=6,"H","A"),IF(E239&gt;=2,IF(D239&gt;=20,"H",IF(D239&lt;=5,"L","A")),IF(D239&lt;=19,"L","A"))),IF(OR(B239="ALI",B239="AIE"),IF(E239&gt;=6,IF(D239&gt;=20,"H","A"),IF(E239&gt;=2,IF(D239&gt;=51,"H",IF(D239&lt;=19,"L","A")),IF(D239&lt;=50,"L","A"))),""))))</f>
        <v/>
      </c>
      <c r="J239" s="7" t="str">
        <f t="shared" ref="J239" si="575">CONCATENATE(B239,C239)</f>
        <v/>
      </c>
      <c r="K239" s="9" t="str">
        <f t="shared" ref="K239" si="576">IF(OR(H239="",H239=0),L239,H239)</f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547"/>
        <v/>
      </c>
      <c r="G240" s="7" t="str">
        <f t="shared" si="548"/>
        <v/>
      </c>
      <c r="H240" s="5" t="str">
        <f t="shared" si="549"/>
        <v/>
      </c>
      <c r="I240" s="122" t="str">
        <f t="shared" si="550"/>
        <v/>
      </c>
      <c r="J240" s="7" t="str">
        <f t="shared" si="551"/>
        <v/>
      </c>
      <c r="K240" s="9" t="str">
        <f t="shared" si="552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si="547"/>
        <v/>
      </c>
      <c r="G241" s="7" t="str">
        <f t="shared" si="548"/>
        <v/>
      </c>
      <c r="H241" s="5" t="str">
        <f t="shared" si="549"/>
        <v/>
      </c>
      <c r="I241" s="122" t="str">
        <f t="shared" si="550"/>
        <v/>
      </c>
      <c r="J241" s="7" t="str">
        <f t="shared" si="551"/>
        <v/>
      </c>
      <c r="K241" s="9" t="str">
        <f t="shared" si="552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ref="F242" si="577">IF(ISBLANK(B242),"",IF(I242="L","Baixa",IF(I242="A","Média",IF(I242="","","Alta"))))</f>
        <v/>
      </c>
      <c r="G242" s="7" t="str">
        <f t="shared" ref="G242" si="578">CONCATENATE(B242,I242)</f>
        <v/>
      </c>
      <c r="H242" s="5" t="str">
        <f t="shared" ref="H242" si="579">IF(ISBLANK(B242),"",IF(B242="ALI",IF(I242="L",7,IF(I242="A",10,15)),IF(B242="AIE",IF(I242="L",5,IF(I242="A",7,10)),IF(B242="SE",IF(I242="L",4,IF(I242="A",5,7)),IF(OR(B242="EE",B242="CE"),IF(I242="L",3,IF(I242="A",4,6)),0)))))</f>
        <v/>
      </c>
      <c r="I242" s="122" t="str">
        <f t="shared" ref="I242" si="580">IF(OR(ISBLANK(D242),ISBLANK(E242)),IF(OR(B242="ALI",B242="AIE"),"L",IF(OR(B242="EE",B242="SE",B242="CE"),"A","")),IF(B242="EE",IF(E242&gt;=3,IF(D242&gt;=5,"H","A"),IF(E242&gt;=2,IF(D242&gt;=16,"H",IF(D242&lt;=4,"L","A")),IF(D242&lt;=15,"L","A"))),IF(OR(B242="SE",B242="CE"),IF(E242&gt;=4,IF(D242&gt;=6,"H","A"),IF(E242&gt;=2,IF(D242&gt;=20,"H",IF(D242&lt;=5,"L","A")),IF(D242&lt;=19,"L","A"))),IF(OR(B242="ALI",B242="AIE"),IF(E242&gt;=6,IF(D242&gt;=20,"H","A"),IF(E242&gt;=2,IF(D242&gt;=51,"H",IF(D242&lt;=19,"L","A")),IF(D242&lt;=50,"L","A"))),""))))</f>
        <v/>
      </c>
      <c r="J242" s="7" t="str">
        <f t="shared" ref="J242" si="581">CONCATENATE(B242,C242)</f>
        <v/>
      </c>
      <c r="K242" s="9" t="str">
        <f t="shared" ref="K242" si="582">IF(OR(H242="",H242=0),L242,H242)</f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547"/>
        <v/>
      </c>
      <c r="G243" s="7" t="str">
        <f t="shared" si="548"/>
        <v/>
      </c>
      <c r="H243" s="5" t="str">
        <f t="shared" si="549"/>
        <v/>
      </c>
      <c r="I243" s="122" t="str">
        <f t="shared" si="550"/>
        <v/>
      </c>
      <c r="J243" s="7" t="str">
        <f t="shared" si="551"/>
        <v/>
      </c>
      <c r="K243" s="9" t="str">
        <f t="shared" si="552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547"/>
        <v/>
      </c>
      <c r="G244" s="7" t="str">
        <f t="shared" si="548"/>
        <v/>
      </c>
      <c r="H244" s="5" t="str">
        <f t="shared" si="549"/>
        <v/>
      </c>
      <c r="I244" s="122" t="str">
        <f t="shared" si="550"/>
        <v/>
      </c>
      <c r="J244" s="7" t="str">
        <f t="shared" si="551"/>
        <v/>
      </c>
      <c r="K244" s="9" t="str">
        <f t="shared" si="552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547"/>
        <v/>
      </c>
      <c r="G245" s="7" t="str">
        <f t="shared" si="548"/>
        <v/>
      </c>
      <c r="H245" s="5" t="str">
        <f t="shared" si="549"/>
        <v/>
      </c>
      <c r="I245" s="122" t="str">
        <f t="shared" si="550"/>
        <v/>
      </c>
      <c r="J245" s="7" t="str">
        <f t="shared" si="551"/>
        <v/>
      </c>
      <c r="K245" s="9" t="str">
        <f t="shared" si="552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547"/>
        <v/>
      </c>
      <c r="G246" s="7" t="str">
        <f t="shared" si="548"/>
        <v/>
      </c>
      <c r="H246" s="5" t="str">
        <f t="shared" si="549"/>
        <v/>
      </c>
      <c r="I246" s="122" t="str">
        <f t="shared" si="550"/>
        <v/>
      </c>
      <c r="J246" s="7" t="str">
        <f t="shared" si="551"/>
        <v/>
      </c>
      <c r="K246" s="9" t="str">
        <f t="shared" si="552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9"/>
      <c r="B247" s="4"/>
      <c r="C247" s="4"/>
      <c r="D247" s="7"/>
      <c r="E247" s="7"/>
      <c r="F247" s="8" t="str">
        <f t="shared" si="547"/>
        <v/>
      </c>
      <c r="G247" s="7" t="str">
        <f t="shared" si="548"/>
        <v/>
      </c>
      <c r="H247" s="5" t="str">
        <f t="shared" si="549"/>
        <v/>
      </c>
      <c r="I247" s="122" t="str">
        <f t="shared" si="550"/>
        <v/>
      </c>
      <c r="J247" s="7" t="str">
        <f t="shared" si="551"/>
        <v/>
      </c>
      <c r="K247" s="9" t="str">
        <f t="shared" si="552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8"/>
      <c r="B248" s="4"/>
      <c r="C248" s="4"/>
      <c r="D248" s="7"/>
      <c r="E248" s="7"/>
      <c r="F248" s="8" t="str">
        <f t="shared" si="547"/>
        <v/>
      </c>
      <c r="G248" s="7" t="str">
        <f t="shared" si="548"/>
        <v/>
      </c>
      <c r="H248" s="5" t="str">
        <f t="shared" si="549"/>
        <v/>
      </c>
      <c r="I248" s="122" t="str">
        <f t="shared" si="550"/>
        <v/>
      </c>
      <c r="J248" s="7" t="str">
        <f t="shared" si="551"/>
        <v/>
      </c>
      <c r="K248" s="9" t="str">
        <f t="shared" si="552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si="547"/>
        <v/>
      </c>
      <c r="G249" s="7" t="str">
        <f t="shared" si="548"/>
        <v/>
      </c>
      <c r="H249" s="5" t="str">
        <f t="shared" si="549"/>
        <v/>
      </c>
      <c r="I249" s="122" t="str">
        <f t="shared" si="550"/>
        <v/>
      </c>
      <c r="J249" s="7" t="str">
        <f t="shared" si="551"/>
        <v/>
      </c>
      <c r="K249" s="9" t="str">
        <f t="shared" si="552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ref="F250:F251" si="583">IF(ISBLANK(B250),"",IF(I250="L","Baixa",IF(I250="A","Média",IF(I250="","","Alta"))))</f>
        <v/>
      </c>
      <c r="G250" s="7" t="str">
        <f t="shared" ref="G250:G251" si="584">CONCATENATE(B250,I250)</f>
        <v/>
      </c>
      <c r="H250" s="5" t="str">
        <f t="shared" ref="H250:H251" si="585">IF(ISBLANK(B250),"",IF(B250="ALI",IF(I250="L",7,IF(I250="A",10,15)),IF(B250="AIE",IF(I250="L",5,IF(I250="A",7,10)),IF(B250="SE",IF(I250="L",4,IF(I250="A",5,7)),IF(OR(B250="EE",B250="CE"),IF(I250="L",3,IF(I250="A",4,6)),0)))))</f>
        <v/>
      </c>
      <c r="I250" s="122" t="str">
        <f t="shared" ref="I250:I251" si="586">IF(OR(ISBLANK(D250),ISBLANK(E250)),IF(OR(B250="ALI",B250="AIE"),"L",IF(OR(B250="EE",B250="SE",B250="CE"),"A","")),IF(B250="EE",IF(E250&gt;=3,IF(D250&gt;=5,"H","A"),IF(E250&gt;=2,IF(D250&gt;=16,"H",IF(D250&lt;=4,"L","A")),IF(D250&lt;=15,"L","A"))),IF(OR(B250="SE",B250="CE"),IF(E250&gt;=4,IF(D250&gt;=6,"H","A"),IF(E250&gt;=2,IF(D250&gt;=20,"H",IF(D250&lt;=5,"L","A")),IF(D250&lt;=19,"L","A"))),IF(OR(B250="ALI",B250="AIE"),IF(E250&gt;=6,IF(D250&gt;=20,"H","A"),IF(E250&gt;=2,IF(D250&gt;=51,"H",IF(D250&lt;=19,"L","A")),IF(D250&lt;=50,"L","A"))),""))))</f>
        <v/>
      </c>
      <c r="J250" s="7" t="str">
        <f t="shared" ref="J250:J251" si="587">CONCATENATE(B250,C250)</f>
        <v/>
      </c>
      <c r="K250" s="9" t="str">
        <f t="shared" ref="K250:K251" si="588">IF(OR(H250="",H250=0),L250,H250)</f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si="583"/>
        <v/>
      </c>
      <c r="G251" s="7" t="str">
        <f t="shared" si="584"/>
        <v/>
      </c>
      <c r="H251" s="5" t="str">
        <f t="shared" si="585"/>
        <v/>
      </c>
      <c r="I251" s="122" t="str">
        <f t="shared" si="586"/>
        <v/>
      </c>
      <c r="J251" s="7" t="str">
        <f t="shared" si="587"/>
        <v/>
      </c>
      <c r="K251" s="9" t="str">
        <f t="shared" si="588"/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ref="F252:F253" si="589">IF(ISBLANK(B252),"",IF(I252="L","Baixa",IF(I252="A","Média",IF(I252="","","Alta"))))</f>
        <v/>
      </c>
      <c r="G252" s="7" t="str">
        <f t="shared" ref="G252:G253" si="590">CONCATENATE(B252,I252)</f>
        <v/>
      </c>
      <c r="H252" s="5" t="str">
        <f t="shared" ref="H252:H253" si="591">IF(ISBLANK(B252),"",IF(B252="ALI",IF(I252="L",7,IF(I252="A",10,15)),IF(B252="AIE",IF(I252="L",5,IF(I252="A",7,10)),IF(B252="SE",IF(I252="L",4,IF(I252="A",5,7)),IF(OR(B252="EE",B252="CE"),IF(I252="L",3,IF(I252="A",4,6)),0)))))</f>
        <v/>
      </c>
      <c r="I252" s="122" t="str">
        <f t="shared" ref="I252:I253" si="592">IF(OR(ISBLANK(D252),ISBLANK(E252)),IF(OR(B252="ALI",B252="AIE"),"L",IF(OR(B252="EE",B252="SE",B252="CE"),"A","")),IF(B252="EE",IF(E252&gt;=3,IF(D252&gt;=5,"H","A"),IF(E252&gt;=2,IF(D252&gt;=16,"H",IF(D252&lt;=4,"L","A")),IF(D252&lt;=15,"L","A"))),IF(OR(B252="SE",B252="CE"),IF(E252&gt;=4,IF(D252&gt;=6,"H","A"),IF(E252&gt;=2,IF(D252&gt;=20,"H",IF(D252&lt;=5,"L","A")),IF(D252&lt;=19,"L","A"))),IF(OR(B252="ALI",B252="AIE"),IF(E252&gt;=6,IF(D252&gt;=20,"H","A"),IF(E252&gt;=2,IF(D252&gt;=51,"H",IF(D252&lt;=19,"L","A")),IF(D252&lt;=50,"L","A"))),""))))</f>
        <v/>
      </c>
      <c r="J252" s="7" t="str">
        <f t="shared" ref="J252:J253" si="593">CONCATENATE(B252,C252)</f>
        <v/>
      </c>
      <c r="K252" s="9" t="str">
        <f t="shared" ref="K252:K253" si="594">IF(OR(H252="",H252=0),L252,H252)</f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589"/>
        <v/>
      </c>
      <c r="G253" s="7" t="str">
        <f t="shared" si="590"/>
        <v/>
      </c>
      <c r="H253" s="5" t="str">
        <f t="shared" si="591"/>
        <v/>
      </c>
      <c r="I253" s="122" t="str">
        <f t="shared" si="592"/>
        <v/>
      </c>
      <c r="J253" s="7" t="str">
        <f t="shared" si="593"/>
        <v/>
      </c>
      <c r="K253" s="9" t="str">
        <f t="shared" si="594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547"/>
        <v/>
      </c>
      <c r="G254" s="7" t="str">
        <f t="shared" si="548"/>
        <v/>
      </c>
      <c r="H254" s="5" t="str">
        <f t="shared" si="549"/>
        <v/>
      </c>
      <c r="I254" s="122" t="str">
        <f t="shared" si="550"/>
        <v/>
      </c>
      <c r="J254" s="7" t="str">
        <f t="shared" si="551"/>
        <v/>
      </c>
      <c r="K254" s="9" t="str">
        <f t="shared" si="552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498"/>
        <v/>
      </c>
      <c r="G255" s="7" t="str">
        <f t="shared" si="499"/>
        <v/>
      </c>
      <c r="H255" s="5" t="str">
        <f t="shared" si="500"/>
        <v/>
      </c>
      <c r="I255" s="122" t="str">
        <f t="shared" si="501"/>
        <v/>
      </c>
      <c r="J255" s="7" t="str">
        <f t="shared" si="502"/>
        <v/>
      </c>
      <c r="K255" s="9" t="str">
        <f t="shared" si="516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498"/>
        <v/>
      </c>
      <c r="G256" s="7" t="str">
        <f t="shared" si="499"/>
        <v/>
      </c>
      <c r="H256" s="5" t="str">
        <f t="shared" si="500"/>
        <v/>
      </c>
      <c r="I256" s="122" t="str">
        <f t="shared" si="501"/>
        <v/>
      </c>
      <c r="J256" s="7" t="str">
        <f t="shared" si="502"/>
        <v/>
      </c>
      <c r="K256" s="9" t="str">
        <f t="shared" si="516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>IF(ISBLANK(B257),"",IF(I257="L","Baixa",IF(I257="A","Média",IF(I257="","","Alta"))))</f>
        <v/>
      </c>
      <c r="G257" s="7" t="str">
        <f>CONCATENATE(B257,I257)</f>
        <v/>
      </c>
      <c r="H257" s="5" t="str">
        <f>IF(ISBLANK(B257),"",IF(B257="ALI",IF(I257="L",7,IF(I257="A",10,15)),IF(B257="AIE",IF(I257="L",5,IF(I257="A",7,10)),IF(B257="SE",IF(I257="L",4,IF(I257="A",5,7)),IF(OR(B257="EE",B257="CE"),IF(I257="L",3,IF(I257="A",4,6)),0)))))</f>
        <v/>
      </c>
      <c r="I257" s="122" t="str">
        <f>IF(OR(ISBLANK(D257),ISBLANK(E257)),IF(OR(B257="ALI",B257="AIE"),"L",IF(OR(B257="EE",B257="SE",B257="CE"),"A","")),IF(B257="EE",IF(E257&gt;=3,IF(D257&gt;=5,"H","A"),IF(E257&gt;=2,IF(D257&gt;=16,"H",IF(D257&lt;=4,"L","A")),IF(D257&lt;=15,"L","A"))),IF(OR(B257="SE",B257="CE"),IF(E257&gt;=4,IF(D257&gt;=6,"H","A"),IF(E257&gt;=2,IF(D257&gt;=20,"H",IF(D257&lt;=5,"L","A")),IF(D257&lt;=19,"L","A"))),IF(OR(B257="ALI",B257="AIE"),IF(E257&gt;=6,IF(D257&gt;=20,"H","A"),IF(E257&gt;=2,IF(D257&gt;=51,"H",IF(D257&lt;=19,"L","A")),IF(D257&lt;=50,"L","A"))),""))))</f>
        <v/>
      </c>
      <c r="J257" s="7" t="str">
        <f>CONCATENATE(B257,C257)</f>
        <v/>
      </c>
      <c r="K257" s="9" t="str">
        <f>IF(OR(H257="",H257=0),L257,H257)</f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>IF(ISBLANK(B258),"",IF(I258="L","Baixa",IF(I258="A","Média",IF(I258="","","Alta"))))</f>
        <v/>
      </c>
      <c r="G258" s="7" t="str">
        <f>CONCATENATE(B258,I258)</f>
        <v/>
      </c>
      <c r="H258" s="5" t="str">
        <f>IF(ISBLANK(B258),"",IF(B258="ALI",IF(I258="L",7,IF(I258="A",10,15)),IF(B258="AIE",IF(I258="L",5,IF(I258="A",7,10)),IF(B258="SE",IF(I258="L",4,IF(I258="A",5,7)),IF(OR(B258="EE",B258="CE"),IF(I258="L",3,IF(I258="A",4,6)),0)))))</f>
        <v/>
      </c>
      <c r="I258" s="122" t="str">
        <f>IF(OR(ISBLANK(D258),ISBLANK(E258)),IF(OR(B258="ALI",B258="AIE"),"L",IF(OR(B258="EE",B258="SE",B258="CE"),"A","")),IF(B258="EE",IF(E258&gt;=3,IF(D258&gt;=5,"H","A"),IF(E258&gt;=2,IF(D258&gt;=16,"H",IF(D258&lt;=4,"L","A")),IF(D258&lt;=15,"L","A"))),IF(OR(B258="SE",B258="CE"),IF(E258&gt;=4,IF(D258&gt;=6,"H","A"),IF(E258&gt;=2,IF(D258&gt;=20,"H",IF(D258&lt;=5,"L","A")),IF(D258&lt;=19,"L","A"))),IF(OR(B258="ALI",B258="AIE"),IF(E258&gt;=6,IF(D258&gt;=20,"H","A"),IF(E258&gt;=2,IF(D258&gt;=51,"H",IF(D258&lt;=19,"L","A")),IF(D258&lt;=50,"L","A"))),""))))</f>
        <v/>
      </c>
      <c r="J258" s="7" t="str">
        <f>CONCATENATE(B258,C258)</f>
        <v/>
      </c>
      <c r="K258" s="9" t="str">
        <f>IF(OR(H258="",H258=0),L258,H258)</f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>IF(ISBLANK(B259),"",IF(I259="L","Baixa",IF(I259="A","Média",IF(I259="","","Alta"))))</f>
        <v/>
      </c>
      <c r="G259" s="7" t="str">
        <f>CONCATENATE(B259,I259)</f>
        <v/>
      </c>
      <c r="H259" s="5" t="str">
        <f>IF(ISBLANK(B259),"",IF(B259="ALI",IF(I259="L",7,IF(I259="A",10,15)),IF(B259="AIE",IF(I259="L",5,IF(I259="A",7,10)),IF(B259="SE",IF(I259="L",4,IF(I259="A",5,7)),IF(OR(B259="EE",B259="CE"),IF(I259="L",3,IF(I259="A",4,6)),0)))))</f>
        <v/>
      </c>
      <c r="I259" s="122" t="str">
        <f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 t="str">
        <f>CONCATENATE(B259,C259)</f>
        <v/>
      </c>
      <c r="K259" s="9" t="str">
        <f>IF(OR(H259="",H259=0),L259,H259)</f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ref="F260" si="595">IF(ISBLANK(B260),"",IF(I260="L","Baixa",IF(I260="A","Média",IF(I260="","","Alta"))))</f>
        <v/>
      </c>
      <c r="G260" s="7" t="str">
        <f t="shared" ref="G260" si="596">CONCATENATE(B260,I260)</f>
        <v/>
      </c>
      <c r="H260" s="5" t="str">
        <f t="shared" ref="H260" si="597">IF(ISBLANK(B260),"",IF(B260="ALI",IF(I260="L",7,IF(I260="A",10,15)),IF(B260="AIE",IF(I260="L",5,IF(I260="A",7,10)),IF(B260="SE",IF(I260="L",4,IF(I260="A",5,7)),IF(OR(B260="EE",B260="CE"),IF(I260="L",3,IF(I260="A",4,6)),0)))))</f>
        <v/>
      </c>
      <c r="I260" s="122" t="str">
        <f t="shared" ref="I260" si="598">IF(OR(ISBLANK(D260),ISBLANK(E260)),IF(OR(B260="ALI",B260="AIE"),"L",IF(OR(B260="EE",B260="SE",B260="CE"),"A","")),IF(B260="EE",IF(E260&gt;=3,IF(D260&gt;=5,"H","A"),IF(E260&gt;=2,IF(D260&gt;=16,"H",IF(D260&lt;=4,"L","A")),IF(D260&lt;=15,"L","A"))),IF(OR(B260="SE",B260="CE"),IF(E260&gt;=4,IF(D260&gt;=6,"H","A"),IF(E260&gt;=2,IF(D260&gt;=20,"H",IF(D260&lt;=5,"L","A")),IF(D260&lt;=19,"L","A"))),IF(OR(B260="ALI",B260="AIE"),IF(E260&gt;=6,IF(D260&gt;=20,"H","A"),IF(E260&gt;=2,IF(D260&gt;=51,"H",IF(D260&lt;=19,"L","A")),IF(D260&lt;=50,"L","A"))),""))))</f>
        <v/>
      </c>
      <c r="J260" s="7" t="str">
        <f t="shared" ref="J260" si="599">CONCATENATE(B260,C260)</f>
        <v/>
      </c>
      <c r="K260" s="9" t="str">
        <f t="shared" ref="K260" si="600">IF(OR(H260="",H260=0),L260,H260)</f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si="498"/>
        <v/>
      </c>
      <c r="G261" s="7" t="str">
        <f t="shared" si="499"/>
        <v/>
      </c>
      <c r="H261" s="5" t="str">
        <f t="shared" si="500"/>
        <v/>
      </c>
      <c r="I261" s="122" t="str">
        <f t="shared" si="501"/>
        <v/>
      </c>
      <c r="J261" s="7" t="str">
        <f t="shared" si="502"/>
        <v/>
      </c>
      <c r="K261" s="9" t="str">
        <f t="shared" si="516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9"/>
      <c r="B262" s="4"/>
      <c r="C262" s="4"/>
      <c r="D262" s="7"/>
      <c r="E262" s="7"/>
      <c r="F262" s="8" t="str">
        <f t="shared" ref="F262" si="601">IF(ISBLANK(B262),"",IF(I262="L","Baixa",IF(I262="A","Média",IF(I262="","","Alta"))))</f>
        <v/>
      </c>
      <c r="G262" s="7" t="str">
        <f t="shared" ref="G262" si="602">CONCATENATE(B262,I262)</f>
        <v/>
      </c>
      <c r="H262" s="5" t="str">
        <f t="shared" ref="H262" si="603">IF(ISBLANK(B262),"",IF(B262="ALI",IF(I262="L",7,IF(I262="A",10,15)),IF(B262="AIE",IF(I262="L",5,IF(I262="A",7,10)),IF(B262="SE",IF(I262="L",4,IF(I262="A",5,7)),IF(OR(B262="EE",B262="CE"),IF(I262="L",3,IF(I262="A",4,6)),0)))))</f>
        <v/>
      </c>
      <c r="I262" s="122" t="str">
        <f t="shared" ref="I262" si="604">IF(OR(ISBLANK(D262),ISBLANK(E262)),IF(OR(B262="ALI",B262="AIE"),"L",IF(OR(B262="EE",B262="SE",B262="CE"),"A","")),IF(B262="EE",IF(E262&gt;=3,IF(D262&gt;=5,"H","A"),IF(E262&gt;=2,IF(D262&gt;=16,"H",IF(D262&lt;=4,"L","A")),IF(D262&lt;=15,"L","A"))),IF(OR(B262="SE",B262="CE"),IF(E262&gt;=4,IF(D262&gt;=6,"H","A"),IF(E262&gt;=2,IF(D262&gt;=20,"H",IF(D262&lt;=5,"L","A")),IF(D262&lt;=19,"L","A"))),IF(OR(B262="ALI",B262="AIE"),IF(E262&gt;=6,IF(D262&gt;=20,"H","A"),IF(E262&gt;=2,IF(D262&gt;=51,"H",IF(D262&lt;=19,"L","A")),IF(D262&lt;=50,"L","A"))),""))))</f>
        <v/>
      </c>
      <c r="J262" s="7" t="str">
        <f t="shared" ref="J262" si="605">CONCATENATE(B262,C262)</f>
        <v/>
      </c>
      <c r="K262" s="9" t="str">
        <f t="shared" ref="K262" si="606">IF(OR(H262="",H262=0),L262,H262)</f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ref="F263" si="607">IF(ISBLANK(B263),"",IF(I263="L","Baixa",IF(I263="A","Média",IF(I263="","","Alta"))))</f>
        <v/>
      </c>
      <c r="G263" s="7" t="str">
        <f t="shared" ref="G263" si="608">CONCATENATE(B263,I263)</f>
        <v/>
      </c>
      <c r="H263" s="5" t="str">
        <f t="shared" ref="H263" si="609">IF(ISBLANK(B263),"",IF(B263="ALI",IF(I263="L",7,IF(I263="A",10,15)),IF(B263="AIE",IF(I263="L",5,IF(I263="A",7,10)),IF(B263="SE",IF(I263="L",4,IF(I263="A",5,7)),IF(OR(B263="EE",B263="CE"),IF(I263="L",3,IF(I263="A",4,6)),0)))))</f>
        <v/>
      </c>
      <c r="I263" s="122" t="str">
        <f t="shared" ref="I263" si="610">IF(OR(ISBLANK(D263),ISBLANK(E263)),IF(OR(B263="ALI",B263="AIE"),"L",IF(OR(B263="EE",B263="SE",B263="CE"),"A","")),IF(B263="EE",IF(E263&gt;=3,IF(D263&gt;=5,"H","A"),IF(E263&gt;=2,IF(D263&gt;=16,"H",IF(D263&lt;=4,"L","A")),IF(D263&lt;=15,"L","A"))),IF(OR(B263="SE",B263="CE"),IF(E263&gt;=4,IF(D263&gt;=6,"H","A"),IF(E263&gt;=2,IF(D263&gt;=20,"H",IF(D263&lt;=5,"L","A")),IF(D263&lt;=19,"L","A"))),IF(OR(B263="ALI",B263="AIE"),IF(E263&gt;=6,IF(D263&gt;=20,"H","A"),IF(E263&gt;=2,IF(D263&gt;=51,"H",IF(D263&lt;=19,"L","A")),IF(D263&lt;=50,"L","A"))),""))))</f>
        <v/>
      </c>
      <c r="J263" s="7" t="str">
        <f t="shared" ref="J263" si="611">CONCATENATE(B263,C263)</f>
        <v/>
      </c>
      <c r="K263" s="9" t="str">
        <f t="shared" ref="K263" si="612">IF(OR(H263="",H263=0),L263,H263)</f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si="498"/>
        <v/>
      </c>
      <c r="G264" s="7" t="str">
        <f t="shared" si="499"/>
        <v/>
      </c>
      <c r="H264" s="5" t="str">
        <f t="shared" si="500"/>
        <v/>
      </c>
      <c r="I264" s="122" t="str">
        <f t="shared" si="501"/>
        <v/>
      </c>
      <c r="J264" s="7" t="str">
        <f t="shared" si="502"/>
        <v/>
      </c>
      <c r="K264" s="9" t="str">
        <f t="shared" si="516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>IF(ISBLANK(B265),"",IF(I265="L","Baixa",IF(I265="A","Média",IF(I265="","","Alta"))))</f>
        <v/>
      </c>
      <c r="G265" s="7" t="str">
        <f>CONCATENATE(B265,I265)</f>
        <v/>
      </c>
      <c r="H265" s="5" t="str">
        <f>IF(ISBLANK(B265),"",IF(B265="ALI",IF(I265="L",7,IF(I265="A",10,15)),IF(B265="AIE",IF(I265="L",5,IF(I265="A",7,10)),IF(B265="SE",IF(I265="L",4,IF(I265="A",5,7)),IF(OR(B265="EE",B265="CE"),IF(I265="L",3,IF(I265="A",4,6)),0)))))</f>
        <v/>
      </c>
      <c r="I265" s="122" t="str">
        <f>IF(OR(ISBLANK(D265),ISBLANK(E265)),IF(OR(B265="ALI",B265="AIE"),"L",IF(OR(B265="EE",B265="SE",B265="CE"),"A","")),IF(B265="EE",IF(E265&gt;=3,IF(D265&gt;=5,"H","A"),IF(E265&gt;=2,IF(D265&gt;=16,"H",IF(D265&lt;=4,"L","A")),IF(D265&lt;=15,"L","A"))),IF(OR(B265="SE",B265="CE"),IF(E265&gt;=4,IF(D265&gt;=6,"H","A"),IF(E265&gt;=2,IF(D265&gt;=20,"H",IF(D265&lt;=5,"L","A")),IF(D265&lt;=19,"L","A"))),IF(OR(B265="ALI",B265="AIE"),IF(E265&gt;=6,IF(D265&gt;=20,"H","A"),IF(E265&gt;=2,IF(D265&gt;=51,"H",IF(D265&lt;=19,"L","A")),IF(D265&lt;=50,"L","A"))),""))))</f>
        <v/>
      </c>
      <c r="J265" s="7" t="str">
        <f>CONCATENATE(B265,C265)</f>
        <v/>
      </c>
      <c r="K265" s="9" t="str">
        <f>IF(OR(H265="",H265=0),L265,H265)</f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>IF(ISBLANK(B266),"",IF(I266="L","Baixa",IF(I266="A","Média",IF(I266="","","Alta"))))</f>
        <v/>
      </c>
      <c r="G266" s="7" t="str">
        <f>CONCATENATE(B266,I266)</f>
        <v/>
      </c>
      <c r="H266" s="5" t="str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22" t="str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>CONCATENATE(B266,C266)</f>
        <v/>
      </c>
      <c r="K266" s="9" t="str">
        <f>IF(OR(H266="",H266=0),L266,H266)</f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>IF(ISBLANK(B267),"",IF(I267="L","Baixa",IF(I267="A","Média",IF(I267="","","Alta"))))</f>
        <v/>
      </c>
      <c r="G267" s="7" t="str">
        <f>CONCATENATE(B267,I267)</f>
        <v/>
      </c>
      <c r="H267" s="5" t="str">
        <f>IF(ISBLANK(B267),"",IF(B267="ALI",IF(I267="L",7,IF(I267="A",10,15)),IF(B267="AIE",IF(I267="L",5,IF(I267="A",7,10)),IF(B267="SE",IF(I267="L",4,IF(I267="A",5,7)),IF(OR(B267="EE",B267="CE"),IF(I267="L",3,IF(I267="A",4,6)),0)))))</f>
        <v/>
      </c>
      <c r="I267" s="122" t="str">
        <f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>CONCATENATE(B267,C267)</f>
        <v/>
      </c>
      <c r="K267" s="9" t="str">
        <f>IF(OR(H267="",H267=0),L267,H267)</f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>IF(ISBLANK(B268),"",IF(I268="L","Baixa",IF(I268="A","Média",IF(I268="","","Alta"))))</f>
        <v/>
      </c>
      <c r="G268" s="7" t="str">
        <f>CONCATENATE(B268,I268)</f>
        <v/>
      </c>
      <c r="H268" s="5" t="str">
        <f>IF(ISBLANK(B268),"",IF(B268="ALI",IF(I268="L",7,IF(I268="A",10,15)),IF(B268="AIE",IF(I268="L",5,IF(I268="A",7,10)),IF(B268="SE",IF(I268="L",4,IF(I268="A",5,7)),IF(OR(B268="EE",B268="CE"),IF(I268="L",3,IF(I268="A",4,6)),0)))))</f>
        <v/>
      </c>
      <c r="I268" s="122" t="str">
        <f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7" t="str">
        <f>CONCATENATE(B268,C268)</f>
        <v/>
      </c>
      <c r="K268" s="9" t="str">
        <f>IF(OR(H268="",H268=0),L268,H268)</f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9"/>
      <c r="B269" s="4"/>
      <c r="C269" s="4"/>
      <c r="D269" s="7"/>
      <c r="E269" s="7"/>
      <c r="F269" s="8" t="str">
        <f t="shared" ref="F269:F277" si="613">IF(ISBLANK(B269),"",IF(I269="L","Baixa",IF(I269="A","Média",IF(I269="","","Alta"))))</f>
        <v/>
      </c>
      <c r="G269" s="7" t="str">
        <f t="shared" ref="G269:G277" si="614">CONCATENATE(B269,I269)</f>
        <v/>
      </c>
      <c r="H269" s="5" t="str">
        <f t="shared" ref="H269:H277" si="615">IF(ISBLANK(B269),"",IF(B269="ALI",IF(I269="L",7,IF(I269="A",10,15)),IF(B269="AIE",IF(I269="L",5,IF(I269="A",7,10)),IF(B269="SE",IF(I269="L",4,IF(I269="A",5,7)),IF(OR(B269="EE",B269="CE"),IF(I269="L",3,IF(I269="A",4,6)),0)))))</f>
        <v/>
      </c>
      <c r="I269" s="122" t="str">
        <f t="shared" ref="I269:I277" si="616">IF(OR(ISBLANK(D269),ISBLANK(E269)),IF(OR(B269="ALI",B269="AIE"),"L",IF(OR(B269="EE",B269="SE",B269="CE"),"A","")),IF(B269="EE",IF(E269&gt;=3,IF(D269&gt;=5,"H","A"),IF(E269&gt;=2,IF(D269&gt;=16,"H",IF(D269&lt;=4,"L","A")),IF(D269&lt;=15,"L","A"))),IF(OR(B269="SE",B269="CE"),IF(E269&gt;=4,IF(D269&gt;=6,"H","A"),IF(E269&gt;=2,IF(D269&gt;=20,"H",IF(D269&lt;=5,"L","A")),IF(D269&lt;=19,"L","A"))),IF(OR(B269="ALI",B269="AIE"),IF(E269&gt;=6,IF(D269&gt;=20,"H","A"),IF(E269&gt;=2,IF(D269&gt;=51,"H",IF(D269&lt;=19,"L","A")),IF(D269&lt;=50,"L","A"))),""))))</f>
        <v/>
      </c>
      <c r="J269" s="7" t="str">
        <f t="shared" ref="J269:J277" si="617">CONCATENATE(B269,C269)</f>
        <v/>
      </c>
      <c r="K269" s="9" t="str">
        <f t="shared" ref="K269:K277" si="618">IF(OR(H269="",H269=0),L269,H269)</f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ref="F270:F271" si="619">IF(ISBLANK(B270),"",IF(I270="L","Baixa",IF(I270="A","Média",IF(I270="","","Alta"))))</f>
        <v/>
      </c>
      <c r="G270" s="7" t="str">
        <f t="shared" ref="G270:G271" si="620">CONCATENATE(B270,I270)</f>
        <v/>
      </c>
      <c r="H270" s="5" t="str">
        <f t="shared" ref="H270:H271" si="621">IF(ISBLANK(B270),"",IF(B270="ALI",IF(I270="L",7,IF(I270="A",10,15)),IF(B270="AIE",IF(I270="L",5,IF(I270="A",7,10)),IF(B270="SE",IF(I270="L",4,IF(I270="A",5,7)),IF(OR(B270="EE",B270="CE"),IF(I270="L",3,IF(I270="A",4,6)),0)))))</f>
        <v/>
      </c>
      <c r="I270" s="122" t="str">
        <f t="shared" ref="I270:I271" si="622"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/>
      </c>
      <c r="J270" s="7" t="str">
        <f t="shared" ref="J270:J271" si="623">CONCATENATE(B270,C270)</f>
        <v/>
      </c>
      <c r="K270" s="9" t="str">
        <f t="shared" ref="K270:K271" si="624">IF(OR(H270="",H270=0),L270,H270)</f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si="619"/>
        <v/>
      </c>
      <c r="G271" s="7" t="str">
        <f t="shared" si="620"/>
        <v/>
      </c>
      <c r="H271" s="5" t="str">
        <f t="shared" si="621"/>
        <v/>
      </c>
      <c r="I271" s="122" t="str">
        <f t="shared" si="622"/>
        <v/>
      </c>
      <c r="J271" s="7" t="str">
        <f t="shared" si="623"/>
        <v/>
      </c>
      <c r="K271" s="9" t="str">
        <f t="shared" si="624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ref="F272" si="625">IF(ISBLANK(B272),"",IF(I272="L","Baixa",IF(I272="A","Média",IF(I272="","","Alta"))))</f>
        <v/>
      </c>
      <c r="G272" s="7" t="str">
        <f t="shared" ref="G272" si="626">CONCATENATE(B272,I272)</f>
        <v/>
      </c>
      <c r="H272" s="5" t="str">
        <f t="shared" ref="H272" si="627">IF(ISBLANK(B272),"",IF(B272="ALI",IF(I272="L",7,IF(I272="A",10,15)),IF(B272="AIE",IF(I272="L",5,IF(I272="A",7,10)),IF(B272="SE",IF(I272="L",4,IF(I272="A",5,7)),IF(OR(B272="EE",B272="CE"),IF(I272="L",3,IF(I272="A",4,6)),0)))))</f>
        <v/>
      </c>
      <c r="I272" s="122" t="str">
        <f t="shared" ref="I272" si="628">IF(OR(ISBLANK(D272),ISBLANK(E272)),IF(OR(B272="ALI",B272="AIE"),"L",IF(OR(B272="EE",B272="SE",B272="CE"),"A","")),IF(B272="EE",IF(E272&gt;=3,IF(D272&gt;=5,"H","A"),IF(E272&gt;=2,IF(D272&gt;=16,"H",IF(D272&lt;=4,"L","A")),IF(D272&lt;=15,"L","A"))),IF(OR(B272="SE",B272="CE"),IF(E272&gt;=4,IF(D272&gt;=6,"H","A"),IF(E272&gt;=2,IF(D272&gt;=20,"H",IF(D272&lt;=5,"L","A")),IF(D272&lt;=19,"L","A"))),IF(OR(B272="ALI",B272="AIE"),IF(E272&gt;=6,IF(D272&gt;=20,"H","A"),IF(E272&gt;=2,IF(D272&gt;=51,"H",IF(D272&lt;=19,"L","A")),IF(D272&lt;=50,"L","A"))),""))))</f>
        <v/>
      </c>
      <c r="J272" s="7" t="str">
        <f t="shared" ref="J272" si="629">CONCATENATE(B272,C272)</f>
        <v/>
      </c>
      <c r="K272" s="9" t="str">
        <f t="shared" ref="K272" si="630">IF(OR(H272="",H272=0),L272,H272)</f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si="613"/>
        <v/>
      </c>
      <c r="G273" s="7" t="str">
        <f t="shared" si="614"/>
        <v/>
      </c>
      <c r="H273" s="5" t="str">
        <f t="shared" si="615"/>
        <v/>
      </c>
      <c r="I273" s="122" t="str">
        <f t="shared" si="616"/>
        <v/>
      </c>
      <c r="J273" s="7" t="str">
        <f t="shared" si="617"/>
        <v/>
      </c>
      <c r="K273" s="9" t="str">
        <f t="shared" si="618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>IF(ISBLANK(B274),"",IF(I274="L","Baixa",IF(I274="A","Média",IF(I274="","","Alta"))))</f>
        <v/>
      </c>
      <c r="G274" s="7" t="str">
        <f>CONCATENATE(B274,I274)</f>
        <v/>
      </c>
      <c r="H274" s="5" t="str">
        <f>IF(ISBLANK(B274),"",IF(B274="ALI",IF(I274="L",7,IF(I274="A",10,15)),IF(B274="AIE",IF(I274="L",5,IF(I274="A",7,10)),IF(B274="SE",IF(I274="L",4,IF(I274="A",5,7)),IF(OR(B274="EE",B274="CE"),IF(I274="L",3,IF(I274="A",4,6)),0)))))</f>
        <v/>
      </c>
      <c r="I274" s="122" t="str">
        <f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7" t="str">
        <f>CONCATENATE(B274,C274)</f>
        <v/>
      </c>
      <c r="K274" s="9" t="str">
        <f>IF(OR(H274="",H274=0),L274,H274)</f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9"/>
      <c r="B275" s="4"/>
      <c r="C275" s="4"/>
      <c r="D275" s="7"/>
      <c r="E275" s="7"/>
      <c r="F275" s="8" t="str">
        <f>IF(ISBLANK(B275),"",IF(I275="L","Baixa",IF(I275="A","Média",IF(I275="","","Alta"))))</f>
        <v/>
      </c>
      <c r="G275" s="7" t="str">
        <f>CONCATENATE(B275,I275)</f>
        <v/>
      </c>
      <c r="H275" s="5" t="str">
        <f>IF(ISBLANK(B275),"",IF(B275="ALI",IF(I275="L",7,IF(I275="A",10,15)),IF(B275="AIE",IF(I275="L",5,IF(I275="A",7,10)),IF(B275="SE",IF(I275="L",4,IF(I275="A",5,7)),IF(OR(B275="EE",B275="CE"),IF(I275="L",3,IF(I275="A",4,6)),0)))))</f>
        <v/>
      </c>
      <c r="I275" s="122" t="str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7" t="str">
        <f>CONCATENATE(B275,C275)</f>
        <v/>
      </c>
      <c r="K275" s="9" t="str">
        <f>IF(OR(H275="",H275=0),L275,H275)</f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>IF(ISBLANK(B276),"",IF(I276="L","Baixa",IF(I276="A","Média",IF(I276="","","Alta"))))</f>
        <v/>
      </c>
      <c r="G276" s="7" t="str">
        <f>CONCATENATE(B276,I276)</f>
        <v/>
      </c>
      <c r="H276" s="5" t="str">
        <f>IF(ISBLANK(B276),"",IF(B276="ALI",IF(I276="L",7,IF(I276="A",10,15)),IF(B276="AIE",IF(I276="L",5,IF(I276="A",7,10)),IF(B276="SE",IF(I276="L",4,IF(I276="A",5,7)),IF(OR(B276="EE",B276="CE"),IF(I276="L",3,IF(I276="A",4,6)),0)))))</f>
        <v/>
      </c>
      <c r="I276" s="122" t="str">
        <f>IF(OR(ISBLANK(D276),ISBLANK(E276)),IF(OR(B276="ALI",B276="AIE"),"L",IF(OR(B276="EE",B276="SE",B276="CE"),"A","")),IF(B276="EE",IF(E276&gt;=3,IF(D276&gt;=5,"H","A"),IF(E276&gt;=2,IF(D276&gt;=16,"H",IF(D276&lt;=4,"L","A")),IF(D276&lt;=15,"L","A"))),IF(OR(B276="SE",B276="CE"),IF(E276&gt;=4,IF(D276&gt;=6,"H","A"),IF(E276&gt;=2,IF(D276&gt;=20,"H",IF(D276&lt;=5,"L","A")),IF(D276&lt;=19,"L","A"))),IF(OR(B276="ALI",B276="AIE"),IF(E276&gt;=6,IF(D276&gt;=20,"H","A"),IF(E276&gt;=2,IF(D276&gt;=51,"H",IF(D276&lt;=19,"L","A")),IF(D276&lt;=50,"L","A"))),""))))</f>
        <v/>
      </c>
      <c r="J276" s="7" t="str">
        <f>CONCATENATE(B276,C276)</f>
        <v/>
      </c>
      <c r="K276" s="9" t="str">
        <f>IF(OR(H276="",H276=0),L276,H276)</f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 t="shared" si="613"/>
        <v/>
      </c>
      <c r="G277" s="7" t="str">
        <f t="shared" si="614"/>
        <v/>
      </c>
      <c r="H277" s="5" t="str">
        <f t="shared" si="615"/>
        <v/>
      </c>
      <c r="I277" s="122" t="str">
        <f t="shared" si="616"/>
        <v/>
      </c>
      <c r="J277" s="7" t="str">
        <f t="shared" si="617"/>
        <v/>
      </c>
      <c r="K277" s="9" t="str">
        <f t="shared" si="618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9"/>
      <c r="B278" s="4"/>
      <c r="C278" s="4"/>
      <c r="D278" s="7"/>
      <c r="E278" s="7"/>
      <c r="F278" s="8" t="str">
        <f>IF(ISBLANK(B278),"",IF(I278="L","Baixa",IF(I278="A","Média",IF(I278="","","Alta"))))</f>
        <v/>
      </c>
      <c r="G278" s="7" t="str">
        <f>CONCATENATE(B278,I278)</f>
        <v/>
      </c>
      <c r="H278" s="5" t="str">
        <f>IF(ISBLANK(B278),"",IF(B278="ALI",IF(I278="L",7,IF(I278="A",10,15)),IF(B278="AIE",IF(I278="L",5,IF(I278="A",7,10)),IF(B278="SE",IF(I278="L",4,IF(I278="A",5,7)),IF(OR(B278="EE",B278="CE"),IF(I278="L",3,IF(I278="A",4,6)),0)))))</f>
        <v/>
      </c>
      <c r="I278" s="122" t="str">
        <f>IF(OR(ISBLANK(D278),ISBLANK(E278)),IF(OR(B278="ALI",B278="AIE"),"L",IF(OR(B278="EE",B278="SE",B278="CE"),"A","")),IF(B278="EE",IF(E278&gt;=3,IF(D278&gt;=5,"H","A"),IF(E278&gt;=2,IF(D278&gt;=16,"H",IF(D278&lt;=4,"L","A")),IF(D278&lt;=15,"L","A"))),IF(OR(B278="SE",B278="CE"),IF(E278&gt;=4,IF(D278&gt;=6,"H","A"),IF(E278&gt;=2,IF(D278&gt;=20,"H",IF(D278&lt;=5,"L","A")),IF(D278&lt;=19,"L","A"))),IF(OR(B278="ALI",B278="AIE"),IF(E278&gt;=6,IF(D278&gt;=20,"H","A"),IF(E278&gt;=2,IF(D278&gt;=51,"H",IF(D278&lt;=19,"L","A")),IF(D278&lt;=50,"L","A"))),""))))</f>
        <v/>
      </c>
      <c r="J278" s="7" t="str">
        <f>CONCATENATE(B278,C278)</f>
        <v/>
      </c>
      <c r="K278" s="9" t="str">
        <f>IF(OR(H278="",H278=0),L278,H278)</f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9"/>
      <c r="B279" s="4"/>
      <c r="C279" s="4"/>
      <c r="D279" s="7"/>
      <c r="E279" s="7"/>
      <c r="F279" s="8" t="str">
        <f t="shared" si="498"/>
        <v/>
      </c>
      <c r="G279" s="7" t="str">
        <f t="shared" si="499"/>
        <v/>
      </c>
      <c r="H279" s="5" t="str">
        <f t="shared" si="500"/>
        <v/>
      </c>
      <c r="I279" s="122" t="str">
        <f t="shared" si="501"/>
        <v/>
      </c>
      <c r="J279" s="7" t="str">
        <f t="shared" si="502"/>
        <v/>
      </c>
      <c r="K279" s="9" t="str">
        <f t="shared" si="516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498"/>
        <v/>
      </c>
      <c r="G280" s="7" t="str">
        <f t="shared" si="499"/>
        <v/>
      </c>
      <c r="H280" s="5" t="str">
        <f t="shared" si="500"/>
        <v/>
      </c>
      <c r="I280" s="122" t="str">
        <f t="shared" si="501"/>
        <v/>
      </c>
      <c r="J280" s="7" t="str">
        <f t="shared" si="502"/>
        <v/>
      </c>
      <c r="K280" s="9" t="str">
        <f t="shared" si="516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498"/>
        <v/>
      </c>
      <c r="G281" s="7" t="str">
        <f t="shared" si="499"/>
        <v/>
      </c>
      <c r="H281" s="5" t="str">
        <f t="shared" si="500"/>
        <v/>
      </c>
      <c r="I281" s="122" t="str">
        <f t="shared" si="501"/>
        <v/>
      </c>
      <c r="J281" s="7" t="str">
        <f t="shared" si="502"/>
        <v/>
      </c>
      <c r="K281" s="9" t="str">
        <f t="shared" si="516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498"/>
        <v/>
      </c>
      <c r="G282" s="7" t="str">
        <f t="shared" si="499"/>
        <v/>
      </c>
      <c r="H282" s="5" t="str">
        <f t="shared" si="500"/>
        <v/>
      </c>
      <c r="I282" s="122" t="str">
        <f t="shared" si="501"/>
        <v/>
      </c>
      <c r="J282" s="7" t="str">
        <f t="shared" si="502"/>
        <v/>
      </c>
      <c r="K282" s="9" t="str">
        <f t="shared" si="516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498"/>
        <v/>
      </c>
      <c r="G283" s="7" t="str">
        <f t="shared" si="499"/>
        <v/>
      </c>
      <c r="H283" s="5" t="str">
        <f t="shared" si="500"/>
        <v/>
      </c>
      <c r="I283" s="122" t="str">
        <f t="shared" si="501"/>
        <v/>
      </c>
      <c r="J283" s="7" t="str">
        <f t="shared" si="502"/>
        <v/>
      </c>
      <c r="K283" s="9" t="str">
        <f t="shared" si="516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498"/>
        <v/>
      </c>
      <c r="G284" s="7" t="str">
        <f t="shared" si="499"/>
        <v/>
      </c>
      <c r="H284" s="5" t="str">
        <f t="shared" si="500"/>
        <v/>
      </c>
      <c r="I284" s="122" t="str">
        <f t="shared" si="501"/>
        <v/>
      </c>
      <c r="J284" s="7" t="str">
        <f t="shared" si="502"/>
        <v/>
      </c>
      <c r="K284" s="9" t="str">
        <f t="shared" si="516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498"/>
        <v/>
      </c>
      <c r="G285" s="7" t="str">
        <f t="shared" si="499"/>
        <v/>
      </c>
      <c r="H285" s="5" t="str">
        <f t="shared" si="500"/>
        <v/>
      </c>
      <c r="I285" s="122" t="str">
        <f t="shared" si="501"/>
        <v/>
      </c>
      <c r="J285" s="7" t="str">
        <f t="shared" si="502"/>
        <v/>
      </c>
      <c r="K285" s="9" t="str">
        <f t="shared" si="516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498"/>
        <v/>
      </c>
      <c r="G286" s="7" t="str">
        <f t="shared" si="499"/>
        <v/>
      </c>
      <c r="H286" s="5" t="str">
        <f t="shared" si="500"/>
        <v/>
      </c>
      <c r="I286" s="122" t="str">
        <f t="shared" si="501"/>
        <v/>
      </c>
      <c r="J286" s="7" t="str">
        <f t="shared" si="502"/>
        <v/>
      </c>
      <c r="K286" s="9" t="str">
        <f t="shared" si="516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498"/>
        <v/>
      </c>
      <c r="G287" s="7" t="str">
        <f t="shared" si="499"/>
        <v/>
      </c>
      <c r="H287" s="5" t="str">
        <f t="shared" si="500"/>
        <v/>
      </c>
      <c r="I287" s="122" t="str">
        <f t="shared" si="501"/>
        <v/>
      </c>
      <c r="J287" s="7" t="str">
        <f t="shared" si="502"/>
        <v/>
      </c>
      <c r="K287" s="9" t="str">
        <f t="shared" si="516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498"/>
        <v/>
      </c>
      <c r="G288" s="7" t="str">
        <f t="shared" si="499"/>
        <v/>
      </c>
      <c r="H288" s="5" t="str">
        <f t="shared" si="500"/>
        <v/>
      </c>
      <c r="I288" s="122" t="str">
        <f t="shared" si="501"/>
        <v/>
      </c>
      <c r="J288" s="7" t="str">
        <f t="shared" si="502"/>
        <v/>
      </c>
      <c r="K288" s="9" t="str">
        <f t="shared" si="516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si="498"/>
        <v/>
      </c>
      <c r="G289" s="7" t="str">
        <f t="shared" si="499"/>
        <v/>
      </c>
      <c r="H289" s="5" t="str">
        <f t="shared" si="500"/>
        <v/>
      </c>
      <c r="I289" s="122" t="str">
        <f t="shared" si="501"/>
        <v/>
      </c>
      <c r="J289" s="7" t="str">
        <f t="shared" si="502"/>
        <v/>
      </c>
      <c r="K289" s="9" t="str">
        <f t="shared" si="516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8"/>
      <c r="B290" s="4"/>
      <c r="C290" s="4"/>
      <c r="D290" s="7"/>
      <c r="E290" s="7"/>
      <c r="F290" s="8" t="str">
        <f t="shared" si="498"/>
        <v/>
      </c>
      <c r="G290" s="7" t="str">
        <f t="shared" si="499"/>
        <v/>
      </c>
      <c r="H290" s="5" t="str">
        <f t="shared" si="500"/>
        <v/>
      </c>
      <c r="I290" s="122" t="str">
        <f t="shared" si="501"/>
        <v/>
      </c>
      <c r="J290" s="7" t="str">
        <f t="shared" si="502"/>
        <v/>
      </c>
      <c r="K290" s="9" t="str">
        <f t="shared" si="516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 t="shared" si="498"/>
        <v/>
      </c>
      <c r="G291" s="7" t="str">
        <f t="shared" si="499"/>
        <v/>
      </c>
      <c r="H291" s="5" t="str">
        <f t="shared" si="500"/>
        <v/>
      </c>
      <c r="I291" s="122" t="str">
        <f t="shared" si="501"/>
        <v/>
      </c>
      <c r="J291" s="7" t="str">
        <f t="shared" si="502"/>
        <v/>
      </c>
      <c r="K291" s="9" t="str">
        <f t="shared" si="516"/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>IF(ISBLANK(B292),"",IF(I292="L","Baixa",IF(I292="A","Média",IF(I292="","","Alta"))))</f>
        <v/>
      </c>
      <c r="G292" s="7" t="str">
        <f>CONCATENATE(B292,I292)</f>
        <v/>
      </c>
      <c r="H292" s="5" t="str">
        <f>IF(ISBLANK(B292),"",IF(B292="ALI",IF(I292="L",7,IF(I292="A",10,15)),IF(B292="AIE",IF(I292="L",5,IF(I292="A",7,10)),IF(B292="SE",IF(I292="L",4,IF(I292="A",5,7)),IF(OR(B292="EE",B292="CE"),IF(I292="L",3,IF(I292="A",4,6)),0)))))</f>
        <v/>
      </c>
      <c r="I292" s="122" t="str">
        <f>IF(OR(ISBLANK(D292),ISBLANK(E292)),IF(OR(B292="ALI",B292="AIE"),"L",IF(OR(B292="EE",B292="SE",B292="CE"),"A","")),IF(B292="EE",IF(E292&gt;=3,IF(D292&gt;=5,"H","A"),IF(E292&gt;=2,IF(D292&gt;=16,"H",IF(D292&lt;=4,"L","A")),IF(D292&lt;=15,"L","A"))),IF(OR(B292="SE",B292="CE"),IF(E292&gt;=4,IF(D292&gt;=6,"H","A"),IF(E292&gt;=2,IF(D292&gt;=20,"H",IF(D292&lt;=5,"L","A")),IF(D292&lt;=19,"L","A"))),IF(OR(B292="ALI",B292="AIE"),IF(E292&gt;=6,IF(D292&gt;=20,"H","A"),IF(E292&gt;=2,IF(D292&gt;=51,"H",IF(D292&lt;=19,"L","A")),IF(D292&lt;=50,"L","A"))),""))))</f>
        <v/>
      </c>
      <c r="J292" s="7" t="str">
        <f>CONCATENATE(B292,C292)</f>
        <v/>
      </c>
      <c r="K292" s="9" t="str">
        <f>IF(OR(H292="",H292=0),L292,H292)</f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>IF(ISBLANK(B293),"",IF(I293="L","Baixa",IF(I293="A","Média",IF(I293="","","Alta"))))</f>
        <v/>
      </c>
      <c r="G293" s="7" t="str">
        <f>CONCATENATE(B293,I293)</f>
        <v/>
      </c>
      <c r="H293" s="5" t="str">
        <f>IF(ISBLANK(B293),"",IF(B293="ALI",IF(I293="L",7,IF(I293="A",10,15)),IF(B293="AIE",IF(I293="L",5,IF(I293="A",7,10)),IF(B293="SE",IF(I293="L",4,IF(I293="A",5,7)),IF(OR(B293="EE",B293="CE"),IF(I293="L",3,IF(I293="A",4,6)),0)))))</f>
        <v/>
      </c>
      <c r="I293" s="122" t="str">
        <f>IF(OR(ISBLANK(D293),ISBLANK(E293)),IF(OR(B293="ALI",B293="AIE"),"L",IF(OR(B293="EE",B293="SE",B293="CE"),"A","")),IF(B293="EE",IF(E293&gt;=3,IF(D293&gt;=5,"H","A"),IF(E293&gt;=2,IF(D293&gt;=16,"H",IF(D293&lt;=4,"L","A")),IF(D293&lt;=15,"L","A"))),IF(OR(B293="SE",B293="CE"),IF(E293&gt;=4,IF(D293&gt;=6,"H","A"),IF(E293&gt;=2,IF(D293&gt;=20,"H",IF(D293&lt;=5,"L","A")),IF(D293&lt;=19,"L","A"))),IF(OR(B293="ALI",B293="AIE"),IF(E293&gt;=6,IF(D293&gt;=20,"H","A"),IF(E293&gt;=2,IF(D293&gt;=51,"H",IF(D293&lt;=19,"L","A")),IF(D293&lt;=50,"L","A"))),""))))</f>
        <v/>
      </c>
      <c r="J293" s="7" t="str">
        <f>CONCATENATE(B293,C293)</f>
        <v/>
      </c>
      <c r="K293" s="9" t="str">
        <f>IF(OR(H293="",H293=0),L293,H293)</f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 t="shared" si="498"/>
        <v/>
      </c>
      <c r="G294" s="7" t="str">
        <f t="shared" si="499"/>
        <v/>
      </c>
      <c r="H294" s="5" t="str">
        <f t="shared" si="500"/>
        <v/>
      </c>
      <c r="I294" s="122" t="str">
        <f t="shared" si="501"/>
        <v/>
      </c>
      <c r="J294" s="7" t="str">
        <f t="shared" si="502"/>
        <v/>
      </c>
      <c r="K294" s="9" t="str">
        <f t="shared" si="516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>IF(ISBLANK(B295),"",IF(I295="L","Baixa",IF(I295="A","Média",IF(I295="","","Alta"))))</f>
        <v/>
      </c>
      <c r="G295" s="7" t="str">
        <f>CONCATENATE(B295,I295)</f>
        <v/>
      </c>
      <c r="H295" s="5" t="str">
        <f>IF(ISBLANK(B295),"",IF(B295="ALI",IF(I295="L",7,IF(I295="A",10,15)),IF(B295="AIE",IF(I295="L",5,IF(I295="A",7,10)),IF(B295="SE",IF(I295="L",4,IF(I295="A",5,7)),IF(OR(B295="EE",B295="CE"),IF(I295="L",3,IF(I295="A",4,6)),0)))))</f>
        <v/>
      </c>
      <c r="I295" s="122" t="str">
        <f>IF(OR(ISBLANK(D295),ISBLANK(E295)),IF(OR(B295="ALI",B295="AIE"),"L",IF(OR(B295="EE",B295="SE",B295="CE"),"A","")),IF(B295="EE",IF(E295&gt;=3,IF(D295&gt;=5,"H","A"),IF(E295&gt;=2,IF(D295&gt;=16,"H",IF(D295&lt;=4,"L","A")),IF(D295&lt;=15,"L","A"))),IF(OR(B295="SE",B295="CE"),IF(E295&gt;=4,IF(D295&gt;=6,"H","A"),IF(E295&gt;=2,IF(D295&gt;=20,"H",IF(D295&lt;=5,"L","A")),IF(D295&lt;=19,"L","A"))),IF(OR(B295="ALI",B295="AIE"),IF(E295&gt;=6,IF(D295&gt;=20,"H","A"),IF(E295&gt;=2,IF(D295&gt;=51,"H",IF(D295&lt;=19,"L","A")),IF(D295&lt;=50,"L","A"))),""))))</f>
        <v/>
      </c>
      <c r="J295" s="7" t="str">
        <f>CONCATENATE(B295,C295)</f>
        <v/>
      </c>
      <c r="K295" s="9" t="str">
        <f>IF(OR(H295="",H295=0),L295,H295)</f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498"/>
        <v/>
      </c>
      <c r="G296" s="7" t="str">
        <f t="shared" si="499"/>
        <v/>
      </c>
      <c r="H296" s="5" t="str">
        <f t="shared" si="500"/>
        <v/>
      </c>
      <c r="I296" s="122" t="str">
        <f t="shared" si="501"/>
        <v/>
      </c>
      <c r="J296" s="7" t="str">
        <f t="shared" si="502"/>
        <v/>
      </c>
      <c r="K296" s="9" t="str">
        <f t="shared" si="516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498"/>
        <v/>
      </c>
      <c r="G297" s="7" t="str">
        <f t="shared" si="499"/>
        <v/>
      </c>
      <c r="H297" s="5" t="str">
        <f t="shared" si="500"/>
        <v/>
      </c>
      <c r="I297" s="122" t="str">
        <f t="shared" si="501"/>
        <v/>
      </c>
      <c r="J297" s="7" t="str">
        <f t="shared" si="502"/>
        <v/>
      </c>
      <c r="K297" s="9" t="str">
        <f t="shared" si="516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>IF(ISBLANK(B298),"",IF(I298="L","Baixa",IF(I298="A","Média",IF(I298="","","Alta"))))</f>
        <v/>
      </c>
      <c r="G298" s="7" t="str">
        <f>CONCATENATE(B298,I298)</f>
        <v/>
      </c>
      <c r="H298" s="5" t="str">
        <f>IF(ISBLANK(B298),"",IF(B298="ALI",IF(I298="L",7,IF(I298="A",10,15)),IF(B298="AIE",IF(I298="L",5,IF(I298="A",7,10)),IF(B298="SE",IF(I298="L",4,IF(I298="A",5,7)),IF(OR(B298="EE",B298="CE"),IF(I298="L",3,IF(I298="A",4,6)),0)))))</f>
        <v/>
      </c>
      <c r="I298" s="122" t="str">
        <f>IF(OR(ISBLANK(D298),ISBLANK(E298)),IF(OR(B298="ALI",B298="AIE"),"L",IF(OR(B298="EE",B298="SE",B298="CE"),"A","")),IF(B298="EE",IF(E298&gt;=3,IF(D298&gt;=5,"H","A"),IF(E298&gt;=2,IF(D298&gt;=16,"H",IF(D298&lt;=4,"L","A")),IF(D298&lt;=15,"L","A"))),IF(OR(B298="SE",B298="CE"),IF(E298&gt;=4,IF(D298&gt;=6,"H","A"),IF(E298&gt;=2,IF(D298&gt;=20,"H",IF(D298&lt;=5,"L","A")),IF(D298&lt;=19,"L","A"))),IF(OR(B298="ALI",B298="AIE"),IF(E298&gt;=6,IF(D298&gt;=20,"H","A"),IF(E298&gt;=2,IF(D298&gt;=51,"H",IF(D298&lt;=19,"L","A")),IF(D298&lt;=50,"L","A"))),""))))</f>
        <v/>
      </c>
      <c r="J298" s="7" t="str">
        <f>CONCATENATE(B298,C298)</f>
        <v/>
      </c>
      <c r="K298" s="9" t="str">
        <f>IF(OR(H298="",H298=0),L298,H298)</f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 t="shared" si="498"/>
        <v/>
      </c>
      <c r="G299" s="7" t="str">
        <f t="shared" si="499"/>
        <v/>
      </c>
      <c r="H299" s="5" t="str">
        <f t="shared" si="500"/>
        <v/>
      </c>
      <c r="I299" s="122" t="str">
        <f t="shared" si="501"/>
        <v/>
      </c>
      <c r="J299" s="7" t="str">
        <f t="shared" si="502"/>
        <v/>
      </c>
      <c r="K299" s="9" t="str">
        <f t="shared" si="516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8"/>
      <c r="B300" s="4"/>
      <c r="C300" s="4"/>
      <c r="D300" s="7"/>
      <c r="E300" s="7"/>
      <c r="F300" s="8" t="str">
        <f t="shared" si="498"/>
        <v/>
      </c>
      <c r="G300" s="7" t="str">
        <f t="shared" si="499"/>
        <v/>
      </c>
      <c r="H300" s="5" t="str">
        <f t="shared" si="500"/>
        <v/>
      </c>
      <c r="I300" s="122" t="str">
        <f t="shared" si="501"/>
        <v/>
      </c>
      <c r="J300" s="7" t="str">
        <f t="shared" si="502"/>
        <v/>
      </c>
      <c r="K300" s="9" t="str">
        <f t="shared" si="516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498"/>
        <v/>
      </c>
      <c r="G301" s="7" t="str">
        <f t="shared" si="499"/>
        <v/>
      </c>
      <c r="H301" s="5" t="str">
        <f t="shared" si="500"/>
        <v/>
      </c>
      <c r="I301" s="122" t="str">
        <f t="shared" si="501"/>
        <v/>
      </c>
      <c r="J301" s="7" t="str">
        <f t="shared" si="502"/>
        <v/>
      </c>
      <c r="K301" s="9" t="str">
        <f t="shared" si="516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498"/>
        <v/>
      </c>
      <c r="G302" s="7" t="str">
        <f t="shared" si="499"/>
        <v/>
      </c>
      <c r="H302" s="5" t="str">
        <f t="shared" si="500"/>
        <v/>
      </c>
      <c r="I302" s="122" t="str">
        <f t="shared" si="501"/>
        <v/>
      </c>
      <c r="J302" s="7" t="str">
        <f t="shared" si="502"/>
        <v/>
      </c>
      <c r="K302" s="9" t="str">
        <f t="shared" si="516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 t="shared" si="498"/>
        <v/>
      </c>
      <c r="G303" s="7" t="str">
        <f t="shared" si="499"/>
        <v/>
      </c>
      <c r="H303" s="5" t="str">
        <f t="shared" si="500"/>
        <v/>
      </c>
      <c r="I303" s="122" t="str">
        <f t="shared" si="501"/>
        <v/>
      </c>
      <c r="J303" s="7" t="str">
        <f t="shared" si="502"/>
        <v/>
      </c>
      <c r="K303" s="9" t="str">
        <f t="shared" si="516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>IF(ISBLANK(B304),"",IF(I304="L","Baixa",IF(I304="A","Média",IF(I304="","","Alta"))))</f>
        <v/>
      </c>
      <c r="G304" s="7" t="str">
        <f>CONCATENATE(B304,I304)</f>
        <v/>
      </c>
      <c r="H304" s="5" t="str">
        <f>IF(ISBLANK(B304),"",IF(B304="ALI",IF(I304="L",7,IF(I304="A",10,15)),IF(B304="AIE",IF(I304="L",5,IF(I304="A",7,10)),IF(B304="SE",IF(I304="L",4,IF(I304="A",5,7)),IF(OR(B304="EE",B304="CE"),IF(I304="L",3,IF(I304="A",4,6)),0)))))</f>
        <v/>
      </c>
      <c r="I304" s="122" t="str">
        <f>IF(OR(ISBLANK(D304),ISBLANK(E304)),IF(OR(B304="ALI",B304="AIE"),"L",IF(OR(B304="EE",B304="SE",B304="CE"),"A","")),IF(B304="EE",IF(E304&gt;=3,IF(D304&gt;=5,"H","A"),IF(E304&gt;=2,IF(D304&gt;=16,"H",IF(D304&lt;=4,"L","A")),IF(D304&lt;=15,"L","A"))),IF(OR(B304="SE",B304="CE"),IF(E304&gt;=4,IF(D304&gt;=6,"H","A"),IF(E304&gt;=2,IF(D304&gt;=20,"H",IF(D304&lt;=5,"L","A")),IF(D304&lt;=19,"L","A"))),IF(OR(B304="ALI",B304="AIE"),IF(E304&gt;=6,IF(D304&gt;=20,"H","A"),IF(E304&gt;=2,IF(D304&gt;=51,"H",IF(D304&lt;=19,"L","A")),IF(D304&lt;=50,"L","A"))),""))))</f>
        <v/>
      </c>
      <c r="J304" s="7" t="str">
        <f>CONCATENATE(B304,C304)</f>
        <v/>
      </c>
      <c r="K304" s="9" t="str">
        <f>IF(OR(H304="",H304=0),L304,H304)</f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498"/>
        <v/>
      </c>
      <c r="G305" s="7" t="str">
        <f t="shared" si="499"/>
        <v/>
      </c>
      <c r="H305" s="5" t="str">
        <f t="shared" si="500"/>
        <v/>
      </c>
      <c r="I305" s="122" t="str">
        <f t="shared" si="501"/>
        <v/>
      </c>
      <c r="J305" s="7" t="str">
        <f t="shared" si="502"/>
        <v/>
      </c>
      <c r="K305" s="9" t="str">
        <f t="shared" si="516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498"/>
        <v/>
      </c>
      <c r="G306" s="7" t="str">
        <f t="shared" si="499"/>
        <v/>
      </c>
      <c r="H306" s="5" t="str">
        <f t="shared" si="500"/>
        <v/>
      </c>
      <c r="I306" s="122" t="str">
        <f t="shared" si="501"/>
        <v/>
      </c>
      <c r="J306" s="7" t="str">
        <f t="shared" si="502"/>
        <v/>
      </c>
      <c r="K306" s="9" t="str">
        <f t="shared" si="516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498"/>
        <v/>
      </c>
      <c r="G307" s="7" t="str">
        <f t="shared" si="499"/>
        <v/>
      </c>
      <c r="H307" s="5" t="str">
        <f t="shared" si="500"/>
        <v/>
      </c>
      <c r="I307" s="122" t="str">
        <f t="shared" si="501"/>
        <v/>
      </c>
      <c r="J307" s="7" t="str">
        <f t="shared" si="502"/>
        <v/>
      </c>
      <c r="K307" s="9" t="str">
        <f t="shared" si="516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8"/>
      <c r="B308" s="4"/>
      <c r="C308" s="4"/>
      <c r="D308" s="7"/>
      <c r="E308" s="7"/>
      <c r="F308" s="8" t="str">
        <f t="shared" si="498"/>
        <v/>
      </c>
      <c r="G308" s="7" t="str">
        <f t="shared" si="499"/>
        <v/>
      </c>
      <c r="H308" s="5" t="str">
        <f t="shared" si="500"/>
        <v/>
      </c>
      <c r="I308" s="122" t="str">
        <f t="shared" si="501"/>
        <v/>
      </c>
      <c r="J308" s="7" t="str">
        <f t="shared" si="502"/>
        <v/>
      </c>
      <c r="K308" s="9" t="str">
        <f t="shared" si="516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498"/>
        <v/>
      </c>
      <c r="G309" s="7" t="str">
        <f t="shared" si="499"/>
        <v/>
      </c>
      <c r="H309" s="5" t="str">
        <f t="shared" si="500"/>
        <v/>
      </c>
      <c r="I309" s="122" t="str">
        <f t="shared" si="501"/>
        <v/>
      </c>
      <c r="J309" s="7" t="str">
        <f t="shared" si="502"/>
        <v/>
      </c>
      <c r="K309" s="9" t="str">
        <f t="shared" si="516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498"/>
        <v/>
      </c>
      <c r="G310" s="7" t="str">
        <f t="shared" si="499"/>
        <v/>
      </c>
      <c r="H310" s="5" t="str">
        <f t="shared" si="500"/>
        <v/>
      </c>
      <c r="I310" s="122" t="str">
        <f t="shared" si="501"/>
        <v/>
      </c>
      <c r="J310" s="7" t="str">
        <f t="shared" si="502"/>
        <v/>
      </c>
      <c r="K310" s="9" t="str">
        <f t="shared" si="516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498"/>
        <v/>
      </c>
      <c r="G311" s="7" t="str">
        <f t="shared" si="499"/>
        <v/>
      </c>
      <c r="H311" s="5" t="str">
        <f t="shared" si="500"/>
        <v/>
      </c>
      <c r="I311" s="122" t="str">
        <f t="shared" si="501"/>
        <v/>
      </c>
      <c r="J311" s="7" t="str">
        <f t="shared" si="502"/>
        <v/>
      </c>
      <c r="K311" s="9" t="str">
        <f t="shared" si="516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498"/>
        <v/>
      </c>
      <c r="G312" s="7" t="str">
        <f t="shared" si="499"/>
        <v/>
      </c>
      <c r="H312" s="5" t="str">
        <f t="shared" si="500"/>
        <v/>
      </c>
      <c r="I312" s="122" t="str">
        <f t="shared" si="501"/>
        <v/>
      </c>
      <c r="J312" s="7" t="str">
        <f t="shared" si="502"/>
        <v/>
      </c>
      <c r="K312" s="9" t="str">
        <f t="shared" si="516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498"/>
        <v/>
      </c>
      <c r="G313" s="7" t="str">
        <f t="shared" si="499"/>
        <v/>
      </c>
      <c r="H313" s="5" t="str">
        <f t="shared" si="500"/>
        <v/>
      </c>
      <c r="I313" s="122" t="str">
        <f t="shared" si="501"/>
        <v/>
      </c>
      <c r="J313" s="7" t="str">
        <f t="shared" si="502"/>
        <v/>
      </c>
      <c r="K313" s="9" t="str">
        <f t="shared" si="516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498"/>
        <v/>
      </c>
      <c r="G314" s="7" t="str">
        <f t="shared" si="499"/>
        <v/>
      </c>
      <c r="H314" s="5" t="str">
        <f t="shared" si="500"/>
        <v/>
      </c>
      <c r="I314" s="122" t="str">
        <f t="shared" si="501"/>
        <v/>
      </c>
      <c r="J314" s="7" t="str">
        <f t="shared" si="502"/>
        <v/>
      </c>
      <c r="K314" s="9" t="str">
        <f t="shared" si="516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498"/>
        <v/>
      </c>
      <c r="G315" s="7" t="str">
        <f t="shared" si="499"/>
        <v/>
      </c>
      <c r="H315" s="5" t="str">
        <f t="shared" si="500"/>
        <v/>
      </c>
      <c r="I315" s="122" t="str">
        <f t="shared" si="501"/>
        <v/>
      </c>
      <c r="J315" s="7" t="str">
        <f t="shared" si="502"/>
        <v/>
      </c>
      <c r="K315" s="9" t="str">
        <f t="shared" si="516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8"/>
      <c r="B316" s="4"/>
      <c r="C316" s="4"/>
      <c r="D316" s="7"/>
      <c r="E316" s="7"/>
      <c r="F316" s="8" t="str">
        <f t="shared" si="498"/>
        <v/>
      </c>
      <c r="G316" s="7" t="str">
        <f t="shared" si="499"/>
        <v/>
      </c>
      <c r="H316" s="5" t="str">
        <f t="shared" si="500"/>
        <v/>
      </c>
      <c r="I316" s="122" t="str">
        <f t="shared" si="501"/>
        <v/>
      </c>
      <c r="J316" s="7" t="str">
        <f t="shared" si="502"/>
        <v/>
      </c>
      <c r="K316" s="9" t="str">
        <f t="shared" si="516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498"/>
        <v/>
      </c>
      <c r="G317" s="7" t="str">
        <f t="shared" si="499"/>
        <v/>
      </c>
      <c r="H317" s="5" t="str">
        <f t="shared" si="500"/>
        <v/>
      </c>
      <c r="I317" s="122" t="str">
        <f t="shared" si="501"/>
        <v/>
      </c>
      <c r="J317" s="7" t="str">
        <f t="shared" si="502"/>
        <v/>
      </c>
      <c r="K317" s="9" t="str">
        <f t="shared" si="516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498"/>
        <v/>
      </c>
      <c r="G318" s="7" t="str">
        <f t="shared" si="499"/>
        <v/>
      </c>
      <c r="H318" s="5" t="str">
        <f t="shared" si="500"/>
        <v/>
      </c>
      <c r="I318" s="122" t="str">
        <f t="shared" si="501"/>
        <v/>
      </c>
      <c r="J318" s="7" t="str">
        <f t="shared" si="502"/>
        <v/>
      </c>
      <c r="K318" s="9" t="str">
        <f t="shared" si="516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si="498"/>
        <v/>
      </c>
      <c r="G319" s="7" t="str">
        <f t="shared" si="499"/>
        <v/>
      </c>
      <c r="H319" s="5" t="str">
        <f t="shared" si="500"/>
        <v/>
      </c>
      <c r="I319" s="122" t="str">
        <f t="shared" si="501"/>
        <v/>
      </c>
      <c r="J319" s="7" t="str">
        <f t="shared" si="502"/>
        <v/>
      </c>
      <c r="K319" s="9" t="str">
        <f t="shared" si="516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ref="F320:F388" si="631">IF(ISBLANK(B320),"",IF(I320="L","Baixa",IF(I320="A","Média",IF(I320="","","Alta"))))</f>
        <v/>
      </c>
      <c r="G320" s="7" t="str">
        <f t="shared" ref="G320:G388" si="632">CONCATENATE(B320,I320)</f>
        <v/>
      </c>
      <c r="H320" s="5" t="str">
        <f t="shared" ref="H320:H388" si="633">IF(ISBLANK(B320),"",IF(B320="ALI",IF(I320="L",7,IF(I320="A",10,15)),IF(B320="AIE",IF(I320="L",5,IF(I320="A",7,10)),IF(B320="SE",IF(I320="L",4,IF(I320="A",5,7)),IF(OR(B320="EE",B320="CE"),IF(I320="L",3,IF(I320="A",4,6)),0)))))</f>
        <v/>
      </c>
      <c r="I320" s="122" t="str">
        <f t="shared" ref="I320:I388" si="634">IF(OR(ISBLANK(D320),ISBLANK(E320)),IF(OR(B320="ALI",B320="AIE"),"L",IF(OR(B320="EE",B320="SE",B320="CE"),"A","")),IF(B320="EE",IF(E320&gt;=3,IF(D320&gt;=5,"H","A"),IF(E320&gt;=2,IF(D320&gt;=16,"H",IF(D320&lt;=4,"L","A")),IF(D320&lt;=15,"L","A"))),IF(OR(B320="SE",B320="CE"),IF(E320&gt;=4,IF(D320&gt;=6,"H","A"),IF(E320&gt;=2,IF(D320&gt;=20,"H",IF(D320&lt;=5,"L","A")),IF(D320&lt;=19,"L","A"))),IF(OR(B320="ALI",B320="AIE"),IF(E320&gt;=6,IF(D320&gt;=20,"H","A"),IF(E320&gt;=2,IF(D320&gt;=51,"H",IF(D320&lt;=19,"L","A")),IF(D320&lt;=50,"L","A"))),""))))</f>
        <v/>
      </c>
      <c r="J320" s="7" t="str">
        <f t="shared" ref="J320:J388" si="635">CONCATENATE(B320,C320)</f>
        <v/>
      </c>
      <c r="K320" s="9" t="str">
        <f t="shared" si="516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631"/>
        <v/>
      </c>
      <c r="G321" s="7" t="str">
        <f t="shared" si="632"/>
        <v/>
      </c>
      <c r="H321" s="5" t="str">
        <f t="shared" si="633"/>
        <v/>
      </c>
      <c r="I321" s="122" t="str">
        <f t="shared" si="634"/>
        <v/>
      </c>
      <c r="J321" s="7" t="str">
        <f t="shared" si="635"/>
        <v/>
      </c>
      <c r="K321" s="9" t="str">
        <f t="shared" si="516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631"/>
        <v/>
      </c>
      <c r="G322" s="7" t="str">
        <f t="shared" si="632"/>
        <v/>
      </c>
      <c r="H322" s="5" t="str">
        <f t="shared" si="633"/>
        <v/>
      </c>
      <c r="I322" s="122" t="str">
        <f t="shared" si="634"/>
        <v/>
      </c>
      <c r="J322" s="7" t="str">
        <f t="shared" si="635"/>
        <v/>
      </c>
      <c r="K322" s="9" t="str">
        <f t="shared" ref="K322:K397" si="636">IF(OR(H322="",H322=0),L322,H322)</f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631"/>
        <v/>
      </c>
      <c r="G323" s="7" t="str">
        <f t="shared" si="632"/>
        <v/>
      </c>
      <c r="H323" s="5" t="str">
        <f t="shared" si="633"/>
        <v/>
      </c>
      <c r="I323" s="122" t="str">
        <f t="shared" si="634"/>
        <v/>
      </c>
      <c r="J323" s="7" t="str">
        <f t="shared" si="635"/>
        <v/>
      </c>
      <c r="K323" s="9" t="str">
        <f t="shared" si="636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8"/>
      <c r="B324" s="4"/>
      <c r="C324" s="4"/>
      <c r="D324" s="7"/>
      <c r="E324" s="7"/>
      <c r="F324" s="8" t="str">
        <f>IF(ISBLANK(B324),"",IF(I324="L","Baixa",IF(I324="A","Média",IF(I324="","","Alta"))))</f>
        <v/>
      </c>
      <c r="G324" s="7" t="str">
        <f>CONCATENATE(B324,I324)</f>
        <v/>
      </c>
      <c r="H324" s="5" t="str">
        <f>IF(ISBLANK(B324),"",IF(B324="ALI",IF(I324="L",7,IF(I324="A",10,15)),IF(B324="AIE",IF(I324="L",5,IF(I324="A",7,10)),IF(B324="SE",IF(I324="L",4,IF(I324="A",5,7)),IF(OR(B324="EE",B324="CE"),IF(I324="L",3,IF(I324="A",4,6)),0)))))</f>
        <v/>
      </c>
      <c r="I324" s="122" t="str">
        <f>IF(OR(ISBLANK(D324),ISBLANK(E324)),IF(OR(B324="ALI",B324="AIE"),"L",IF(OR(B324="EE",B324="SE",B324="CE"),"A","")),IF(B324="EE",IF(E324&gt;=3,IF(D324&gt;=5,"H","A"),IF(E324&gt;=2,IF(D324&gt;=16,"H",IF(D324&lt;=4,"L","A")),IF(D324&lt;=15,"L","A"))),IF(OR(B324="SE",B324="CE"),IF(E324&gt;=4,IF(D324&gt;=6,"H","A"),IF(E324&gt;=2,IF(D324&gt;=20,"H",IF(D324&lt;=5,"L","A")),IF(D324&lt;=19,"L","A"))),IF(OR(B324="ALI",B324="AIE"),IF(E324&gt;=6,IF(D324&gt;=20,"H","A"),IF(E324&gt;=2,IF(D324&gt;=51,"H",IF(D324&lt;=19,"L","A")),IF(D324&lt;=50,"L","A"))),""))))</f>
        <v/>
      </c>
      <c r="J324" s="7" t="str">
        <f>CONCATENATE(B324,C324)</f>
        <v/>
      </c>
      <c r="K324" s="9" t="str">
        <f>IF(OR(H324="",H324=0),L324,H324)</f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631"/>
        <v/>
      </c>
      <c r="G325" s="7" t="str">
        <f t="shared" si="632"/>
        <v/>
      </c>
      <c r="H325" s="5" t="str">
        <f t="shared" si="633"/>
        <v/>
      </c>
      <c r="I325" s="122" t="str">
        <f t="shared" si="634"/>
        <v/>
      </c>
      <c r="J325" s="7" t="str">
        <f t="shared" si="635"/>
        <v/>
      </c>
      <c r="K325" s="9" t="str">
        <f t="shared" si="636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631"/>
        <v/>
      </c>
      <c r="G326" s="7" t="str">
        <f t="shared" si="632"/>
        <v/>
      </c>
      <c r="H326" s="5" t="str">
        <f t="shared" si="633"/>
        <v/>
      </c>
      <c r="I326" s="122" t="str">
        <f t="shared" si="634"/>
        <v/>
      </c>
      <c r="J326" s="7" t="str">
        <f t="shared" si="635"/>
        <v/>
      </c>
      <c r="K326" s="9" t="str">
        <f t="shared" si="636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631"/>
        <v/>
      </c>
      <c r="G327" s="7" t="str">
        <f t="shared" si="632"/>
        <v/>
      </c>
      <c r="H327" s="5" t="str">
        <f t="shared" si="633"/>
        <v/>
      </c>
      <c r="I327" s="122" t="str">
        <f t="shared" si="634"/>
        <v/>
      </c>
      <c r="J327" s="7" t="str">
        <f t="shared" si="635"/>
        <v/>
      </c>
      <c r="K327" s="9" t="str">
        <f t="shared" si="636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631"/>
        <v/>
      </c>
      <c r="G328" s="7" t="str">
        <f t="shared" si="632"/>
        <v/>
      </c>
      <c r="H328" s="5" t="str">
        <f t="shared" si="633"/>
        <v/>
      </c>
      <c r="I328" s="122" t="str">
        <f t="shared" si="634"/>
        <v/>
      </c>
      <c r="J328" s="7" t="str">
        <f t="shared" si="635"/>
        <v/>
      </c>
      <c r="K328" s="9" t="str">
        <f t="shared" si="636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631"/>
        <v/>
      </c>
      <c r="G329" s="7" t="str">
        <f t="shared" si="632"/>
        <v/>
      </c>
      <c r="H329" s="5" t="str">
        <f t="shared" si="633"/>
        <v/>
      </c>
      <c r="I329" s="122" t="str">
        <f t="shared" si="634"/>
        <v/>
      </c>
      <c r="J329" s="7" t="str">
        <f t="shared" si="635"/>
        <v/>
      </c>
      <c r="K329" s="9" t="str">
        <f t="shared" si="636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631"/>
        <v/>
      </c>
      <c r="G330" s="7" t="str">
        <f t="shared" si="632"/>
        <v/>
      </c>
      <c r="H330" s="5" t="str">
        <f t="shared" si="633"/>
        <v/>
      </c>
      <c r="I330" s="122" t="str">
        <f t="shared" si="634"/>
        <v/>
      </c>
      <c r="J330" s="7" t="str">
        <f t="shared" si="635"/>
        <v/>
      </c>
      <c r="K330" s="9" t="str">
        <f t="shared" si="636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631"/>
        <v/>
      </c>
      <c r="G331" s="7" t="str">
        <f t="shared" si="632"/>
        <v/>
      </c>
      <c r="H331" s="5" t="str">
        <f t="shared" si="633"/>
        <v/>
      </c>
      <c r="I331" s="122" t="str">
        <f t="shared" si="634"/>
        <v/>
      </c>
      <c r="J331" s="7" t="str">
        <f t="shared" si="635"/>
        <v/>
      </c>
      <c r="K331" s="9" t="str">
        <f t="shared" si="636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8"/>
      <c r="B332" s="4"/>
      <c r="C332" s="4"/>
      <c r="D332" s="7"/>
      <c r="E332" s="7"/>
      <c r="F332" s="8" t="str">
        <f t="shared" si="631"/>
        <v/>
      </c>
      <c r="G332" s="7" t="str">
        <f t="shared" si="632"/>
        <v/>
      </c>
      <c r="H332" s="5" t="str">
        <f t="shared" si="633"/>
        <v/>
      </c>
      <c r="I332" s="122" t="str">
        <f t="shared" si="634"/>
        <v/>
      </c>
      <c r="J332" s="7" t="str">
        <f t="shared" si="635"/>
        <v/>
      </c>
      <c r="K332" s="9" t="str">
        <f t="shared" si="636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631"/>
        <v/>
      </c>
      <c r="G333" s="7" t="str">
        <f t="shared" si="632"/>
        <v/>
      </c>
      <c r="H333" s="5" t="str">
        <f t="shared" si="633"/>
        <v/>
      </c>
      <c r="I333" s="122" t="str">
        <f t="shared" si="634"/>
        <v/>
      </c>
      <c r="J333" s="7" t="str">
        <f t="shared" si="635"/>
        <v/>
      </c>
      <c r="K333" s="9" t="str">
        <f t="shared" si="636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631"/>
        <v/>
      </c>
      <c r="G334" s="7" t="str">
        <f t="shared" si="632"/>
        <v/>
      </c>
      <c r="H334" s="5" t="str">
        <f t="shared" si="633"/>
        <v/>
      </c>
      <c r="I334" s="122" t="str">
        <f t="shared" si="634"/>
        <v/>
      </c>
      <c r="J334" s="7" t="str">
        <f t="shared" si="635"/>
        <v/>
      </c>
      <c r="K334" s="9" t="str">
        <f t="shared" si="636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631"/>
        <v/>
      </c>
      <c r="G335" s="7" t="str">
        <f t="shared" si="632"/>
        <v/>
      </c>
      <c r="H335" s="5" t="str">
        <f t="shared" si="633"/>
        <v/>
      </c>
      <c r="I335" s="122" t="str">
        <f t="shared" si="634"/>
        <v/>
      </c>
      <c r="J335" s="7" t="str">
        <f t="shared" si="635"/>
        <v/>
      </c>
      <c r="K335" s="9" t="str">
        <f t="shared" si="636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631"/>
        <v/>
      </c>
      <c r="G336" s="7" t="str">
        <f t="shared" si="632"/>
        <v/>
      </c>
      <c r="H336" s="5" t="str">
        <f t="shared" si="633"/>
        <v/>
      </c>
      <c r="I336" s="122" t="str">
        <f t="shared" si="634"/>
        <v/>
      </c>
      <c r="J336" s="7" t="str">
        <f t="shared" si="635"/>
        <v/>
      </c>
      <c r="K336" s="9" t="str">
        <f t="shared" si="636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631"/>
        <v/>
      </c>
      <c r="G337" s="7" t="str">
        <f t="shared" si="632"/>
        <v/>
      </c>
      <c r="H337" s="5" t="str">
        <f t="shared" si="633"/>
        <v/>
      </c>
      <c r="I337" s="122" t="str">
        <f t="shared" si="634"/>
        <v/>
      </c>
      <c r="J337" s="7" t="str">
        <f t="shared" si="635"/>
        <v/>
      </c>
      <c r="K337" s="9" t="str">
        <f t="shared" si="636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631"/>
        <v/>
      </c>
      <c r="G338" s="7" t="str">
        <f t="shared" si="632"/>
        <v/>
      </c>
      <c r="H338" s="5" t="str">
        <f t="shared" si="633"/>
        <v/>
      </c>
      <c r="I338" s="122" t="str">
        <f t="shared" si="634"/>
        <v/>
      </c>
      <c r="J338" s="7" t="str">
        <f t="shared" si="635"/>
        <v/>
      </c>
      <c r="K338" s="9" t="str">
        <f t="shared" si="636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631"/>
        <v/>
      </c>
      <c r="G339" s="7" t="str">
        <f t="shared" si="632"/>
        <v/>
      </c>
      <c r="H339" s="5" t="str">
        <f t="shared" si="633"/>
        <v/>
      </c>
      <c r="I339" s="122" t="str">
        <f t="shared" si="634"/>
        <v/>
      </c>
      <c r="J339" s="7" t="str">
        <f t="shared" si="635"/>
        <v/>
      </c>
      <c r="K339" s="9" t="str">
        <f t="shared" si="636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631"/>
        <v/>
      </c>
      <c r="G340" s="7" t="str">
        <f t="shared" si="632"/>
        <v/>
      </c>
      <c r="H340" s="5" t="str">
        <f t="shared" si="633"/>
        <v/>
      </c>
      <c r="I340" s="122" t="str">
        <f t="shared" si="634"/>
        <v/>
      </c>
      <c r="J340" s="7" t="str">
        <f t="shared" si="635"/>
        <v/>
      </c>
      <c r="K340" s="9" t="str">
        <f t="shared" si="636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631"/>
        <v/>
      </c>
      <c r="G341" s="7" t="str">
        <f t="shared" si="632"/>
        <v/>
      </c>
      <c r="H341" s="5" t="str">
        <f t="shared" si="633"/>
        <v/>
      </c>
      <c r="I341" s="122" t="str">
        <f t="shared" si="634"/>
        <v/>
      </c>
      <c r="J341" s="7" t="str">
        <f t="shared" si="635"/>
        <v/>
      </c>
      <c r="K341" s="9" t="str">
        <f t="shared" si="636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8"/>
      <c r="B342" s="4"/>
      <c r="C342" s="4"/>
      <c r="D342" s="7"/>
      <c r="E342" s="7"/>
      <c r="F342" s="8" t="str">
        <f t="shared" si="631"/>
        <v/>
      </c>
      <c r="G342" s="7" t="str">
        <f t="shared" si="632"/>
        <v/>
      </c>
      <c r="H342" s="5" t="str">
        <f t="shared" si="633"/>
        <v/>
      </c>
      <c r="I342" s="122" t="str">
        <f t="shared" si="634"/>
        <v/>
      </c>
      <c r="J342" s="7" t="str">
        <f t="shared" si="635"/>
        <v/>
      </c>
      <c r="K342" s="9" t="str">
        <f t="shared" si="636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631"/>
        <v/>
      </c>
      <c r="G343" s="7" t="str">
        <f t="shared" si="632"/>
        <v/>
      </c>
      <c r="H343" s="5" t="str">
        <f t="shared" si="633"/>
        <v/>
      </c>
      <c r="I343" s="122" t="str">
        <f t="shared" si="634"/>
        <v/>
      </c>
      <c r="J343" s="7" t="str">
        <f t="shared" si="635"/>
        <v/>
      </c>
      <c r="K343" s="9" t="str">
        <f t="shared" si="636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631"/>
        <v/>
      </c>
      <c r="G344" s="7" t="str">
        <f t="shared" si="632"/>
        <v/>
      </c>
      <c r="H344" s="5" t="str">
        <f t="shared" si="633"/>
        <v/>
      </c>
      <c r="I344" s="122" t="str">
        <f t="shared" si="634"/>
        <v/>
      </c>
      <c r="J344" s="7" t="str">
        <f t="shared" si="635"/>
        <v/>
      </c>
      <c r="K344" s="9" t="str">
        <f t="shared" si="636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6"/>
      <c r="B345" s="4"/>
      <c r="C345" s="4"/>
      <c r="D345" s="7"/>
      <c r="E345" s="7"/>
      <c r="F345" s="8" t="str">
        <f t="shared" si="631"/>
        <v/>
      </c>
      <c r="G345" s="7" t="str">
        <f t="shared" si="632"/>
        <v/>
      </c>
      <c r="H345" s="5" t="str">
        <f t="shared" si="633"/>
        <v/>
      </c>
      <c r="I345" s="122" t="str">
        <f t="shared" si="634"/>
        <v/>
      </c>
      <c r="J345" s="7" t="str">
        <f t="shared" si="635"/>
        <v/>
      </c>
      <c r="K345" s="9" t="str">
        <f t="shared" si="636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8"/>
      <c r="B346" s="4"/>
      <c r="C346" s="4"/>
      <c r="D346" s="7"/>
      <c r="E346" s="7"/>
      <c r="F346" s="8" t="str">
        <f t="shared" si="631"/>
        <v/>
      </c>
      <c r="G346" s="7" t="str">
        <f t="shared" si="632"/>
        <v/>
      </c>
      <c r="H346" s="5" t="str">
        <f t="shared" si="633"/>
        <v/>
      </c>
      <c r="I346" s="122" t="str">
        <f t="shared" si="634"/>
        <v/>
      </c>
      <c r="J346" s="7" t="str">
        <f t="shared" si="635"/>
        <v/>
      </c>
      <c r="K346" s="9" t="str">
        <f t="shared" si="636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631"/>
        <v/>
      </c>
      <c r="G347" s="7" t="str">
        <f t="shared" si="632"/>
        <v/>
      </c>
      <c r="H347" s="5" t="str">
        <f t="shared" si="633"/>
        <v/>
      </c>
      <c r="I347" s="122" t="str">
        <f t="shared" si="634"/>
        <v/>
      </c>
      <c r="J347" s="7" t="str">
        <f t="shared" si="635"/>
        <v/>
      </c>
      <c r="K347" s="9" t="str">
        <f t="shared" si="636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631"/>
        <v/>
      </c>
      <c r="G348" s="7" t="str">
        <f t="shared" si="632"/>
        <v/>
      </c>
      <c r="H348" s="5" t="str">
        <f t="shared" si="633"/>
        <v/>
      </c>
      <c r="I348" s="122" t="str">
        <f t="shared" si="634"/>
        <v/>
      </c>
      <c r="J348" s="7" t="str">
        <f t="shared" si="635"/>
        <v/>
      </c>
      <c r="K348" s="9" t="str">
        <f t="shared" si="636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ht="14.25" customHeight="1" x14ac:dyDescent="0.2">
      <c r="A349" s="126"/>
      <c r="B349" s="4"/>
      <c r="C349" s="4"/>
      <c r="D349" s="7"/>
      <c r="E349" s="7"/>
      <c r="F349" s="8" t="str">
        <f t="shared" si="631"/>
        <v/>
      </c>
      <c r="G349" s="7" t="str">
        <f t="shared" si="632"/>
        <v/>
      </c>
      <c r="H349" s="5" t="str">
        <f t="shared" si="633"/>
        <v/>
      </c>
      <c r="I349" s="122" t="str">
        <f t="shared" si="634"/>
        <v/>
      </c>
      <c r="J349" s="7" t="str">
        <f t="shared" si="635"/>
        <v/>
      </c>
      <c r="K349" s="9" t="str">
        <f t="shared" si="636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ref="F350:F366" si="637">IF(ISBLANK(B350),"",IF(I350="L","Baixa",IF(I350="A","Média",IF(I350="","","Alta"))))</f>
        <v/>
      </c>
      <c r="G350" s="7" t="str">
        <f t="shared" ref="G350:G366" si="638">CONCATENATE(B350,I350)</f>
        <v/>
      </c>
      <c r="H350" s="5" t="str">
        <f t="shared" ref="H350:H366" si="639">IF(ISBLANK(B350),"",IF(B350="ALI",IF(I350="L",7,IF(I350="A",10,15)),IF(B350="AIE",IF(I350="L",5,IF(I350="A",7,10)),IF(B350="SE",IF(I350="L",4,IF(I350="A",5,7)),IF(OR(B350="EE",B350="CE"),IF(I350="L",3,IF(I350="A",4,6)),0)))))</f>
        <v/>
      </c>
      <c r="I350" s="122" t="str">
        <f t="shared" ref="I350:I366" si="640">IF(OR(ISBLANK(D350),ISBLANK(E350)),IF(OR(B350="ALI",B350="AIE"),"L",IF(OR(B350="EE",B350="SE",B350="CE"),"A","")),IF(B350="EE",IF(E350&gt;=3,IF(D350&gt;=5,"H","A"),IF(E350&gt;=2,IF(D350&gt;=16,"H",IF(D350&lt;=4,"L","A")),IF(D350&lt;=15,"L","A"))),IF(OR(B350="SE",B350="CE"),IF(E350&gt;=4,IF(D350&gt;=6,"H","A"),IF(E350&gt;=2,IF(D350&gt;=20,"H",IF(D350&lt;=5,"L","A")),IF(D350&lt;=19,"L","A"))),IF(OR(B350="ALI",B350="AIE"),IF(E350&gt;=6,IF(D350&gt;=20,"H","A"),IF(E350&gt;=2,IF(D350&gt;=51,"H",IF(D350&lt;=19,"L","A")),IF(D350&lt;=50,"L","A"))),""))))</f>
        <v/>
      </c>
      <c r="J350" s="7" t="str">
        <f t="shared" ref="J350:J366" si="641">CONCATENATE(B350,C350)</f>
        <v/>
      </c>
      <c r="K350" s="9" t="str">
        <f t="shared" ref="K350:K366" si="642">IF(OR(H350="",H350=0),L350,H350)</f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637"/>
        <v/>
      </c>
      <c r="G351" s="7" t="str">
        <f t="shared" si="638"/>
        <v/>
      </c>
      <c r="H351" s="5" t="str">
        <f t="shared" si="639"/>
        <v/>
      </c>
      <c r="I351" s="122" t="str">
        <f t="shared" si="640"/>
        <v/>
      </c>
      <c r="J351" s="7" t="str">
        <f t="shared" si="641"/>
        <v/>
      </c>
      <c r="K351" s="9" t="str">
        <f t="shared" si="642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637"/>
        <v/>
      </c>
      <c r="G352" s="7" t="str">
        <f t="shared" si="638"/>
        <v/>
      </c>
      <c r="H352" s="5" t="str">
        <f t="shared" si="639"/>
        <v/>
      </c>
      <c r="I352" s="122" t="str">
        <f t="shared" si="640"/>
        <v/>
      </c>
      <c r="J352" s="7" t="str">
        <f t="shared" si="641"/>
        <v/>
      </c>
      <c r="K352" s="9" t="str">
        <f t="shared" si="642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637"/>
        <v/>
      </c>
      <c r="G353" s="7" t="str">
        <f t="shared" si="638"/>
        <v/>
      </c>
      <c r="H353" s="5" t="str">
        <f t="shared" si="639"/>
        <v/>
      </c>
      <c r="I353" s="122" t="str">
        <f t="shared" si="640"/>
        <v/>
      </c>
      <c r="J353" s="7" t="str">
        <f t="shared" si="641"/>
        <v/>
      </c>
      <c r="K353" s="9" t="str">
        <f t="shared" si="642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637"/>
        <v/>
      </c>
      <c r="G354" s="7" t="str">
        <f t="shared" si="638"/>
        <v/>
      </c>
      <c r="H354" s="5" t="str">
        <f t="shared" si="639"/>
        <v/>
      </c>
      <c r="I354" s="122" t="str">
        <f t="shared" si="640"/>
        <v/>
      </c>
      <c r="J354" s="7" t="str">
        <f t="shared" si="641"/>
        <v/>
      </c>
      <c r="K354" s="9" t="str">
        <f t="shared" si="642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ht="14.25" customHeight="1" x14ac:dyDescent="0.2">
      <c r="A355" s="126"/>
      <c r="B355" s="4"/>
      <c r="C355" s="4"/>
      <c r="D355" s="7"/>
      <c r="E355" s="7"/>
      <c r="F355" s="8" t="str">
        <f t="shared" si="637"/>
        <v/>
      </c>
      <c r="G355" s="7" t="str">
        <f t="shared" si="638"/>
        <v/>
      </c>
      <c r="H355" s="5" t="str">
        <f t="shared" si="639"/>
        <v/>
      </c>
      <c r="I355" s="122" t="str">
        <f t="shared" si="640"/>
        <v/>
      </c>
      <c r="J355" s="7" t="str">
        <f t="shared" si="641"/>
        <v/>
      </c>
      <c r="K355" s="9" t="str">
        <f t="shared" si="642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ht="14.25" customHeight="1" x14ac:dyDescent="0.2">
      <c r="A356" s="126"/>
      <c r="B356" s="4"/>
      <c r="C356" s="4"/>
      <c r="D356" s="7"/>
      <c r="E356" s="7"/>
      <c r="F356" s="8" t="str">
        <f t="shared" si="637"/>
        <v/>
      </c>
      <c r="G356" s="7" t="str">
        <f t="shared" si="638"/>
        <v/>
      </c>
      <c r="H356" s="5" t="str">
        <f t="shared" si="639"/>
        <v/>
      </c>
      <c r="I356" s="122" t="str">
        <f t="shared" si="640"/>
        <v/>
      </c>
      <c r="J356" s="7" t="str">
        <f t="shared" si="641"/>
        <v/>
      </c>
      <c r="K356" s="9" t="str">
        <f t="shared" si="642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ht="14.25" customHeight="1" x14ac:dyDescent="0.2">
      <c r="A357" s="126"/>
      <c r="B357" s="4"/>
      <c r="C357" s="4"/>
      <c r="D357" s="7"/>
      <c r="E357" s="7"/>
      <c r="F357" s="8" t="str">
        <f t="shared" si="637"/>
        <v/>
      </c>
      <c r="G357" s="7" t="str">
        <f t="shared" si="638"/>
        <v/>
      </c>
      <c r="H357" s="5" t="str">
        <f t="shared" si="639"/>
        <v/>
      </c>
      <c r="I357" s="122" t="str">
        <f t="shared" si="640"/>
        <v/>
      </c>
      <c r="J357" s="7" t="str">
        <f t="shared" si="641"/>
        <v/>
      </c>
      <c r="K357" s="9" t="str">
        <f t="shared" si="642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ht="14.25" customHeight="1" x14ac:dyDescent="0.2">
      <c r="A358" s="126"/>
      <c r="B358" s="4"/>
      <c r="C358" s="4"/>
      <c r="D358" s="7"/>
      <c r="E358" s="7"/>
      <c r="F358" s="8" t="str">
        <f t="shared" si="637"/>
        <v/>
      </c>
      <c r="G358" s="7" t="str">
        <f t="shared" si="638"/>
        <v/>
      </c>
      <c r="H358" s="5" t="str">
        <f t="shared" si="639"/>
        <v/>
      </c>
      <c r="I358" s="122" t="str">
        <f t="shared" si="640"/>
        <v/>
      </c>
      <c r="J358" s="7" t="str">
        <f t="shared" si="641"/>
        <v/>
      </c>
      <c r="K358" s="9" t="str">
        <f t="shared" si="642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ht="14.25" customHeight="1" x14ac:dyDescent="0.2">
      <c r="A359" s="126"/>
      <c r="B359" s="4"/>
      <c r="C359" s="4"/>
      <c r="D359" s="7"/>
      <c r="E359" s="7"/>
      <c r="F359" s="8" t="str">
        <f t="shared" si="637"/>
        <v/>
      </c>
      <c r="G359" s="7" t="str">
        <f t="shared" si="638"/>
        <v/>
      </c>
      <c r="H359" s="5" t="str">
        <f t="shared" si="639"/>
        <v/>
      </c>
      <c r="I359" s="122" t="str">
        <f t="shared" si="640"/>
        <v/>
      </c>
      <c r="J359" s="7" t="str">
        <f t="shared" si="641"/>
        <v/>
      </c>
      <c r="K359" s="9" t="str">
        <f t="shared" si="642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ht="14.25" customHeight="1" x14ac:dyDescent="0.2">
      <c r="A360" s="126"/>
      <c r="B360" s="4"/>
      <c r="C360" s="4"/>
      <c r="D360" s="7"/>
      <c r="E360" s="7"/>
      <c r="F360" s="8" t="str">
        <f t="shared" si="637"/>
        <v/>
      </c>
      <c r="G360" s="7" t="str">
        <f t="shared" si="638"/>
        <v/>
      </c>
      <c r="H360" s="5" t="str">
        <f t="shared" si="639"/>
        <v/>
      </c>
      <c r="I360" s="122" t="str">
        <f t="shared" si="640"/>
        <v/>
      </c>
      <c r="J360" s="7" t="str">
        <f t="shared" si="641"/>
        <v/>
      </c>
      <c r="K360" s="9" t="str">
        <f t="shared" si="642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ht="14.25" customHeight="1" x14ac:dyDescent="0.2">
      <c r="A361" s="126"/>
      <c r="B361" s="4"/>
      <c r="C361" s="4"/>
      <c r="D361" s="7"/>
      <c r="E361" s="7"/>
      <c r="F361" s="8" t="str">
        <f t="shared" si="637"/>
        <v/>
      </c>
      <c r="G361" s="7" t="str">
        <f t="shared" si="638"/>
        <v/>
      </c>
      <c r="H361" s="5" t="str">
        <f t="shared" si="639"/>
        <v/>
      </c>
      <c r="I361" s="122" t="str">
        <f t="shared" si="640"/>
        <v/>
      </c>
      <c r="J361" s="7" t="str">
        <f t="shared" si="641"/>
        <v/>
      </c>
      <c r="K361" s="9" t="str">
        <f t="shared" si="642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ht="14.25" customHeight="1" x14ac:dyDescent="0.2">
      <c r="A362" s="126"/>
      <c r="B362" s="4"/>
      <c r="C362" s="4"/>
      <c r="D362" s="7"/>
      <c r="E362" s="7"/>
      <c r="F362" s="8" t="str">
        <f t="shared" si="637"/>
        <v/>
      </c>
      <c r="G362" s="7" t="str">
        <f t="shared" si="638"/>
        <v/>
      </c>
      <c r="H362" s="5" t="str">
        <f t="shared" si="639"/>
        <v/>
      </c>
      <c r="I362" s="122" t="str">
        <f t="shared" si="640"/>
        <v/>
      </c>
      <c r="J362" s="7" t="str">
        <f t="shared" si="641"/>
        <v/>
      </c>
      <c r="K362" s="9" t="str">
        <f t="shared" si="642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ht="14.25" customHeight="1" x14ac:dyDescent="0.2">
      <c r="A363" s="126"/>
      <c r="B363" s="4"/>
      <c r="C363" s="4"/>
      <c r="D363" s="7"/>
      <c r="E363" s="7"/>
      <c r="F363" s="8" t="str">
        <f t="shared" si="637"/>
        <v/>
      </c>
      <c r="G363" s="7" t="str">
        <f t="shared" si="638"/>
        <v/>
      </c>
      <c r="H363" s="5" t="str">
        <f t="shared" si="639"/>
        <v/>
      </c>
      <c r="I363" s="122" t="str">
        <f t="shared" si="640"/>
        <v/>
      </c>
      <c r="J363" s="7" t="str">
        <f t="shared" si="641"/>
        <v/>
      </c>
      <c r="K363" s="9" t="str">
        <f t="shared" si="642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ht="14.25" customHeight="1" x14ac:dyDescent="0.2">
      <c r="A364" s="126"/>
      <c r="B364" s="4"/>
      <c r="C364" s="4"/>
      <c r="D364" s="7"/>
      <c r="E364" s="7"/>
      <c r="F364" s="8" t="str">
        <f t="shared" si="637"/>
        <v/>
      </c>
      <c r="G364" s="7" t="str">
        <f t="shared" si="638"/>
        <v/>
      </c>
      <c r="H364" s="5" t="str">
        <f t="shared" si="639"/>
        <v/>
      </c>
      <c r="I364" s="122" t="str">
        <f t="shared" si="640"/>
        <v/>
      </c>
      <c r="J364" s="7" t="str">
        <f t="shared" si="641"/>
        <v/>
      </c>
      <c r="K364" s="9" t="str">
        <f t="shared" si="642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ht="14.25" customHeight="1" x14ac:dyDescent="0.2">
      <c r="A365" s="126"/>
      <c r="B365" s="4"/>
      <c r="C365" s="4"/>
      <c r="D365" s="7"/>
      <c r="E365" s="7"/>
      <c r="F365" s="8" t="str">
        <f t="shared" si="637"/>
        <v/>
      </c>
      <c r="G365" s="7" t="str">
        <f t="shared" si="638"/>
        <v/>
      </c>
      <c r="H365" s="5" t="str">
        <f t="shared" si="639"/>
        <v/>
      </c>
      <c r="I365" s="122" t="str">
        <f t="shared" si="640"/>
        <v/>
      </c>
      <c r="J365" s="7" t="str">
        <f t="shared" si="641"/>
        <v/>
      </c>
      <c r="K365" s="9" t="str">
        <f t="shared" si="642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ht="14.25" customHeight="1" x14ac:dyDescent="0.2">
      <c r="A366" s="128"/>
      <c r="B366" s="4"/>
      <c r="C366" s="4"/>
      <c r="D366" s="7"/>
      <c r="E366" s="7"/>
      <c r="F366" s="8" t="str">
        <f t="shared" si="637"/>
        <v/>
      </c>
      <c r="G366" s="7" t="str">
        <f t="shared" si="638"/>
        <v/>
      </c>
      <c r="H366" s="5" t="str">
        <f t="shared" si="639"/>
        <v/>
      </c>
      <c r="I366" s="122" t="str">
        <f t="shared" si="640"/>
        <v/>
      </c>
      <c r="J366" s="7" t="str">
        <f t="shared" si="641"/>
        <v/>
      </c>
      <c r="K366" s="9" t="str">
        <f t="shared" si="642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8"/>
      <c r="B367" s="4"/>
      <c r="C367" s="4"/>
      <c r="D367" s="7"/>
      <c r="E367" s="7"/>
      <c r="F367" s="8" t="str">
        <f t="shared" si="631"/>
        <v/>
      </c>
      <c r="G367" s="7" t="str">
        <f t="shared" si="632"/>
        <v/>
      </c>
      <c r="H367" s="5" t="str">
        <f t="shared" si="633"/>
        <v/>
      </c>
      <c r="I367" s="122" t="str">
        <f t="shared" si="634"/>
        <v/>
      </c>
      <c r="J367" s="7" t="str">
        <f t="shared" si="635"/>
        <v/>
      </c>
      <c r="K367" s="9" t="str">
        <f t="shared" si="636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631"/>
        <v/>
      </c>
      <c r="G368" s="7" t="str">
        <f t="shared" si="632"/>
        <v/>
      </c>
      <c r="H368" s="5" t="str">
        <f t="shared" si="633"/>
        <v/>
      </c>
      <c r="I368" s="122" t="str">
        <f t="shared" si="634"/>
        <v/>
      </c>
      <c r="J368" s="7" t="str">
        <f t="shared" si="635"/>
        <v/>
      </c>
      <c r="K368" s="9" t="str">
        <f t="shared" si="636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631"/>
        <v/>
      </c>
      <c r="G369" s="7" t="str">
        <f t="shared" si="632"/>
        <v/>
      </c>
      <c r="H369" s="5" t="str">
        <f t="shared" si="633"/>
        <v/>
      </c>
      <c r="I369" s="122" t="str">
        <f t="shared" si="634"/>
        <v/>
      </c>
      <c r="J369" s="7" t="str">
        <f t="shared" si="635"/>
        <v/>
      </c>
      <c r="K369" s="9" t="str">
        <f t="shared" si="636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6"/>
      <c r="B370" s="4"/>
      <c r="C370" s="4"/>
      <c r="D370" s="7"/>
      <c r="E370" s="7"/>
      <c r="F370" s="8" t="str">
        <f t="shared" si="631"/>
        <v/>
      </c>
      <c r="G370" s="7" t="str">
        <f t="shared" si="632"/>
        <v/>
      </c>
      <c r="H370" s="5" t="str">
        <f t="shared" si="633"/>
        <v/>
      </c>
      <c r="I370" s="122" t="str">
        <f t="shared" si="634"/>
        <v/>
      </c>
      <c r="J370" s="7" t="str">
        <f t="shared" si="635"/>
        <v/>
      </c>
      <c r="K370" s="9" t="str">
        <f t="shared" si="636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ht="14.25" customHeight="1" x14ac:dyDescent="0.2">
      <c r="A371" s="126"/>
      <c r="B371" s="4"/>
      <c r="C371" s="4"/>
      <c r="D371" s="7"/>
      <c r="E371" s="7"/>
      <c r="F371" s="8" t="str">
        <f t="shared" si="631"/>
        <v/>
      </c>
      <c r="G371" s="7" t="str">
        <f t="shared" si="632"/>
        <v/>
      </c>
      <c r="H371" s="5" t="str">
        <f t="shared" si="633"/>
        <v/>
      </c>
      <c r="I371" s="122" t="str">
        <f t="shared" si="634"/>
        <v/>
      </c>
      <c r="J371" s="7" t="str">
        <f t="shared" si="635"/>
        <v/>
      </c>
      <c r="K371" s="9" t="str">
        <f t="shared" si="636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6"/>
      <c r="B372" s="4"/>
      <c r="C372" s="4"/>
      <c r="D372" s="7"/>
      <c r="E372" s="7"/>
      <c r="F372" s="8" t="str">
        <f t="shared" si="631"/>
        <v/>
      </c>
      <c r="G372" s="7" t="str">
        <f t="shared" si="632"/>
        <v/>
      </c>
      <c r="H372" s="5" t="str">
        <f t="shared" si="633"/>
        <v/>
      </c>
      <c r="I372" s="122" t="str">
        <f t="shared" si="634"/>
        <v/>
      </c>
      <c r="J372" s="7" t="str">
        <f t="shared" si="635"/>
        <v/>
      </c>
      <c r="K372" s="9" t="str">
        <f t="shared" si="636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8"/>
      <c r="B373" s="4"/>
      <c r="C373" s="4"/>
      <c r="D373" s="7"/>
      <c r="E373" s="7"/>
      <c r="F373" s="8" t="str">
        <f t="shared" si="631"/>
        <v/>
      </c>
      <c r="G373" s="7" t="str">
        <f t="shared" si="632"/>
        <v/>
      </c>
      <c r="H373" s="5" t="str">
        <f t="shared" si="633"/>
        <v/>
      </c>
      <c r="I373" s="122" t="str">
        <f t="shared" si="634"/>
        <v/>
      </c>
      <c r="J373" s="7" t="str">
        <f t="shared" si="635"/>
        <v/>
      </c>
      <c r="K373" s="9" t="str">
        <f t="shared" si="636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631"/>
        <v/>
      </c>
      <c r="G374" s="7" t="str">
        <f t="shared" si="632"/>
        <v/>
      </c>
      <c r="H374" s="5" t="str">
        <f t="shared" si="633"/>
        <v/>
      </c>
      <c r="I374" s="122" t="str">
        <f t="shared" si="634"/>
        <v/>
      </c>
      <c r="J374" s="7" t="str">
        <f t="shared" si="635"/>
        <v/>
      </c>
      <c r="K374" s="9" t="str">
        <f t="shared" si="636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631"/>
        <v/>
      </c>
      <c r="G375" s="7" t="str">
        <f t="shared" si="632"/>
        <v/>
      </c>
      <c r="H375" s="5" t="str">
        <f t="shared" si="633"/>
        <v/>
      </c>
      <c r="I375" s="122" t="str">
        <f t="shared" si="634"/>
        <v/>
      </c>
      <c r="J375" s="7" t="str">
        <f t="shared" si="635"/>
        <v/>
      </c>
      <c r="K375" s="9" t="str">
        <f t="shared" si="636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631"/>
        <v/>
      </c>
      <c r="G376" s="7" t="str">
        <f t="shared" si="632"/>
        <v/>
      </c>
      <c r="H376" s="5" t="str">
        <f t="shared" si="633"/>
        <v/>
      </c>
      <c r="I376" s="122" t="str">
        <f t="shared" si="634"/>
        <v/>
      </c>
      <c r="J376" s="7" t="str">
        <f t="shared" si="635"/>
        <v/>
      </c>
      <c r="K376" s="9" t="str">
        <f t="shared" si="636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631"/>
        <v/>
      </c>
      <c r="G377" s="7" t="str">
        <f t="shared" si="632"/>
        <v/>
      </c>
      <c r="H377" s="5" t="str">
        <f t="shared" si="633"/>
        <v/>
      </c>
      <c r="I377" s="122" t="str">
        <f t="shared" si="634"/>
        <v/>
      </c>
      <c r="J377" s="7" t="str">
        <f t="shared" si="635"/>
        <v/>
      </c>
      <c r="K377" s="9" t="str">
        <f t="shared" si="636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631"/>
        <v/>
      </c>
      <c r="G378" s="7" t="str">
        <f t="shared" si="632"/>
        <v/>
      </c>
      <c r="H378" s="5" t="str">
        <f t="shared" si="633"/>
        <v/>
      </c>
      <c r="I378" s="122" t="str">
        <f t="shared" si="634"/>
        <v/>
      </c>
      <c r="J378" s="7" t="str">
        <f t="shared" si="635"/>
        <v/>
      </c>
      <c r="K378" s="9" t="str">
        <f t="shared" si="636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8"/>
      <c r="B379" s="4"/>
      <c r="C379" s="4"/>
      <c r="D379" s="7"/>
      <c r="E379" s="7"/>
      <c r="F379" s="8" t="str">
        <f t="shared" si="631"/>
        <v/>
      </c>
      <c r="G379" s="7" t="str">
        <f t="shared" si="632"/>
        <v/>
      </c>
      <c r="H379" s="5" t="str">
        <f t="shared" si="633"/>
        <v/>
      </c>
      <c r="I379" s="122" t="str">
        <f t="shared" si="634"/>
        <v/>
      </c>
      <c r="J379" s="7" t="str">
        <f t="shared" si="635"/>
        <v/>
      </c>
      <c r="K379" s="9" t="str">
        <f t="shared" si="636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631"/>
        <v/>
      </c>
      <c r="G380" s="7" t="str">
        <f t="shared" si="632"/>
        <v/>
      </c>
      <c r="H380" s="5" t="str">
        <f t="shared" si="633"/>
        <v/>
      </c>
      <c r="I380" s="122" t="str">
        <f t="shared" si="634"/>
        <v/>
      </c>
      <c r="J380" s="7" t="str">
        <f t="shared" si="635"/>
        <v/>
      </c>
      <c r="K380" s="9" t="str">
        <f t="shared" si="636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631"/>
        <v/>
      </c>
      <c r="G381" s="7" t="str">
        <f t="shared" si="632"/>
        <v/>
      </c>
      <c r="H381" s="5" t="str">
        <f t="shared" si="633"/>
        <v/>
      </c>
      <c r="I381" s="122" t="str">
        <f t="shared" si="634"/>
        <v/>
      </c>
      <c r="J381" s="7" t="str">
        <f t="shared" si="635"/>
        <v/>
      </c>
      <c r="K381" s="9" t="str">
        <f t="shared" si="636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631"/>
        <v/>
      </c>
      <c r="G382" s="7" t="str">
        <f t="shared" si="632"/>
        <v/>
      </c>
      <c r="H382" s="5" t="str">
        <f t="shared" si="633"/>
        <v/>
      </c>
      <c r="I382" s="122" t="str">
        <f t="shared" si="634"/>
        <v/>
      </c>
      <c r="J382" s="7" t="str">
        <f t="shared" si="635"/>
        <v/>
      </c>
      <c r="K382" s="9" t="str">
        <f t="shared" si="636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631"/>
        <v/>
      </c>
      <c r="G383" s="7" t="str">
        <f t="shared" si="632"/>
        <v/>
      </c>
      <c r="H383" s="5" t="str">
        <f t="shared" si="633"/>
        <v/>
      </c>
      <c r="I383" s="122" t="str">
        <f t="shared" si="634"/>
        <v/>
      </c>
      <c r="J383" s="7" t="str">
        <f t="shared" si="635"/>
        <v/>
      </c>
      <c r="K383" s="9" t="str">
        <f t="shared" si="636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631"/>
        <v/>
      </c>
      <c r="G384" s="7" t="str">
        <f t="shared" si="632"/>
        <v/>
      </c>
      <c r="H384" s="5" t="str">
        <f t="shared" si="633"/>
        <v/>
      </c>
      <c r="I384" s="122" t="str">
        <f t="shared" si="634"/>
        <v/>
      </c>
      <c r="J384" s="7" t="str">
        <f t="shared" si="635"/>
        <v/>
      </c>
      <c r="K384" s="9" t="str">
        <f t="shared" si="636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ht="13.5" customHeight="1" x14ac:dyDescent="0.2">
      <c r="A385" s="126"/>
      <c r="B385" s="4"/>
      <c r="C385" s="4"/>
      <c r="D385" s="7"/>
      <c r="E385" s="7"/>
      <c r="F385" s="8" t="str">
        <f t="shared" si="631"/>
        <v/>
      </c>
      <c r="G385" s="7" t="str">
        <f t="shared" si="632"/>
        <v/>
      </c>
      <c r="H385" s="5" t="str">
        <f t="shared" si="633"/>
        <v/>
      </c>
      <c r="I385" s="122" t="str">
        <f t="shared" si="634"/>
        <v/>
      </c>
      <c r="J385" s="7" t="str">
        <f t="shared" si="635"/>
        <v/>
      </c>
      <c r="K385" s="9" t="str">
        <f t="shared" si="636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ht="14.25" customHeight="1" x14ac:dyDescent="0.2">
      <c r="A386" s="126"/>
      <c r="B386" s="4"/>
      <c r="C386" s="4"/>
      <c r="D386" s="7"/>
      <c r="E386" s="7"/>
      <c r="F386" s="8" t="str">
        <f t="shared" si="631"/>
        <v/>
      </c>
      <c r="G386" s="7" t="str">
        <f t="shared" si="632"/>
        <v/>
      </c>
      <c r="H386" s="5" t="str">
        <f t="shared" si="633"/>
        <v/>
      </c>
      <c r="I386" s="122" t="str">
        <f t="shared" si="634"/>
        <v/>
      </c>
      <c r="J386" s="7" t="str">
        <f t="shared" si="635"/>
        <v/>
      </c>
      <c r="K386" s="9" t="str">
        <f t="shared" si="636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ht="15" customHeight="1" x14ac:dyDescent="0.2">
      <c r="A387" s="126"/>
      <c r="B387" s="4"/>
      <c r="C387" s="4"/>
      <c r="D387" s="7"/>
      <c r="E387" s="7"/>
      <c r="F387" s="8" t="str">
        <f t="shared" si="631"/>
        <v/>
      </c>
      <c r="G387" s="7" t="str">
        <f t="shared" si="632"/>
        <v/>
      </c>
      <c r="H387" s="5" t="str">
        <f t="shared" si="633"/>
        <v/>
      </c>
      <c r="I387" s="122" t="str">
        <f t="shared" si="634"/>
        <v/>
      </c>
      <c r="J387" s="7" t="str">
        <f t="shared" si="635"/>
        <v/>
      </c>
      <c r="K387" s="9" t="str">
        <f t="shared" si="636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si="631"/>
        <v/>
      </c>
      <c r="G388" s="7" t="str">
        <f t="shared" si="632"/>
        <v/>
      </c>
      <c r="H388" s="5" t="str">
        <f t="shared" si="633"/>
        <v/>
      </c>
      <c r="I388" s="122" t="str">
        <f t="shared" si="634"/>
        <v/>
      </c>
      <c r="J388" s="7" t="str">
        <f t="shared" si="635"/>
        <v/>
      </c>
      <c r="K388" s="9" t="str">
        <f t="shared" si="636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ref="F389:F394" si="643">IF(ISBLANK(B389),"",IF(I389="L","Baixa",IF(I389="A","Média",IF(I389="","","Alta"))))</f>
        <v/>
      </c>
      <c r="G389" s="7" t="str">
        <f t="shared" ref="G389:G394" si="644">CONCATENATE(B389,I389)</f>
        <v/>
      </c>
      <c r="H389" s="5" t="str">
        <f t="shared" ref="H389:H394" si="645">IF(ISBLANK(B389),"",IF(B389="ALI",IF(I389="L",7,IF(I389="A",10,15)),IF(B389="AIE",IF(I389="L",5,IF(I389="A",7,10)),IF(B389="SE",IF(I389="L",4,IF(I389="A",5,7)),IF(OR(B389="EE",B389="CE"),IF(I389="L",3,IF(I389="A",4,6)),0)))))</f>
        <v/>
      </c>
      <c r="I389" s="122" t="str">
        <f t="shared" ref="I389:I394" si="646">IF(OR(ISBLANK(D389),ISBLANK(E389)),IF(OR(B389="ALI",B389="AIE"),"L",IF(OR(B389="EE",B389="SE",B389="CE"),"A","")),IF(B389="EE",IF(E389&gt;=3,IF(D389&gt;=5,"H","A"),IF(E389&gt;=2,IF(D389&gt;=16,"H",IF(D389&lt;=4,"L","A")),IF(D389&lt;=15,"L","A"))),IF(OR(B389="SE",B389="CE"),IF(E389&gt;=4,IF(D389&gt;=6,"H","A"),IF(E389&gt;=2,IF(D389&gt;=20,"H",IF(D389&lt;=5,"L","A")),IF(D389&lt;=19,"L","A"))),IF(OR(B389="ALI",B389="AIE"),IF(E389&gt;=6,IF(D389&gt;=20,"H","A"),IF(E389&gt;=2,IF(D389&gt;=51,"H",IF(D389&lt;=19,"L","A")),IF(D389&lt;=50,"L","A"))),""))))</f>
        <v/>
      </c>
      <c r="J389" s="7" t="str">
        <f t="shared" ref="J389:J394" si="647">CONCATENATE(B389,C389)</f>
        <v/>
      </c>
      <c r="K389" s="9" t="str">
        <f t="shared" ref="K389:K394" si="648">IF(OR(H389="",H389=0),L389,H389)</f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643"/>
        <v/>
      </c>
      <c r="G390" s="7" t="str">
        <f t="shared" si="644"/>
        <v/>
      </c>
      <c r="H390" s="5" t="str">
        <f t="shared" si="645"/>
        <v/>
      </c>
      <c r="I390" s="122" t="str">
        <f t="shared" si="646"/>
        <v/>
      </c>
      <c r="J390" s="7" t="str">
        <f t="shared" si="647"/>
        <v/>
      </c>
      <c r="K390" s="9" t="str">
        <f t="shared" si="648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643"/>
        <v/>
      </c>
      <c r="G391" s="7" t="str">
        <f t="shared" si="644"/>
        <v/>
      </c>
      <c r="H391" s="5" t="str">
        <f t="shared" si="645"/>
        <v/>
      </c>
      <c r="I391" s="122" t="str">
        <f t="shared" si="646"/>
        <v/>
      </c>
      <c r="J391" s="7" t="str">
        <f t="shared" si="647"/>
        <v/>
      </c>
      <c r="K391" s="9" t="str">
        <f t="shared" si="648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643"/>
        <v/>
      </c>
      <c r="G392" s="7" t="str">
        <f t="shared" si="644"/>
        <v/>
      </c>
      <c r="H392" s="5" t="str">
        <f t="shared" si="645"/>
        <v/>
      </c>
      <c r="I392" s="122" t="str">
        <f t="shared" si="646"/>
        <v/>
      </c>
      <c r="J392" s="7" t="str">
        <f t="shared" si="647"/>
        <v/>
      </c>
      <c r="K392" s="9" t="str">
        <f t="shared" si="648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643"/>
        <v/>
      </c>
      <c r="G393" s="7" t="str">
        <f t="shared" si="644"/>
        <v/>
      </c>
      <c r="H393" s="5" t="str">
        <f t="shared" si="645"/>
        <v/>
      </c>
      <c r="I393" s="122" t="str">
        <f t="shared" si="646"/>
        <v/>
      </c>
      <c r="J393" s="7" t="str">
        <f t="shared" si="647"/>
        <v/>
      </c>
      <c r="K393" s="9" t="str">
        <f t="shared" si="648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643"/>
        <v/>
      </c>
      <c r="G394" s="7" t="str">
        <f t="shared" si="644"/>
        <v/>
      </c>
      <c r="H394" s="5" t="str">
        <f t="shared" si="645"/>
        <v/>
      </c>
      <c r="I394" s="122" t="str">
        <f t="shared" si="646"/>
        <v/>
      </c>
      <c r="J394" s="7" t="str">
        <f t="shared" si="647"/>
        <v/>
      </c>
      <c r="K394" s="9" t="str">
        <f t="shared" si="648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>IF(ISBLANK(B395),"",IF(I395="L","Baixa",IF(I395="A","Média",IF(I395="","","Alta"))))</f>
        <v/>
      </c>
      <c r="G395" s="7" t="str">
        <f>CONCATENATE(B395,I395)</f>
        <v/>
      </c>
      <c r="H395" s="5" t="str">
        <f>IF(ISBLANK(B395),"",IF(B395="ALI",IF(I395="L",7,IF(I395="A",10,15)),IF(B395="AIE",IF(I395="L",5,IF(I395="A",7,10)),IF(B395="SE",IF(I395="L",4,IF(I395="A",5,7)),IF(OR(B395="EE",B395="CE"),IF(I395="L",3,IF(I395="A",4,6)),0)))))</f>
        <v/>
      </c>
      <c r="I395" s="122" t="str">
        <f>IF(OR(ISBLANK(D395),ISBLANK(E395)),IF(OR(B395="ALI",B395="AIE"),"L",IF(OR(B395="EE",B395="SE",B395="CE"),"A","")),IF(B395="EE",IF(E395&gt;=3,IF(D395&gt;=5,"H","A"),IF(E395&gt;=2,IF(D395&gt;=16,"H",IF(D395&lt;=4,"L","A")),IF(D395&lt;=15,"L","A"))),IF(OR(B395="SE",B395="CE"),IF(E395&gt;=4,IF(D395&gt;=6,"H","A"),IF(E395&gt;=2,IF(D395&gt;=20,"H",IF(D395&lt;=5,"L","A")),IF(D395&lt;=19,"L","A"))),IF(OR(B395="ALI",B395="AIE"),IF(E395&gt;=6,IF(D395&gt;=20,"H","A"),IF(E395&gt;=2,IF(D395&gt;=51,"H",IF(D395&lt;=19,"L","A")),IF(D395&lt;=50,"L","A"))),""))))</f>
        <v/>
      </c>
      <c r="J395" s="7" t="str">
        <f>CONCATENATE(B395,C395)</f>
        <v/>
      </c>
      <c r="K395" s="9" t="str">
        <f t="shared" si="636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9"/>
      <c r="B396" s="4"/>
      <c r="C396" s="4"/>
      <c r="D396" s="7"/>
      <c r="E396" s="7"/>
      <c r="F396" s="8" t="str">
        <f t="shared" ref="F396:F459" si="649">IF(ISBLANK(B396),"",IF(I396="L","Baixa",IF(I396="A","Média",IF(I396="","","Alta"))))</f>
        <v/>
      </c>
      <c r="G396" s="7" t="str">
        <f t="shared" ref="G396:G459" si="650">CONCATENATE(B396,I396)</f>
        <v/>
      </c>
      <c r="H396" s="5" t="str">
        <f t="shared" ref="H396:H459" si="651">IF(ISBLANK(B396),"",IF(B396="ALI",IF(I396="L",7,IF(I396="A",10,15)),IF(B396="AIE",IF(I396="L",5,IF(I396="A",7,10)),IF(B396="SE",IF(I396="L",4,IF(I396="A",5,7)),IF(OR(B396="EE",B396="CE"),IF(I396="L",3,IF(I396="A",4,6)),0)))))</f>
        <v/>
      </c>
      <c r="I396" s="122" t="str">
        <f t="shared" ref="I396:I459" si="652">IF(OR(ISBLANK(D396),ISBLANK(E396)),IF(OR(B396="ALI",B396="AIE"),"L",IF(OR(B396="EE",B396="SE",B396="CE"),"A","")),IF(B396="EE",IF(E396&gt;=3,IF(D396&gt;=5,"H","A"),IF(E396&gt;=2,IF(D396&gt;=16,"H",IF(D396&lt;=4,"L","A")),IF(D396&lt;=15,"L","A"))),IF(OR(B396="SE",B396="CE"),IF(E396&gt;=4,IF(D396&gt;=6,"H","A"),IF(E396&gt;=2,IF(D396&gt;=20,"H",IF(D396&lt;=5,"L","A")),IF(D396&lt;=19,"L","A"))),IF(OR(B396="ALI",B396="AIE"),IF(E396&gt;=6,IF(D396&gt;=20,"H","A"),IF(E396&gt;=2,IF(D396&gt;=51,"H",IF(D396&lt;=19,"L","A")),IF(D396&lt;=50,"L","A"))),""))))</f>
        <v/>
      </c>
      <c r="J396" s="7" t="str">
        <f t="shared" ref="J396:J459" si="653">CONCATENATE(B396,C396)</f>
        <v/>
      </c>
      <c r="K396" s="9" t="str">
        <f t="shared" si="636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8"/>
      <c r="B397" s="4"/>
      <c r="C397" s="4"/>
      <c r="D397" s="7"/>
      <c r="E397" s="7"/>
      <c r="F397" s="8" t="str">
        <f t="shared" si="649"/>
        <v/>
      </c>
      <c r="G397" s="7" t="str">
        <f t="shared" si="650"/>
        <v/>
      </c>
      <c r="H397" s="5" t="str">
        <f t="shared" si="651"/>
        <v/>
      </c>
      <c r="I397" s="122" t="str">
        <f t="shared" si="652"/>
        <v/>
      </c>
      <c r="J397" s="7" t="str">
        <f t="shared" si="653"/>
        <v/>
      </c>
      <c r="K397" s="9" t="str">
        <f t="shared" si="636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649"/>
        <v/>
      </c>
      <c r="G398" s="7" t="str">
        <f t="shared" si="650"/>
        <v/>
      </c>
      <c r="H398" s="5" t="str">
        <f t="shared" si="651"/>
        <v/>
      </c>
      <c r="I398" s="122" t="str">
        <f t="shared" si="652"/>
        <v/>
      </c>
      <c r="J398" s="7" t="str">
        <f t="shared" si="653"/>
        <v/>
      </c>
      <c r="K398" s="9" t="str">
        <f t="shared" ref="K398:K461" si="654">IF(OR(H398="",H398=0),L398,H398)</f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649"/>
        <v/>
      </c>
      <c r="G399" s="7" t="str">
        <f t="shared" si="650"/>
        <v/>
      </c>
      <c r="H399" s="5" t="str">
        <f t="shared" si="651"/>
        <v/>
      </c>
      <c r="I399" s="122" t="str">
        <f t="shared" si="652"/>
        <v/>
      </c>
      <c r="J399" s="7" t="str">
        <f t="shared" si="653"/>
        <v/>
      </c>
      <c r="K399" s="9" t="str">
        <f t="shared" si="654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6"/>
      <c r="B400" s="4"/>
      <c r="C400" s="4"/>
      <c r="D400" s="7"/>
      <c r="E400" s="7"/>
      <c r="F400" s="8" t="str">
        <f t="shared" si="649"/>
        <v/>
      </c>
      <c r="G400" s="7" t="str">
        <f t="shared" si="650"/>
        <v/>
      </c>
      <c r="H400" s="5" t="str">
        <f t="shared" si="651"/>
        <v/>
      </c>
      <c r="I400" s="122" t="str">
        <f t="shared" si="652"/>
        <v/>
      </c>
      <c r="J400" s="7" t="str">
        <f t="shared" si="653"/>
        <v/>
      </c>
      <c r="K400" s="9" t="str">
        <f t="shared" si="654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8"/>
      <c r="B401" s="4"/>
      <c r="C401" s="4"/>
      <c r="D401" s="7"/>
      <c r="E401" s="7"/>
      <c r="F401" s="8" t="str">
        <f t="shared" si="649"/>
        <v/>
      </c>
      <c r="G401" s="7" t="str">
        <f t="shared" si="650"/>
        <v/>
      </c>
      <c r="H401" s="5" t="str">
        <f t="shared" si="651"/>
        <v/>
      </c>
      <c r="I401" s="122" t="str">
        <f t="shared" si="652"/>
        <v/>
      </c>
      <c r="J401" s="7" t="str">
        <f t="shared" si="653"/>
        <v/>
      </c>
      <c r="K401" s="9" t="str">
        <f t="shared" si="654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649"/>
        <v/>
      </c>
      <c r="G402" s="7" t="str">
        <f t="shared" si="650"/>
        <v/>
      </c>
      <c r="H402" s="5" t="str">
        <f t="shared" si="651"/>
        <v/>
      </c>
      <c r="I402" s="122" t="str">
        <f t="shared" si="652"/>
        <v/>
      </c>
      <c r="J402" s="7" t="str">
        <f t="shared" si="653"/>
        <v/>
      </c>
      <c r="K402" s="9" t="str">
        <f t="shared" si="654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649"/>
        <v/>
      </c>
      <c r="G403" s="7" t="str">
        <f t="shared" si="650"/>
        <v/>
      </c>
      <c r="H403" s="5" t="str">
        <f t="shared" si="651"/>
        <v/>
      </c>
      <c r="I403" s="122" t="str">
        <f t="shared" si="652"/>
        <v/>
      </c>
      <c r="J403" s="7" t="str">
        <f t="shared" si="653"/>
        <v/>
      </c>
      <c r="K403" s="9" t="str">
        <f t="shared" si="654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649"/>
        <v/>
      </c>
      <c r="G404" s="7" t="str">
        <f t="shared" si="650"/>
        <v/>
      </c>
      <c r="H404" s="5" t="str">
        <f t="shared" si="651"/>
        <v/>
      </c>
      <c r="I404" s="122" t="str">
        <f t="shared" si="652"/>
        <v/>
      </c>
      <c r="J404" s="7" t="str">
        <f t="shared" si="653"/>
        <v/>
      </c>
      <c r="K404" s="9" t="str">
        <f t="shared" si="654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649"/>
        <v/>
      </c>
      <c r="G405" s="7" t="str">
        <f t="shared" si="650"/>
        <v/>
      </c>
      <c r="H405" s="5" t="str">
        <f t="shared" si="651"/>
        <v/>
      </c>
      <c r="I405" s="122" t="str">
        <f t="shared" si="652"/>
        <v/>
      </c>
      <c r="J405" s="7" t="str">
        <f t="shared" si="653"/>
        <v/>
      </c>
      <c r="K405" s="9" t="str">
        <f t="shared" si="654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649"/>
        <v/>
      </c>
      <c r="G406" s="7" t="str">
        <f t="shared" si="650"/>
        <v/>
      </c>
      <c r="H406" s="5" t="str">
        <f t="shared" si="651"/>
        <v/>
      </c>
      <c r="I406" s="122" t="str">
        <f t="shared" si="652"/>
        <v/>
      </c>
      <c r="J406" s="7" t="str">
        <f t="shared" si="653"/>
        <v/>
      </c>
      <c r="K406" s="9" t="str">
        <f t="shared" si="654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649"/>
        <v/>
      </c>
      <c r="G407" s="7" t="str">
        <f t="shared" si="650"/>
        <v/>
      </c>
      <c r="H407" s="5" t="str">
        <f t="shared" si="651"/>
        <v/>
      </c>
      <c r="I407" s="122" t="str">
        <f t="shared" si="652"/>
        <v/>
      </c>
      <c r="J407" s="7" t="str">
        <f t="shared" si="653"/>
        <v/>
      </c>
      <c r="K407" s="9" t="str">
        <f t="shared" si="654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649"/>
        <v/>
      </c>
      <c r="G408" s="7" t="str">
        <f t="shared" si="650"/>
        <v/>
      </c>
      <c r="H408" s="5" t="str">
        <f t="shared" si="651"/>
        <v/>
      </c>
      <c r="I408" s="122" t="str">
        <f t="shared" si="652"/>
        <v/>
      </c>
      <c r="J408" s="7" t="str">
        <f t="shared" si="653"/>
        <v/>
      </c>
      <c r="K408" s="9" t="str">
        <f t="shared" si="654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649"/>
        <v/>
      </c>
      <c r="G409" s="7" t="str">
        <f t="shared" si="650"/>
        <v/>
      </c>
      <c r="H409" s="5" t="str">
        <f t="shared" si="651"/>
        <v/>
      </c>
      <c r="I409" s="122" t="str">
        <f t="shared" si="652"/>
        <v/>
      </c>
      <c r="J409" s="7" t="str">
        <f t="shared" si="653"/>
        <v/>
      </c>
      <c r="K409" s="9" t="str">
        <f t="shared" si="654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649"/>
        <v/>
      </c>
      <c r="G410" s="7" t="str">
        <f t="shared" si="650"/>
        <v/>
      </c>
      <c r="H410" s="5" t="str">
        <f t="shared" si="651"/>
        <v/>
      </c>
      <c r="I410" s="122" t="str">
        <f t="shared" si="652"/>
        <v/>
      </c>
      <c r="J410" s="7" t="str">
        <f t="shared" si="653"/>
        <v/>
      </c>
      <c r="K410" s="9" t="str">
        <f t="shared" si="654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649"/>
        <v/>
      </c>
      <c r="G411" s="7" t="str">
        <f t="shared" si="650"/>
        <v/>
      </c>
      <c r="H411" s="5" t="str">
        <f t="shared" si="651"/>
        <v/>
      </c>
      <c r="I411" s="122" t="str">
        <f t="shared" si="652"/>
        <v/>
      </c>
      <c r="J411" s="7" t="str">
        <f t="shared" si="653"/>
        <v/>
      </c>
      <c r="K411" s="9" t="str">
        <f t="shared" si="654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649"/>
        <v/>
      </c>
      <c r="G412" s="7" t="str">
        <f t="shared" si="650"/>
        <v/>
      </c>
      <c r="H412" s="5" t="str">
        <f t="shared" si="651"/>
        <v/>
      </c>
      <c r="I412" s="122" t="str">
        <f t="shared" si="652"/>
        <v/>
      </c>
      <c r="J412" s="7" t="str">
        <f t="shared" si="653"/>
        <v/>
      </c>
      <c r="K412" s="9" t="str">
        <f t="shared" si="654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649"/>
        <v/>
      </c>
      <c r="G413" s="7" t="str">
        <f t="shared" si="650"/>
        <v/>
      </c>
      <c r="H413" s="5" t="str">
        <f t="shared" si="651"/>
        <v/>
      </c>
      <c r="I413" s="122" t="str">
        <f t="shared" si="652"/>
        <v/>
      </c>
      <c r="J413" s="7" t="str">
        <f t="shared" si="653"/>
        <v/>
      </c>
      <c r="K413" s="9" t="str">
        <f t="shared" si="654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649"/>
        <v/>
      </c>
      <c r="G414" s="7" t="str">
        <f t="shared" si="650"/>
        <v/>
      </c>
      <c r="H414" s="5" t="str">
        <f t="shared" si="651"/>
        <v/>
      </c>
      <c r="I414" s="122" t="str">
        <f t="shared" si="652"/>
        <v/>
      </c>
      <c r="J414" s="7" t="str">
        <f t="shared" si="653"/>
        <v/>
      </c>
      <c r="K414" s="9" t="str">
        <f t="shared" si="654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649"/>
        <v/>
      </c>
      <c r="G415" s="7" t="str">
        <f t="shared" si="650"/>
        <v/>
      </c>
      <c r="H415" s="5" t="str">
        <f t="shared" si="651"/>
        <v/>
      </c>
      <c r="I415" s="122" t="str">
        <f t="shared" si="652"/>
        <v/>
      </c>
      <c r="J415" s="7" t="str">
        <f t="shared" si="653"/>
        <v/>
      </c>
      <c r="K415" s="9" t="str">
        <f t="shared" si="654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649"/>
        <v/>
      </c>
      <c r="G416" s="7" t="str">
        <f t="shared" si="650"/>
        <v/>
      </c>
      <c r="H416" s="5" t="str">
        <f t="shared" si="651"/>
        <v/>
      </c>
      <c r="I416" s="122" t="str">
        <f t="shared" si="652"/>
        <v/>
      </c>
      <c r="J416" s="7" t="str">
        <f t="shared" si="653"/>
        <v/>
      </c>
      <c r="K416" s="9" t="str">
        <f t="shared" si="654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649"/>
        <v/>
      </c>
      <c r="G417" s="7" t="str">
        <f t="shared" si="650"/>
        <v/>
      </c>
      <c r="H417" s="5" t="str">
        <f t="shared" si="651"/>
        <v/>
      </c>
      <c r="I417" s="122" t="str">
        <f t="shared" si="652"/>
        <v/>
      </c>
      <c r="J417" s="7" t="str">
        <f t="shared" si="653"/>
        <v/>
      </c>
      <c r="K417" s="9" t="str">
        <f t="shared" si="654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649"/>
        <v/>
      </c>
      <c r="G418" s="7" t="str">
        <f t="shared" si="650"/>
        <v/>
      </c>
      <c r="H418" s="5" t="str">
        <f t="shared" si="651"/>
        <v/>
      </c>
      <c r="I418" s="122" t="str">
        <f t="shared" si="652"/>
        <v/>
      </c>
      <c r="J418" s="7" t="str">
        <f t="shared" si="653"/>
        <v/>
      </c>
      <c r="K418" s="9" t="str">
        <f t="shared" si="654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649"/>
        <v/>
      </c>
      <c r="G419" s="7" t="str">
        <f t="shared" si="650"/>
        <v/>
      </c>
      <c r="H419" s="5" t="str">
        <f t="shared" si="651"/>
        <v/>
      </c>
      <c r="I419" s="122" t="str">
        <f t="shared" si="652"/>
        <v/>
      </c>
      <c r="J419" s="7" t="str">
        <f t="shared" si="653"/>
        <v/>
      </c>
      <c r="K419" s="9" t="str">
        <f t="shared" si="654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649"/>
        <v/>
      </c>
      <c r="G420" s="7" t="str">
        <f t="shared" si="650"/>
        <v/>
      </c>
      <c r="H420" s="5" t="str">
        <f t="shared" si="651"/>
        <v/>
      </c>
      <c r="I420" s="122" t="str">
        <f t="shared" si="652"/>
        <v/>
      </c>
      <c r="J420" s="7" t="str">
        <f t="shared" si="653"/>
        <v/>
      </c>
      <c r="K420" s="9" t="str">
        <f t="shared" si="654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649"/>
        <v/>
      </c>
      <c r="G421" s="7" t="str">
        <f t="shared" si="650"/>
        <v/>
      </c>
      <c r="H421" s="5" t="str">
        <f t="shared" si="651"/>
        <v/>
      </c>
      <c r="I421" s="122" t="str">
        <f t="shared" si="652"/>
        <v/>
      </c>
      <c r="J421" s="7" t="str">
        <f t="shared" si="653"/>
        <v/>
      </c>
      <c r="K421" s="9" t="str">
        <f t="shared" si="654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649"/>
        <v/>
      </c>
      <c r="G422" s="7" t="str">
        <f t="shared" si="650"/>
        <v/>
      </c>
      <c r="H422" s="5" t="str">
        <f t="shared" si="651"/>
        <v/>
      </c>
      <c r="I422" s="122" t="str">
        <f t="shared" si="652"/>
        <v/>
      </c>
      <c r="J422" s="7" t="str">
        <f t="shared" si="653"/>
        <v/>
      </c>
      <c r="K422" s="9" t="str">
        <f t="shared" si="654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649"/>
        <v/>
      </c>
      <c r="G423" s="7" t="str">
        <f t="shared" si="650"/>
        <v/>
      </c>
      <c r="H423" s="5" t="str">
        <f t="shared" si="651"/>
        <v/>
      </c>
      <c r="I423" s="122" t="str">
        <f t="shared" si="652"/>
        <v/>
      </c>
      <c r="J423" s="7" t="str">
        <f t="shared" si="653"/>
        <v/>
      </c>
      <c r="K423" s="9" t="str">
        <f t="shared" si="654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649"/>
        <v/>
      </c>
      <c r="G424" s="7" t="str">
        <f t="shared" si="650"/>
        <v/>
      </c>
      <c r="H424" s="5" t="str">
        <f t="shared" si="651"/>
        <v/>
      </c>
      <c r="I424" s="122" t="str">
        <f t="shared" si="652"/>
        <v/>
      </c>
      <c r="J424" s="7" t="str">
        <f t="shared" si="653"/>
        <v/>
      </c>
      <c r="K424" s="9" t="str">
        <f t="shared" si="654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649"/>
        <v/>
      </c>
      <c r="G425" s="7" t="str">
        <f t="shared" si="650"/>
        <v/>
      </c>
      <c r="H425" s="5" t="str">
        <f t="shared" si="651"/>
        <v/>
      </c>
      <c r="I425" s="122" t="str">
        <f t="shared" si="652"/>
        <v/>
      </c>
      <c r="J425" s="7" t="str">
        <f t="shared" si="653"/>
        <v/>
      </c>
      <c r="K425" s="9" t="str">
        <f t="shared" si="654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649"/>
        <v/>
      </c>
      <c r="G426" s="7" t="str">
        <f t="shared" si="650"/>
        <v/>
      </c>
      <c r="H426" s="5" t="str">
        <f t="shared" si="651"/>
        <v/>
      </c>
      <c r="I426" s="122" t="str">
        <f t="shared" si="652"/>
        <v/>
      </c>
      <c r="J426" s="7" t="str">
        <f t="shared" si="653"/>
        <v/>
      </c>
      <c r="K426" s="9" t="str">
        <f t="shared" si="654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649"/>
        <v/>
      </c>
      <c r="G427" s="7" t="str">
        <f t="shared" si="650"/>
        <v/>
      </c>
      <c r="H427" s="5" t="str">
        <f t="shared" si="651"/>
        <v/>
      </c>
      <c r="I427" s="122" t="str">
        <f t="shared" si="652"/>
        <v/>
      </c>
      <c r="J427" s="7" t="str">
        <f t="shared" si="653"/>
        <v/>
      </c>
      <c r="K427" s="9" t="str">
        <f t="shared" si="654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649"/>
        <v/>
      </c>
      <c r="G428" s="7" t="str">
        <f t="shared" si="650"/>
        <v/>
      </c>
      <c r="H428" s="5" t="str">
        <f t="shared" si="651"/>
        <v/>
      </c>
      <c r="I428" s="122" t="str">
        <f t="shared" si="652"/>
        <v/>
      </c>
      <c r="J428" s="7" t="str">
        <f t="shared" si="653"/>
        <v/>
      </c>
      <c r="K428" s="9" t="str">
        <f t="shared" si="654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649"/>
        <v/>
      </c>
      <c r="G429" s="7" t="str">
        <f t="shared" si="650"/>
        <v/>
      </c>
      <c r="H429" s="5" t="str">
        <f t="shared" si="651"/>
        <v/>
      </c>
      <c r="I429" s="122" t="str">
        <f t="shared" si="652"/>
        <v/>
      </c>
      <c r="J429" s="7" t="str">
        <f t="shared" si="653"/>
        <v/>
      </c>
      <c r="K429" s="9" t="str">
        <f t="shared" si="654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649"/>
        <v/>
      </c>
      <c r="G430" s="7" t="str">
        <f t="shared" si="650"/>
        <v/>
      </c>
      <c r="H430" s="5" t="str">
        <f t="shared" si="651"/>
        <v/>
      </c>
      <c r="I430" s="122" t="str">
        <f t="shared" si="652"/>
        <v/>
      </c>
      <c r="J430" s="7" t="str">
        <f t="shared" si="653"/>
        <v/>
      </c>
      <c r="K430" s="9" t="str">
        <f t="shared" si="654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649"/>
        <v/>
      </c>
      <c r="G431" s="7" t="str">
        <f t="shared" si="650"/>
        <v/>
      </c>
      <c r="H431" s="5" t="str">
        <f t="shared" si="651"/>
        <v/>
      </c>
      <c r="I431" s="122" t="str">
        <f t="shared" si="652"/>
        <v/>
      </c>
      <c r="J431" s="7" t="str">
        <f t="shared" si="653"/>
        <v/>
      </c>
      <c r="K431" s="9" t="str">
        <f t="shared" si="654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649"/>
        <v/>
      </c>
      <c r="G432" s="7" t="str">
        <f t="shared" si="650"/>
        <v/>
      </c>
      <c r="H432" s="5" t="str">
        <f t="shared" si="651"/>
        <v/>
      </c>
      <c r="I432" s="122" t="str">
        <f t="shared" si="652"/>
        <v/>
      </c>
      <c r="J432" s="7" t="str">
        <f t="shared" si="653"/>
        <v/>
      </c>
      <c r="K432" s="9" t="str">
        <f t="shared" si="654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649"/>
        <v/>
      </c>
      <c r="G433" s="7" t="str">
        <f t="shared" si="650"/>
        <v/>
      </c>
      <c r="H433" s="5" t="str">
        <f t="shared" si="651"/>
        <v/>
      </c>
      <c r="I433" s="122" t="str">
        <f t="shared" si="652"/>
        <v/>
      </c>
      <c r="J433" s="7" t="str">
        <f t="shared" si="653"/>
        <v/>
      </c>
      <c r="K433" s="9" t="str">
        <f t="shared" si="654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649"/>
        <v/>
      </c>
      <c r="G434" s="7" t="str">
        <f t="shared" si="650"/>
        <v/>
      </c>
      <c r="H434" s="5" t="str">
        <f t="shared" si="651"/>
        <v/>
      </c>
      <c r="I434" s="122" t="str">
        <f t="shared" si="652"/>
        <v/>
      </c>
      <c r="J434" s="7" t="str">
        <f t="shared" si="653"/>
        <v/>
      </c>
      <c r="K434" s="9" t="str">
        <f t="shared" si="654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649"/>
        <v/>
      </c>
      <c r="G435" s="7" t="str">
        <f t="shared" si="650"/>
        <v/>
      </c>
      <c r="H435" s="5" t="str">
        <f t="shared" si="651"/>
        <v/>
      </c>
      <c r="I435" s="122" t="str">
        <f t="shared" si="652"/>
        <v/>
      </c>
      <c r="J435" s="7" t="str">
        <f t="shared" si="653"/>
        <v/>
      </c>
      <c r="K435" s="9" t="str">
        <f t="shared" si="654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649"/>
        <v/>
      </c>
      <c r="G436" s="7" t="str">
        <f t="shared" si="650"/>
        <v/>
      </c>
      <c r="H436" s="5" t="str">
        <f t="shared" si="651"/>
        <v/>
      </c>
      <c r="I436" s="122" t="str">
        <f t="shared" si="652"/>
        <v/>
      </c>
      <c r="J436" s="7" t="str">
        <f t="shared" si="653"/>
        <v/>
      </c>
      <c r="K436" s="9" t="str">
        <f t="shared" si="654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649"/>
        <v/>
      </c>
      <c r="G437" s="7" t="str">
        <f t="shared" si="650"/>
        <v/>
      </c>
      <c r="H437" s="5" t="str">
        <f t="shared" si="651"/>
        <v/>
      </c>
      <c r="I437" s="122" t="str">
        <f t="shared" si="652"/>
        <v/>
      </c>
      <c r="J437" s="7" t="str">
        <f t="shared" si="653"/>
        <v/>
      </c>
      <c r="K437" s="9" t="str">
        <f t="shared" si="654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649"/>
        <v/>
      </c>
      <c r="G438" s="7" t="str">
        <f t="shared" si="650"/>
        <v/>
      </c>
      <c r="H438" s="5" t="str">
        <f t="shared" si="651"/>
        <v/>
      </c>
      <c r="I438" s="122" t="str">
        <f t="shared" si="652"/>
        <v/>
      </c>
      <c r="J438" s="7" t="str">
        <f t="shared" si="653"/>
        <v/>
      </c>
      <c r="K438" s="9" t="str">
        <f t="shared" si="654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649"/>
        <v/>
      </c>
      <c r="G439" s="7" t="str">
        <f t="shared" si="650"/>
        <v/>
      </c>
      <c r="H439" s="5" t="str">
        <f t="shared" si="651"/>
        <v/>
      </c>
      <c r="I439" s="122" t="str">
        <f t="shared" si="652"/>
        <v/>
      </c>
      <c r="J439" s="7" t="str">
        <f t="shared" si="653"/>
        <v/>
      </c>
      <c r="K439" s="9" t="str">
        <f t="shared" si="654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649"/>
        <v/>
      </c>
      <c r="G440" s="7" t="str">
        <f t="shared" si="650"/>
        <v/>
      </c>
      <c r="H440" s="5" t="str">
        <f t="shared" si="651"/>
        <v/>
      </c>
      <c r="I440" s="122" t="str">
        <f t="shared" si="652"/>
        <v/>
      </c>
      <c r="J440" s="7" t="str">
        <f t="shared" si="653"/>
        <v/>
      </c>
      <c r="K440" s="9" t="str">
        <f t="shared" si="654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649"/>
        <v/>
      </c>
      <c r="G441" s="7" t="str">
        <f t="shared" si="650"/>
        <v/>
      </c>
      <c r="H441" s="5" t="str">
        <f t="shared" si="651"/>
        <v/>
      </c>
      <c r="I441" s="122" t="str">
        <f t="shared" si="652"/>
        <v/>
      </c>
      <c r="J441" s="7" t="str">
        <f t="shared" si="653"/>
        <v/>
      </c>
      <c r="K441" s="9" t="str">
        <f t="shared" si="654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649"/>
        <v/>
      </c>
      <c r="G442" s="7" t="str">
        <f t="shared" si="650"/>
        <v/>
      </c>
      <c r="H442" s="5" t="str">
        <f t="shared" si="651"/>
        <v/>
      </c>
      <c r="I442" s="122" t="str">
        <f t="shared" si="652"/>
        <v/>
      </c>
      <c r="J442" s="7" t="str">
        <f t="shared" si="653"/>
        <v/>
      </c>
      <c r="K442" s="9" t="str">
        <f t="shared" si="654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649"/>
        <v/>
      </c>
      <c r="G443" s="7" t="str">
        <f t="shared" si="650"/>
        <v/>
      </c>
      <c r="H443" s="5" t="str">
        <f t="shared" si="651"/>
        <v/>
      </c>
      <c r="I443" s="122" t="str">
        <f t="shared" si="652"/>
        <v/>
      </c>
      <c r="J443" s="7" t="str">
        <f t="shared" si="653"/>
        <v/>
      </c>
      <c r="K443" s="9" t="str">
        <f t="shared" si="654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649"/>
        <v/>
      </c>
      <c r="G444" s="7" t="str">
        <f t="shared" si="650"/>
        <v/>
      </c>
      <c r="H444" s="5" t="str">
        <f t="shared" si="651"/>
        <v/>
      </c>
      <c r="I444" s="122" t="str">
        <f t="shared" si="652"/>
        <v/>
      </c>
      <c r="J444" s="7" t="str">
        <f t="shared" si="653"/>
        <v/>
      </c>
      <c r="K444" s="9" t="str">
        <f t="shared" si="654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649"/>
        <v/>
      </c>
      <c r="G445" s="7" t="str">
        <f t="shared" si="650"/>
        <v/>
      </c>
      <c r="H445" s="5" t="str">
        <f t="shared" si="651"/>
        <v/>
      </c>
      <c r="I445" s="122" t="str">
        <f t="shared" si="652"/>
        <v/>
      </c>
      <c r="J445" s="7" t="str">
        <f t="shared" si="653"/>
        <v/>
      </c>
      <c r="K445" s="9" t="str">
        <f t="shared" si="654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649"/>
        <v/>
      </c>
      <c r="G446" s="7" t="str">
        <f t="shared" si="650"/>
        <v/>
      </c>
      <c r="H446" s="5" t="str">
        <f t="shared" si="651"/>
        <v/>
      </c>
      <c r="I446" s="122" t="str">
        <f t="shared" si="652"/>
        <v/>
      </c>
      <c r="J446" s="7" t="str">
        <f t="shared" si="653"/>
        <v/>
      </c>
      <c r="K446" s="9" t="str">
        <f t="shared" si="654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649"/>
        <v/>
      </c>
      <c r="G447" s="7" t="str">
        <f t="shared" si="650"/>
        <v/>
      </c>
      <c r="H447" s="5" t="str">
        <f t="shared" si="651"/>
        <v/>
      </c>
      <c r="I447" s="122" t="str">
        <f t="shared" si="652"/>
        <v/>
      </c>
      <c r="J447" s="7" t="str">
        <f t="shared" si="653"/>
        <v/>
      </c>
      <c r="K447" s="9" t="str">
        <f t="shared" si="654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649"/>
        <v/>
      </c>
      <c r="G448" s="7" t="str">
        <f t="shared" si="650"/>
        <v/>
      </c>
      <c r="H448" s="5" t="str">
        <f t="shared" si="651"/>
        <v/>
      </c>
      <c r="I448" s="122" t="str">
        <f t="shared" si="652"/>
        <v/>
      </c>
      <c r="J448" s="7" t="str">
        <f t="shared" si="653"/>
        <v/>
      </c>
      <c r="K448" s="9" t="str">
        <f t="shared" si="654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649"/>
        <v/>
      </c>
      <c r="G449" s="7" t="str">
        <f t="shared" si="650"/>
        <v/>
      </c>
      <c r="H449" s="5" t="str">
        <f t="shared" si="651"/>
        <v/>
      </c>
      <c r="I449" s="122" t="str">
        <f t="shared" si="652"/>
        <v/>
      </c>
      <c r="J449" s="7" t="str">
        <f t="shared" si="653"/>
        <v/>
      </c>
      <c r="K449" s="9" t="str">
        <f t="shared" si="654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649"/>
        <v/>
      </c>
      <c r="G450" s="7" t="str">
        <f t="shared" si="650"/>
        <v/>
      </c>
      <c r="H450" s="5" t="str">
        <f t="shared" si="651"/>
        <v/>
      </c>
      <c r="I450" s="122" t="str">
        <f t="shared" si="652"/>
        <v/>
      </c>
      <c r="J450" s="7" t="str">
        <f t="shared" si="653"/>
        <v/>
      </c>
      <c r="K450" s="9" t="str">
        <f t="shared" si="654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649"/>
        <v/>
      </c>
      <c r="G451" s="7" t="str">
        <f t="shared" si="650"/>
        <v/>
      </c>
      <c r="H451" s="5" t="str">
        <f t="shared" si="651"/>
        <v/>
      </c>
      <c r="I451" s="122" t="str">
        <f t="shared" si="652"/>
        <v/>
      </c>
      <c r="J451" s="7" t="str">
        <f t="shared" si="653"/>
        <v/>
      </c>
      <c r="K451" s="9" t="str">
        <f t="shared" si="654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649"/>
        <v/>
      </c>
      <c r="G452" s="7" t="str">
        <f t="shared" si="650"/>
        <v/>
      </c>
      <c r="H452" s="5" t="str">
        <f t="shared" si="651"/>
        <v/>
      </c>
      <c r="I452" s="122" t="str">
        <f t="shared" si="652"/>
        <v/>
      </c>
      <c r="J452" s="7" t="str">
        <f t="shared" si="653"/>
        <v/>
      </c>
      <c r="K452" s="9" t="str">
        <f t="shared" si="654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649"/>
        <v/>
      </c>
      <c r="G453" s="7" t="str">
        <f t="shared" si="650"/>
        <v/>
      </c>
      <c r="H453" s="5" t="str">
        <f t="shared" si="651"/>
        <v/>
      </c>
      <c r="I453" s="122" t="str">
        <f t="shared" si="652"/>
        <v/>
      </c>
      <c r="J453" s="7" t="str">
        <f t="shared" si="653"/>
        <v/>
      </c>
      <c r="K453" s="9" t="str">
        <f t="shared" si="654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649"/>
        <v/>
      </c>
      <c r="G454" s="7" t="str">
        <f t="shared" si="650"/>
        <v/>
      </c>
      <c r="H454" s="5" t="str">
        <f t="shared" si="651"/>
        <v/>
      </c>
      <c r="I454" s="122" t="str">
        <f t="shared" si="652"/>
        <v/>
      </c>
      <c r="J454" s="7" t="str">
        <f t="shared" si="653"/>
        <v/>
      </c>
      <c r="K454" s="9" t="str">
        <f t="shared" si="654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649"/>
        <v/>
      </c>
      <c r="G455" s="7" t="str">
        <f t="shared" si="650"/>
        <v/>
      </c>
      <c r="H455" s="5" t="str">
        <f t="shared" si="651"/>
        <v/>
      </c>
      <c r="I455" s="122" t="str">
        <f t="shared" si="652"/>
        <v/>
      </c>
      <c r="J455" s="7" t="str">
        <f t="shared" si="653"/>
        <v/>
      </c>
      <c r="K455" s="9" t="str">
        <f t="shared" si="654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649"/>
        <v/>
      </c>
      <c r="G456" s="7" t="str">
        <f t="shared" si="650"/>
        <v/>
      </c>
      <c r="H456" s="5" t="str">
        <f t="shared" si="651"/>
        <v/>
      </c>
      <c r="I456" s="122" t="str">
        <f t="shared" si="652"/>
        <v/>
      </c>
      <c r="J456" s="7" t="str">
        <f t="shared" si="653"/>
        <v/>
      </c>
      <c r="K456" s="9" t="str">
        <f t="shared" si="654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649"/>
        <v/>
      </c>
      <c r="G457" s="7" t="str">
        <f t="shared" si="650"/>
        <v/>
      </c>
      <c r="H457" s="5" t="str">
        <f t="shared" si="651"/>
        <v/>
      </c>
      <c r="I457" s="122" t="str">
        <f t="shared" si="652"/>
        <v/>
      </c>
      <c r="J457" s="7" t="str">
        <f t="shared" si="653"/>
        <v/>
      </c>
      <c r="K457" s="9" t="str">
        <f t="shared" si="654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649"/>
        <v/>
      </c>
      <c r="G458" s="7" t="str">
        <f t="shared" si="650"/>
        <v/>
      </c>
      <c r="H458" s="5" t="str">
        <f t="shared" si="651"/>
        <v/>
      </c>
      <c r="I458" s="122" t="str">
        <f t="shared" si="652"/>
        <v/>
      </c>
      <c r="J458" s="7" t="str">
        <f t="shared" si="653"/>
        <v/>
      </c>
      <c r="K458" s="9" t="str">
        <f t="shared" si="654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649"/>
        <v/>
      </c>
      <c r="G459" s="7" t="str">
        <f t="shared" si="650"/>
        <v/>
      </c>
      <c r="H459" s="5" t="str">
        <f t="shared" si="651"/>
        <v/>
      </c>
      <c r="I459" s="122" t="str">
        <f t="shared" si="652"/>
        <v/>
      </c>
      <c r="J459" s="7" t="str">
        <f t="shared" si="653"/>
        <v/>
      </c>
      <c r="K459" s="9" t="str">
        <f t="shared" si="654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ref="F460:F523" si="655">IF(ISBLANK(B460),"",IF(I460="L","Baixa",IF(I460="A","Média",IF(I460="","","Alta"))))</f>
        <v/>
      </c>
      <c r="G460" s="7" t="str">
        <f t="shared" ref="G460:G523" si="656">CONCATENATE(B460,I460)</f>
        <v/>
      </c>
      <c r="H460" s="5" t="str">
        <f t="shared" ref="H460:H523" si="657">IF(ISBLANK(B460),"",IF(B460="ALI",IF(I460="L",7,IF(I460="A",10,15)),IF(B460="AIE",IF(I460="L",5,IF(I460="A",7,10)),IF(B460="SE",IF(I460="L",4,IF(I460="A",5,7)),IF(OR(B460="EE",B460="CE"),IF(I460="L",3,IF(I460="A",4,6)),0)))))</f>
        <v/>
      </c>
      <c r="I460" s="122" t="str">
        <f t="shared" ref="I460:I523" si="658">IF(OR(ISBLANK(D460),ISBLANK(E460)),IF(OR(B460="ALI",B460="AIE"),"L",IF(OR(B460="EE",B460="SE",B460="CE"),"A","")),IF(B460="EE",IF(E460&gt;=3,IF(D460&gt;=5,"H","A"),IF(E460&gt;=2,IF(D460&gt;=16,"H",IF(D460&lt;=4,"L","A")),IF(D460&lt;=15,"L","A"))),IF(OR(B460="SE",B460="CE"),IF(E460&gt;=4,IF(D460&gt;=6,"H","A"),IF(E460&gt;=2,IF(D460&gt;=20,"H",IF(D460&lt;=5,"L","A")),IF(D460&lt;=19,"L","A"))),IF(OR(B460="ALI",B460="AIE"),IF(E460&gt;=6,IF(D460&gt;=20,"H","A"),IF(E460&gt;=2,IF(D460&gt;=51,"H",IF(D460&lt;=19,"L","A")),IF(D460&lt;=50,"L","A"))),""))))</f>
        <v/>
      </c>
      <c r="J460" s="7" t="str">
        <f t="shared" ref="J460:J523" si="659">CONCATENATE(B460,C460)</f>
        <v/>
      </c>
      <c r="K460" s="9" t="str">
        <f t="shared" si="654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655"/>
        <v/>
      </c>
      <c r="G461" s="7" t="str">
        <f t="shared" si="656"/>
        <v/>
      </c>
      <c r="H461" s="5" t="str">
        <f t="shared" si="657"/>
        <v/>
      </c>
      <c r="I461" s="122" t="str">
        <f t="shared" si="658"/>
        <v/>
      </c>
      <c r="J461" s="7" t="str">
        <f t="shared" si="659"/>
        <v/>
      </c>
      <c r="K461" s="9" t="str">
        <f t="shared" si="654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655"/>
        <v/>
      </c>
      <c r="G462" s="7" t="str">
        <f t="shared" si="656"/>
        <v/>
      </c>
      <c r="H462" s="5" t="str">
        <f t="shared" si="657"/>
        <v/>
      </c>
      <c r="I462" s="122" t="str">
        <f t="shared" si="658"/>
        <v/>
      </c>
      <c r="J462" s="7" t="str">
        <f t="shared" si="659"/>
        <v/>
      </c>
      <c r="K462" s="9" t="str">
        <f t="shared" ref="K462:K525" si="660">IF(OR(H462="",H462=0),L462,H462)</f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655"/>
        <v/>
      </c>
      <c r="G463" s="7" t="str">
        <f t="shared" si="656"/>
        <v/>
      </c>
      <c r="H463" s="5" t="str">
        <f t="shared" si="657"/>
        <v/>
      </c>
      <c r="I463" s="122" t="str">
        <f t="shared" si="658"/>
        <v/>
      </c>
      <c r="J463" s="7" t="str">
        <f t="shared" si="659"/>
        <v/>
      </c>
      <c r="K463" s="9" t="str">
        <f t="shared" si="660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655"/>
        <v/>
      </c>
      <c r="G464" s="7" t="str">
        <f t="shared" si="656"/>
        <v/>
      </c>
      <c r="H464" s="5" t="str">
        <f t="shared" si="657"/>
        <v/>
      </c>
      <c r="I464" s="122" t="str">
        <f t="shared" si="658"/>
        <v/>
      </c>
      <c r="J464" s="7" t="str">
        <f t="shared" si="659"/>
        <v/>
      </c>
      <c r="K464" s="9" t="str">
        <f t="shared" si="660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655"/>
        <v/>
      </c>
      <c r="G465" s="7" t="str">
        <f t="shared" si="656"/>
        <v/>
      </c>
      <c r="H465" s="5" t="str">
        <f t="shared" si="657"/>
        <v/>
      </c>
      <c r="I465" s="122" t="str">
        <f t="shared" si="658"/>
        <v/>
      </c>
      <c r="J465" s="7" t="str">
        <f t="shared" si="659"/>
        <v/>
      </c>
      <c r="K465" s="9" t="str">
        <f t="shared" si="660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655"/>
        <v/>
      </c>
      <c r="G466" s="7" t="str">
        <f t="shared" si="656"/>
        <v/>
      </c>
      <c r="H466" s="5" t="str">
        <f t="shared" si="657"/>
        <v/>
      </c>
      <c r="I466" s="122" t="str">
        <f t="shared" si="658"/>
        <v/>
      </c>
      <c r="J466" s="7" t="str">
        <f t="shared" si="659"/>
        <v/>
      </c>
      <c r="K466" s="9" t="str">
        <f t="shared" si="660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655"/>
        <v/>
      </c>
      <c r="G467" s="7" t="str">
        <f t="shared" si="656"/>
        <v/>
      </c>
      <c r="H467" s="5" t="str">
        <f t="shared" si="657"/>
        <v/>
      </c>
      <c r="I467" s="122" t="str">
        <f t="shared" si="658"/>
        <v/>
      </c>
      <c r="J467" s="7" t="str">
        <f t="shared" si="659"/>
        <v/>
      </c>
      <c r="K467" s="9" t="str">
        <f t="shared" si="660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655"/>
        <v/>
      </c>
      <c r="G468" s="7" t="str">
        <f t="shared" si="656"/>
        <v/>
      </c>
      <c r="H468" s="5" t="str">
        <f t="shared" si="657"/>
        <v/>
      </c>
      <c r="I468" s="122" t="str">
        <f t="shared" si="658"/>
        <v/>
      </c>
      <c r="J468" s="7" t="str">
        <f t="shared" si="659"/>
        <v/>
      </c>
      <c r="K468" s="9" t="str">
        <f t="shared" si="660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655"/>
        <v/>
      </c>
      <c r="G469" s="7" t="str">
        <f t="shared" si="656"/>
        <v/>
      </c>
      <c r="H469" s="5" t="str">
        <f t="shared" si="657"/>
        <v/>
      </c>
      <c r="I469" s="122" t="str">
        <f t="shared" si="658"/>
        <v/>
      </c>
      <c r="J469" s="7" t="str">
        <f t="shared" si="659"/>
        <v/>
      </c>
      <c r="K469" s="9" t="str">
        <f t="shared" si="660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655"/>
        <v/>
      </c>
      <c r="G470" s="7" t="str">
        <f t="shared" si="656"/>
        <v/>
      </c>
      <c r="H470" s="5" t="str">
        <f t="shared" si="657"/>
        <v/>
      </c>
      <c r="I470" s="122" t="str">
        <f t="shared" si="658"/>
        <v/>
      </c>
      <c r="J470" s="7" t="str">
        <f t="shared" si="659"/>
        <v/>
      </c>
      <c r="K470" s="9" t="str">
        <f t="shared" si="660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655"/>
        <v/>
      </c>
      <c r="G471" s="7" t="str">
        <f t="shared" si="656"/>
        <v/>
      </c>
      <c r="H471" s="5" t="str">
        <f t="shared" si="657"/>
        <v/>
      </c>
      <c r="I471" s="122" t="str">
        <f t="shared" si="658"/>
        <v/>
      </c>
      <c r="J471" s="7" t="str">
        <f t="shared" si="659"/>
        <v/>
      </c>
      <c r="K471" s="9" t="str">
        <f t="shared" si="660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655"/>
        <v/>
      </c>
      <c r="G472" s="7" t="str">
        <f t="shared" si="656"/>
        <v/>
      </c>
      <c r="H472" s="5" t="str">
        <f t="shared" si="657"/>
        <v/>
      </c>
      <c r="I472" s="122" t="str">
        <f t="shared" si="658"/>
        <v/>
      </c>
      <c r="J472" s="7" t="str">
        <f t="shared" si="659"/>
        <v/>
      </c>
      <c r="K472" s="9" t="str">
        <f t="shared" si="660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655"/>
        <v/>
      </c>
      <c r="G473" s="7" t="str">
        <f t="shared" si="656"/>
        <v/>
      </c>
      <c r="H473" s="5" t="str">
        <f t="shared" si="657"/>
        <v/>
      </c>
      <c r="I473" s="122" t="str">
        <f t="shared" si="658"/>
        <v/>
      </c>
      <c r="J473" s="7" t="str">
        <f t="shared" si="659"/>
        <v/>
      </c>
      <c r="K473" s="9" t="str">
        <f t="shared" si="660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655"/>
        <v/>
      </c>
      <c r="G474" s="7" t="str">
        <f t="shared" si="656"/>
        <v/>
      </c>
      <c r="H474" s="5" t="str">
        <f t="shared" si="657"/>
        <v/>
      </c>
      <c r="I474" s="122" t="str">
        <f t="shared" si="658"/>
        <v/>
      </c>
      <c r="J474" s="7" t="str">
        <f t="shared" si="659"/>
        <v/>
      </c>
      <c r="K474" s="9" t="str">
        <f t="shared" si="660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655"/>
        <v/>
      </c>
      <c r="G475" s="7" t="str">
        <f t="shared" si="656"/>
        <v/>
      </c>
      <c r="H475" s="5" t="str">
        <f t="shared" si="657"/>
        <v/>
      </c>
      <c r="I475" s="122" t="str">
        <f t="shared" si="658"/>
        <v/>
      </c>
      <c r="J475" s="7" t="str">
        <f t="shared" si="659"/>
        <v/>
      </c>
      <c r="K475" s="9" t="str">
        <f t="shared" si="660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655"/>
        <v/>
      </c>
      <c r="G476" s="7" t="str">
        <f t="shared" si="656"/>
        <v/>
      </c>
      <c r="H476" s="5" t="str">
        <f t="shared" si="657"/>
        <v/>
      </c>
      <c r="I476" s="122" t="str">
        <f t="shared" si="658"/>
        <v/>
      </c>
      <c r="J476" s="7" t="str">
        <f t="shared" si="659"/>
        <v/>
      </c>
      <c r="K476" s="9" t="str">
        <f t="shared" si="660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655"/>
        <v/>
      </c>
      <c r="G477" s="7" t="str">
        <f t="shared" si="656"/>
        <v/>
      </c>
      <c r="H477" s="5" t="str">
        <f t="shared" si="657"/>
        <v/>
      </c>
      <c r="I477" s="122" t="str">
        <f t="shared" si="658"/>
        <v/>
      </c>
      <c r="J477" s="7" t="str">
        <f t="shared" si="659"/>
        <v/>
      </c>
      <c r="K477" s="9" t="str">
        <f t="shared" si="660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655"/>
        <v/>
      </c>
      <c r="G478" s="7" t="str">
        <f t="shared" si="656"/>
        <v/>
      </c>
      <c r="H478" s="5" t="str">
        <f t="shared" si="657"/>
        <v/>
      </c>
      <c r="I478" s="122" t="str">
        <f t="shared" si="658"/>
        <v/>
      </c>
      <c r="J478" s="7" t="str">
        <f t="shared" si="659"/>
        <v/>
      </c>
      <c r="K478" s="9" t="str">
        <f t="shared" si="660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655"/>
        <v/>
      </c>
      <c r="G479" s="7" t="str">
        <f t="shared" si="656"/>
        <v/>
      </c>
      <c r="H479" s="5" t="str">
        <f t="shared" si="657"/>
        <v/>
      </c>
      <c r="I479" s="122" t="str">
        <f t="shared" si="658"/>
        <v/>
      </c>
      <c r="J479" s="7" t="str">
        <f t="shared" si="659"/>
        <v/>
      </c>
      <c r="K479" s="9" t="str">
        <f t="shared" si="660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655"/>
        <v/>
      </c>
      <c r="G480" s="7" t="str">
        <f t="shared" si="656"/>
        <v/>
      </c>
      <c r="H480" s="5" t="str">
        <f t="shared" si="657"/>
        <v/>
      </c>
      <c r="I480" s="122" t="str">
        <f t="shared" si="658"/>
        <v/>
      </c>
      <c r="J480" s="7" t="str">
        <f t="shared" si="659"/>
        <v/>
      </c>
      <c r="K480" s="9" t="str">
        <f t="shared" si="660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655"/>
        <v/>
      </c>
      <c r="G481" s="7" t="str">
        <f t="shared" si="656"/>
        <v/>
      </c>
      <c r="H481" s="5" t="str">
        <f t="shared" si="657"/>
        <v/>
      </c>
      <c r="I481" s="122" t="str">
        <f t="shared" si="658"/>
        <v/>
      </c>
      <c r="J481" s="7" t="str">
        <f t="shared" si="659"/>
        <v/>
      </c>
      <c r="K481" s="9" t="str">
        <f t="shared" si="660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655"/>
        <v/>
      </c>
      <c r="G482" s="7" t="str">
        <f t="shared" si="656"/>
        <v/>
      </c>
      <c r="H482" s="5" t="str">
        <f t="shared" si="657"/>
        <v/>
      </c>
      <c r="I482" s="122" t="str">
        <f t="shared" si="658"/>
        <v/>
      </c>
      <c r="J482" s="7" t="str">
        <f t="shared" si="659"/>
        <v/>
      </c>
      <c r="K482" s="9" t="str">
        <f t="shared" si="660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655"/>
        <v/>
      </c>
      <c r="G483" s="7" t="str">
        <f t="shared" si="656"/>
        <v/>
      </c>
      <c r="H483" s="5" t="str">
        <f t="shared" si="657"/>
        <v/>
      </c>
      <c r="I483" s="122" t="str">
        <f t="shared" si="658"/>
        <v/>
      </c>
      <c r="J483" s="7" t="str">
        <f t="shared" si="659"/>
        <v/>
      </c>
      <c r="K483" s="9" t="str">
        <f t="shared" si="660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655"/>
        <v/>
      </c>
      <c r="G484" s="7" t="str">
        <f t="shared" si="656"/>
        <v/>
      </c>
      <c r="H484" s="5" t="str">
        <f t="shared" si="657"/>
        <v/>
      </c>
      <c r="I484" s="122" t="str">
        <f t="shared" si="658"/>
        <v/>
      </c>
      <c r="J484" s="7" t="str">
        <f t="shared" si="659"/>
        <v/>
      </c>
      <c r="K484" s="9" t="str">
        <f t="shared" si="660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655"/>
        <v/>
      </c>
      <c r="G485" s="7" t="str">
        <f t="shared" si="656"/>
        <v/>
      </c>
      <c r="H485" s="5" t="str">
        <f t="shared" si="657"/>
        <v/>
      </c>
      <c r="I485" s="122" t="str">
        <f t="shared" si="658"/>
        <v/>
      </c>
      <c r="J485" s="7" t="str">
        <f t="shared" si="659"/>
        <v/>
      </c>
      <c r="K485" s="9" t="str">
        <f t="shared" si="660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655"/>
        <v/>
      </c>
      <c r="G486" s="7" t="str">
        <f t="shared" si="656"/>
        <v/>
      </c>
      <c r="H486" s="5" t="str">
        <f t="shared" si="657"/>
        <v/>
      </c>
      <c r="I486" s="122" t="str">
        <f t="shared" si="658"/>
        <v/>
      </c>
      <c r="J486" s="7" t="str">
        <f t="shared" si="659"/>
        <v/>
      </c>
      <c r="K486" s="9" t="str">
        <f t="shared" si="660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655"/>
        <v/>
      </c>
      <c r="G487" s="7" t="str">
        <f t="shared" si="656"/>
        <v/>
      </c>
      <c r="H487" s="5" t="str">
        <f t="shared" si="657"/>
        <v/>
      </c>
      <c r="I487" s="122" t="str">
        <f t="shared" si="658"/>
        <v/>
      </c>
      <c r="J487" s="7" t="str">
        <f t="shared" si="659"/>
        <v/>
      </c>
      <c r="K487" s="9" t="str">
        <f t="shared" si="660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655"/>
        <v/>
      </c>
      <c r="G488" s="7" t="str">
        <f t="shared" si="656"/>
        <v/>
      </c>
      <c r="H488" s="5" t="str">
        <f t="shared" si="657"/>
        <v/>
      </c>
      <c r="I488" s="122" t="str">
        <f t="shared" si="658"/>
        <v/>
      </c>
      <c r="J488" s="7" t="str">
        <f t="shared" si="659"/>
        <v/>
      </c>
      <c r="K488" s="9" t="str">
        <f t="shared" si="660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655"/>
        <v/>
      </c>
      <c r="G489" s="7" t="str">
        <f t="shared" si="656"/>
        <v/>
      </c>
      <c r="H489" s="5" t="str">
        <f t="shared" si="657"/>
        <v/>
      </c>
      <c r="I489" s="122" t="str">
        <f t="shared" si="658"/>
        <v/>
      </c>
      <c r="J489" s="7" t="str">
        <f t="shared" si="659"/>
        <v/>
      </c>
      <c r="K489" s="9" t="str">
        <f t="shared" si="660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655"/>
        <v/>
      </c>
      <c r="G490" s="7" t="str">
        <f t="shared" si="656"/>
        <v/>
      </c>
      <c r="H490" s="5" t="str">
        <f t="shared" si="657"/>
        <v/>
      </c>
      <c r="I490" s="122" t="str">
        <f t="shared" si="658"/>
        <v/>
      </c>
      <c r="J490" s="7" t="str">
        <f t="shared" si="659"/>
        <v/>
      </c>
      <c r="K490" s="9" t="str">
        <f t="shared" si="660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655"/>
        <v/>
      </c>
      <c r="G491" s="7" t="str">
        <f t="shared" si="656"/>
        <v/>
      </c>
      <c r="H491" s="5" t="str">
        <f t="shared" si="657"/>
        <v/>
      </c>
      <c r="I491" s="122" t="str">
        <f t="shared" si="658"/>
        <v/>
      </c>
      <c r="J491" s="7" t="str">
        <f t="shared" si="659"/>
        <v/>
      </c>
      <c r="K491" s="9" t="str">
        <f t="shared" si="660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655"/>
        <v/>
      </c>
      <c r="G492" s="7" t="str">
        <f t="shared" si="656"/>
        <v/>
      </c>
      <c r="H492" s="5" t="str">
        <f t="shared" si="657"/>
        <v/>
      </c>
      <c r="I492" s="122" t="str">
        <f t="shared" si="658"/>
        <v/>
      </c>
      <c r="J492" s="7" t="str">
        <f t="shared" si="659"/>
        <v/>
      </c>
      <c r="K492" s="9" t="str">
        <f t="shared" si="660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655"/>
        <v/>
      </c>
      <c r="G493" s="7" t="str">
        <f t="shared" si="656"/>
        <v/>
      </c>
      <c r="H493" s="5" t="str">
        <f t="shared" si="657"/>
        <v/>
      </c>
      <c r="I493" s="122" t="str">
        <f t="shared" si="658"/>
        <v/>
      </c>
      <c r="J493" s="7" t="str">
        <f t="shared" si="659"/>
        <v/>
      </c>
      <c r="K493" s="9" t="str">
        <f t="shared" si="660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655"/>
        <v/>
      </c>
      <c r="G494" s="7" t="str">
        <f t="shared" si="656"/>
        <v/>
      </c>
      <c r="H494" s="5" t="str">
        <f t="shared" si="657"/>
        <v/>
      </c>
      <c r="I494" s="122" t="str">
        <f t="shared" si="658"/>
        <v/>
      </c>
      <c r="J494" s="7" t="str">
        <f t="shared" si="659"/>
        <v/>
      </c>
      <c r="K494" s="9" t="str">
        <f t="shared" si="660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655"/>
        <v/>
      </c>
      <c r="G495" s="7" t="str">
        <f t="shared" si="656"/>
        <v/>
      </c>
      <c r="H495" s="5" t="str">
        <f t="shared" si="657"/>
        <v/>
      </c>
      <c r="I495" s="122" t="str">
        <f t="shared" si="658"/>
        <v/>
      </c>
      <c r="J495" s="7" t="str">
        <f t="shared" si="659"/>
        <v/>
      </c>
      <c r="K495" s="9" t="str">
        <f t="shared" si="660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655"/>
        <v/>
      </c>
      <c r="G496" s="7" t="str">
        <f t="shared" si="656"/>
        <v/>
      </c>
      <c r="H496" s="5" t="str">
        <f t="shared" si="657"/>
        <v/>
      </c>
      <c r="I496" s="122" t="str">
        <f t="shared" si="658"/>
        <v/>
      </c>
      <c r="J496" s="7" t="str">
        <f t="shared" si="659"/>
        <v/>
      </c>
      <c r="K496" s="9" t="str">
        <f t="shared" si="660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655"/>
        <v/>
      </c>
      <c r="G497" s="7" t="str">
        <f t="shared" si="656"/>
        <v/>
      </c>
      <c r="H497" s="5" t="str">
        <f t="shared" si="657"/>
        <v/>
      </c>
      <c r="I497" s="122" t="str">
        <f t="shared" si="658"/>
        <v/>
      </c>
      <c r="J497" s="7" t="str">
        <f t="shared" si="659"/>
        <v/>
      </c>
      <c r="K497" s="9" t="str">
        <f t="shared" si="660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655"/>
        <v/>
      </c>
      <c r="G498" s="7" t="str">
        <f t="shared" si="656"/>
        <v/>
      </c>
      <c r="H498" s="5" t="str">
        <f t="shared" si="657"/>
        <v/>
      </c>
      <c r="I498" s="122" t="str">
        <f t="shared" si="658"/>
        <v/>
      </c>
      <c r="J498" s="7" t="str">
        <f t="shared" si="659"/>
        <v/>
      </c>
      <c r="K498" s="9" t="str">
        <f t="shared" si="660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655"/>
        <v/>
      </c>
      <c r="G499" s="7" t="str">
        <f t="shared" si="656"/>
        <v/>
      </c>
      <c r="H499" s="5" t="str">
        <f t="shared" si="657"/>
        <v/>
      </c>
      <c r="I499" s="122" t="str">
        <f t="shared" si="658"/>
        <v/>
      </c>
      <c r="J499" s="7" t="str">
        <f t="shared" si="659"/>
        <v/>
      </c>
      <c r="K499" s="9" t="str">
        <f t="shared" si="660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655"/>
        <v/>
      </c>
      <c r="G500" s="7" t="str">
        <f t="shared" si="656"/>
        <v/>
      </c>
      <c r="H500" s="5" t="str">
        <f t="shared" si="657"/>
        <v/>
      </c>
      <c r="I500" s="122" t="str">
        <f t="shared" si="658"/>
        <v/>
      </c>
      <c r="J500" s="7" t="str">
        <f t="shared" si="659"/>
        <v/>
      </c>
      <c r="K500" s="9" t="str">
        <f t="shared" si="660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655"/>
        <v/>
      </c>
      <c r="G501" s="7" t="str">
        <f t="shared" si="656"/>
        <v/>
      </c>
      <c r="H501" s="5" t="str">
        <f t="shared" si="657"/>
        <v/>
      </c>
      <c r="I501" s="122" t="str">
        <f t="shared" si="658"/>
        <v/>
      </c>
      <c r="J501" s="7" t="str">
        <f t="shared" si="659"/>
        <v/>
      </c>
      <c r="K501" s="9" t="str">
        <f t="shared" si="660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655"/>
        <v/>
      </c>
      <c r="G502" s="7" t="str">
        <f t="shared" si="656"/>
        <v/>
      </c>
      <c r="H502" s="5" t="str">
        <f t="shared" si="657"/>
        <v/>
      </c>
      <c r="I502" s="122" t="str">
        <f t="shared" si="658"/>
        <v/>
      </c>
      <c r="J502" s="7" t="str">
        <f t="shared" si="659"/>
        <v/>
      </c>
      <c r="K502" s="9" t="str">
        <f t="shared" si="660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655"/>
        <v/>
      </c>
      <c r="G503" s="7" t="str">
        <f t="shared" si="656"/>
        <v/>
      </c>
      <c r="H503" s="5" t="str">
        <f t="shared" si="657"/>
        <v/>
      </c>
      <c r="I503" s="122" t="str">
        <f t="shared" si="658"/>
        <v/>
      </c>
      <c r="J503" s="7" t="str">
        <f t="shared" si="659"/>
        <v/>
      </c>
      <c r="K503" s="9" t="str">
        <f t="shared" si="660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655"/>
        <v/>
      </c>
      <c r="G504" s="7" t="str">
        <f t="shared" si="656"/>
        <v/>
      </c>
      <c r="H504" s="5" t="str">
        <f t="shared" si="657"/>
        <v/>
      </c>
      <c r="I504" s="122" t="str">
        <f t="shared" si="658"/>
        <v/>
      </c>
      <c r="J504" s="7" t="str">
        <f t="shared" si="659"/>
        <v/>
      </c>
      <c r="K504" s="9" t="str">
        <f t="shared" si="660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655"/>
        <v/>
      </c>
      <c r="G505" s="7" t="str">
        <f t="shared" si="656"/>
        <v/>
      </c>
      <c r="H505" s="5" t="str">
        <f t="shared" si="657"/>
        <v/>
      </c>
      <c r="I505" s="122" t="str">
        <f t="shared" si="658"/>
        <v/>
      </c>
      <c r="J505" s="7" t="str">
        <f t="shared" si="659"/>
        <v/>
      </c>
      <c r="K505" s="9" t="str">
        <f t="shared" si="660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655"/>
        <v/>
      </c>
      <c r="G506" s="7" t="str">
        <f t="shared" si="656"/>
        <v/>
      </c>
      <c r="H506" s="5" t="str">
        <f t="shared" si="657"/>
        <v/>
      </c>
      <c r="I506" s="122" t="str">
        <f t="shared" si="658"/>
        <v/>
      </c>
      <c r="J506" s="7" t="str">
        <f t="shared" si="659"/>
        <v/>
      </c>
      <c r="K506" s="9" t="str">
        <f t="shared" si="660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655"/>
        <v/>
      </c>
      <c r="G507" s="7" t="str">
        <f t="shared" si="656"/>
        <v/>
      </c>
      <c r="H507" s="5" t="str">
        <f t="shared" si="657"/>
        <v/>
      </c>
      <c r="I507" s="122" t="str">
        <f t="shared" si="658"/>
        <v/>
      </c>
      <c r="J507" s="7" t="str">
        <f t="shared" si="659"/>
        <v/>
      </c>
      <c r="K507" s="9" t="str">
        <f t="shared" si="660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655"/>
        <v/>
      </c>
      <c r="G508" s="7" t="str">
        <f t="shared" si="656"/>
        <v/>
      </c>
      <c r="H508" s="5" t="str">
        <f t="shared" si="657"/>
        <v/>
      </c>
      <c r="I508" s="122" t="str">
        <f t="shared" si="658"/>
        <v/>
      </c>
      <c r="J508" s="7" t="str">
        <f t="shared" si="659"/>
        <v/>
      </c>
      <c r="K508" s="9" t="str">
        <f t="shared" si="660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655"/>
        <v/>
      </c>
      <c r="G509" s="7" t="str">
        <f t="shared" si="656"/>
        <v/>
      </c>
      <c r="H509" s="5" t="str">
        <f t="shared" si="657"/>
        <v/>
      </c>
      <c r="I509" s="122" t="str">
        <f t="shared" si="658"/>
        <v/>
      </c>
      <c r="J509" s="7" t="str">
        <f t="shared" si="659"/>
        <v/>
      </c>
      <c r="K509" s="9" t="str">
        <f t="shared" si="660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655"/>
        <v/>
      </c>
      <c r="G510" s="7" t="str">
        <f t="shared" si="656"/>
        <v/>
      </c>
      <c r="H510" s="5" t="str">
        <f t="shared" si="657"/>
        <v/>
      </c>
      <c r="I510" s="122" t="str">
        <f t="shared" si="658"/>
        <v/>
      </c>
      <c r="J510" s="7" t="str">
        <f t="shared" si="659"/>
        <v/>
      </c>
      <c r="K510" s="9" t="str">
        <f t="shared" si="660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655"/>
        <v/>
      </c>
      <c r="G511" s="7" t="str">
        <f t="shared" si="656"/>
        <v/>
      </c>
      <c r="H511" s="5" t="str">
        <f t="shared" si="657"/>
        <v/>
      </c>
      <c r="I511" s="122" t="str">
        <f t="shared" si="658"/>
        <v/>
      </c>
      <c r="J511" s="7" t="str">
        <f t="shared" si="659"/>
        <v/>
      </c>
      <c r="K511" s="9" t="str">
        <f t="shared" si="660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655"/>
        <v/>
      </c>
      <c r="G512" s="7" t="str">
        <f t="shared" si="656"/>
        <v/>
      </c>
      <c r="H512" s="5" t="str">
        <f t="shared" si="657"/>
        <v/>
      </c>
      <c r="I512" s="122" t="str">
        <f t="shared" si="658"/>
        <v/>
      </c>
      <c r="J512" s="7" t="str">
        <f t="shared" si="659"/>
        <v/>
      </c>
      <c r="K512" s="9" t="str">
        <f t="shared" si="660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655"/>
        <v/>
      </c>
      <c r="G513" s="7" t="str">
        <f t="shared" si="656"/>
        <v/>
      </c>
      <c r="H513" s="5" t="str">
        <f t="shared" si="657"/>
        <v/>
      </c>
      <c r="I513" s="122" t="str">
        <f t="shared" si="658"/>
        <v/>
      </c>
      <c r="J513" s="7" t="str">
        <f t="shared" si="659"/>
        <v/>
      </c>
      <c r="K513" s="9" t="str">
        <f t="shared" si="660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655"/>
        <v/>
      </c>
      <c r="G514" s="7" t="str">
        <f t="shared" si="656"/>
        <v/>
      </c>
      <c r="H514" s="5" t="str">
        <f t="shared" si="657"/>
        <v/>
      </c>
      <c r="I514" s="122" t="str">
        <f t="shared" si="658"/>
        <v/>
      </c>
      <c r="J514" s="7" t="str">
        <f t="shared" si="659"/>
        <v/>
      </c>
      <c r="K514" s="9" t="str">
        <f t="shared" si="660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655"/>
        <v/>
      </c>
      <c r="G515" s="7" t="str">
        <f t="shared" si="656"/>
        <v/>
      </c>
      <c r="H515" s="5" t="str">
        <f t="shared" si="657"/>
        <v/>
      </c>
      <c r="I515" s="122" t="str">
        <f t="shared" si="658"/>
        <v/>
      </c>
      <c r="J515" s="7" t="str">
        <f t="shared" si="659"/>
        <v/>
      </c>
      <c r="K515" s="9" t="str">
        <f t="shared" si="660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655"/>
        <v/>
      </c>
      <c r="G516" s="7" t="str">
        <f t="shared" si="656"/>
        <v/>
      </c>
      <c r="H516" s="5" t="str">
        <f t="shared" si="657"/>
        <v/>
      </c>
      <c r="I516" s="122" t="str">
        <f t="shared" si="658"/>
        <v/>
      </c>
      <c r="J516" s="7" t="str">
        <f t="shared" si="659"/>
        <v/>
      </c>
      <c r="K516" s="9" t="str">
        <f t="shared" si="660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655"/>
        <v/>
      </c>
      <c r="G517" s="7" t="str">
        <f t="shared" si="656"/>
        <v/>
      </c>
      <c r="H517" s="5" t="str">
        <f t="shared" si="657"/>
        <v/>
      </c>
      <c r="I517" s="122" t="str">
        <f t="shared" si="658"/>
        <v/>
      </c>
      <c r="J517" s="7" t="str">
        <f t="shared" si="659"/>
        <v/>
      </c>
      <c r="K517" s="9" t="str">
        <f t="shared" si="660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655"/>
        <v/>
      </c>
      <c r="G518" s="7" t="str">
        <f t="shared" si="656"/>
        <v/>
      </c>
      <c r="H518" s="5" t="str">
        <f t="shared" si="657"/>
        <v/>
      </c>
      <c r="I518" s="122" t="str">
        <f t="shared" si="658"/>
        <v/>
      </c>
      <c r="J518" s="7" t="str">
        <f t="shared" si="659"/>
        <v/>
      </c>
      <c r="K518" s="9" t="str">
        <f t="shared" si="660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655"/>
        <v/>
      </c>
      <c r="G519" s="7" t="str">
        <f t="shared" si="656"/>
        <v/>
      </c>
      <c r="H519" s="5" t="str">
        <f t="shared" si="657"/>
        <v/>
      </c>
      <c r="I519" s="122" t="str">
        <f t="shared" si="658"/>
        <v/>
      </c>
      <c r="J519" s="7" t="str">
        <f t="shared" si="659"/>
        <v/>
      </c>
      <c r="K519" s="9" t="str">
        <f t="shared" si="660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655"/>
        <v/>
      </c>
      <c r="G520" s="7" t="str">
        <f t="shared" si="656"/>
        <v/>
      </c>
      <c r="H520" s="5" t="str">
        <f t="shared" si="657"/>
        <v/>
      </c>
      <c r="I520" s="122" t="str">
        <f t="shared" si="658"/>
        <v/>
      </c>
      <c r="J520" s="7" t="str">
        <f t="shared" si="659"/>
        <v/>
      </c>
      <c r="K520" s="9" t="str">
        <f t="shared" si="660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655"/>
        <v/>
      </c>
      <c r="G521" s="7" t="str">
        <f t="shared" si="656"/>
        <v/>
      </c>
      <c r="H521" s="5" t="str">
        <f t="shared" si="657"/>
        <v/>
      </c>
      <c r="I521" s="122" t="str">
        <f t="shared" si="658"/>
        <v/>
      </c>
      <c r="J521" s="7" t="str">
        <f t="shared" si="659"/>
        <v/>
      </c>
      <c r="K521" s="9" t="str">
        <f t="shared" si="660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655"/>
        <v/>
      </c>
      <c r="G522" s="7" t="str">
        <f t="shared" si="656"/>
        <v/>
      </c>
      <c r="H522" s="5" t="str">
        <f t="shared" si="657"/>
        <v/>
      </c>
      <c r="I522" s="122" t="str">
        <f t="shared" si="658"/>
        <v/>
      </c>
      <c r="J522" s="7" t="str">
        <f t="shared" si="659"/>
        <v/>
      </c>
      <c r="K522" s="9" t="str">
        <f t="shared" si="660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655"/>
        <v/>
      </c>
      <c r="G523" s="7" t="str">
        <f t="shared" si="656"/>
        <v/>
      </c>
      <c r="H523" s="5" t="str">
        <f t="shared" si="657"/>
        <v/>
      </c>
      <c r="I523" s="122" t="str">
        <f t="shared" si="658"/>
        <v/>
      </c>
      <c r="J523" s="7" t="str">
        <f t="shared" si="659"/>
        <v/>
      </c>
      <c r="K523" s="9" t="str">
        <f t="shared" si="660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ref="F524:F587" si="661">IF(ISBLANK(B524),"",IF(I524="L","Baixa",IF(I524="A","Média",IF(I524="","","Alta"))))</f>
        <v/>
      </c>
      <c r="G524" s="7" t="str">
        <f t="shared" ref="G524:G587" si="662">CONCATENATE(B524,I524)</f>
        <v/>
      </c>
      <c r="H524" s="5" t="str">
        <f t="shared" ref="H524:H587" si="663">IF(ISBLANK(B524),"",IF(B524="ALI",IF(I524="L",7,IF(I524="A",10,15)),IF(B524="AIE",IF(I524="L",5,IF(I524="A",7,10)),IF(B524="SE",IF(I524="L",4,IF(I524="A",5,7)),IF(OR(B524="EE",B524="CE"),IF(I524="L",3,IF(I524="A",4,6)),0)))))</f>
        <v/>
      </c>
      <c r="I524" s="122" t="str">
        <f t="shared" ref="I524:I587" si="664">IF(OR(ISBLANK(D524),ISBLANK(E524)),IF(OR(B524="ALI",B524="AIE"),"L",IF(OR(B524="EE",B524="SE",B524="CE"),"A","")),IF(B524="EE",IF(E524&gt;=3,IF(D524&gt;=5,"H","A"),IF(E524&gt;=2,IF(D524&gt;=16,"H",IF(D524&lt;=4,"L","A")),IF(D524&lt;=15,"L","A"))),IF(OR(B524="SE",B524="CE"),IF(E524&gt;=4,IF(D524&gt;=6,"H","A"),IF(E524&gt;=2,IF(D524&gt;=20,"H",IF(D524&lt;=5,"L","A")),IF(D524&lt;=19,"L","A"))),IF(OR(B524="ALI",B524="AIE"),IF(E524&gt;=6,IF(D524&gt;=20,"H","A"),IF(E524&gt;=2,IF(D524&gt;=51,"H",IF(D524&lt;=19,"L","A")),IF(D524&lt;=50,"L","A"))),""))))</f>
        <v/>
      </c>
      <c r="J524" s="7" t="str">
        <f t="shared" ref="J524:J587" si="665">CONCATENATE(B524,C524)</f>
        <v/>
      </c>
      <c r="K524" s="9" t="str">
        <f t="shared" si="660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661"/>
        <v/>
      </c>
      <c r="G525" s="7" t="str">
        <f t="shared" si="662"/>
        <v/>
      </c>
      <c r="H525" s="5" t="str">
        <f t="shared" si="663"/>
        <v/>
      </c>
      <c r="I525" s="122" t="str">
        <f t="shared" si="664"/>
        <v/>
      </c>
      <c r="J525" s="7" t="str">
        <f t="shared" si="665"/>
        <v/>
      </c>
      <c r="K525" s="9" t="str">
        <f t="shared" si="660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661"/>
        <v/>
      </c>
      <c r="G526" s="7" t="str">
        <f t="shared" si="662"/>
        <v/>
      </c>
      <c r="H526" s="5" t="str">
        <f t="shared" si="663"/>
        <v/>
      </c>
      <c r="I526" s="122" t="str">
        <f t="shared" si="664"/>
        <v/>
      </c>
      <c r="J526" s="7" t="str">
        <f t="shared" si="665"/>
        <v/>
      </c>
      <c r="K526" s="9" t="str">
        <f t="shared" ref="K526:K589" si="666">IF(OR(H526="",H526=0),L526,H526)</f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661"/>
        <v/>
      </c>
      <c r="G527" s="7" t="str">
        <f t="shared" si="662"/>
        <v/>
      </c>
      <c r="H527" s="5" t="str">
        <f t="shared" si="663"/>
        <v/>
      </c>
      <c r="I527" s="122" t="str">
        <f t="shared" si="664"/>
        <v/>
      </c>
      <c r="J527" s="7" t="str">
        <f t="shared" si="665"/>
        <v/>
      </c>
      <c r="K527" s="9" t="str">
        <f t="shared" si="666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661"/>
        <v/>
      </c>
      <c r="G528" s="7" t="str">
        <f t="shared" si="662"/>
        <v/>
      </c>
      <c r="H528" s="5" t="str">
        <f t="shared" si="663"/>
        <v/>
      </c>
      <c r="I528" s="122" t="str">
        <f t="shared" si="664"/>
        <v/>
      </c>
      <c r="J528" s="7" t="str">
        <f t="shared" si="665"/>
        <v/>
      </c>
      <c r="K528" s="9" t="str">
        <f t="shared" si="666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661"/>
        <v/>
      </c>
      <c r="G529" s="7" t="str">
        <f t="shared" si="662"/>
        <v/>
      </c>
      <c r="H529" s="5" t="str">
        <f t="shared" si="663"/>
        <v/>
      </c>
      <c r="I529" s="122" t="str">
        <f t="shared" si="664"/>
        <v/>
      </c>
      <c r="J529" s="7" t="str">
        <f t="shared" si="665"/>
        <v/>
      </c>
      <c r="K529" s="9" t="str">
        <f t="shared" si="666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661"/>
        <v/>
      </c>
      <c r="G530" s="7" t="str">
        <f t="shared" si="662"/>
        <v/>
      </c>
      <c r="H530" s="5" t="str">
        <f t="shared" si="663"/>
        <v/>
      </c>
      <c r="I530" s="122" t="str">
        <f t="shared" si="664"/>
        <v/>
      </c>
      <c r="J530" s="7" t="str">
        <f t="shared" si="665"/>
        <v/>
      </c>
      <c r="K530" s="9" t="str">
        <f t="shared" si="666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661"/>
        <v/>
      </c>
      <c r="G531" s="7" t="str">
        <f t="shared" si="662"/>
        <v/>
      </c>
      <c r="H531" s="5" t="str">
        <f t="shared" si="663"/>
        <v/>
      </c>
      <c r="I531" s="122" t="str">
        <f t="shared" si="664"/>
        <v/>
      </c>
      <c r="J531" s="7" t="str">
        <f t="shared" si="665"/>
        <v/>
      </c>
      <c r="K531" s="9" t="str">
        <f t="shared" si="666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661"/>
        <v/>
      </c>
      <c r="G532" s="7" t="str">
        <f t="shared" si="662"/>
        <v/>
      </c>
      <c r="H532" s="5" t="str">
        <f t="shared" si="663"/>
        <v/>
      </c>
      <c r="I532" s="122" t="str">
        <f t="shared" si="664"/>
        <v/>
      </c>
      <c r="J532" s="7" t="str">
        <f t="shared" si="665"/>
        <v/>
      </c>
      <c r="K532" s="9" t="str">
        <f t="shared" si="666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661"/>
        <v/>
      </c>
      <c r="G533" s="7" t="str">
        <f t="shared" si="662"/>
        <v/>
      </c>
      <c r="H533" s="5" t="str">
        <f t="shared" si="663"/>
        <v/>
      </c>
      <c r="I533" s="122" t="str">
        <f t="shared" si="664"/>
        <v/>
      </c>
      <c r="J533" s="7" t="str">
        <f t="shared" si="665"/>
        <v/>
      </c>
      <c r="K533" s="9" t="str">
        <f t="shared" si="666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661"/>
        <v/>
      </c>
      <c r="G534" s="7" t="str">
        <f t="shared" si="662"/>
        <v/>
      </c>
      <c r="H534" s="5" t="str">
        <f t="shared" si="663"/>
        <v/>
      </c>
      <c r="I534" s="122" t="str">
        <f t="shared" si="664"/>
        <v/>
      </c>
      <c r="J534" s="7" t="str">
        <f t="shared" si="665"/>
        <v/>
      </c>
      <c r="K534" s="9" t="str">
        <f t="shared" si="666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661"/>
        <v/>
      </c>
      <c r="G535" s="7" t="str">
        <f t="shared" si="662"/>
        <v/>
      </c>
      <c r="H535" s="5" t="str">
        <f t="shared" si="663"/>
        <v/>
      </c>
      <c r="I535" s="122" t="str">
        <f t="shared" si="664"/>
        <v/>
      </c>
      <c r="J535" s="7" t="str">
        <f t="shared" si="665"/>
        <v/>
      </c>
      <c r="K535" s="9" t="str">
        <f t="shared" si="666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661"/>
        <v/>
      </c>
      <c r="G536" s="7" t="str">
        <f t="shared" si="662"/>
        <v/>
      </c>
      <c r="H536" s="5" t="str">
        <f t="shared" si="663"/>
        <v/>
      </c>
      <c r="I536" s="122" t="str">
        <f t="shared" si="664"/>
        <v/>
      </c>
      <c r="J536" s="7" t="str">
        <f t="shared" si="665"/>
        <v/>
      </c>
      <c r="K536" s="9" t="str">
        <f t="shared" si="666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661"/>
        <v/>
      </c>
      <c r="G537" s="7" t="str">
        <f t="shared" si="662"/>
        <v/>
      </c>
      <c r="H537" s="5" t="str">
        <f t="shared" si="663"/>
        <v/>
      </c>
      <c r="I537" s="122" t="str">
        <f t="shared" si="664"/>
        <v/>
      </c>
      <c r="J537" s="7" t="str">
        <f t="shared" si="665"/>
        <v/>
      </c>
      <c r="K537" s="9" t="str">
        <f t="shared" si="666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661"/>
        <v/>
      </c>
      <c r="G538" s="7" t="str">
        <f t="shared" si="662"/>
        <v/>
      </c>
      <c r="H538" s="5" t="str">
        <f t="shared" si="663"/>
        <v/>
      </c>
      <c r="I538" s="122" t="str">
        <f t="shared" si="664"/>
        <v/>
      </c>
      <c r="J538" s="7" t="str">
        <f t="shared" si="665"/>
        <v/>
      </c>
      <c r="K538" s="9" t="str">
        <f t="shared" si="666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661"/>
        <v/>
      </c>
      <c r="G539" s="7" t="str">
        <f t="shared" si="662"/>
        <v/>
      </c>
      <c r="H539" s="5" t="str">
        <f t="shared" si="663"/>
        <v/>
      </c>
      <c r="I539" s="122" t="str">
        <f t="shared" si="664"/>
        <v/>
      </c>
      <c r="J539" s="7" t="str">
        <f t="shared" si="665"/>
        <v/>
      </c>
      <c r="K539" s="9" t="str">
        <f t="shared" si="666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661"/>
        <v/>
      </c>
      <c r="G540" s="7" t="str">
        <f t="shared" si="662"/>
        <v/>
      </c>
      <c r="H540" s="5" t="str">
        <f t="shared" si="663"/>
        <v/>
      </c>
      <c r="I540" s="122" t="str">
        <f t="shared" si="664"/>
        <v/>
      </c>
      <c r="J540" s="7" t="str">
        <f t="shared" si="665"/>
        <v/>
      </c>
      <c r="K540" s="9" t="str">
        <f t="shared" si="666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661"/>
        <v/>
      </c>
      <c r="G541" s="7" t="str">
        <f t="shared" si="662"/>
        <v/>
      </c>
      <c r="H541" s="5" t="str">
        <f t="shared" si="663"/>
        <v/>
      </c>
      <c r="I541" s="122" t="str">
        <f t="shared" si="664"/>
        <v/>
      </c>
      <c r="J541" s="7" t="str">
        <f t="shared" si="665"/>
        <v/>
      </c>
      <c r="K541" s="9" t="str">
        <f t="shared" si="666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661"/>
        <v/>
      </c>
      <c r="G542" s="7" t="str">
        <f t="shared" si="662"/>
        <v/>
      </c>
      <c r="H542" s="5" t="str">
        <f t="shared" si="663"/>
        <v/>
      </c>
      <c r="I542" s="122" t="str">
        <f t="shared" si="664"/>
        <v/>
      </c>
      <c r="J542" s="7" t="str">
        <f t="shared" si="665"/>
        <v/>
      </c>
      <c r="K542" s="9" t="str">
        <f t="shared" si="666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661"/>
        <v/>
      </c>
      <c r="G543" s="7" t="str">
        <f t="shared" si="662"/>
        <v/>
      </c>
      <c r="H543" s="5" t="str">
        <f t="shared" si="663"/>
        <v/>
      </c>
      <c r="I543" s="122" t="str">
        <f t="shared" si="664"/>
        <v/>
      </c>
      <c r="J543" s="7" t="str">
        <f t="shared" si="665"/>
        <v/>
      </c>
      <c r="K543" s="9" t="str">
        <f t="shared" si="666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661"/>
        <v/>
      </c>
      <c r="G544" s="7" t="str">
        <f t="shared" si="662"/>
        <v/>
      </c>
      <c r="H544" s="5" t="str">
        <f t="shared" si="663"/>
        <v/>
      </c>
      <c r="I544" s="122" t="str">
        <f t="shared" si="664"/>
        <v/>
      </c>
      <c r="J544" s="7" t="str">
        <f t="shared" si="665"/>
        <v/>
      </c>
      <c r="K544" s="9" t="str">
        <f t="shared" si="666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661"/>
        <v/>
      </c>
      <c r="G545" s="7" t="str">
        <f t="shared" si="662"/>
        <v/>
      </c>
      <c r="H545" s="5" t="str">
        <f t="shared" si="663"/>
        <v/>
      </c>
      <c r="I545" s="122" t="str">
        <f t="shared" si="664"/>
        <v/>
      </c>
      <c r="J545" s="7" t="str">
        <f t="shared" si="665"/>
        <v/>
      </c>
      <c r="K545" s="9" t="str">
        <f t="shared" si="666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661"/>
        <v/>
      </c>
      <c r="G546" s="7" t="str">
        <f t="shared" si="662"/>
        <v/>
      </c>
      <c r="H546" s="5" t="str">
        <f t="shared" si="663"/>
        <v/>
      </c>
      <c r="I546" s="122" t="str">
        <f t="shared" si="664"/>
        <v/>
      </c>
      <c r="J546" s="7" t="str">
        <f t="shared" si="665"/>
        <v/>
      </c>
      <c r="K546" s="9" t="str">
        <f t="shared" si="666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661"/>
        <v/>
      </c>
      <c r="G547" s="7" t="str">
        <f t="shared" si="662"/>
        <v/>
      </c>
      <c r="H547" s="5" t="str">
        <f t="shared" si="663"/>
        <v/>
      </c>
      <c r="I547" s="122" t="str">
        <f t="shared" si="664"/>
        <v/>
      </c>
      <c r="J547" s="7" t="str">
        <f t="shared" si="665"/>
        <v/>
      </c>
      <c r="K547" s="9" t="str">
        <f t="shared" si="666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661"/>
        <v/>
      </c>
      <c r="G548" s="7" t="str">
        <f t="shared" si="662"/>
        <v/>
      </c>
      <c r="H548" s="5" t="str">
        <f t="shared" si="663"/>
        <v/>
      </c>
      <c r="I548" s="122" t="str">
        <f t="shared" si="664"/>
        <v/>
      </c>
      <c r="J548" s="7" t="str">
        <f t="shared" si="665"/>
        <v/>
      </c>
      <c r="K548" s="9" t="str">
        <f t="shared" si="666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661"/>
        <v/>
      </c>
      <c r="G549" s="7" t="str">
        <f t="shared" si="662"/>
        <v/>
      </c>
      <c r="H549" s="5" t="str">
        <f t="shared" si="663"/>
        <v/>
      </c>
      <c r="I549" s="122" t="str">
        <f t="shared" si="664"/>
        <v/>
      </c>
      <c r="J549" s="7" t="str">
        <f t="shared" si="665"/>
        <v/>
      </c>
      <c r="K549" s="9" t="str">
        <f t="shared" si="666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661"/>
        <v/>
      </c>
      <c r="G550" s="7" t="str">
        <f t="shared" si="662"/>
        <v/>
      </c>
      <c r="H550" s="5" t="str">
        <f t="shared" si="663"/>
        <v/>
      </c>
      <c r="I550" s="122" t="str">
        <f t="shared" si="664"/>
        <v/>
      </c>
      <c r="J550" s="7" t="str">
        <f t="shared" si="665"/>
        <v/>
      </c>
      <c r="K550" s="9" t="str">
        <f t="shared" si="666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661"/>
        <v/>
      </c>
      <c r="G551" s="7" t="str">
        <f t="shared" si="662"/>
        <v/>
      </c>
      <c r="H551" s="5" t="str">
        <f t="shared" si="663"/>
        <v/>
      </c>
      <c r="I551" s="122" t="str">
        <f t="shared" si="664"/>
        <v/>
      </c>
      <c r="J551" s="7" t="str">
        <f t="shared" si="665"/>
        <v/>
      </c>
      <c r="K551" s="9" t="str">
        <f t="shared" si="666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661"/>
        <v/>
      </c>
      <c r="G552" s="7" t="str">
        <f t="shared" si="662"/>
        <v/>
      </c>
      <c r="H552" s="5" t="str">
        <f t="shared" si="663"/>
        <v/>
      </c>
      <c r="I552" s="122" t="str">
        <f t="shared" si="664"/>
        <v/>
      </c>
      <c r="J552" s="7" t="str">
        <f t="shared" si="665"/>
        <v/>
      </c>
      <c r="K552" s="9" t="str">
        <f t="shared" si="666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661"/>
        <v/>
      </c>
      <c r="G553" s="7" t="str">
        <f t="shared" si="662"/>
        <v/>
      </c>
      <c r="H553" s="5" t="str">
        <f t="shared" si="663"/>
        <v/>
      </c>
      <c r="I553" s="122" t="str">
        <f t="shared" si="664"/>
        <v/>
      </c>
      <c r="J553" s="7" t="str">
        <f t="shared" si="665"/>
        <v/>
      </c>
      <c r="K553" s="9" t="str">
        <f t="shared" si="666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661"/>
        <v/>
      </c>
      <c r="G554" s="7" t="str">
        <f t="shared" si="662"/>
        <v/>
      </c>
      <c r="H554" s="5" t="str">
        <f t="shared" si="663"/>
        <v/>
      </c>
      <c r="I554" s="122" t="str">
        <f t="shared" si="664"/>
        <v/>
      </c>
      <c r="J554" s="7" t="str">
        <f t="shared" si="665"/>
        <v/>
      </c>
      <c r="K554" s="9" t="str">
        <f t="shared" si="666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661"/>
        <v/>
      </c>
      <c r="G555" s="7" t="str">
        <f t="shared" si="662"/>
        <v/>
      </c>
      <c r="H555" s="5" t="str">
        <f t="shared" si="663"/>
        <v/>
      </c>
      <c r="I555" s="122" t="str">
        <f t="shared" si="664"/>
        <v/>
      </c>
      <c r="J555" s="7" t="str">
        <f t="shared" si="665"/>
        <v/>
      </c>
      <c r="K555" s="9" t="str">
        <f t="shared" si="666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661"/>
        <v/>
      </c>
      <c r="G556" s="7" t="str">
        <f t="shared" si="662"/>
        <v/>
      </c>
      <c r="H556" s="5" t="str">
        <f t="shared" si="663"/>
        <v/>
      </c>
      <c r="I556" s="122" t="str">
        <f t="shared" si="664"/>
        <v/>
      </c>
      <c r="J556" s="7" t="str">
        <f t="shared" si="665"/>
        <v/>
      </c>
      <c r="K556" s="9" t="str">
        <f t="shared" si="666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661"/>
        <v/>
      </c>
      <c r="G557" s="7" t="str">
        <f t="shared" si="662"/>
        <v/>
      </c>
      <c r="H557" s="5" t="str">
        <f t="shared" si="663"/>
        <v/>
      </c>
      <c r="I557" s="122" t="str">
        <f t="shared" si="664"/>
        <v/>
      </c>
      <c r="J557" s="7" t="str">
        <f t="shared" si="665"/>
        <v/>
      </c>
      <c r="K557" s="9" t="str">
        <f t="shared" si="666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661"/>
        <v/>
      </c>
      <c r="G558" s="7" t="str">
        <f t="shared" si="662"/>
        <v/>
      </c>
      <c r="H558" s="5" t="str">
        <f t="shared" si="663"/>
        <v/>
      </c>
      <c r="I558" s="122" t="str">
        <f t="shared" si="664"/>
        <v/>
      </c>
      <c r="J558" s="7" t="str">
        <f t="shared" si="665"/>
        <v/>
      </c>
      <c r="K558" s="9" t="str">
        <f t="shared" si="666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661"/>
        <v/>
      </c>
      <c r="G559" s="7" t="str">
        <f t="shared" si="662"/>
        <v/>
      </c>
      <c r="H559" s="5" t="str">
        <f t="shared" si="663"/>
        <v/>
      </c>
      <c r="I559" s="122" t="str">
        <f t="shared" si="664"/>
        <v/>
      </c>
      <c r="J559" s="7" t="str">
        <f t="shared" si="665"/>
        <v/>
      </c>
      <c r="K559" s="9" t="str">
        <f t="shared" si="666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661"/>
        <v/>
      </c>
      <c r="G560" s="7" t="str">
        <f t="shared" si="662"/>
        <v/>
      </c>
      <c r="H560" s="5" t="str">
        <f t="shared" si="663"/>
        <v/>
      </c>
      <c r="I560" s="122" t="str">
        <f t="shared" si="664"/>
        <v/>
      </c>
      <c r="J560" s="7" t="str">
        <f t="shared" si="665"/>
        <v/>
      </c>
      <c r="K560" s="9" t="str">
        <f t="shared" si="666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661"/>
        <v/>
      </c>
      <c r="G561" s="7" t="str">
        <f t="shared" si="662"/>
        <v/>
      </c>
      <c r="H561" s="5" t="str">
        <f t="shared" si="663"/>
        <v/>
      </c>
      <c r="I561" s="122" t="str">
        <f t="shared" si="664"/>
        <v/>
      </c>
      <c r="J561" s="7" t="str">
        <f t="shared" si="665"/>
        <v/>
      </c>
      <c r="K561" s="9" t="str">
        <f t="shared" si="666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661"/>
        <v/>
      </c>
      <c r="G562" s="7" t="str">
        <f t="shared" si="662"/>
        <v/>
      </c>
      <c r="H562" s="5" t="str">
        <f t="shared" si="663"/>
        <v/>
      </c>
      <c r="I562" s="122" t="str">
        <f t="shared" si="664"/>
        <v/>
      </c>
      <c r="J562" s="7" t="str">
        <f t="shared" si="665"/>
        <v/>
      </c>
      <c r="K562" s="9" t="str">
        <f t="shared" si="666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661"/>
        <v/>
      </c>
      <c r="G563" s="7" t="str">
        <f t="shared" si="662"/>
        <v/>
      </c>
      <c r="H563" s="5" t="str">
        <f t="shared" si="663"/>
        <v/>
      </c>
      <c r="I563" s="122" t="str">
        <f t="shared" si="664"/>
        <v/>
      </c>
      <c r="J563" s="7" t="str">
        <f t="shared" si="665"/>
        <v/>
      </c>
      <c r="K563" s="9" t="str">
        <f t="shared" si="666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661"/>
        <v/>
      </c>
      <c r="G564" s="7" t="str">
        <f t="shared" si="662"/>
        <v/>
      </c>
      <c r="H564" s="5" t="str">
        <f t="shared" si="663"/>
        <v/>
      </c>
      <c r="I564" s="122" t="str">
        <f t="shared" si="664"/>
        <v/>
      </c>
      <c r="J564" s="7" t="str">
        <f t="shared" si="665"/>
        <v/>
      </c>
      <c r="K564" s="9" t="str">
        <f t="shared" si="666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661"/>
        <v/>
      </c>
      <c r="G565" s="7" t="str">
        <f t="shared" si="662"/>
        <v/>
      </c>
      <c r="H565" s="5" t="str">
        <f t="shared" si="663"/>
        <v/>
      </c>
      <c r="I565" s="122" t="str">
        <f t="shared" si="664"/>
        <v/>
      </c>
      <c r="J565" s="7" t="str">
        <f t="shared" si="665"/>
        <v/>
      </c>
      <c r="K565" s="9" t="str">
        <f t="shared" si="666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661"/>
        <v/>
      </c>
      <c r="G566" s="7" t="str">
        <f t="shared" si="662"/>
        <v/>
      </c>
      <c r="H566" s="5" t="str">
        <f t="shared" si="663"/>
        <v/>
      </c>
      <c r="I566" s="122" t="str">
        <f t="shared" si="664"/>
        <v/>
      </c>
      <c r="J566" s="7" t="str">
        <f t="shared" si="665"/>
        <v/>
      </c>
      <c r="K566" s="9" t="str">
        <f t="shared" si="666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661"/>
        <v/>
      </c>
      <c r="G567" s="7" t="str">
        <f t="shared" si="662"/>
        <v/>
      </c>
      <c r="H567" s="5" t="str">
        <f t="shared" si="663"/>
        <v/>
      </c>
      <c r="I567" s="122" t="str">
        <f t="shared" si="664"/>
        <v/>
      </c>
      <c r="J567" s="7" t="str">
        <f t="shared" si="665"/>
        <v/>
      </c>
      <c r="K567" s="9" t="str">
        <f t="shared" si="666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661"/>
        <v/>
      </c>
      <c r="G568" s="7" t="str">
        <f t="shared" si="662"/>
        <v/>
      </c>
      <c r="H568" s="5" t="str">
        <f t="shared" si="663"/>
        <v/>
      </c>
      <c r="I568" s="122" t="str">
        <f t="shared" si="664"/>
        <v/>
      </c>
      <c r="J568" s="7" t="str">
        <f t="shared" si="665"/>
        <v/>
      </c>
      <c r="K568" s="9" t="str">
        <f t="shared" si="666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661"/>
        <v/>
      </c>
      <c r="G569" s="7" t="str">
        <f t="shared" si="662"/>
        <v/>
      </c>
      <c r="H569" s="5" t="str">
        <f t="shared" si="663"/>
        <v/>
      </c>
      <c r="I569" s="122" t="str">
        <f t="shared" si="664"/>
        <v/>
      </c>
      <c r="J569" s="7" t="str">
        <f t="shared" si="665"/>
        <v/>
      </c>
      <c r="K569" s="9" t="str">
        <f t="shared" si="666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661"/>
        <v/>
      </c>
      <c r="G570" s="7" t="str">
        <f t="shared" si="662"/>
        <v/>
      </c>
      <c r="H570" s="5" t="str">
        <f t="shared" si="663"/>
        <v/>
      </c>
      <c r="I570" s="122" t="str">
        <f t="shared" si="664"/>
        <v/>
      </c>
      <c r="J570" s="7" t="str">
        <f t="shared" si="665"/>
        <v/>
      </c>
      <c r="K570" s="9" t="str">
        <f t="shared" si="666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661"/>
        <v/>
      </c>
      <c r="G571" s="7" t="str">
        <f t="shared" si="662"/>
        <v/>
      </c>
      <c r="H571" s="5" t="str">
        <f t="shared" si="663"/>
        <v/>
      </c>
      <c r="I571" s="122" t="str">
        <f t="shared" si="664"/>
        <v/>
      </c>
      <c r="J571" s="7" t="str">
        <f t="shared" si="665"/>
        <v/>
      </c>
      <c r="K571" s="9" t="str">
        <f t="shared" si="666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661"/>
        <v/>
      </c>
      <c r="G572" s="7" t="str">
        <f t="shared" si="662"/>
        <v/>
      </c>
      <c r="H572" s="5" t="str">
        <f t="shared" si="663"/>
        <v/>
      </c>
      <c r="I572" s="122" t="str">
        <f t="shared" si="664"/>
        <v/>
      </c>
      <c r="J572" s="7" t="str">
        <f t="shared" si="665"/>
        <v/>
      </c>
      <c r="K572" s="9" t="str">
        <f t="shared" si="666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661"/>
        <v/>
      </c>
      <c r="G573" s="7" t="str">
        <f t="shared" si="662"/>
        <v/>
      </c>
      <c r="H573" s="5" t="str">
        <f t="shared" si="663"/>
        <v/>
      </c>
      <c r="I573" s="122" t="str">
        <f t="shared" si="664"/>
        <v/>
      </c>
      <c r="J573" s="7" t="str">
        <f t="shared" si="665"/>
        <v/>
      </c>
      <c r="K573" s="9" t="str">
        <f t="shared" si="666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661"/>
        <v/>
      </c>
      <c r="G574" s="7" t="str">
        <f t="shared" si="662"/>
        <v/>
      </c>
      <c r="H574" s="5" t="str">
        <f t="shared" si="663"/>
        <v/>
      </c>
      <c r="I574" s="122" t="str">
        <f t="shared" si="664"/>
        <v/>
      </c>
      <c r="J574" s="7" t="str">
        <f t="shared" si="665"/>
        <v/>
      </c>
      <c r="K574" s="9" t="str">
        <f t="shared" si="666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661"/>
        <v/>
      </c>
      <c r="G575" s="7" t="str">
        <f t="shared" si="662"/>
        <v/>
      </c>
      <c r="H575" s="5" t="str">
        <f t="shared" si="663"/>
        <v/>
      </c>
      <c r="I575" s="122" t="str">
        <f t="shared" si="664"/>
        <v/>
      </c>
      <c r="J575" s="7" t="str">
        <f t="shared" si="665"/>
        <v/>
      </c>
      <c r="K575" s="9" t="str">
        <f t="shared" si="666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661"/>
        <v/>
      </c>
      <c r="G576" s="7" t="str">
        <f t="shared" si="662"/>
        <v/>
      </c>
      <c r="H576" s="5" t="str">
        <f t="shared" si="663"/>
        <v/>
      </c>
      <c r="I576" s="122" t="str">
        <f t="shared" si="664"/>
        <v/>
      </c>
      <c r="J576" s="7" t="str">
        <f t="shared" si="665"/>
        <v/>
      </c>
      <c r="K576" s="9" t="str">
        <f t="shared" si="666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661"/>
        <v/>
      </c>
      <c r="G577" s="7" t="str">
        <f t="shared" si="662"/>
        <v/>
      </c>
      <c r="H577" s="5" t="str">
        <f t="shared" si="663"/>
        <v/>
      </c>
      <c r="I577" s="122" t="str">
        <f t="shared" si="664"/>
        <v/>
      </c>
      <c r="J577" s="7" t="str">
        <f t="shared" si="665"/>
        <v/>
      </c>
      <c r="K577" s="9" t="str">
        <f t="shared" si="666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661"/>
        <v/>
      </c>
      <c r="G578" s="7" t="str">
        <f t="shared" si="662"/>
        <v/>
      </c>
      <c r="H578" s="5" t="str">
        <f t="shared" si="663"/>
        <v/>
      </c>
      <c r="I578" s="122" t="str">
        <f t="shared" si="664"/>
        <v/>
      </c>
      <c r="J578" s="7" t="str">
        <f t="shared" si="665"/>
        <v/>
      </c>
      <c r="K578" s="9" t="str">
        <f t="shared" si="666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661"/>
        <v/>
      </c>
      <c r="G579" s="7" t="str">
        <f t="shared" si="662"/>
        <v/>
      </c>
      <c r="H579" s="5" t="str">
        <f t="shared" si="663"/>
        <v/>
      </c>
      <c r="I579" s="122" t="str">
        <f t="shared" si="664"/>
        <v/>
      </c>
      <c r="J579" s="7" t="str">
        <f t="shared" si="665"/>
        <v/>
      </c>
      <c r="K579" s="9" t="str">
        <f t="shared" si="666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661"/>
        <v/>
      </c>
      <c r="G580" s="7" t="str">
        <f t="shared" si="662"/>
        <v/>
      </c>
      <c r="H580" s="5" t="str">
        <f t="shared" si="663"/>
        <v/>
      </c>
      <c r="I580" s="122" t="str">
        <f t="shared" si="664"/>
        <v/>
      </c>
      <c r="J580" s="7" t="str">
        <f t="shared" si="665"/>
        <v/>
      </c>
      <c r="K580" s="9" t="str">
        <f t="shared" si="666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661"/>
        <v/>
      </c>
      <c r="G581" s="7" t="str">
        <f t="shared" si="662"/>
        <v/>
      </c>
      <c r="H581" s="5" t="str">
        <f t="shared" si="663"/>
        <v/>
      </c>
      <c r="I581" s="122" t="str">
        <f t="shared" si="664"/>
        <v/>
      </c>
      <c r="J581" s="7" t="str">
        <f t="shared" si="665"/>
        <v/>
      </c>
      <c r="K581" s="9" t="str">
        <f t="shared" si="666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661"/>
        <v/>
      </c>
      <c r="G582" s="7" t="str">
        <f t="shared" si="662"/>
        <v/>
      </c>
      <c r="H582" s="5" t="str">
        <f t="shared" si="663"/>
        <v/>
      </c>
      <c r="I582" s="122" t="str">
        <f t="shared" si="664"/>
        <v/>
      </c>
      <c r="J582" s="7" t="str">
        <f t="shared" si="665"/>
        <v/>
      </c>
      <c r="K582" s="9" t="str">
        <f t="shared" si="666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661"/>
        <v/>
      </c>
      <c r="G583" s="7" t="str">
        <f t="shared" si="662"/>
        <v/>
      </c>
      <c r="H583" s="5" t="str">
        <f t="shared" si="663"/>
        <v/>
      </c>
      <c r="I583" s="122" t="str">
        <f t="shared" si="664"/>
        <v/>
      </c>
      <c r="J583" s="7" t="str">
        <f t="shared" si="665"/>
        <v/>
      </c>
      <c r="K583" s="9" t="str">
        <f t="shared" si="666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661"/>
        <v/>
      </c>
      <c r="G584" s="7" t="str">
        <f t="shared" si="662"/>
        <v/>
      </c>
      <c r="H584" s="5" t="str">
        <f t="shared" si="663"/>
        <v/>
      </c>
      <c r="I584" s="122" t="str">
        <f t="shared" si="664"/>
        <v/>
      </c>
      <c r="J584" s="7" t="str">
        <f t="shared" si="665"/>
        <v/>
      </c>
      <c r="K584" s="9" t="str">
        <f t="shared" si="666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661"/>
        <v/>
      </c>
      <c r="G585" s="7" t="str">
        <f t="shared" si="662"/>
        <v/>
      </c>
      <c r="H585" s="5" t="str">
        <f t="shared" si="663"/>
        <v/>
      </c>
      <c r="I585" s="122" t="str">
        <f t="shared" si="664"/>
        <v/>
      </c>
      <c r="J585" s="7" t="str">
        <f t="shared" si="665"/>
        <v/>
      </c>
      <c r="K585" s="9" t="str">
        <f t="shared" si="666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661"/>
        <v/>
      </c>
      <c r="G586" s="7" t="str">
        <f t="shared" si="662"/>
        <v/>
      </c>
      <c r="H586" s="5" t="str">
        <f t="shared" si="663"/>
        <v/>
      </c>
      <c r="I586" s="122" t="str">
        <f t="shared" si="664"/>
        <v/>
      </c>
      <c r="J586" s="7" t="str">
        <f t="shared" si="665"/>
        <v/>
      </c>
      <c r="K586" s="9" t="str">
        <f t="shared" si="666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661"/>
        <v/>
      </c>
      <c r="G587" s="7" t="str">
        <f t="shared" si="662"/>
        <v/>
      </c>
      <c r="H587" s="5" t="str">
        <f t="shared" si="663"/>
        <v/>
      </c>
      <c r="I587" s="122" t="str">
        <f t="shared" si="664"/>
        <v/>
      </c>
      <c r="J587" s="7" t="str">
        <f t="shared" si="665"/>
        <v/>
      </c>
      <c r="K587" s="9" t="str">
        <f t="shared" si="666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ref="F588:F651" si="667">IF(ISBLANK(B588),"",IF(I588="L","Baixa",IF(I588="A","Média",IF(I588="","","Alta"))))</f>
        <v/>
      </c>
      <c r="G588" s="7" t="str">
        <f t="shared" ref="G588:G651" si="668">CONCATENATE(B588,I588)</f>
        <v/>
      </c>
      <c r="H588" s="5" t="str">
        <f t="shared" ref="H588:H651" si="669">IF(ISBLANK(B588),"",IF(B588="ALI",IF(I588="L",7,IF(I588="A",10,15)),IF(B588="AIE",IF(I588="L",5,IF(I588="A",7,10)),IF(B588="SE",IF(I588="L",4,IF(I588="A",5,7)),IF(OR(B588="EE",B588="CE"),IF(I588="L",3,IF(I588="A",4,6)),0)))))</f>
        <v/>
      </c>
      <c r="I588" s="122" t="str">
        <f t="shared" ref="I588:I651" si="670">IF(OR(ISBLANK(D588),ISBLANK(E588)),IF(OR(B588="ALI",B588="AIE"),"L",IF(OR(B588="EE",B588="SE",B588="CE"),"A","")),IF(B588="EE",IF(E588&gt;=3,IF(D588&gt;=5,"H","A"),IF(E588&gt;=2,IF(D588&gt;=16,"H",IF(D588&lt;=4,"L","A")),IF(D588&lt;=15,"L","A"))),IF(OR(B588="SE",B588="CE"),IF(E588&gt;=4,IF(D588&gt;=6,"H","A"),IF(E588&gt;=2,IF(D588&gt;=20,"H",IF(D588&lt;=5,"L","A")),IF(D588&lt;=19,"L","A"))),IF(OR(B588="ALI",B588="AIE"),IF(E588&gt;=6,IF(D588&gt;=20,"H","A"),IF(E588&gt;=2,IF(D588&gt;=51,"H",IF(D588&lt;=19,"L","A")),IF(D588&lt;=50,"L","A"))),""))))</f>
        <v/>
      </c>
      <c r="J588" s="7" t="str">
        <f t="shared" ref="J588:J651" si="671">CONCATENATE(B588,C588)</f>
        <v/>
      </c>
      <c r="K588" s="9" t="str">
        <f t="shared" si="666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667"/>
        <v/>
      </c>
      <c r="G589" s="7" t="str">
        <f t="shared" si="668"/>
        <v/>
      </c>
      <c r="H589" s="5" t="str">
        <f t="shared" si="669"/>
        <v/>
      </c>
      <c r="I589" s="122" t="str">
        <f t="shared" si="670"/>
        <v/>
      </c>
      <c r="J589" s="7" t="str">
        <f t="shared" si="671"/>
        <v/>
      </c>
      <c r="K589" s="9" t="str">
        <f t="shared" si="666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667"/>
        <v/>
      </c>
      <c r="G590" s="7" t="str">
        <f t="shared" si="668"/>
        <v/>
      </c>
      <c r="H590" s="5" t="str">
        <f t="shared" si="669"/>
        <v/>
      </c>
      <c r="I590" s="122" t="str">
        <f t="shared" si="670"/>
        <v/>
      </c>
      <c r="J590" s="7" t="str">
        <f t="shared" si="671"/>
        <v/>
      </c>
      <c r="K590" s="9" t="str">
        <f t="shared" ref="K590:K653" si="672">IF(OR(H590="",H590=0),L590,H590)</f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667"/>
        <v/>
      </c>
      <c r="G591" s="7" t="str">
        <f t="shared" si="668"/>
        <v/>
      </c>
      <c r="H591" s="5" t="str">
        <f t="shared" si="669"/>
        <v/>
      </c>
      <c r="I591" s="122" t="str">
        <f t="shared" si="670"/>
        <v/>
      </c>
      <c r="J591" s="7" t="str">
        <f t="shared" si="671"/>
        <v/>
      </c>
      <c r="K591" s="9" t="str">
        <f t="shared" si="672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667"/>
        <v/>
      </c>
      <c r="G592" s="7" t="str">
        <f t="shared" si="668"/>
        <v/>
      </c>
      <c r="H592" s="5" t="str">
        <f t="shared" si="669"/>
        <v/>
      </c>
      <c r="I592" s="122" t="str">
        <f t="shared" si="670"/>
        <v/>
      </c>
      <c r="J592" s="7" t="str">
        <f t="shared" si="671"/>
        <v/>
      </c>
      <c r="K592" s="9" t="str">
        <f t="shared" si="672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667"/>
        <v/>
      </c>
      <c r="G593" s="7" t="str">
        <f t="shared" si="668"/>
        <v/>
      </c>
      <c r="H593" s="5" t="str">
        <f t="shared" si="669"/>
        <v/>
      </c>
      <c r="I593" s="122" t="str">
        <f t="shared" si="670"/>
        <v/>
      </c>
      <c r="J593" s="7" t="str">
        <f t="shared" si="671"/>
        <v/>
      </c>
      <c r="K593" s="9" t="str">
        <f t="shared" si="672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667"/>
        <v/>
      </c>
      <c r="G594" s="7" t="str">
        <f t="shared" si="668"/>
        <v/>
      </c>
      <c r="H594" s="5" t="str">
        <f t="shared" si="669"/>
        <v/>
      </c>
      <c r="I594" s="122" t="str">
        <f t="shared" si="670"/>
        <v/>
      </c>
      <c r="J594" s="7" t="str">
        <f t="shared" si="671"/>
        <v/>
      </c>
      <c r="K594" s="9" t="str">
        <f t="shared" si="672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667"/>
        <v/>
      </c>
      <c r="G595" s="7" t="str">
        <f t="shared" si="668"/>
        <v/>
      </c>
      <c r="H595" s="5" t="str">
        <f t="shared" si="669"/>
        <v/>
      </c>
      <c r="I595" s="122" t="str">
        <f t="shared" si="670"/>
        <v/>
      </c>
      <c r="J595" s="7" t="str">
        <f t="shared" si="671"/>
        <v/>
      </c>
      <c r="K595" s="9" t="str">
        <f t="shared" si="672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667"/>
        <v/>
      </c>
      <c r="G596" s="7" t="str">
        <f t="shared" si="668"/>
        <v/>
      </c>
      <c r="H596" s="5" t="str">
        <f t="shared" si="669"/>
        <v/>
      </c>
      <c r="I596" s="122" t="str">
        <f t="shared" si="670"/>
        <v/>
      </c>
      <c r="J596" s="7" t="str">
        <f t="shared" si="671"/>
        <v/>
      </c>
      <c r="K596" s="9" t="str">
        <f t="shared" si="672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667"/>
        <v/>
      </c>
      <c r="G597" s="7" t="str">
        <f t="shared" si="668"/>
        <v/>
      </c>
      <c r="H597" s="5" t="str">
        <f t="shared" si="669"/>
        <v/>
      </c>
      <c r="I597" s="122" t="str">
        <f t="shared" si="670"/>
        <v/>
      </c>
      <c r="J597" s="7" t="str">
        <f t="shared" si="671"/>
        <v/>
      </c>
      <c r="K597" s="9" t="str">
        <f t="shared" si="672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667"/>
        <v/>
      </c>
      <c r="G598" s="7" t="str">
        <f t="shared" si="668"/>
        <v/>
      </c>
      <c r="H598" s="5" t="str">
        <f t="shared" si="669"/>
        <v/>
      </c>
      <c r="I598" s="122" t="str">
        <f t="shared" si="670"/>
        <v/>
      </c>
      <c r="J598" s="7" t="str">
        <f t="shared" si="671"/>
        <v/>
      </c>
      <c r="K598" s="9" t="str">
        <f t="shared" si="672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667"/>
        <v/>
      </c>
      <c r="G599" s="7" t="str">
        <f t="shared" si="668"/>
        <v/>
      </c>
      <c r="H599" s="5" t="str">
        <f t="shared" si="669"/>
        <v/>
      </c>
      <c r="I599" s="122" t="str">
        <f t="shared" si="670"/>
        <v/>
      </c>
      <c r="J599" s="7" t="str">
        <f t="shared" si="671"/>
        <v/>
      </c>
      <c r="K599" s="9" t="str">
        <f t="shared" si="672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667"/>
        <v/>
      </c>
      <c r="G600" s="7" t="str">
        <f t="shared" si="668"/>
        <v/>
      </c>
      <c r="H600" s="5" t="str">
        <f t="shared" si="669"/>
        <v/>
      </c>
      <c r="I600" s="122" t="str">
        <f t="shared" si="670"/>
        <v/>
      </c>
      <c r="J600" s="7" t="str">
        <f t="shared" si="671"/>
        <v/>
      </c>
      <c r="K600" s="9" t="str">
        <f t="shared" si="672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667"/>
        <v/>
      </c>
      <c r="G601" s="7" t="str">
        <f t="shared" si="668"/>
        <v/>
      </c>
      <c r="H601" s="5" t="str">
        <f t="shared" si="669"/>
        <v/>
      </c>
      <c r="I601" s="122" t="str">
        <f t="shared" si="670"/>
        <v/>
      </c>
      <c r="J601" s="7" t="str">
        <f t="shared" si="671"/>
        <v/>
      </c>
      <c r="K601" s="9" t="str">
        <f t="shared" si="672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667"/>
        <v/>
      </c>
      <c r="G602" s="7" t="str">
        <f t="shared" si="668"/>
        <v/>
      </c>
      <c r="H602" s="5" t="str">
        <f t="shared" si="669"/>
        <v/>
      </c>
      <c r="I602" s="122" t="str">
        <f t="shared" si="670"/>
        <v/>
      </c>
      <c r="J602" s="7" t="str">
        <f t="shared" si="671"/>
        <v/>
      </c>
      <c r="K602" s="9" t="str">
        <f t="shared" si="672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667"/>
        <v/>
      </c>
      <c r="G603" s="7" t="str">
        <f t="shared" si="668"/>
        <v/>
      </c>
      <c r="H603" s="5" t="str">
        <f t="shared" si="669"/>
        <v/>
      </c>
      <c r="I603" s="122" t="str">
        <f t="shared" si="670"/>
        <v/>
      </c>
      <c r="J603" s="7" t="str">
        <f t="shared" si="671"/>
        <v/>
      </c>
      <c r="K603" s="9" t="str">
        <f t="shared" si="672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667"/>
        <v/>
      </c>
      <c r="G604" s="7" t="str">
        <f t="shared" si="668"/>
        <v/>
      </c>
      <c r="H604" s="5" t="str">
        <f t="shared" si="669"/>
        <v/>
      </c>
      <c r="I604" s="122" t="str">
        <f t="shared" si="670"/>
        <v/>
      </c>
      <c r="J604" s="7" t="str">
        <f t="shared" si="671"/>
        <v/>
      </c>
      <c r="K604" s="9" t="str">
        <f t="shared" si="672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667"/>
        <v/>
      </c>
      <c r="G605" s="7" t="str">
        <f t="shared" si="668"/>
        <v/>
      </c>
      <c r="H605" s="5" t="str">
        <f t="shared" si="669"/>
        <v/>
      </c>
      <c r="I605" s="122" t="str">
        <f t="shared" si="670"/>
        <v/>
      </c>
      <c r="J605" s="7" t="str">
        <f t="shared" si="671"/>
        <v/>
      </c>
      <c r="K605" s="9" t="str">
        <f t="shared" si="672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667"/>
        <v/>
      </c>
      <c r="G606" s="7" t="str">
        <f t="shared" si="668"/>
        <v/>
      </c>
      <c r="H606" s="5" t="str">
        <f t="shared" si="669"/>
        <v/>
      </c>
      <c r="I606" s="122" t="str">
        <f t="shared" si="670"/>
        <v/>
      </c>
      <c r="J606" s="7" t="str">
        <f t="shared" si="671"/>
        <v/>
      </c>
      <c r="K606" s="9" t="str">
        <f t="shared" si="672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667"/>
        <v/>
      </c>
      <c r="G607" s="7" t="str">
        <f t="shared" si="668"/>
        <v/>
      </c>
      <c r="H607" s="5" t="str">
        <f t="shared" si="669"/>
        <v/>
      </c>
      <c r="I607" s="122" t="str">
        <f t="shared" si="670"/>
        <v/>
      </c>
      <c r="J607" s="7" t="str">
        <f t="shared" si="671"/>
        <v/>
      </c>
      <c r="K607" s="9" t="str">
        <f t="shared" si="672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667"/>
        <v/>
      </c>
      <c r="G608" s="7" t="str">
        <f t="shared" si="668"/>
        <v/>
      </c>
      <c r="H608" s="5" t="str">
        <f t="shared" si="669"/>
        <v/>
      </c>
      <c r="I608" s="122" t="str">
        <f t="shared" si="670"/>
        <v/>
      </c>
      <c r="J608" s="7" t="str">
        <f t="shared" si="671"/>
        <v/>
      </c>
      <c r="K608" s="9" t="str">
        <f t="shared" si="672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667"/>
        <v/>
      </c>
      <c r="G609" s="7" t="str">
        <f t="shared" si="668"/>
        <v/>
      </c>
      <c r="H609" s="5" t="str">
        <f t="shared" si="669"/>
        <v/>
      </c>
      <c r="I609" s="122" t="str">
        <f t="shared" si="670"/>
        <v/>
      </c>
      <c r="J609" s="7" t="str">
        <f t="shared" si="671"/>
        <v/>
      </c>
      <c r="K609" s="9" t="str">
        <f t="shared" si="672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667"/>
        <v/>
      </c>
      <c r="G610" s="7" t="str">
        <f t="shared" si="668"/>
        <v/>
      </c>
      <c r="H610" s="5" t="str">
        <f t="shared" si="669"/>
        <v/>
      </c>
      <c r="I610" s="122" t="str">
        <f t="shared" si="670"/>
        <v/>
      </c>
      <c r="J610" s="7" t="str">
        <f t="shared" si="671"/>
        <v/>
      </c>
      <c r="K610" s="9" t="str">
        <f t="shared" si="672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667"/>
        <v/>
      </c>
      <c r="G611" s="7" t="str">
        <f t="shared" si="668"/>
        <v/>
      </c>
      <c r="H611" s="5" t="str">
        <f t="shared" si="669"/>
        <v/>
      </c>
      <c r="I611" s="122" t="str">
        <f t="shared" si="670"/>
        <v/>
      </c>
      <c r="J611" s="7" t="str">
        <f t="shared" si="671"/>
        <v/>
      </c>
      <c r="K611" s="9" t="str">
        <f t="shared" si="672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667"/>
        <v/>
      </c>
      <c r="G612" s="7" t="str">
        <f t="shared" si="668"/>
        <v/>
      </c>
      <c r="H612" s="5" t="str">
        <f t="shared" si="669"/>
        <v/>
      </c>
      <c r="I612" s="122" t="str">
        <f t="shared" si="670"/>
        <v/>
      </c>
      <c r="J612" s="7" t="str">
        <f t="shared" si="671"/>
        <v/>
      </c>
      <c r="K612" s="9" t="str">
        <f t="shared" si="672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667"/>
        <v/>
      </c>
      <c r="G613" s="7" t="str">
        <f t="shared" si="668"/>
        <v/>
      </c>
      <c r="H613" s="5" t="str">
        <f t="shared" si="669"/>
        <v/>
      </c>
      <c r="I613" s="122" t="str">
        <f t="shared" si="670"/>
        <v/>
      </c>
      <c r="J613" s="7" t="str">
        <f t="shared" si="671"/>
        <v/>
      </c>
      <c r="K613" s="9" t="str">
        <f t="shared" si="672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667"/>
        <v/>
      </c>
      <c r="G614" s="7" t="str">
        <f t="shared" si="668"/>
        <v/>
      </c>
      <c r="H614" s="5" t="str">
        <f t="shared" si="669"/>
        <v/>
      </c>
      <c r="I614" s="122" t="str">
        <f t="shared" si="670"/>
        <v/>
      </c>
      <c r="J614" s="7" t="str">
        <f t="shared" si="671"/>
        <v/>
      </c>
      <c r="K614" s="9" t="str">
        <f t="shared" si="672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667"/>
        <v/>
      </c>
      <c r="G615" s="7" t="str">
        <f t="shared" si="668"/>
        <v/>
      </c>
      <c r="H615" s="5" t="str">
        <f t="shared" si="669"/>
        <v/>
      </c>
      <c r="I615" s="122" t="str">
        <f t="shared" si="670"/>
        <v/>
      </c>
      <c r="J615" s="7" t="str">
        <f t="shared" si="671"/>
        <v/>
      </c>
      <c r="K615" s="9" t="str">
        <f t="shared" si="672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667"/>
        <v/>
      </c>
      <c r="G616" s="7" t="str">
        <f t="shared" si="668"/>
        <v/>
      </c>
      <c r="H616" s="5" t="str">
        <f t="shared" si="669"/>
        <v/>
      </c>
      <c r="I616" s="122" t="str">
        <f t="shared" si="670"/>
        <v/>
      </c>
      <c r="J616" s="7" t="str">
        <f t="shared" si="671"/>
        <v/>
      </c>
      <c r="K616" s="9" t="str">
        <f t="shared" si="672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667"/>
        <v/>
      </c>
      <c r="G617" s="7" t="str">
        <f t="shared" si="668"/>
        <v/>
      </c>
      <c r="H617" s="5" t="str">
        <f t="shared" si="669"/>
        <v/>
      </c>
      <c r="I617" s="122" t="str">
        <f t="shared" si="670"/>
        <v/>
      </c>
      <c r="J617" s="7" t="str">
        <f t="shared" si="671"/>
        <v/>
      </c>
      <c r="K617" s="9" t="str">
        <f t="shared" si="672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667"/>
        <v/>
      </c>
      <c r="G618" s="7" t="str">
        <f t="shared" si="668"/>
        <v/>
      </c>
      <c r="H618" s="5" t="str">
        <f t="shared" si="669"/>
        <v/>
      </c>
      <c r="I618" s="122" t="str">
        <f t="shared" si="670"/>
        <v/>
      </c>
      <c r="J618" s="7" t="str">
        <f t="shared" si="671"/>
        <v/>
      </c>
      <c r="K618" s="9" t="str">
        <f t="shared" si="672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667"/>
        <v/>
      </c>
      <c r="G619" s="7" t="str">
        <f t="shared" si="668"/>
        <v/>
      </c>
      <c r="H619" s="5" t="str">
        <f t="shared" si="669"/>
        <v/>
      </c>
      <c r="I619" s="122" t="str">
        <f t="shared" si="670"/>
        <v/>
      </c>
      <c r="J619" s="7" t="str">
        <f t="shared" si="671"/>
        <v/>
      </c>
      <c r="K619" s="9" t="str">
        <f t="shared" si="672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667"/>
        <v/>
      </c>
      <c r="G620" s="7" t="str">
        <f t="shared" si="668"/>
        <v/>
      </c>
      <c r="H620" s="5" t="str">
        <f t="shared" si="669"/>
        <v/>
      </c>
      <c r="I620" s="122" t="str">
        <f t="shared" si="670"/>
        <v/>
      </c>
      <c r="J620" s="7" t="str">
        <f t="shared" si="671"/>
        <v/>
      </c>
      <c r="K620" s="9" t="str">
        <f t="shared" si="672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667"/>
        <v/>
      </c>
      <c r="G621" s="7" t="str">
        <f t="shared" si="668"/>
        <v/>
      </c>
      <c r="H621" s="5" t="str">
        <f t="shared" si="669"/>
        <v/>
      </c>
      <c r="I621" s="122" t="str">
        <f t="shared" si="670"/>
        <v/>
      </c>
      <c r="J621" s="7" t="str">
        <f t="shared" si="671"/>
        <v/>
      </c>
      <c r="K621" s="9" t="str">
        <f t="shared" si="672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667"/>
        <v/>
      </c>
      <c r="G622" s="7" t="str">
        <f t="shared" si="668"/>
        <v/>
      </c>
      <c r="H622" s="5" t="str">
        <f t="shared" si="669"/>
        <v/>
      </c>
      <c r="I622" s="122" t="str">
        <f t="shared" si="670"/>
        <v/>
      </c>
      <c r="J622" s="7" t="str">
        <f t="shared" si="671"/>
        <v/>
      </c>
      <c r="K622" s="9" t="str">
        <f t="shared" si="672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667"/>
        <v/>
      </c>
      <c r="G623" s="7" t="str">
        <f t="shared" si="668"/>
        <v/>
      </c>
      <c r="H623" s="5" t="str">
        <f t="shared" si="669"/>
        <v/>
      </c>
      <c r="I623" s="122" t="str">
        <f t="shared" si="670"/>
        <v/>
      </c>
      <c r="J623" s="7" t="str">
        <f t="shared" si="671"/>
        <v/>
      </c>
      <c r="K623" s="9" t="str">
        <f t="shared" si="672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667"/>
        <v/>
      </c>
      <c r="G624" s="7" t="str">
        <f t="shared" si="668"/>
        <v/>
      </c>
      <c r="H624" s="5" t="str">
        <f t="shared" si="669"/>
        <v/>
      </c>
      <c r="I624" s="122" t="str">
        <f t="shared" si="670"/>
        <v/>
      </c>
      <c r="J624" s="7" t="str">
        <f t="shared" si="671"/>
        <v/>
      </c>
      <c r="K624" s="9" t="str">
        <f t="shared" si="672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667"/>
        <v/>
      </c>
      <c r="G625" s="7" t="str">
        <f t="shared" si="668"/>
        <v/>
      </c>
      <c r="H625" s="5" t="str">
        <f t="shared" si="669"/>
        <v/>
      </c>
      <c r="I625" s="122" t="str">
        <f t="shared" si="670"/>
        <v/>
      </c>
      <c r="J625" s="7" t="str">
        <f t="shared" si="671"/>
        <v/>
      </c>
      <c r="K625" s="9" t="str">
        <f t="shared" si="672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667"/>
        <v/>
      </c>
      <c r="G626" s="7" t="str">
        <f t="shared" si="668"/>
        <v/>
      </c>
      <c r="H626" s="5" t="str">
        <f t="shared" si="669"/>
        <v/>
      </c>
      <c r="I626" s="122" t="str">
        <f t="shared" si="670"/>
        <v/>
      </c>
      <c r="J626" s="7" t="str">
        <f t="shared" si="671"/>
        <v/>
      </c>
      <c r="K626" s="9" t="str">
        <f t="shared" si="672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667"/>
        <v/>
      </c>
      <c r="G627" s="7" t="str">
        <f t="shared" si="668"/>
        <v/>
      </c>
      <c r="H627" s="5" t="str">
        <f t="shared" si="669"/>
        <v/>
      </c>
      <c r="I627" s="122" t="str">
        <f t="shared" si="670"/>
        <v/>
      </c>
      <c r="J627" s="7" t="str">
        <f t="shared" si="671"/>
        <v/>
      </c>
      <c r="K627" s="9" t="str">
        <f t="shared" si="672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667"/>
        <v/>
      </c>
      <c r="G628" s="7" t="str">
        <f t="shared" si="668"/>
        <v/>
      </c>
      <c r="H628" s="5" t="str">
        <f t="shared" si="669"/>
        <v/>
      </c>
      <c r="I628" s="122" t="str">
        <f t="shared" si="670"/>
        <v/>
      </c>
      <c r="J628" s="7" t="str">
        <f t="shared" si="671"/>
        <v/>
      </c>
      <c r="K628" s="9" t="str">
        <f t="shared" si="672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667"/>
        <v/>
      </c>
      <c r="G629" s="7" t="str">
        <f t="shared" si="668"/>
        <v/>
      </c>
      <c r="H629" s="5" t="str">
        <f t="shared" si="669"/>
        <v/>
      </c>
      <c r="I629" s="122" t="str">
        <f t="shared" si="670"/>
        <v/>
      </c>
      <c r="J629" s="7" t="str">
        <f t="shared" si="671"/>
        <v/>
      </c>
      <c r="K629" s="9" t="str">
        <f t="shared" si="672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667"/>
        <v/>
      </c>
      <c r="G630" s="7" t="str">
        <f t="shared" si="668"/>
        <v/>
      </c>
      <c r="H630" s="5" t="str">
        <f t="shared" si="669"/>
        <v/>
      </c>
      <c r="I630" s="122" t="str">
        <f t="shared" si="670"/>
        <v/>
      </c>
      <c r="J630" s="7" t="str">
        <f t="shared" si="671"/>
        <v/>
      </c>
      <c r="K630" s="9" t="str">
        <f t="shared" si="672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667"/>
        <v/>
      </c>
      <c r="G631" s="7" t="str">
        <f t="shared" si="668"/>
        <v/>
      </c>
      <c r="H631" s="5" t="str">
        <f t="shared" si="669"/>
        <v/>
      </c>
      <c r="I631" s="122" t="str">
        <f t="shared" si="670"/>
        <v/>
      </c>
      <c r="J631" s="7" t="str">
        <f t="shared" si="671"/>
        <v/>
      </c>
      <c r="K631" s="9" t="str">
        <f t="shared" si="672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">
      <c r="A632" s="126"/>
      <c r="B632" s="4"/>
      <c r="C632" s="4"/>
      <c r="D632" s="7"/>
      <c r="E632" s="7"/>
      <c r="F632" s="8" t="str">
        <f t="shared" si="667"/>
        <v/>
      </c>
      <c r="G632" s="7" t="str">
        <f t="shared" si="668"/>
        <v/>
      </c>
      <c r="H632" s="5" t="str">
        <f t="shared" si="669"/>
        <v/>
      </c>
      <c r="I632" s="122" t="str">
        <f t="shared" si="670"/>
        <v/>
      </c>
      <c r="J632" s="7" t="str">
        <f t="shared" si="671"/>
        <v/>
      </c>
      <c r="K632" s="9" t="str">
        <f t="shared" si="672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">
      <c r="A633" s="126"/>
      <c r="B633" s="4"/>
      <c r="C633" s="4"/>
      <c r="D633" s="7"/>
      <c r="E633" s="7"/>
      <c r="F633" s="8" t="str">
        <f t="shared" si="667"/>
        <v/>
      </c>
      <c r="G633" s="7" t="str">
        <f t="shared" si="668"/>
        <v/>
      </c>
      <c r="H633" s="5" t="str">
        <f t="shared" si="669"/>
        <v/>
      </c>
      <c r="I633" s="122" t="str">
        <f t="shared" si="670"/>
        <v/>
      </c>
      <c r="J633" s="7" t="str">
        <f t="shared" si="671"/>
        <v/>
      </c>
      <c r="K633" s="9" t="str">
        <f t="shared" si="672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">
      <c r="A634" s="126"/>
      <c r="B634" s="4"/>
      <c r="C634" s="4"/>
      <c r="D634" s="7"/>
      <c r="E634" s="7"/>
      <c r="F634" s="8" t="str">
        <f t="shared" si="667"/>
        <v/>
      </c>
      <c r="G634" s="7" t="str">
        <f t="shared" si="668"/>
        <v/>
      </c>
      <c r="H634" s="5" t="str">
        <f t="shared" si="669"/>
        <v/>
      </c>
      <c r="I634" s="122" t="str">
        <f t="shared" si="670"/>
        <v/>
      </c>
      <c r="J634" s="7" t="str">
        <f t="shared" si="671"/>
        <v/>
      </c>
      <c r="K634" s="9" t="str">
        <f t="shared" si="672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">
      <c r="A635" s="126"/>
      <c r="B635" s="4"/>
      <c r="C635" s="4"/>
      <c r="D635" s="7"/>
      <c r="E635" s="7"/>
      <c r="F635" s="8" t="str">
        <f t="shared" si="667"/>
        <v/>
      </c>
      <c r="G635" s="7" t="str">
        <f t="shared" si="668"/>
        <v/>
      </c>
      <c r="H635" s="5" t="str">
        <f t="shared" si="669"/>
        <v/>
      </c>
      <c r="I635" s="122" t="str">
        <f t="shared" si="670"/>
        <v/>
      </c>
      <c r="J635" s="7" t="str">
        <f t="shared" si="671"/>
        <v/>
      </c>
      <c r="K635" s="9" t="str">
        <f t="shared" si="672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">
      <c r="A636" s="126"/>
      <c r="B636" s="4"/>
      <c r="C636" s="4"/>
      <c r="D636" s="7"/>
      <c r="E636" s="7"/>
      <c r="F636" s="8" t="str">
        <f t="shared" si="667"/>
        <v/>
      </c>
      <c r="G636" s="7" t="str">
        <f t="shared" si="668"/>
        <v/>
      </c>
      <c r="H636" s="5" t="str">
        <f t="shared" si="669"/>
        <v/>
      </c>
      <c r="I636" s="122" t="str">
        <f t="shared" si="670"/>
        <v/>
      </c>
      <c r="J636" s="7" t="str">
        <f t="shared" si="671"/>
        <v/>
      </c>
      <c r="K636" s="9" t="str">
        <f t="shared" si="672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">
      <c r="A637" s="126"/>
      <c r="B637" s="4"/>
      <c r="C637" s="4"/>
      <c r="D637" s="7"/>
      <c r="E637" s="7"/>
      <c r="F637" s="8" t="str">
        <f t="shared" si="667"/>
        <v/>
      </c>
      <c r="G637" s="7" t="str">
        <f t="shared" si="668"/>
        <v/>
      </c>
      <c r="H637" s="5" t="str">
        <f t="shared" si="669"/>
        <v/>
      </c>
      <c r="I637" s="122" t="str">
        <f t="shared" si="670"/>
        <v/>
      </c>
      <c r="J637" s="7" t="str">
        <f t="shared" si="671"/>
        <v/>
      </c>
      <c r="K637" s="9" t="str">
        <f t="shared" si="672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">
      <c r="A638" s="126"/>
      <c r="B638" s="4"/>
      <c r="C638" s="4"/>
      <c r="D638" s="7"/>
      <c r="E638" s="7"/>
      <c r="F638" s="8" t="str">
        <f t="shared" si="667"/>
        <v/>
      </c>
      <c r="G638" s="7" t="str">
        <f t="shared" si="668"/>
        <v/>
      </c>
      <c r="H638" s="5" t="str">
        <f t="shared" si="669"/>
        <v/>
      </c>
      <c r="I638" s="122" t="str">
        <f t="shared" si="670"/>
        <v/>
      </c>
      <c r="J638" s="7" t="str">
        <f t="shared" si="671"/>
        <v/>
      </c>
      <c r="K638" s="9" t="str">
        <f t="shared" si="672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">
      <c r="A639" s="126"/>
      <c r="B639" s="4"/>
      <c r="C639" s="4"/>
      <c r="D639" s="7"/>
      <c r="E639" s="7"/>
      <c r="F639" s="8" t="str">
        <f t="shared" si="667"/>
        <v/>
      </c>
      <c r="G639" s="7" t="str">
        <f t="shared" si="668"/>
        <v/>
      </c>
      <c r="H639" s="5" t="str">
        <f t="shared" si="669"/>
        <v/>
      </c>
      <c r="I639" s="122" t="str">
        <f t="shared" si="670"/>
        <v/>
      </c>
      <c r="J639" s="7" t="str">
        <f t="shared" si="671"/>
        <v/>
      </c>
      <c r="K639" s="9" t="str">
        <f t="shared" si="672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">
      <c r="A640" s="126"/>
      <c r="B640" s="4"/>
      <c r="C640" s="4"/>
      <c r="D640" s="7"/>
      <c r="E640" s="7"/>
      <c r="F640" s="8" t="str">
        <f t="shared" si="667"/>
        <v/>
      </c>
      <c r="G640" s="7" t="str">
        <f t="shared" si="668"/>
        <v/>
      </c>
      <c r="H640" s="5" t="str">
        <f t="shared" si="669"/>
        <v/>
      </c>
      <c r="I640" s="122" t="str">
        <f t="shared" si="670"/>
        <v/>
      </c>
      <c r="J640" s="7" t="str">
        <f t="shared" si="671"/>
        <v/>
      </c>
      <c r="K640" s="9" t="str">
        <f t="shared" si="672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">
      <c r="A641" s="126"/>
      <c r="B641" s="4"/>
      <c r="C641" s="4"/>
      <c r="D641" s="7"/>
      <c r="E641" s="7"/>
      <c r="F641" s="8" t="str">
        <f t="shared" si="667"/>
        <v/>
      </c>
      <c r="G641" s="7" t="str">
        <f t="shared" si="668"/>
        <v/>
      </c>
      <c r="H641" s="5" t="str">
        <f t="shared" si="669"/>
        <v/>
      </c>
      <c r="I641" s="122" t="str">
        <f t="shared" si="670"/>
        <v/>
      </c>
      <c r="J641" s="7" t="str">
        <f t="shared" si="671"/>
        <v/>
      </c>
      <c r="K641" s="9" t="str">
        <f t="shared" si="672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">
      <c r="A642" s="126"/>
      <c r="B642" s="4"/>
      <c r="C642" s="4"/>
      <c r="D642" s="7"/>
      <c r="E642" s="7"/>
      <c r="F642" s="8" t="str">
        <f t="shared" si="667"/>
        <v/>
      </c>
      <c r="G642" s="7" t="str">
        <f t="shared" si="668"/>
        <v/>
      </c>
      <c r="H642" s="5" t="str">
        <f t="shared" si="669"/>
        <v/>
      </c>
      <c r="I642" s="122" t="str">
        <f t="shared" si="670"/>
        <v/>
      </c>
      <c r="J642" s="7" t="str">
        <f t="shared" si="671"/>
        <v/>
      </c>
      <c r="K642" s="9" t="str">
        <f t="shared" si="672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">
      <c r="A643" s="126"/>
      <c r="B643" s="4"/>
      <c r="C643" s="4"/>
      <c r="D643" s="7"/>
      <c r="E643" s="7"/>
      <c r="F643" s="8" t="str">
        <f t="shared" si="667"/>
        <v/>
      </c>
      <c r="G643" s="7" t="str">
        <f t="shared" si="668"/>
        <v/>
      </c>
      <c r="H643" s="5" t="str">
        <f t="shared" si="669"/>
        <v/>
      </c>
      <c r="I643" s="122" t="str">
        <f t="shared" si="670"/>
        <v/>
      </c>
      <c r="J643" s="7" t="str">
        <f t="shared" si="671"/>
        <v/>
      </c>
      <c r="K643" s="9" t="str">
        <f t="shared" si="672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">
      <c r="A644" s="126"/>
      <c r="B644" s="4"/>
      <c r="C644" s="4"/>
      <c r="D644" s="7"/>
      <c r="E644" s="7"/>
      <c r="F644" s="8" t="str">
        <f t="shared" si="667"/>
        <v/>
      </c>
      <c r="G644" s="7" t="str">
        <f t="shared" si="668"/>
        <v/>
      </c>
      <c r="H644" s="5" t="str">
        <f t="shared" si="669"/>
        <v/>
      </c>
      <c r="I644" s="122" t="str">
        <f t="shared" si="670"/>
        <v/>
      </c>
      <c r="J644" s="7" t="str">
        <f t="shared" si="671"/>
        <v/>
      </c>
      <c r="K644" s="9" t="str">
        <f t="shared" si="672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">
      <c r="A645" s="126"/>
      <c r="B645" s="4"/>
      <c r="C645" s="4"/>
      <c r="D645" s="7"/>
      <c r="E645" s="7"/>
      <c r="F645" s="8" t="str">
        <f t="shared" si="667"/>
        <v/>
      </c>
      <c r="G645" s="7" t="str">
        <f t="shared" si="668"/>
        <v/>
      </c>
      <c r="H645" s="5" t="str">
        <f t="shared" si="669"/>
        <v/>
      </c>
      <c r="I645" s="122" t="str">
        <f t="shared" si="670"/>
        <v/>
      </c>
      <c r="J645" s="7" t="str">
        <f t="shared" si="671"/>
        <v/>
      </c>
      <c r="K645" s="9" t="str">
        <f t="shared" si="672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">
      <c r="A646" s="126"/>
      <c r="B646" s="4"/>
      <c r="C646" s="4"/>
      <c r="D646" s="7"/>
      <c r="E646" s="7"/>
      <c r="F646" s="8" t="str">
        <f t="shared" si="667"/>
        <v/>
      </c>
      <c r="G646" s="7" t="str">
        <f t="shared" si="668"/>
        <v/>
      </c>
      <c r="H646" s="5" t="str">
        <f t="shared" si="669"/>
        <v/>
      </c>
      <c r="I646" s="122" t="str">
        <f t="shared" si="670"/>
        <v/>
      </c>
      <c r="J646" s="7" t="str">
        <f t="shared" si="671"/>
        <v/>
      </c>
      <c r="K646" s="9" t="str">
        <f t="shared" si="672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">
      <c r="A647" s="126"/>
      <c r="B647" s="4"/>
      <c r="C647" s="4"/>
      <c r="D647" s="7"/>
      <c r="E647" s="7"/>
      <c r="F647" s="8" t="str">
        <f t="shared" si="667"/>
        <v/>
      </c>
      <c r="G647" s="7" t="str">
        <f t="shared" si="668"/>
        <v/>
      </c>
      <c r="H647" s="5" t="str">
        <f t="shared" si="669"/>
        <v/>
      </c>
      <c r="I647" s="122" t="str">
        <f t="shared" si="670"/>
        <v/>
      </c>
      <c r="J647" s="7" t="str">
        <f t="shared" si="671"/>
        <v/>
      </c>
      <c r="K647" s="9" t="str">
        <f t="shared" si="672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">
      <c r="A648" s="126"/>
      <c r="B648" s="4"/>
      <c r="C648" s="4"/>
      <c r="D648" s="7"/>
      <c r="E648" s="7"/>
      <c r="F648" s="8" t="str">
        <f t="shared" si="667"/>
        <v/>
      </c>
      <c r="G648" s="7" t="str">
        <f t="shared" si="668"/>
        <v/>
      </c>
      <c r="H648" s="5" t="str">
        <f t="shared" si="669"/>
        <v/>
      </c>
      <c r="I648" s="122" t="str">
        <f t="shared" si="670"/>
        <v/>
      </c>
      <c r="J648" s="7" t="str">
        <f t="shared" si="671"/>
        <v/>
      </c>
      <c r="K648" s="9" t="str">
        <f t="shared" si="672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">
      <c r="A649" s="126"/>
      <c r="B649" s="4"/>
      <c r="C649" s="4"/>
      <c r="D649" s="7"/>
      <c r="E649" s="7"/>
      <c r="F649" s="8" t="str">
        <f t="shared" si="667"/>
        <v/>
      </c>
      <c r="G649" s="7" t="str">
        <f t="shared" si="668"/>
        <v/>
      </c>
      <c r="H649" s="5" t="str">
        <f t="shared" si="669"/>
        <v/>
      </c>
      <c r="I649" s="122" t="str">
        <f t="shared" si="670"/>
        <v/>
      </c>
      <c r="J649" s="7" t="str">
        <f t="shared" si="671"/>
        <v/>
      </c>
      <c r="K649" s="9" t="str">
        <f t="shared" si="672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">
      <c r="A650" s="126"/>
      <c r="B650" s="4"/>
      <c r="C650" s="4"/>
      <c r="D650" s="7"/>
      <c r="E650" s="7"/>
      <c r="F650" s="8" t="str">
        <f t="shared" si="667"/>
        <v/>
      </c>
      <c r="G650" s="7" t="str">
        <f t="shared" si="668"/>
        <v/>
      </c>
      <c r="H650" s="5" t="str">
        <f t="shared" si="669"/>
        <v/>
      </c>
      <c r="I650" s="122" t="str">
        <f t="shared" si="670"/>
        <v/>
      </c>
      <c r="J650" s="7" t="str">
        <f t="shared" si="671"/>
        <v/>
      </c>
      <c r="K650" s="9" t="str">
        <f t="shared" si="672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">
      <c r="A651" s="126"/>
      <c r="B651" s="4"/>
      <c r="C651" s="4"/>
      <c r="D651" s="7"/>
      <c r="E651" s="7"/>
      <c r="F651" s="8" t="str">
        <f t="shared" si="667"/>
        <v/>
      </c>
      <c r="G651" s="7" t="str">
        <f t="shared" si="668"/>
        <v/>
      </c>
      <c r="H651" s="5" t="str">
        <f t="shared" si="669"/>
        <v/>
      </c>
      <c r="I651" s="122" t="str">
        <f t="shared" si="670"/>
        <v/>
      </c>
      <c r="J651" s="7" t="str">
        <f t="shared" si="671"/>
        <v/>
      </c>
      <c r="K651" s="9" t="str">
        <f t="shared" si="672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">
      <c r="A652" s="126"/>
      <c r="B652" s="4"/>
      <c r="C652" s="4"/>
      <c r="D652" s="7"/>
      <c r="E652" s="7"/>
      <c r="F652" s="8" t="str">
        <f t="shared" ref="F652:F715" si="673">IF(ISBLANK(B652),"",IF(I652="L","Baixa",IF(I652="A","Média",IF(I652="","","Alta"))))</f>
        <v/>
      </c>
      <c r="G652" s="7" t="str">
        <f t="shared" ref="G652:G715" si="674">CONCATENATE(B652,I652)</f>
        <v/>
      </c>
      <c r="H652" s="5" t="str">
        <f t="shared" ref="H652:H715" si="675">IF(ISBLANK(B652),"",IF(B652="ALI",IF(I652="L",7,IF(I652="A",10,15)),IF(B652="AIE",IF(I652="L",5,IF(I652="A",7,10)),IF(B652="SE",IF(I652="L",4,IF(I652="A",5,7)),IF(OR(B652="EE",B652="CE"),IF(I652="L",3,IF(I652="A",4,6)),0)))))</f>
        <v/>
      </c>
      <c r="I652" s="122" t="str">
        <f t="shared" ref="I652:I715" si="676">IF(OR(ISBLANK(D652),ISBLANK(E652)),IF(OR(B652="ALI",B652="AIE"),"L",IF(OR(B652="EE",B652="SE",B652="CE"),"A","")),IF(B652="EE",IF(E652&gt;=3,IF(D652&gt;=5,"H","A"),IF(E652&gt;=2,IF(D652&gt;=16,"H",IF(D652&lt;=4,"L","A")),IF(D652&lt;=15,"L","A"))),IF(OR(B652="SE",B652="CE"),IF(E652&gt;=4,IF(D652&gt;=6,"H","A"),IF(E652&gt;=2,IF(D652&gt;=20,"H",IF(D652&lt;=5,"L","A")),IF(D652&lt;=19,"L","A"))),IF(OR(B652="ALI",B652="AIE"),IF(E652&gt;=6,IF(D652&gt;=20,"H","A"),IF(E652&gt;=2,IF(D652&gt;=51,"H",IF(D652&lt;=19,"L","A")),IF(D652&lt;=50,"L","A"))),""))))</f>
        <v/>
      </c>
      <c r="J652" s="7" t="str">
        <f t="shared" ref="J652:J715" si="677">CONCATENATE(B652,C652)</f>
        <v/>
      </c>
      <c r="K652" s="9" t="str">
        <f t="shared" si="672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">
      <c r="A653" s="126"/>
      <c r="B653" s="4"/>
      <c r="C653" s="4"/>
      <c r="D653" s="7"/>
      <c r="E653" s="7"/>
      <c r="F653" s="8" t="str">
        <f t="shared" si="673"/>
        <v/>
      </c>
      <c r="G653" s="7" t="str">
        <f t="shared" si="674"/>
        <v/>
      </c>
      <c r="H653" s="5" t="str">
        <f t="shared" si="675"/>
        <v/>
      </c>
      <c r="I653" s="122" t="str">
        <f t="shared" si="676"/>
        <v/>
      </c>
      <c r="J653" s="7" t="str">
        <f t="shared" si="677"/>
        <v/>
      </c>
      <c r="K653" s="9" t="str">
        <f t="shared" si="672"/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">
      <c r="A654" s="126"/>
      <c r="B654" s="4"/>
      <c r="C654" s="4"/>
      <c r="D654" s="7"/>
      <c r="E654" s="7"/>
      <c r="F654" s="8" t="str">
        <f t="shared" si="673"/>
        <v/>
      </c>
      <c r="G654" s="7" t="str">
        <f t="shared" si="674"/>
        <v/>
      </c>
      <c r="H654" s="5" t="str">
        <f t="shared" si="675"/>
        <v/>
      </c>
      <c r="I654" s="122" t="str">
        <f t="shared" si="676"/>
        <v/>
      </c>
      <c r="J654" s="7" t="str">
        <f t="shared" si="677"/>
        <v/>
      </c>
      <c r="K654" s="9" t="str">
        <f t="shared" ref="K654:K717" si="678">IF(OR(H654="",H654=0),L654,H654)</f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">
      <c r="A655" s="126"/>
      <c r="B655" s="4"/>
      <c r="C655" s="4"/>
      <c r="D655" s="7"/>
      <c r="E655" s="7"/>
      <c r="F655" s="8" t="str">
        <f t="shared" si="673"/>
        <v/>
      </c>
      <c r="G655" s="7" t="str">
        <f t="shared" si="674"/>
        <v/>
      </c>
      <c r="H655" s="5" t="str">
        <f t="shared" si="675"/>
        <v/>
      </c>
      <c r="I655" s="122" t="str">
        <f t="shared" si="676"/>
        <v/>
      </c>
      <c r="J655" s="7" t="str">
        <f t="shared" si="677"/>
        <v/>
      </c>
      <c r="K655" s="9" t="str">
        <f t="shared" si="678"/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">
      <c r="A656" s="126"/>
      <c r="B656" s="4"/>
      <c r="C656" s="4"/>
      <c r="D656" s="7"/>
      <c r="E656" s="7"/>
      <c r="F656" s="8" t="str">
        <f t="shared" si="673"/>
        <v/>
      </c>
      <c r="G656" s="7" t="str">
        <f t="shared" si="674"/>
        <v/>
      </c>
      <c r="H656" s="5" t="str">
        <f t="shared" si="675"/>
        <v/>
      </c>
      <c r="I656" s="122" t="str">
        <f t="shared" si="676"/>
        <v/>
      </c>
      <c r="J656" s="7" t="str">
        <f t="shared" si="677"/>
        <v/>
      </c>
      <c r="K656" s="9" t="str">
        <f t="shared" si="678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">
      <c r="A657" s="126"/>
      <c r="B657" s="4"/>
      <c r="C657" s="4"/>
      <c r="D657" s="7"/>
      <c r="E657" s="7"/>
      <c r="F657" s="8" t="str">
        <f t="shared" si="673"/>
        <v/>
      </c>
      <c r="G657" s="7" t="str">
        <f t="shared" si="674"/>
        <v/>
      </c>
      <c r="H657" s="5" t="str">
        <f t="shared" si="675"/>
        <v/>
      </c>
      <c r="I657" s="122" t="str">
        <f t="shared" si="676"/>
        <v/>
      </c>
      <c r="J657" s="7" t="str">
        <f t="shared" si="677"/>
        <v/>
      </c>
      <c r="K657" s="9" t="str">
        <f t="shared" si="678"/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">
      <c r="A658" s="126"/>
      <c r="B658" s="4"/>
      <c r="C658" s="4"/>
      <c r="D658" s="7"/>
      <c r="E658" s="7"/>
      <c r="F658" s="8" t="str">
        <f t="shared" si="673"/>
        <v/>
      </c>
      <c r="G658" s="7" t="str">
        <f t="shared" si="674"/>
        <v/>
      </c>
      <c r="H658" s="5" t="str">
        <f t="shared" si="675"/>
        <v/>
      </c>
      <c r="I658" s="122" t="str">
        <f t="shared" si="676"/>
        <v/>
      </c>
      <c r="J658" s="7" t="str">
        <f t="shared" si="677"/>
        <v/>
      </c>
      <c r="K658" s="9" t="str">
        <f t="shared" si="678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">
      <c r="A659" s="126"/>
      <c r="B659" s="4"/>
      <c r="C659" s="4"/>
      <c r="D659" s="7"/>
      <c r="E659" s="7"/>
      <c r="F659" s="8" t="str">
        <f t="shared" si="673"/>
        <v/>
      </c>
      <c r="G659" s="7" t="str">
        <f t="shared" si="674"/>
        <v/>
      </c>
      <c r="H659" s="5" t="str">
        <f t="shared" si="675"/>
        <v/>
      </c>
      <c r="I659" s="122" t="str">
        <f t="shared" si="676"/>
        <v/>
      </c>
      <c r="J659" s="7" t="str">
        <f t="shared" si="677"/>
        <v/>
      </c>
      <c r="K659" s="9" t="str">
        <f t="shared" si="678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">
      <c r="A660" s="126"/>
      <c r="B660" s="4"/>
      <c r="C660" s="4"/>
      <c r="D660" s="7"/>
      <c r="E660" s="7"/>
      <c r="F660" s="8" t="str">
        <f t="shared" si="673"/>
        <v/>
      </c>
      <c r="G660" s="7" t="str">
        <f t="shared" si="674"/>
        <v/>
      </c>
      <c r="H660" s="5" t="str">
        <f t="shared" si="675"/>
        <v/>
      </c>
      <c r="I660" s="122" t="str">
        <f t="shared" si="676"/>
        <v/>
      </c>
      <c r="J660" s="7" t="str">
        <f t="shared" si="677"/>
        <v/>
      </c>
      <c r="K660" s="9" t="str">
        <f t="shared" si="678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">
      <c r="A661" s="126"/>
      <c r="B661" s="4"/>
      <c r="C661" s="4"/>
      <c r="D661" s="7"/>
      <c r="E661" s="7"/>
      <c r="F661" s="8" t="str">
        <f t="shared" si="673"/>
        <v/>
      </c>
      <c r="G661" s="7" t="str">
        <f t="shared" si="674"/>
        <v/>
      </c>
      <c r="H661" s="5" t="str">
        <f t="shared" si="675"/>
        <v/>
      </c>
      <c r="I661" s="122" t="str">
        <f t="shared" si="676"/>
        <v/>
      </c>
      <c r="J661" s="7" t="str">
        <f t="shared" si="677"/>
        <v/>
      </c>
      <c r="K661" s="9" t="str">
        <f t="shared" si="678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">
      <c r="A662" s="126"/>
      <c r="B662" s="4"/>
      <c r="C662" s="4"/>
      <c r="D662" s="7"/>
      <c r="E662" s="7"/>
      <c r="F662" s="8" t="str">
        <f t="shared" si="673"/>
        <v/>
      </c>
      <c r="G662" s="7" t="str">
        <f t="shared" si="674"/>
        <v/>
      </c>
      <c r="H662" s="5" t="str">
        <f t="shared" si="675"/>
        <v/>
      </c>
      <c r="I662" s="122" t="str">
        <f t="shared" si="676"/>
        <v/>
      </c>
      <c r="J662" s="7" t="str">
        <f t="shared" si="677"/>
        <v/>
      </c>
      <c r="K662" s="9" t="str">
        <f t="shared" si="678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">
      <c r="A663" s="126"/>
      <c r="B663" s="4"/>
      <c r="C663" s="4"/>
      <c r="D663" s="7"/>
      <c r="E663" s="7"/>
      <c r="F663" s="8" t="str">
        <f t="shared" si="673"/>
        <v/>
      </c>
      <c r="G663" s="7" t="str">
        <f t="shared" si="674"/>
        <v/>
      </c>
      <c r="H663" s="5" t="str">
        <f t="shared" si="675"/>
        <v/>
      </c>
      <c r="I663" s="122" t="str">
        <f t="shared" si="676"/>
        <v/>
      </c>
      <c r="J663" s="7" t="str">
        <f t="shared" si="677"/>
        <v/>
      </c>
      <c r="K663" s="9" t="str">
        <f t="shared" si="678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">
      <c r="A664" s="126"/>
      <c r="B664" s="4"/>
      <c r="C664" s="4"/>
      <c r="D664" s="7"/>
      <c r="E664" s="7"/>
      <c r="F664" s="8" t="str">
        <f t="shared" si="673"/>
        <v/>
      </c>
      <c r="G664" s="7" t="str">
        <f t="shared" si="674"/>
        <v/>
      </c>
      <c r="H664" s="5" t="str">
        <f t="shared" si="675"/>
        <v/>
      </c>
      <c r="I664" s="122" t="str">
        <f t="shared" si="676"/>
        <v/>
      </c>
      <c r="J664" s="7" t="str">
        <f t="shared" si="677"/>
        <v/>
      </c>
      <c r="K664" s="9" t="str">
        <f t="shared" si="678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">
      <c r="A665" s="126"/>
      <c r="B665" s="4"/>
      <c r="C665" s="4"/>
      <c r="D665" s="7"/>
      <c r="E665" s="7"/>
      <c r="F665" s="8" t="str">
        <f t="shared" si="673"/>
        <v/>
      </c>
      <c r="G665" s="7" t="str">
        <f t="shared" si="674"/>
        <v/>
      </c>
      <c r="H665" s="5" t="str">
        <f t="shared" si="675"/>
        <v/>
      </c>
      <c r="I665" s="122" t="str">
        <f t="shared" si="676"/>
        <v/>
      </c>
      <c r="J665" s="7" t="str">
        <f t="shared" si="677"/>
        <v/>
      </c>
      <c r="K665" s="9" t="str">
        <f t="shared" si="678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">
      <c r="A666" s="126"/>
      <c r="B666" s="4"/>
      <c r="C666" s="4"/>
      <c r="D666" s="7"/>
      <c r="E666" s="7"/>
      <c r="F666" s="8" t="str">
        <f t="shared" si="673"/>
        <v/>
      </c>
      <c r="G666" s="7" t="str">
        <f t="shared" si="674"/>
        <v/>
      </c>
      <c r="H666" s="5" t="str">
        <f t="shared" si="675"/>
        <v/>
      </c>
      <c r="I666" s="122" t="str">
        <f t="shared" si="676"/>
        <v/>
      </c>
      <c r="J666" s="7" t="str">
        <f t="shared" si="677"/>
        <v/>
      </c>
      <c r="K666" s="9" t="str">
        <f t="shared" si="678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">
      <c r="A667" s="126"/>
      <c r="B667" s="4"/>
      <c r="C667" s="4"/>
      <c r="D667" s="7"/>
      <c r="E667" s="7"/>
      <c r="F667" s="8" t="str">
        <f t="shared" si="673"/>
        <v/>
      </c>
      <c r="G667" s="7" t="str">
        <f t="shared" si="674"/>
        <v/>
      </c>
      <c r="H667" s="5" t="str">
        <f t="shared" si="675"/>
        <v/>
      </c>
      <c r="I667" s="122" t="str">
        <f t="shared" si="676"/>
        <v/>
      </c>
      <c r="J667" s="7" t="str">
        <f t="shared" si="677"/>
        <v/>
      </c>
      <c r="K667" s="9" t="str">
        <f t="shared" si="678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">
      <c r="A668" s="126"/>
      <c r="B668" s="4"/>
      <c r="C668" s="4"/>
      <c r="D668" s="7"/>
      <c r="E668" s="7"/>
      <c r="F668" s="8" t="str">
        <f t="shared" si="673"/>
        <v/>
      </c>
      <c r="G668" s="7" t="str">
        <f t="shared" si="674"/>
        <v/>
      </c>
      <c r="H668" s="5" t="str">
        <f t="shared" si="675"/>
        <v/>
      </c>
      <c r="I668" s="122" t="str">
        <f t="shared" si="676"/>
        <v/>
      </c>
      <c r="J668" s="7" t="str">
        <f t="shared" si="677"/>
        <v/>
      </c>
      <c r="K668" s="9" t="str">
        <f t="shared" si="678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">
      <c r="A669" s="126"/>
      <c r="B669" s="4"/>
      <c r="C669" s="4"/>
      <c r="D669" s="7"/>
      <c r="E669" s="7"/>
      <c r="F669" s="8" t="str">
        <f t="shared" si="673"/>
        <v/>
      </c>
      <c r="G669" s="7" t="str">
        <f t="shared" si="674"/>
        <v/>
      </c>
      <c r="H669" s="5" t="str">
        <f t="shared" si="675"/>
        <v/>
      </c>
      <c r="I669" s="122" t="str">
        <f t="shared" si="676"/>
        <v/>
      </c>
      <c r="J669" s="7" t="str">
        <f t="shared" si="677"/>
        <v/>
      </c>
      <c r="K669" s="9" t="str">
        <f t="shared" si="678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">
      <c r="A670" s="126"/>
      <c r="B670" s="4"/>
      <c r="C670" s="4"/>
      <c r="D670" s="7"/>
      <c r="E670" s="7"/>
      <c r="F670" s="8" t="str">
        <f t="shared" si="673"/>
        <v/>
      </c>
      <c r="G670" s="7" t="str">
        <f t="shared" si="674"/>
        <v/>
      </c>
      <c r="H670" s="5" t="str">
        <f t="shared" si="675"/>
        <v/>
      </c>
      <c r="I670" s="122" t="str">
        <f t="shared" si="676"/>
        <v/>
      </c>
      <c r="J670" s="7" t="str">
        <f t="shared" si="677"/>
        <v/>
      </c>
      <c r="K670" s="9" t="str">
        <f t="shared" si="678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">
      <c r="A671" s="126"/>
      <c r="B671" s="4"/>
      <c r="C671" s="4"/>
      <c r="D671" s="7"/>
      <c r="E671" s="7"/>
      <c r="F671" s="8" t="str">
        <f t="shared" si="673"/>
        <v/>
      </c>
      <c r="G671" s="7" t="str">
        <f t="shared" si="674"/>
        <v/>
      </c>
      <c r="H671" s="5" t="str">
        <f t="shared" si="675"/>
        <v/>
      </c>
      <c r="I671" s="122" t="str">
        <f t="shared" si="676"/>
        <v/>
      </c>
      <c r="J671" s="7" t="str">
        <f t="shared" si="677"/>
        <v/>
      </c>
      <c r="K671" s="9" t="str">
        <f t="shared" si="678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">
      <c r="A672" s="126"/>
      <c r="B672" s="4"/>
      <c r="C672" s="4"/>
      <c r="D672" s="7"/>
      <c r="E672" s="7"/>
      <c r="F672" s="8" t="str">
        <f t="shared" si="673"/>
        <v/>
      </c>
      <c r="G672" s="7" t="str">
        <f t="shared" si="674"/>
        <v/>
      </c>
      <c r="H672" s="5" t="str">
        <f t="shared" si="675"/>
        <v/>
      </c>
      <c r="I672" s="122" t="str">
        <f t="shared" si="676"/>
        <v/>
      </c>
      <c r="J672" s="7" t="str">
        <f t="shared" si="677"/>
        <v/>
      </c>
      <c r="K672" s="9" t="str">
        <f t="shared" si="678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">
      <c r="A673" s="126"/>
      <c r="B673" s="4"/>
      <c r="C673" s="4"/>
      <c r="D673" s="7"/>
      <c r="E673" s="7"/>
      <c r="F673" s="8" t="str">
        <f t="shared" si="673"/>
        <v/>
      </c>
      <c r="G673" s="7" t="str">
        <f t="shared" si="674"/>
        <v/>
      </c>
      <c r="H673" s="5" t="str">
        <f t="shared" si="675"/>
        <v/>
      </c>
      <c r="I673" s="122" t="str">
        <f t="shared" si="676"/>
        <v/>
      </c>
      <c r="J673" s="7" t="str">
        <f t="shared" si="677"/>
        <v/>
      </c>
      <c r="K673" s="9" t="str">
        <f t="shared" si="678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">
      <c r="A674" s="126"/>
      <c r="B674" s="4"/>
      <c r="C674" s="4"/>
      <c r="D674" s="7"/>
      <c r="E674" s="7"/>
      <c r="F674" s="8" t="str">
        <f t="shared" si="673"/>
        <v/>
      </c>
      <c r="G674" s="7" t="str">
        <f t="shared" si="674"/>
        <v/>
      </c>
      <c r="H674" s="5" t="str">
        <f t="shared" si="675"/>
        <v/>
      </c>
      <c r="I674" s="122" t="str">
        <f t="shared" si="676"/>
        <v/>
      </c>
      <c r="J674" s="7" t="str">
        <f t="shared" si="677"/>
        <v/>
      </c>
      <c r="K674" s="9" t="str">
        <f t="shared" si="678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">
      <c r="A675" s="126"/>
      <c r="B675" s="4"/>
      <c r="C675" s="4"/>
      <c r="D675" s="7"/>
      <c r="E675" s="7"/>
      <c r="F675" s="8" t="str">
        <f t="shared" si="673"/>
        <v/>
      </c>
      <c r="G675" s="7" t="str">
        <f t="shared" si="674"/>
        <v/>
      </c>
      <c r="H675" s="5" t="str">
        <f t="shared" si="675"/>
        <v/>
      </c>
      <c r="I675" s="122" t="str">
        <f t="shared" si="676"/>
        <v/>
      </c>
      <c r="J675" s="7" t="str">
        <f t="shared" si="677"/>
        <v/>
      </c>
      <c r="K675" s="9" t="str">
        <f t="shared" si="678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">
      <c r="A676" s="126"/>
      <c r="B676" s="4"/>
      <c r="C676" s="4"/>
      <c r="D676" s="7"/>
      <c r="E676" s="7"/>
      <c r="F676" s="8" t="str">
        <f t="shared" si="673"/>
        <v/>
      </c>
      <c r="G676" s="7" t="str">
        <f t="shared" si="674"/>
        <v/>
      </c>
      <c r="H676" s="5" t="str">
        <f t="shared" si="675"/>
        <v/>
      </c>
      <c r="I676" s="122" t="str">
        <f t="shared" si="676"/>
        <v/>
      </c>
      <c r="J676" s="7" t="str">
        <f t="shared" si="677"/>
        <v/>
      </c>
      <c r="K676" s="9" t="str">
        <f t="shared" si="678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">
      <c r="A677" s="126"/>
      <c r="B677" s="4"/>
      <c r="C677" s="4"/>
      <c r="D677" s="7"/>
      <c r="E677" s="7"/>
      <c r="F677" s="8" t="str">
        <f t="shared" si="673"/>
        <v/>
      </c>
      <c r="G677" s="7" t="str">
        <f t="shared" si="674"/>
        <v/>
      </c>
      <c r="H677" s="5" t="str">
        <f t="shared" si="675"/>
        <v/>
      </c>
      <c r="I677" s="122" t="str">
        <f t="shared" si="676"/>
        <v/>
      </c>
      <c r="J677" s="7" t="str">
        <f t="shared" si="677"/>
        <v/>
      </c>
      <c r="K677" s="9" t="str">
        <f t="shared" si="678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">
      <c r="A678" s="126"/>
      <c r="B678" s="4"/>
      <c r="C678" s="4"/>
      <c r="D678" s="7"/>
      <c r="E678" s="7"/>
      <c r="F678" s="8" t="str">
        <f t="shared" si="673"/>
        <v/>
      </c>
      <c r="G678" s="7" t="str">
        <f t="shared" si="674"/>
        <v/>
      </c>
      <c r="H678" s="5" t="str">
        <f t="shared" si="675"/>
        <v/>
      </c>
      <c r="I678" s="122" t="str">
        <f t="shared" si="676"/>
        <v/>
      </c>
      <c r="J678" s="7" t="str">
        <f t="shared" si="677"/>
        <v/>
      </c>
      <c r="K678" s="9" t="str">
        <f t="shared" si="678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">
      <c r="A679" s="126"/>
      <c r="B679" s="4"/>
      <c r="C679" s="4"/>
      <c r="D679" s="7"/>
      <c r="E679" s="7"/>
      <c r="F679" s="8" t="str">
        <f t="shared" si="673"/>
        <v/>
      </c>
      <c r="G679" s="7" t="str">
        <f t="shared" si="674"/>
        <v/>
      </c>
      <c r="H679" s="5" t="str">
        <f t="shared" si="675"/>
        <v/>
      </c>
      <c r="I679" s="122" t="str">
        <f t="shared" si="676"/>
        <v/>
      </c>
      <c r="J679" s="7" t="str">
        <f t="shared" si="677"/>
        <v/>
      </c>
      <c r="K679" s="9" t="str">
        <f t="shared" si="678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">
      <c r="A680" s="126"/>
      <c r="B680" s="4"/>
      <c r="C680" s="4"/>
      <c r="D680" s="7"/>
      <c r="E680" s="7"/>
      <c r="F680" s="8" t="str">
        <f t="shared" si="673"/>
        <v/>
      </c>
      <c r="G680" s="7" t="str">
        <f t="shared" si="674"/>
        <v/>
      </c>
      <c r="H680" s="5" t="str">
        <f t="shared" si="675"/>
        <v/>
      </c>
      <c r="I680" s="122" t="str">
        <f t="shared" si="676"/>
        <v/>
      </c>
      <c r="J680" s="7" t="str">
        <f t="shared" si="677"/>
        <v/>
      </c>
      <c r="K680" s="9" t="str">
        <f t="shared" si="678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">
      <c r="A681" s="126"/>
      <c r="B681" s="4"/>
      <c r="C681" s="4"/>
      <c r="D681" s="7"/>
      <c r="E681" s="7"/>
      <c r="F681" s="8" t="str">
        <f t="shared" si="673"/>
        <v/>
      </c>
      <c r="G681" s="7" t="str">
        <f t="shared" si="674"/>
        <v/>
      </c>
      <c r="H681" s="5" t="str">
        <f t="shared" si="675"/>
        <v/>
      </c>
      <c r="I681" s="122" t="str">
        <f t="shared" si="676"/>
        <v/>
      </c>
      <c r="J681" s="7" t="str">
        <f t="shared" si="677"/>
        <v/>
      </c>
      <c r="K681" s="9" t="str">
        <f t="shared" si="678"/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">
      <c r="A682" s="126"/>
      <c r="B682" s="4"/>
      <c r="C682" s="4"/>
      <c r="D682" s="7"/>
      <c r="E682" s="7"/>
      <c r="F682" s="8" t="str">
        <f t="shared" si="673"/>
        <v/>
      </c>
      <c r="G682" s="7" t="str">
        <f t="shared" si="674"/>
        <v/>
      </c>
      <c r="H682" s="5" t="str">
        <f t="shared" si="675"/>
        <v/>
      </c>
      <c r="I682" s="122" t="str">
        <f t="shared" si="676"/>
        <v/>
      </c>
      <c r="J682" s="7" t="str">
        <f t="shared" si="677"/>
        <v/>
      </c>
      <c r="K682" s="9" t="str">
        <f t="shared" si="678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">
      <c r="A683" s="126"/>
      <c r="B683" s="4"/>
      <c r="C683" s="4"/>
      <c r="D683" s="7"/>
      <c r="E683" s="7"/>
      <c r="F683" s="8" t="str">
        <f t="shared" si="673"/>
        <v/>
      </c>
      <c r="G683" s="7" t="str">
        <f t="shared" si="674"/>
        <v/>
      </c>
      <c r="H683" s="5" t="str">
        <f t="shared" si="675"/>
        <v/>
      </c>
      <c r="I683" s="122" t="str">
        <f t="shared" si="676"/>
        <v/>
      </c>
      <c r="J683" s="7" t="str">
        <f t="shared" si="677"/>
        <v/>
      </c>
      <c r="K683" s="9" t="str">
        <f t="shared" si="678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">
      <c r="A684" s="126"/>
      <c r="B684" s="4"/>
      <c r="C684" s="4"/>
      <c r="D684" s="7"/>
      <c r="E684" s="7"/>
      <c r="F684" s="8" t="str">
        <f t="shared" si="673"/>
        <v/>
      </c>
      <c r="G684" s="7" t="str">
        <f t="shared" si="674"/>
        <v/>
      </c>
      <c r="H684" s="5" t="str">
        <f t="shared" si="675"/>
        <v/>
      </c>
      <c r="I684" s="122" t="str">
        <f t="shared" si="676"/>
        <v/>
      </c>
      <c r="J684" s="7" t="str">
        <f t="shared" si="677"/>
        <v/>
      </c>
      <c r="K684" s="9" t="str">
        <f t="shared" si="678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">
      <c r="A685" s="126"/>
      <c r="B685" s="4"/>
      <c r="C685" s="4"/>
      <c r="D685" s="7"/>
      <c r="E685" s="7"/>
      <c r="F685" s="8" t="str">
        <f t="shared" si="673"/>
        <v/>
      </c>
      <c r="G685" s="7" t="str">
        <f t="shared" si="674"/>
        <v/>
      </c>
      <c r="H685" s="5" t="str">
        <f t="shared" si="675"/>
        <v/>
      </c>
      <c r="I685" s="122" t="str">
        <f t="shared" si="676"/>
        <v/>
      </c>
      <c r="J685" s="7" t="str">
        <f t="shared" si="677"/>
        <v/>
      </c>
      <c r="K685" s="9" t="str">
        <f t="shared" si="678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">
      <c r="A686" s="126"/>
      <c r="B686" s="4"/>
      <c r="C686" s="4"/>
      <c r="D686" s="7"/>
      <c r="E686" s="7"/>
      <c r="F686" s="8" t="str">
        <f t="shared" si="673"/>
        <v/>
      </c>
      <c r="G686" s="7" t="str">
        <f t="shared" si="674"/>
        <v/>
      </c>
      <c r="H686" s="5" t="str">
        <f t="shared" si="675"/>
        <v/>
      </c>
      <c r="I686" s="122" t="str">
        <f t="shared" si="676"/>
        <v/>
      </c>
      <c r="J686" s="7" t="str">
        <f t="shared" si="677"/>
        <v/>
      </c>
      <c r="K686" s="9" t="str">
        <f t="shared" si="678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">
      <c r="A687" s="126"/>
      <c r="B687" s="4"/>
      <c r="C687" s="4"/>
      <c r="D687" s="7"/>
      <c r="E687" s="7"/>
      <c r="F687" s="8" t="str">
        <f t="shared" si="673"/>
        <v/>
      </c>
      <c r="G687" s="7" t="str">
        <f t="shared" si="674"/>
        <v/>
      </c>
      <c r="H687" s="5" t="str">
        <f t="shared" si="675"/>
        <v/>
      </c>
      <c r="I687" s="122" t="str">
        <f t="shared" si="676"/>
        <v/>
      </c>
      <c r="J687" s="7" t="str">
        <f t="shared" si="677"/>
        <v/>
      </c>
      <c r="K687" s="9" t="str">
        <f t="shared" si="678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">
      <c r="A688" s="126"/>
      <c r="B688" s="4"/>
      <c r="C688" s="4"/>
      <c r="D688" s="7"/>
      <c r="E688" s="7"/>
      <c r="F688" s="8" t="str">
        <f t="shared" si="673"/>
        <v/>
      </c>
      <c r="G688" s="7" t="str">
        <f t="shared" si="674"/>
        <v/>
      </c>
      <c r="H688" s="5" t="str">
        <f t="shared" si="675"/>
        <v/>
      </c>
      <c r="I688" s="122" t="str">
        <f t="shared" si="676"/>
        <v/>
      </c>
      <c r="J688" s="7" t="str">
        <f t="shared" si="677"/>
        <v/>
      </c>
      <c r="K688" s="9" t="str">
        <f t="shared" si="678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">
      <c r="A689" s="126"/>
      <c r="B689" s="4"/>
      <c r="C689" s="4"/>
      <c r="D689" s="7"/>
      <c r="E689" s="7"/>
      <c r="F689" s="8" t="str">
        <f t="shared" si="673"/>
        <v/>
      </c>
      <c r="G689" s="7" t="str">
        <f t="shared" si="674"/>
        <v/>
      </c>
      <c r="H689" s="5" t="str">
        <f t="shared" si="675"/>
        <v/>
      </c>
      <c r="I689" s="122" t="str">
        <f t="shared" si="676"/>
        <v/>
      </c>
      <c r="J689" s="7" t="str">
        <f t="shared" si="677"/>
        <v/>
      </c>
      <c r="K689" s="9" t="str">
        <f t="shared" si="678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">
      <c r="A690" s="126"/>
      <c r="B690" s="4"/>
      <c r="C690" s="4"/>
      <c r="D690" s="7"/>
      <c r="E690" s="7"/>
      <c r="F690" s="8" t="str">
        <f t="shared" si="673"/>
        <v/>
      </c>
      <c r="G690" s="7" t="str">
        <f t="shared" si="674"/>
        <v/>
      </c>
      <c r="H690" s="5" t="str">
        <f t="shared" si="675"/>
        <v/>
      </c>
      <c r="I690" s="122" t="str">
        <f t="shared" si="676"/>
        <v/>
      </c>
      <c r="J690" s="7" t="str">
        <f t="shared" si="677"/>
        <v/>
      </c>
      <c r="K690" s="9" t="str">
        <f t="shared" si="678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">
      <c r="A691" s="126"/>
      <c r="B691" s="4"/>
      <c r="C691" s="4"/>
      <c r="D691" s="7"/>
      <c r="E691" s="7"/>
      <c r="F691" s="8" t="str">
        <f t="shared" si="673"/>
        <v/>
      </c>
      <c r="G691" s="7" t="str">
        <f t="shared" si="674"/>
        <v/>
      </c>
      <c r="H691" s="5" t="str">
        <f t="shared" si="675"/>
        <v/>
      </c>
      <c r="I691" s="122" t="str">
        <f t="shared" si="676"/>
        <v/>
      </c>
      <c r="J691" s="7" t="str">
        <f t="shared" si="677"/>
        <v/>
      </c>
      <c r="K691" s="9" t="str">
        <f t="shared" si="678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">
      <c r="A692" s="126"/>
      <c r="B692" s="4"/>
      <c r="C692" s="4"/>
      <c r="D692" s="7"/>
      <c r="E692" s="7"/>
      <c r="F692" s="8" t="str">
        <f t="shared" si="673"/>
        <v/>
      </c>
      <c r="G692" s="7" t="str">
        <f t="shared" si="674"/>
        <v/>
      </c>
      <c r="H692" s="5" t="str">
        <f t="shared" si="675"/>
        <v/>
      </c>
      <c r="I692" s="122" t="str">
        <f t="shared" si="676"/>
        <v/>
      </c>
      <c r="J692" s="7" t="str">
        <f t="shared" si="677"/>
        <v/>
      </c>
      <c r="K692" s="9" t="str">
        <f t="shared" si="678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">
      <c r="A693" s="126"/>
      <c r="B693" s="4"/>
      <c r="C693" s="4"/>
      <c r="D693" s="7"/>
      <c r="E693" s="7"/>
      <c r="F693" s="8" t="str">
        <f t="shared" si="673"/>
        <v/>
      </c>
      <c r="G693" s="7" t="str">
        <f t="shared" si="674"/>
        <v/>
      </c>
      <c r="H693" s="5" t="str">
        <f t="shared" si="675"/>
        <v/>
      </c>
      <c r="I693" s="122" t="str">
        <f t="shared" si="676"/>
        <v/>
      </c>
      <c r="J693" s="7" t="str">
        <f t="shared" si="677"/>
        <v/>
      </c>
      <c r="K693" s="9" t="str">
        <f t="shared" si="678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">
      <c r="A694" s="126"/>
      <c r="B694" s="4"/>
      <c r="C694" s="4"/>
      <c r="D694" s="7"/>
      <c r="E694" s="7"/>
      <c r="F694" s="8" t="str">
        <f t="shared" si="673"/>
        <v/>
      </c>
      <c r="G694" s="7" t="str">
        <f t="shared" si="674"/>
        <v/>
      </c>
      <c r="H694" s="5" t="str">
        <f t="shared" si="675"/>
        <v/>
      </c>
      <c r="I694" s="122" t="str">
        <f t="shared" si="676"/>
        <v/>
      </c>
      <c r="J694" s="7" t="str">
        <f t="shared" si="677"/>
        <v/>
      </c>
      <c r="K694" s="9" t="str">
        <f t="shared" si="678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">
      <c r="A695" s="126"/>
      <c r="B695" s="4"/>
      <c r="C695" s="4"/>
      <c r="D695" s="7"/>
      <c r="E695" s="7"/>
      <c r="F695" s="8" t="str">
        <f t="shared" si="673"/>
        <v/>
      </c>
      <c r="G695" s="7" t="str">
        <f t="shared" si="674"/>
        <v/>
      </c>
      <c r="H695" s="5" t="str">
        <f t="shared" si="675"/>
        <v/>
      </c>
      <c r="I695" s="122" t="str">
        <f t="shared" si="676"/>
        <v/>
      </c>
      <c r="J695" s="7" t="str">
        <f t="shared" si="677"/>
        <v/>
      </c>
      <c r="K695" s="9" t="str">
        <f t="shared" si="678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">
      <c r="A696" s="126"/>
      <c r="B696" s="4"/>
      <c r="C696" s="4"/>
      <c r="D696" s="7"/>
      <c r="E696" s="7"/>
      <c r="F696" s="8" t="str">
        <f t="shared" si="673"/>
        <v/>
      </c>
      <c r="G696" s="7" t="str">
        <f t="shared" si="674"/>
        <v/>
      </c>
      <c r="H696" s="5" t="str">
        <f t="shared" si="675"/>
        <v/>
      </c>
      <c r="I696" s="122" t="str">
        <f t="shared" si="676"/>
        <v/>
      </c>
      <c r="J696" s="7" t="str">
        <f t="shared" si="677"/>
        <v/>
      </c>
      <c r="K696" s="9" t="str">
        <f t="shared" si="678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">
      <c r="A697" s="126"/>
      <c r="B697" s="4"/>
      <c r="C697" s="4"/>
      <c r="D697" s="7"/>
      <c r="E697" s="7"/>
      <c r="F697" s="8" t="str">
        <f t="shared" si="673"/>
        <v/>
      </c>
      <c r="G697" s="7" t="str">
        <f t="shared" si="674"/>
        <v/>
      </c>
      <c r="H697" s="5" t="str">
        <f t="shared" si="675"/>
        <v/>
      </c>
      <c r="I697" s="122" t="str">
        <f t="shared" si="676"/>
        <v/>
      </c>
      <c r="J697" s="7" t="str">
        <f t="shared" si="677"/>
        <v/>
      </c>
      <c r="K697" s="9" t="str">
        <f t="shared" si="678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">
      <c r="A698" s="126"/>
      <c r="B698" s="4"/>
      <c r="C698" s="4"/>
      <c r="D698" s="7"/>
      <c r="E698" s="7"/>
      <c r="F698" s="8" t="str">
        <f t="shared" si="673"/>
        <v/>
      </c>
      <c r="G698" s="7" t="str">
        <f t="shared" si="674"/>
        <v/>
      </c>
      <c r="H698" s="5" t="str">
        <f t="shared" si="675"/>
        <v/>
      </c>
      <c r="I698" s="122" t="str">
        <f t="shared" si="676"/>
        <v/>
      </c>
      <c r="J698" s="7" t="str">
        <f t="shared" si="677"/>
        <v/>
      </c>
      <c r="K698" s="9" t="str">
        <f t="shared" si="678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">
      <c r="A699" s="126"/>
      <c r="B699" s="4"/>
      <c r="C699" s="4"/>
      <c r="D699" s="7"/>
      <c r="E699" s="7"/>
      <c r="F699" s="8" t="str">
        <f t="shared" si="673"/>
        <v/>
      </c>
      <c r="G699" s="7" t="str">
        <f t="shared" si="674"/>
        <v/>
      </c>
      <c r="H699" s="5" t="str">
        <f t="shared" si="675"/>
        <v/>
      </c>
      <c r="I699" s="122" t="str">
        <f t="shared" si="676"/>
        <v/>
      </c>
      <c r="J699" s="7" t="str">
        <f t="shared" si="677"/>
        <v/>
      </c>
      <c r="K699" s="9" t="str">
        <f t="shared" si="678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">
      <c r="A700" s="126"/>
      <c r="B700" s="4"/>
      <c r="C700" s="4"/>
      <c r="D700" s="7"/>
      <c r="E700" s="7"/>
      <c r="F700" s="8" t="str">
        <f t="shared" si="673"/>
        <v/>
      </c>
      <c r="G700" s="7" t="str">
        <f t="shared" si="674"/>
        <v/>
      </c>
      <c r="H700" s="5" t="str">
        <f t="shared" si="675"/>
        <v/>
      </c>
      <c r="I700" s="122" t="str">
        <f t="shared" si="676"/>
        <v/>
      </c>
      <c r="J700" s="7" t="str">
        <f t="shared" si="677"/>
        <v/>
      </c>
      <c r="K700" s="9" t="str">
        <f t="shared" si="678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">
      <c r="A701" s="126"/>
      <c r="B701" s="4"/>
      <c r="C701" s="4"/>
      <c r="D701" s="7"/>
      <c r="E701" s="7"/>
      <c r="F701" s="8" t="str">
        <f t="shared" si="673"/>
        <v/>
      </c>
      <c r="G701" s="7" t="str">
        <f t="shared" si="674"/>
        <v/>
      </c>
      <c r="H701" s="5" t="str">
        <f t="shared" si="675"/>
        <v/>
      </c>
      <c r="I701" s="122" t="str">
        <f t="shared" si="676"/>
        <v/>
      </c>
      <c r="J701" s="7" t="str">
        <f t="shared" si="677"/>
        <v/>
      </c>
      <c r="K701" s="9" t="str">
        <f t="shared" si="678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">
      <c r="A702" s="126"/>
      <c r="B702" s="4"/>
      <c r="C702" s="4"/>
      <c r="D702" s="7"/>
      <c r="E702" s="7"/>
      <c r="F702" s="8" t="str">
        <f t="shared" si="673"/>
        <v/>
      </c>
      <c r="G702" s="7" t="str">
        <f t="shared" si="674"/>
        <v/>
      </c>
      <c r="H702" s="5" t="str">
        <f t="shared" si="675"/>
        <v/>
      </c>
      <c r="I702" s="122" t="str">
        <f t="shared" si="676"/>
        <v/>
      </c>
      <c r="J702" s="7" t="str">
        <f t="shared" si="677"/>
        <v/>
      </c>
      <c r="K702" s="9" t="str">
        <f t="shared" si="678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">
      <c r="A703" s="126"/>
      <c r="B703" s="4"/>
      <c r="C703" s="4"/>
      <c r="D703" s="7"/>
      <c r="E703" s="7"/>
      <c r="F703" s="8" t="str">
        <f t="shared" si="673"/>
        <v/>
      </c>
      <c r="G703" s="7" t="str">
        <f t="shared" si="674"/>
        <v/>
      </c>
      <c r="H703" s="5" t="str">
        <f t="shared" si="675"/>
        <v/>
      </c>
      <c r="I703" s="122" t="str">
        <f t="shared" si="676"/>
        <v/>
      </c>
      <c r="J703" s="7" t="str">
        <f t="shared" si="677"/>
        <v/>
      </c>
      <c r="K703" s="9" t="str">
        <f t="shared" si="678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">
      <c r="A704" s="126"/>
      <c r="B704" s="4"/>
      <c r="C704" s="4"/>
      <c r="D704" s="7"/>
      <c r="E704" s="7"/>
      <c r="F704" s="8" t="str">
        <f t="shared" si="673"/>
        <v/>
      </c>
      <c r="G704" s="7" t="str">
        <f t="shared" si="674"/>
        <v/>
      </c>
      <c r="H704" s="5" t="str">
        <f t="shared" si="675"/>
        <v/>
      </c>
      <c r="I704" s="122" t="str">
        <f t="shared" si="676"/>
        <v/>
      </c>
      <c r="J704" s="7" t="str">
        <f t="shared" si="677"/>
        <v/>
      </c>
      <c r="K704" s="9" t="str">
        <f t="shared" si="678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">
      <c r="A705" s="126"/>
      <c r="B705" s="4"/>
      <c r="C705" s="4"/>
      <c r="D705" s="7"/>
      <c r="E705" s="7"/>
      <c r="F705" s="8" t="str">
        <f t="shared" si="673"/>
        <v/>
      </c>
      <c r="G705" s="7" t="str">
        <f t="shared" si="674"/>
        <v/>
      </c>
      <c r="H705" s="5" t="str">
        <f t="shared" si="675"/>
        <v/>
      </c>
      <c r="I705" s="122" t="str">
        <f t="shared" si="676"/>
        <v/>
      </c>
      <c r="J705" s="7" t="str">
        <f t="shared" si="677"/>
        <v/>
      </c>
      <c r="K705" s="9" t="str">
        <f t="shared" si="678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">
      <c r="A706" s="126"/>
      <c r="B706" s="4"/>
      <c r="C706" s="4"/>
      <c r="D706" s="7"/>
      <c r="E706" s="7"/>
      <c r="F706" s="8" t="str">
        <f t="shared" si="673"/>
        <v/>
      </c>
      <c r="G706" s="7" t="str">
        <f t="shared" si="674"/>
        <v/>
      </c>
      <c r="H706" s="5" t="str">
        <f t="shared" si="675"/>
        <v/>
      </c>
      <c r="I706" s="122" t="str">
        <f t="shared" si="676"/>
        <v/>
      </c>
      <c r="J706" s="7" t="str">
        <f t="shared" si="677"/>
        <v/>
      </c>
      <c r="K706" s="9" t="str">
        <f t="shared" si="678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">
      <c r="A707" s="126"/>
      <c r="B707" s="4"/>
      <c r="C707" s="4"/>
      <c r="D707" s="7"/>
      <c r="E707" s="7"/>
      <c r="F707" s="8" t="str">
        <f t="shared" si="673"/>
        <v/>
      </c>
      <c r="G707" s="7" t="str">
        <f t="shared" si="674"/>
        <v/>
      </c>
      <c r="H707" s="5" t="str">
        <f t="shared" si="675"/>
        <v/>
      </c>
      <c r="I707" s="122" t="str">
        <f t="shared" si="676"/>
        <v/>
      </c>
      <c r="J707" s="7" t="str">
        <f t="shared" si="677"/>
        <v/>
      </c>
      <c r="K707" s="9" t="str">
        <f t="shared" si="678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">
      <c r="A708" s="126"/>
      <c r="B708" s="4"/>
      <c r="C708" s="4"/>
      <c r="D708" s="7"/>
      <c r="E708" s="7"/>
      <c r="F708" s="8" t="str">
        <f t="shared" si="673"/>
        <v/>
      </c>
      <c r="G708" s="7" t="str">
        <f t="shared" si="674"/>
        <v/>
      </c>
      <c r="H708" s="5" t="str">
        <f t="shared" si="675"/>
        <v/>
      </c>
      <c r="I708" s="122" t="str">
        <f t="shared" si="676"/>
        <v/>
      </c>
      <c r="J708" s="7" t="str">
        <f t="shared" si="677"/>
        <v/>
      </c>
      <c r="K708" s="9" t="str">
        <f t="shared" si="678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">
      <c r="A709" s="126"/>
      <c r="B709" s="4"/>
      <c r="C709" s="4"/>
      <c r="D709" s="7"/>
      <c r="E709" s="7"/>
      <c r="F709" s="8" t="str">
        <f t="shared" si="673"/>
        <v/>
      </c>
      <c r="G709" s="7" t="str">
        <f t="shared" si="674"/>
        <v/>
      </c>
      <c r="H709" s="5" t="str">
        <f t="shared" si="675"/>
        <v/>
      </c>
      <c r="I709" s="122" t="str">
        <f t="shared" si="676"/>
        <v/>
      </c>
      <c r="J709" s="7" t="str">
        <f t="shared" si="677"/>
        <v/>
      </c>
      <c r="K709" s="9" t="str">
        <f t="shared" si="678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">
      <c r="A710" s="126"/>
      <c r="B710" s="4"/>
      <c r="C710" s="4"/>
      <c r="D710" s="7"/>
      <c r="E710" s="7"/>
      <c r="F710" s="8" t="str">
        <f t="shared" si="673"/>
        <v/>
      </c>
      <c r="G710" s="7" t="str">
        <f t="shared" si="674"/>
        <v/>
      </c>
      <c r="H710" s="5" t="str">
        <f t="shared" si="675"/>
        <v/>
      </c>
      <c r="I710" s="122" t="str">
        <f t="shared" si="676"/>
        <v/>
      </c>
      <c r="J710" s="7" t="str">
        <f t="shared" si="677"/>
        <v/>
      </c>
      <c r="K710" s="9" t="str">
        <f t="shared" si="678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">
      <c r="A711" s="126"/>
      <c r="B711" s="4"/>
      <c r="C711" s="4"/>
      <c r="D711" s="7"/>
      <c r="E711" s="7"/>
      <c r="F711" s="8" t="str">
        <f t="shared" si="673"/>
        <v/>
      </c>
      <c r="G711" s="7" t="str">
        <f t="shared" si="674"/>
        <v/>
      </c>
      <c r="H711" s="5" t="str">
        <f t="shared" si="675"/>
        <v/>
      </c>
      <c r="I711" s="122" t="str">
        <f t="shared" si="676"/>
        <v/>
      </c>
      <c r="J711" s="7" t="str">
        <f t="shared" si="677"/>
        <v/>
      </c>
      <c r="K711" s="9" t="str">
        <f t="shared" si="678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">
      <c r="A712" s="126"/>
      <c r="B712" s="4"/>
      <c r="C712" s="4"/>
      <c r="D712" s="7"/>
      <c r="E712" s="7"/>
      <c r="F712" s="8" t="str">
        <f t="shared" si="673"/>
        <v/>
      </c>
      <c r="G712" s="7" t="str">
        <f t="shared" si="674"/>
        <v/>
      </c>
      <c r="H712" s="5" t="str">
        <f t="shared" si="675"/>
        <v/>
      </c>
      <c r="I712" s="122" t="str">
        <f t="shared" si="676"/>
        <v/>
      </c>
      <c r="J712" s="7" t="str">
        <f t="shared" si="677"/>
        <v/>
      </c>
      <c r="K712" s="9" t="str">
        <f t="shared" si="678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">
      <c r="A713" s="126"/>
      <c r="B713" s="4"/>
      <c r="C713" s="4"/>
      <c r="D713" s="7"/>
      <c r="E713" s="7"/>
      <c r="F713" s="8" t="str">
        <f t="shared" si="673"/>
        <v/>
      </c>
      <c r="G713" s="7" t="str">
        <f t="shared" si="674"/>
        <v/>
      </c>
      <c r="H713" s="5" t="str">
        <f t="shared" si="675"/>
        <v/>
      </c>
      <c r="I713" s="122" t="str">
        <f t="shared" si="676"/>
        <v/>
      </c>
      <c r="J713" s="7" t="str">
        <f t="shared" si="677"/>
        <v/>
      </c>
      <c r="K713" s="9" t="str">
        <f t="shared" si="678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">
      <c r="A714" s="126"/>
      <c r="B714" s="4"/>
      <c r="C714" s="4"/>
      <c r="D714" s="7"/>
      <c r="E714" s="7"/>
      <c r="F714" s="8" t="str">
        <f t="shared" si="673"/>
        <v/>
      </c>
      <c r="G714" s="7" t="str">
        <f t="shared" si="674"/>
        <v/>
      </c>
      <c r="H714" s="5" t="str">
        <f t="shared" si="675"/>
        <v/>
      </c>
      <c r="I714" s="122" t="str">
        <f t="shared" si="676"/>
        <v/>
      </c>
      <c r="J714" s="7" t="str">
        <f t="shared" si="677"/>
        <v/>
      </c>
      <c r="K714" s="9" t="str">
        <f t="shared" si="678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">
      <c r="A715" s="126"/>
      <c r="B715" s="4"/>
      <c r="C715" s="4"/>
      <c r="D715" s="7"/>
      <c r="E715" s="7"/>
      <c r="F715" s="8" t="str">
        <f t="shared" si="673"/>
        <v/>
      </c>
      <c r="G715" s="7" t="str">
        <f t="shared" si="674"/>
        <v/>
      </c>
      <c r="H715" s="5" t="str">
        <f t="shared" si="675"/>
        <v/>
      </c>
      <c r="I715" s="122" t="str">
        <f t="shared" si="676"/>
        <v/>
      </c>
      <c r="J715" s="7" t="str">
        <f t="shared" si="677"/>
        <v/>
      </c>
      <c r="K715" s="9" t="str">
        <f t="shared" si="678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">
      <c r="A716" s="126"/>
      <c r="B716" s="4"/>
      <c r="C716" s="4"/>
      <c r="D716" s="7"/>
      <c r="E716" s="7"/>
      <c r="F716" s="8" t="str">
        <f t="shared" ref="F716:F779" si="679">IF(ISBLANK(B716),"",IF(I716="L","Baixa",IF(I716="A","Média",IF(I716="","","Alta"))))</f>
        <v/>
      </c>
      <c r="G716" s="7" t="str">
        <f t="shared" ref="G716:G779" si="680">CONCATENATE(B716,I716)</f>
        <v/>
      </c>
      <c r="H716" s="5" t="str">
        <f t="shared" ref="H716:H779" si="681">IF(ISBLANK(B716),"",IF(B716="ALI",IF(I716="L",7,IF(I716="A",10,15)),IF(B716="AIE",IF(I716="L",5,IF(I716="A",7,10)),IF(B716="SE",IF(I716="L",4,IF(I716="A",5,7)),IF(OR(B716="EE",B716="CE"),IF(I716="L",3,IF(I716="A",4,6)),0)))))</f>
        <v/>
      </c>
      <c r="I716" s="122" t="str">
        <f t="shared" ref="I716:I779" si="682">IF(OR(ISBLANK(D716),ISBLANK(E716)),IF(OR(B716="ALI",B716="AIE"),"L",IF(OR(B716="EE",B716="SE",B716="CE"),"A","")),IF(B716="EE",IF(E716&gt;=3,IF(D716&gt;=5,"H","A"),IF(E716&gt;=2,IF(D716&gt;=16,"H",IF(D716&lt;=4,"L","A")),IF(D716&lt;=15,"L","A"))),IF(OR(B716="SE",B716="CE"),IF(E716&gt;=4,IF(D716&gt;=6,"H","A"),IF(E716&gt;=2,IF(D716&gt;=20,"H",IF(D716&lt;=5,"L","A")),IF(D716&lt;=19,"L","A"))),IF(OR(B716="ALI",B716="AIE"),IF(E716&gt;=6,IF(D716&gt;=20,"H","A"),IF(E716&gt;=2,IF(D716&gt;=51,"H",IF(D716&lt;=19,"L","A")),IF(D716&lt;=50,"L","A"))),""))))</f>
        <v/>
      </c>
      <c r="J716" s="7" t="str">
        <f t="shared" ref="J716:J779" si="683">CONCATENATE(B716,C716)</f>
        <v/>
      </c>
      <c r="K716" s="9" t="str">
        <f t="shared" si="678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">
      <c r="A717" s="126"/>
      <c r="B717" s="4"/>
      <c r="C717" s="4"/>
      <c r="D717" s="7"/>
      <c r="E717" s="7"/>
      <c r="F717" s="8" t="str">
        <f t="shared" si="679"/>
        <v/>
      </c>
      <c r="G717" s="7" t="str">
        <f t="shared" si="680"/>
        <v/>
      </c>
      <c r="H717" s="5" t="str">
        <f t="shared" si="681"/>
        <v/>
      </c>
      <c r="I717" s="122" t="str">
        <f t="shared" si="682"/>
        <v/>
      </c>
      <c r="J717" s="7" t="str">
        <f t="shared" si="683"/>
        <v/>
      </c>
      <c r="K717" s="9" t="str">
        <f t="shared" si="678"/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">
      <c r="A718" s="126"/>
      <c r="B718" s="4"/>
      <c r="C718" s="4"/>
      <c r="D718" s="7"/>
      <c r="E718" s="7"/>
      <c r="F718" s="8" t="str">
        <f t="shared" si="679"/>
        <v/>
      </c>
      <c r="G718" s="7" t="str">
        <f t="shared" si="680"/>
        <v/>
      </c>
      <c r="H718" s="5" t="str">
        <f t="shared" si="681"/>
        <v/>
      </c>
      <c r="I718" s="122" t="str">
        <f t="shared" si="682"/>
        <v/>
      </c>
      <c r="J718" s="7" t="str">
        <f t="shared" si="683"/>
        <v/>
      </c>
      <c r="K718" s="9" t="str">
        <f t="shared" ref="K718:K781" si="684">IF(OR(H718="",H718=0),L718,H718)</f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">
      <c r="A719" s="126"/>
      <c r="B719" s="4"/>
      <c r="C719" s="4"/>
      <c r="D719" s="7"/>
      <c r="E719" s="7"/>
      <c r="F719" s="8" t="str">
        <f t="shared" si="679"/>
        <v/>
      </c>
      <c r="G719" s="7" t="str">
        <f t="shared" si="680"/>
        <v/>
      </c>
      <c r="H719" s="5" t="str">
        <f t="shared" si="681"/>
        <v/>
      </c>
      <c r="I719" s="122" t="str">
        <f t="shared" si="682"/>
        <v/>
      </c>
      <c r="J719" s="7" t="str">
        <f t="shared" si="683"/>
        <v/>
      </c>
      <c r="K719" s="9" t="str">
        <f t="shared" si="684"/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">
      <c r="A720" s="126"/>
      <c r="B720" s="4"/>
      <c r="C720" s="4"/>
      <c r="D720" s="7"/>
      <c r="E720" s="7"/>
      <c r="F720" s="8" t="str">
        <f t="shared" si="679"/>
        <v/>
      </c>
      <c r="G720" s="7" t="str">
        <f t="shared" si="680"/>
        <v/>
      </c>
      <c r="H720" s="5" t="str">
        <f t="shared" si="681"/>
        <v/>
      </c>
      <c r="I720" s="122" t="str">
        <f t="shared" si="682"/>
        <v/>
      </c>
      <c r="J720" s="7" t="str">
        <f t="shared" si="683"/>
        <v/>
      </c>
      <c r="K720" s="9" t="str">
        <f t="shared" si="684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">
      <c r="A721" s="126"/>
      <c r="B721" s="4"/>
      <c r="C721" s="4"/>
      <c r="D721" s="7"/>
      <c r="E721" s="7"/>
      <c r="F721" s="8" t="str">
        <f t="shared" si="679"/>
        <v/>
      </c>
      <c r="G721" s="7" t="str">
        <f t="shared" si="680"/>
        <v/>
      </c>
      <c r="H721" s="5" t="str">
        <f t="shared" si="681"/>
        <v/>
      </c>
      <c r="I721" s="122" t="str">
        <f t="shared" si="682"/>
        <v/>
      </c>
      <c r="J721" s="7" t="str">
        <f t="shared" si="683"/>
        <v/>
      </c>
      <c r="K721" s="9" t="str">
        <f t="shared" si="684"/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">
      <c r="A722" s="126"/>
      <c r="B722" s="4"/>
      <c r="C722" s="4"/>
      <c r="D722" s="7"/>
      <c r="E722" s="7"/>
      <c r="F722" s="8" t="str">
        <f t="shared" si="679"/>
        <v/>
      </c>
      <c r="G722" s="7" t="str">
        <f t="shared" si="680"/>
        <v/>
      </c>
      <c r="H722" s="5" t="str">
        <f t="shared" si="681"/>
        <v/>
      </c>
      <c r="I722" s="122" t="str">
        <f t="shared" si="682"/>
        <v/>
      </c>
      <c r="J722" s="7" t="str">
        <f t="shared" si="683"/>
        <v/>
      </c>
      <c r="K722" s="9" t="str">
        <f t="shared" si="684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">
      <c r="A723" s="126"/>
      <c r="B723" s="4"/>
      <c r="C723" s="4"/>
      <c r="D723" s="7"/>
      <c r="E723" s="7"/>
      <c r="F723" s="8" t="str">
        <f t="shared" si="679"/>
        <v/>
      </c>
      <c r="G723" s="7" t="str">
        <f t="shared" si="680"/>
        <v/>
      </c>
      <c r="H723" s="5" t="str">
        <f t="shared" si="681"/>
        <v/>
      </c>
      <c r="I723" s="122" t="str">
        <f t="shared" si="682"/>
        <v/>
      </c>
      <c r="J723" s="7" t="str">
        <f t="shared" si="683"/>
        <v/>
      </c>
      <c r="K723" s="9" t="str">
        <f t="shared" si="684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">
      <c r="A724" s="126"/>
      <c r="B724" s="4"/>
      <c r="C724" s="4"/>
      <c r="D724" s="7"/>
      <c r="E724" s="7"/>
      <c r="F724" s="8" t="str">
        <f t="shared" si="679"/>
        <v/>
      </c>
      <c r="G724" s="7" t="str">
        <f t="shared" si="680"/>
        <v/>
      </c>
      <c r="H724" s="5" t="str">
        <f t="shared" si="681"/>
        <v/>
      </c>
      <c r="I724" s="122" t="str">
        <f t="shared" si="682"/>
        <v/>
      </c>
      <c r="J724" s="7" t="str">
        <f t="shared" si="683"/>
        <v/>
      </c>
      <c r="K724" s="9" t="str">
        <f t="shared" si="684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">
      <c r="A725" s="126"/>
      <c r="B725" s="4"/>
      <c r="C725" s="4"/>
      <c r="D725" s="7"/>
      <c r="E725" s="7"/>
      <c r="F725" s="8" t="str">
        <f t="shared" si="679"/>
        <v/>
      </c>
      <c r="G725" s="7" t="str">
        <f t="shared" si="680"/>
        <v/>
      </c>
      <c r="H725" s="5" t="str">
        <f t="shared" si="681"/>
        <v/>
      </c>
      <c r="I725" s="122" t="str">
        <f t="shared" si="682"/>
        <v/>
      </c>
      <c r="J725" s="7" t="str">
        <f t="shared" si="683"/>
        <v/>
      </c>
      <c r="K725" s="9" t="str">
        <f t="shared" si="684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">
      <c r="A726" s="126"/>
      <c r="B726" s="4"/>
      <c r="C726" s="4"/>
      <c r="D726" s="7"/>
      <c r="E726" s="7"/>
      <c r="F726" s="8" t="str">
        <f t="shared" si="679"/>
        <v/>
      </c>
      <c r="G726" s="7" t="str">
        <f t="shared" si="680"/>
        <v/>
      </c>
      <c r="H726" s="5" t="str">
        <f t="shared" si="681"/>
        <v/>
      </c>
      <c r="I726" s="122" t="str">
        <f t="shared" si="682"/>
        <v/>
      </c>
      <c r="J726" s="7" t="str">
        <f t="shared" si="683"/>
        <v/>
      </c>
      <c r="K726" s="9" t="str">
        <f t="shared" si="684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">
      <c r="A727" s="126"/>
      <c r="B727" s="4"/>
      <c r="C727" s="4"/>
      <c r="D727" s="7"/>
      <c r="E727" s="7"/>
      <c r="F727" s="8" t="str">
        <f t="shared" si="679"/>
        <v/>
      </c>
      <c r="G727" s="7" t="str">
        <f t="shared" si="680"/>
        <v/>
      </c>
      <c r="H727" s="5" t="str">
        <f t="shared" si="681"/>
        <v/>
      </c>
      <c r="I727" s="122" t="str">
        <f t="shared" si="682"/>
        <v/>
      </c>
      <c r="J727" s="7" t="str">
        <f t="shared" si="683"/>
        <v/>
      </c>
      <c r="K727" s="9" t="str">
        <f t="shared" si="684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">
      <c r="A728" s="126"/>
      <c r="B728" s="4"/>
      <c r="C728" s="4"/>
      <c r="D728" s="7"/>
      <c r="E728" s="7"/>
      <c r="F728" s="8" t="str">
        <f t="shared" si="679"/>
        <v/>
      </c>
      <c r="G728" s="7" t="str">
        <f t="shared" si="680"/>
        <v/>
      </c>
      <c r="H728" s="5" t="str">
        <f t="shared" si="681"/>
        <v/>
      </c>
      <c r="I728" s="122" t="str">
        <f t="shared" si="682"/>
        <v/>
      </c>
      <c r="J728" s="7" t="str">
        <f t="shared" si="683"/>
        <v/>
      </c>
      <c r="K728" s="9" t="str">
        <f t="shared" si="684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">
      <c r="A729" s="126"/>
      <c r="B729" s="4"/>
      <c r="C729" s="4"/>
      <c r="D729" s="7"/>
      <c r="E729" s="7"/>
      <c r="F729" s="8" t="str">
        <f t="shared" si="679"/>
        <v/>
      </c>
      <c r="G729" s="7" t="str">
        <f t="shared" si="680"/>
        <v/>
      </c>
      <c r="H729" s="5" t="str">
        <f t="shared" si="681"/>
        <v/>
      </c>
      <c r="I729" s="122" t="str">
        <f t="shared" si="682"/>
        <v/>
      </c>
      <c r="J729" s="7" t="str">
        <f t="shared" si="683"/>
        <v/>
      </c>
      <c r="K729" s="9" t="str">
        <f t="shared" si="684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">
      <c r="A730" s="126"/>
      <c r="B730" s="4"/>
      <c r="C730" s="4"/>
      <c r="D730" s="7"/>
      <c r="E730" s="7"/>
      <c r="F730" s="8" t="str">
        <f t="shared" si="679"/>
        <v/>
      </c>
      <c r="G730" s="7" t="str">
        <f t="shared" si="680"/>
        <v/>
      </c>
      <c r="H730" s="5" t="str">
        <f t="shared" si="681"/>
        <v/>
      </c>
      <c r="I730" s="122" t="str">
        <f t="shared" si="682"/>
        <v/>
      </c>
      <c r="J730" s="7" t="str">
        <f t="shared" si="683"/>
        <v/>
      </c>
      <c r="K730" s="9" t="str">
        <f t="shared" si="684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">
      <c r="A731" s="126"/>
      <c r="B731" s="4"/>
      <c r="C731" s="4"/>
      <c r="D731" s="7"/>
      <c r="E731" s="7"/>
      <c r="F731" s="8" t="str">
        <f t="shared" si="679"/>
        <v/>
      </c>
      <c r="G731" s="7" t="str">
        <f t="shared" si="680"/>
        <v/>
      </c>
      <c r="H731" s="5" t="str">
        <f t="shared" si="681"/>
        <v/>
      </c>
      <c r="I731" s="122" t="str">
        <f t="shared" si="682"/>
        <v/>
      </c>
      <c r="J731" s="7" t="str">
        <f t="shared" si="683"/>
        <v/>
      </c>
      <c r="K731" s="9" t="str">
        <f t="shared" si="684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">
      <c r="A732" s="126"/>
      <c r="B732" s="4"/>
      <c r="C732" s="4"/>
      <c r="D732" s="7"/>
      <c r="E732" s="7"/>
      <c r="F732" s="8" t="str">
        <f t="shared" si="679"/>
        <v/>
      </c>
      <c r="G732" s="7" t="str">
        <f t="shared" si="680"/>
        <v/>
      </c>
      <c r="H732" s="5" t="str">
        <f t="shared" si="681"/>
        <v/>
      </c>
      <c r="I732" s="122" t="str">
        <f t="shared" si="682"/>
        <v/>
      </c>
      <c r="J732" s="7" t="str">
        <f t="shared" si="683"/>
        <v/>
      </c>
      <c r="K732" s="9" t="str">
        <f t="shared" si="684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">
      <c r="A733" s="126"/>
      <c r="B733" s="4"/>
      <c r="C733" s="4"/>
      <c r="D733" s="7"/>
      <c r="E733" s="7"/>
      <c r="F733" s="8" t="str">
        <f t="shared" si="679"/>
        <v/>
      </c>
      <c r="G733" s="7" t="str">
        <f t="shared" si="680"/>
        <v/>
      </c>
      <c r="H733" s="5" t="str">
        <f t="shared" si="681"/>
        <v/>
      </c>
      <c r="I733" s="122" t="str">
        <f t="shared" si="682"/>
        <v/>
      </c>
      <c r="J733" s="7" t="str">
        <f t="shared" si="683"/>
        <v/>
      </c>
      <c r="K733" s="9" t="str">
        <f t="shared" si="684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">
      <c r="A734" s="126"/>
      <c r="B734" s="4"/>
      <c r="C734" s="4"/>
      <c r="D734" s="7"/>
      <c r="E734" s="7"/>
      <c r="F734" s="8" t="str">
        <f t="shared" si="679"/>
        <v/>
      </c>
      <c r="G734" s="7" t="str">
        <f t="shared" si="680"/>
        <v/>
      </c>
      <c r="H734" s="5" t="str">
        <f t="shared" si="681"/>
        <v/>
      </c>
      <c r="I734" s="122" t="str">
        <f t="shared" si="682"/>
        <v/>
      </c>
      <c r="J734" s="7" t="str">
        <f t="shared" si="683"/>
        <v/>
      </c>
      <c r="K734" s="9" t="str">
        <f t="shared" si="684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">
      <c r="A735" s="126"/>
      <c r="B735" s="4"/>
      <c r="C735" s="4"/>
      <c r="D735" s="7"/>
      <c r="E735" s="7"/>
      <c r="F735" s="8" t="str">
        <f t="shared" si="679"/>
        <v/>
      </c>
      <c r="G735" s="7" t="str">
        <f t="shared" si="680"/>
        <v/>
      </c>
      <c r="H735" s="5" t="str">
        <f t="shared" si="681"/>
        <v/>
      </c>
      <c r="I735" s="122" t="str">
        <f t="shared" si="682"/>
        <v/>
      </c>
      <c r="J735" s="7" t="str">
        <f t="shared" si="683"/>
        <v/>
      </c>
      <c r="K735" s="9" t="str">
        <f t="shared" si="684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">
      <c r="A736" s="126"/>
      <c r="B736" s="4"/>
      <c r="C736" s="4"/>
      <c r="D736" s="7"/>
      <c r="E736" s="7"/>
      <c r="F736" s="8" t="str">
        <f t="shared" si="679"/>
        <v/>
      </c>
      <c r="G736" s="7" t="str">
        <f t="shared" si="680"/>
        <v/>
      </c>
      <c r="H736" s="5" t="str">
        <f t="shared" si="681"/>
        <v/>
      </c>
      <c r="I736" s="122" t="str">
        <f t="shared" si="682"/>
        <v/>
      </c>
      <c r="J736" s="7" t="str">
        <f t="shared" si="683"/>
        <v/>
      </c>
      <c r="K736" s="9" t="str">
        <f t="shared" si="684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">
      <c r="A737" s="126"/>
      <c r="B737" s="4"/>
      <c r="C737" s="4"/>
      <c r="D737" s="7"/>
      <c r="E737" s="7"/>
      <c r="F737" s="8" t="str">
        <f t="shared" si="679"/>
        <v/>
      </c>
      <c r="G737" s="7" t="str">
        <f t="shared" si="680"/>
        <v/>
      </c>
      <c r="H737" s="5" t="str">
        <f t="shared" si="681"/>
        <v/>
      </c>
      <c r="I737" s="122" t="str">
        <f t="shared" si="682"/>
        <v/>
      </c>
      <c r="J737" s="7" t="str">
        <f t="shared" si="683"/>
        <v/>
      </c>
      <c r="K737" s="9" t="str">
        <f t="shared" si="684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">
      <c r="A738" s="126"/>
      <c r="B738" s="4"/>
      <c r="C738" s="4"/>
      <c r="D738" s="7"/>
      <c r="E738" s="7"/>
      <c r="F738" s="8" t="str">
        <f t="shared" si="679"/>
        <v/>
      </c>
      <c r="G738" s="7" t="str">
        <f t="shared" si="680"/>
        <v/>
      </c>
      <c r="H738" s="5" t="str">
        <f t="shared" si="681"/>
        <v/>
      </c>
      <c r="I738" s="122" t="str">
        <f t="shared" si="682"/>
        <v/>
      </c>
      <c r="J738" s="7" t="str">
        <f t="shared" si="683"/>
        <v/>
      </c>
      <c r="K738" s="9" t="str">
        <f t="shared" si="684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">
      <c r="A739" s="126"/>
      <c r="B739" s="4"/>
      <c r="C739" s="4"/>
      <c r="D739" s="7"/>
      <c r="E739" s="7"/>
      <c r="F739" s="8" t="str">
        <f t="shared" si="679"/>
        <v/>
      </c>
      <c r="G739" s="7" t="str">
        <f t="shared" si="680"/>
        <v/>
      </c>
      <c r="H739" s="5" t="str">
        <f t="shared" si="681"/>
        <v/>
      </c>
      <c r="I739" s="122" t="str">
        <f t="shared" si="682"/>
        <v/>
      </c>
      <c r="J739" s="7" t="str">
        <f t="shared" si="683"/>
        <v/>
      </c>
      <c r="K739" s="9" t="str">
        <f t="shared" si="684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">
      <c r="A740" s="126"/>
      <c r="B740" s="4"/>
      <c r="C740" s="4"/>
      <c r="D740" s="7"/>
      <c r="E740" s="7"/>
      <c r="F740" s="8" t="str">
        <f t="shared" si="679"/>
        <v/>
      </c>
      <c r="G740" s="7" t="str">
        <f t="shared" si="680"/>
        <v/>
      </c>
      <c r="H740" s="5" t="str">
        <f t="shared" si="681"/>
        <v/>
      </c>
      <c r="I740" s="122" t="str">
        <f t="shared" si="682"/>
        <v/>
      </c>
      <c r="J740" s="7" t="str">
        <f t="shared" si="683"/>
        <v/>
      </c>
      <c r="K740" s="9" t="str">
        <f t="shared" si="684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">
      <c r="A741" s="126"/>
      <c r="B741" s="4"/>
      <c r="C741" s="4"/>
      <c r="D741" s="7"/>
      <c r="E741" s="7"/>
      <c r="F741" s="8" t="str">
        <f t="shared" si="679"/>
        <v/>
      </c>
      <c r="G741" s="7" t="str">
        <f t="shared" si="680"/>
        <v/>
      </c>
      <c r="H741" s="5" t="str">
        <f t="shared" si="681"/>
        <v/>
      </c>
      <c r="I741" s="122" t="str">
        <f t="shared" si="682"/>
        <v/>
      </c>
      <c r="J741" s="7" t="str">
        <f t="shared" si="683"/>
        <v/>
      </c>
      <c r="K741" s="9" t="str">
        <f t="shared" si="684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">
      <c r="A742" s="126"/>
      <c r="B742" s="4"/>
      <c r="C742" s="4"/>
      <c r="D742" s="7"/>
      <c r="E742" s="7"/>
      <c r="F742" s="8" t="str">
        <f t="shared" si="679"/>
        <v/>
      </c>
      <c r="G742" s="7" t="str">
        <f t="shared" si="680"/>
        <v/>
      </c>
      <c r="H742" s="5" t="str">
        <f t="shared" si="681"/>
        <v/>
      </c>
      <c r="I742" s="122" t="str">
        <f t="shared" si="682"/>
        <v/>
      </c>
      <c r="J742" s="7" t="str">
        <f t="shared" si="683"/>
        <v/>
      </c>
      <c r="K742" s="9" t="str">
        <f t="shared" si="684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">
      <c r="A743" s="126"/>
      <c r="B743" s="4"/>
      <c r="C743" s="4"/>
      <c r="D743" s="7"/>
      <c r="E743" s="7"/>
      <c r="F743" s="8" t="str">
        <f t="shared" si="679"/>
        <v/>
      </c>
      <c r="G743" s="7" t="str">
        <f t="shared" si="680"/>
        <v/>
      </c>
      <c r="H743" s="5" t="str">
        <f t="shared" si="681"/>
        <v/>
      </c>
      <c r="I743" s="122" t="str">
        <f t="shared" si="682"/>
        <v/>
      </c>
      <c r="J743" s="7" t="str">
        <f t="shared" si="683"/>
        <v/>
      </c>
      <c r="K743" s="9" t="str">
        <f t="shared" si="684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">
      <c r="A744" s="126"/>
      <c r="B744" s="4"/>
      <c r="C744" s="4"/>
      <c r="D744" s="7"/>
      <c r="E744" s="7"/>
      <c r="F744" s="8" t="str">
        <f t="shared" si="679"/>
        <v/>
      </c>
      <c r="G744" s="7" t="str">
        <f t="shared" si="680"/>
        <v/>
      </c>
      <c r="H744" s="5" t="str">
        <f t="shared" si="681"/>
        <v/>
      </c>
      <c r="I744" s="122" t="str">
        <f t="shared" si="682"/>
        <v/>
      </c>
      <c r="J744" s="7" t="str">
        <f t="shared" si="683"/>
        <v/>
      </c>
      <c r="K744" s="9" t="str">
        <f t="shared" si="684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">
      <c r="A745" s="126"/>
      <c r="B745" s="4"/>
      <c r="C745" s="4"/>
      <c r="D745" s="7"/>
      <c r="E745" s="7"/>
      <c r="F745" s="8" t="str">
        <f t="shared" si="679"/>
        <v/>
      </c>
      <c r="G745" s="7" t="str">
        <f t="shared" si="680"/>
        <v/>
      </c>
      <c r="H745" s="5" t="str">
        <f t="shared" si="681"/>
        <v/>
      </c>
      <c r="I745" s="122" t="str">
        <f t="shared" si="682"/>
        <v/>
      </c>
      <c r="J745" s="7" t="str">
        <f t="shared" si="683"/>
        <v/>
      </c>
      <c r="K745" s="9" t="str">
        <f t="shared" si="684"/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">
      <c r="A746" s="126"/>
      <c r="B746" s="4"/>
      <c r="C746" s="4"/>
      <c r="D746" s="7"/>
      <c r="E746" s="7"/>
      <c r="F746" s="8" t="str">
        <f t="shared" si="679"/>
        <v/>
      </c>
      <c r="G746" s="7" t="str">
        <f t="shared" si="680"/>
        <v/>
      </c>
      <c r="H746" s="5" t="str">
        <f t="shared" si="681"/>
        <v/>
      </c>
      <c r="I746" s="122" t="str">
        <f t="shared" si="682"/>
        <v/>
      </c>
      <c r="J746" s="7" t="str">
        <f t="shared" si="683"/>
        <v/>
      </c>
      <c r="K746" s="9" t="str">
        <f t="shared" si="684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">
      <c r="A747" s="126"/>
      <c r="B747" s="4"/>
      <c r="C747" s="4"/>
      <c r="D747" s="7"/>
      <c r="E747" s="7"/>
      <c r="F747" s="8" t="str">
        <f t="shared" si="679"/>
        <v/>
      </c>
      <c r="G747" s="7" t="str">
        <f t="shared" si="680"/>
        <v/>
      </c>
      <c r="H747" s="5" t="str">
        <f t="shared" si="681"/>
        <v/>
      </c>
      <c r="I747" s="122" t="str">
        <f t="shared" si="682"/>
        <v/>
      </c>
      <c r="J747" s="7" t="str">
        <f t="shared" si="683"/>
        <v/>
      </c>
      <c r="K747" s="9" t="str">
        <f t="shared" si="684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">
      <c r="A748" s="126"/>
      <c r="B748" s="4"/>
      <c r="C748" s="4"/>
      <c r="D748" s="7"/>
      <c r="E748" s="7"/>
      <c r="F748" s="8" t="str">
        <f t="shared" si="679"/>
        <v/>
      </c>
      <c r="G748" s="7" t="str">
        <f t="shared" si="680"/>
        <v/>
      </c>
      <c r="H748" s="5" t="str">
        <f t="shared" si="681"/>
        <v/>
      </c>
      <c r="I748" s="122" t="str">
        <f t="shared" si="682"/>
        <v/>
      </c>
      <c r="J748" s="7" t="str">
        <f t="shared" si="683"/>
        <v/>
      </c>
      <c r="K748" s="9" t="str">
        <f t="shared" si="684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">
      <c r="A749" s="126"/>
      <c r="B749" s="4"/>
      <c r="C749" s="4"/>
      <c r="D749" s="7"/>
      <c r="E749" s="7"/>
      <c r="F749" s="8" t="str">
        <f t="shared" si="679"/>
        <v/>
      </c>
      <c r="G749" s="7" t="str">
        <f t="shared" si="680"/>
        <v/>
      </c>
      <c r="H749" s="5" t="str">
        <f t="shared" si="681"/>
        <v/>
      </c>
      <c r="I749" s="122" t="str">
        <f t="shared" si="682"/>
        <v/>
      </c>
      <c r="J749" s="7" t="str">
        <f t="shared" si="683"/>
        <v/>
      </c>
      <c r="K749" s="9" t="str">
        <f t="shared" si="684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">
      <c r="A750" s="126"/>
      <c r="B750" s="4"/>
      <c r="C750" s="4"/>
      <c r="D750" s="7"/>
      <c r="E750" s="7"/>
      <c r="F750" s="8" t="str">
        <f t="shared" si="679"/>
        <v/>
      </c>
      <c r="G750" s="7" t="str">
        <f t="shared" si="680"/>
        <v/>
      </c>
      <c r="H750" s="5" t="str">
        <f t="shared" si="681"/>
        <v/>
      </c>
      <c r="I750" s="122" t="str">
        <f t="shared" si="682"/>
        <v/>
      </c>
      <c r="J750" s="7" t="str">
        <f t="shared" si="683"/>
        <v/>
      </c>
      <c r="K750" s="9" t="str">
        <f t="shared" si="684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">
      <c r="A751" s="126"/>
      <c r="B751" s="4"/>
      <c r="C751" s="4"/>
      <c r="D751" s="7"/>
      <c r="E751" s="7"/>
      <c r="F751" s="8" t="str">
        <f t="shared" si="679"/>
        <v/>
      </c>
      <c r="G751" s="7" t="str">
        <f t="shared" si="680"/>
        <v/>
      </c>
      <c r="H751" s="5" t="str">
        <f t="shared" si="681"/>
        <v/>
      </c>
      <c r="I751" s="122" t="str">
        <f t="shared" si="682"/>
        <v/>
      </c>
      <c r="J751" s="7" t="str">
        <f t="shared" si="683"/>
        <v/>
      </c>
      <c r="K751" s="9" t="str">
        <f t="shared" si="684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">
      <c r="A752" s="126"/>
      <c r="B752" s="4"/>
      <c r="C752" s="4"/>
      <c r="D752" s="7"/>
      <c r="E752" s="7"/>
      <c r="F752" s="8" t="str">
        <f t="shared" si="679"/>
        <v/>
      </c>
      <c r="G752" s="7" t="str">
        <f t="shared" si="680"/>
        <v/>
      </c>
      <c r="H752" s="5" t="str">
        <f t="shared" si="681"/>
        <v/>
      </c>
      <c r="I752" s="122" t="str">
        <f t="shared" si="682"/>
        <v/>
      </c>
      <c r="J752" s="7" t="str">
        <f t="shared" si="683"/>
        <v/>
      </c>
      <c r="K752" s="9" t="str">
        <f t="shared" si="684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">
      <c r="A753" s="126"/>
      <c r="B753" s="4"/>
      <c r="C753" s="4"/>
      <c r="D753" s="7"/>
      <c r="E753" s="7"/>
      <c r="F753" s="8" t="str">
        <f t="shared" si="679"/>
        <v/>
      </c>
      <c r="G753" s="7" t="str">
        <f t="shared" si="680"/>
        <v/>
      </c>
      <c r="H753" s="5" t="str">
        <f t="shared" si="681"/>
        <v/>
      </c>
      <c r="I753" s="122" t="str">
        <f t="shared" si="682"/>
        <v/>
      </c>
      <c r="J753" s="7" t="str">
        <f t="shared" si="683"/>
        <v/>
      </c>
      <c r="K753" s="9" t="str">
        <f t="shared" si="684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">
      <c r="A754" s="126"/>
      <c r="B754" s="4"/>
      <c r="C754" s="4"/>
      <c r="D754" s="7"/>
      <c r="E754" s="7"/>
      <c r="F754" s="8" t="str">
        <f t="shared" si="679"/>
        <v/>
      </c>
      <c r="G754" s="7" t="str">
        <f t="shared" si="680"/>
        <v/>
      </c>
      <c r="H754" s="5" t="str">
        <f t="shared" si="681"/>
        <v/>
      </c>
      <c r="I754" s="122" t="str">
        <f t="shared" si="682"/>
        <v/>
      </c>
      <c r="J754" s="7" t="str">
        <f t="shared" si="683"/>
        <v/>
      </c>
      <c r="K754" s="9" t="str">
        <f t="shared" si="684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">
      <c r="A755" s="126"/>
      <c r="B755" s="4"/>
      <c r="C755" s="4"/>
      <c r="D755" s="7"/>
      <c r="E755" s="7"/>
      <c r="F755" s="8" t="str">
        <f t="shared" si="679"/>
        <v/>
      </c>
      <c r="G755" s="7" t="str">
        <f t="shared" si="680"/>
        <v/>
      </c>
      <c r="H755" s="5" t="str">
        <f t="shared" si="681"/>
        <v/>
      </c>
      <c r="I755" s="122" t="str">
        <f t="shared" si="682"/>
        <v/>
      </c>
      <c r="J755" s="7" t="str">
        <f t="shared" si="683"/>
        <v/>
      </c>
      <c r="K755" s="9" t="str">
        <f t="shared" si="684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">
      <c r="A756" s="126"/>
      <c r="B756" s="4"/>
      <c r="C756" s="4"/>
      <c r="D756" s="7"/>
      <c r="E756" s="7"/>
      <c r="F756" s="8" t="str">
        <f t="shared" si="679"/>
        <v/>
      </c>
      <c r="G756" s="7" t="str">
        <f t="shared" si="680"/>
        <v/>
      </c>
      <c r="H756" s="5" t="str">
        <f t="shared" si="681"/>
        <v/>
      </c>
      <c r="I756" s="122" t="str">
        <f t="shared" si="682"/>
        <v/>
      </c>
      <c r="J756" s="7" t="str">
        <f t="shared" si="683"/>
        <v/>
      </c>
      <c r="K756" s="9" t="str">
        <f t="shared" si="684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">
      <c r="A757" s="126"/>
      <c r="B757" s="4"/>
      <c r="C757" s="4"/>
      <c r="D757" s="7"/>
      <c r="E757" s="7"/>
      <c r="F757" s="8" t="str">
        <f t="shared" si="679"/>
        <v/>
      </c>
      <c r="G757" s="7" t="str">
        <f t="shared" si="680"/>
        <v/>
      </c>
      <c r="H757" s="5" t="str">
        <f t="shared" si="681"/>
        <v/>
      </c>
      <c r="I757" s="122" t="str">
        <f t="shared" si="682"/>
        <v/>
      </c>
      <c r="J757" s="7" t="str">
        <f t="shared" si="683"/>
        <v/>
      </c>
      <c r="K757" s="9" t="str">
        <f t="shared" si="684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">
      <c r="A758" s="126"/>
      <c r="B758" s="4"/>
      <c r="C758" s="4"/>
      <c r="D758" s="7"/>
      <c r="E758" s="7"/>
      <c r="F758" s="8" t="str">
        <f t="shared" si="679"/>
        <v/>
      </c>
      <c r="G758" s="7" t="str">
        <f t="shared" si="680"/>
        <v/>
      </c>
      <c r="H758" s="5" t="str">
        <f t="shared" si="681"/>
        <v/>
      </c>
      <c r="I758" s="122" t="str">
        <f t="shared" si="682"/>
        <v/>
      </c>
      <c r="J758" s="7" t="str">
        <f t="shared" si="683"/>
        <v/>
      </c>
      <c r="K758" s="9" t="str">
        <f t="shared" si="684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">
      <c r="A759" s="126"/>
      <c r="B759" s="4"/>
      <c r="C759" s="4"/>
      <c r="D759" s="7"/>
      <c r="E759" s="7"/>
      <c r="F759" s="8" t="str">
        <f t="shared" si="679"/>
        <v/>
      </c>
      <c r="G759" s="7" t="str">
        <f t="shared" si="680"/>
        <v/>
      </c>
      <c r="H759" s="5" t="str">
        <f t="shared" si="681"/>
        <v/>
      </c>
      <c r="I759" s="122" t="str">
        <f t="shared" si="682"/>
        <v/>
      </c>
      <c r="J759" s="7" t="str">
        <f t="shared" si="683"/>
        <v/>
      </c>
      <c r="K759" s="9" t="str">
        <f t="shared" si="684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">
      <c r="A760" s="126"/>
      <c r="B760" s="4"/>
      <c r="C760" s="4"/>
      <c r="D760" s="7"/>
      <c r="E760" s="7"/>
      <c r="F760" s="8" t="str">
        <f t="shared" si="679"/>
        <v/>
      </c>
      <c r="G760" s="7" t="str">
        <f t="shared" si="680"/>
        <v/>
      </c>
      <c r="H760" s="5" t="str">
        <f t="shared" si="681"/>
        <v/>
      </c>
      <c r="I760" s="122" t="str">
        <f t="shared" si="682"/>
        <v/>
      </c>
      <c r="J760" s="7" t="str">
        <f t="shared" si="683"/>
        <v/>
      </c>
      <c r="K760" s="9" t="str">
        <f t="shared" si="684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">
      <c r="A761" s="126"/>
      <c r="B761" s="4"/>
      <c r="C761" s="4"/>
      <c r="D761" s="7"/>
      <c r="E761" s="7"/>
      <c r="F761" s="8" t="str">
        <f t="shared" si="679"/>
        <v/>
      </c>
      <c r="G761" s="7" t="str">
        <f t="shared" si="680"/>
        <v/>
      </c>
      <c r="H761" s="5" t="str">
        <f t="shared" si="681"/>
        <v/>
      </c>
      <c r="I761" s="122" t="str">
        <f t="shared" si="682"/>
        <v/>
      </c>
      <c r="J761" s="7" t="str">
        <f t="shared" si="683"/>
        <v/>
      </c>
      <c r="K761" s="9" t="str">
        <f t="shared" si="684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">
      <c r="A762" s="126"/>
      <c r="B762" s="4"/>
      <c r="C762" s="4"/>
      <c r="D762" s="7"/>
      <c r="E762" s="7"/>
      <c r="F762" s="8" t="str">
        <f t="shared" si="679"/>
        <v/>
      </c>
      <c r="G762" s="7" t="str">
        <f t="shared" si="680"/>
        <v/>
      </c>
      <c r="H762" s="5" t="str">
        <f t="shared" si="681"/>
        <v/>
      </c>
      <c r="I762" s="122" t="str">
        <f t="shared" si="682"/>
        <v/>
      </c>
      <c r="J762" s="7" t="str">
        <f t="shared" si="683"/>
        <v/>
      </c>
      <c r="K762" s="9" t="str">
        <f t="shared" si="684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">
      <c r="A763" s="126"/>
      <c r="B763" s="4"/>
      <c r="C763" s="4"/>
      <c r="D763" s="7"/>
      <c r="E763" s="7"/>
      <c r="F763" s="8" t="str">
        <f t="shared" si="679"/>
        <v/>
      </c>
      <c r="G763" s="7" t="str">
        <f t="shared" si="680"/>
        <v/>
      </c>
      <c r="H763" s="5" t="str">
        <f t="shared" si="681"/>
        <v/>
      </c>
      <c r="I763" s="122" t="str">
        <f t="shared" si="682"/>
        <v/>
      </c>
      <c r="J763" s="7" t="str">
        <f t="shared" si="683"/>
        <v/>
      </c>
      <c r="K763" s="9" t="str">
        <f t="shared" si="684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">
      <c r="A764" s="126"/>
      <c r="B764" s="4"/>
      <c r="C764" s="4"/>
      <c r="D764" s="7"/>
      <c r="E764" s="7"/>
      <c r="F764" s="8" t="str">
        <f t="shared" si="679"/>
        <v/>
      </c>
      <c r="G764" s="7" t="str">
        <f t="shared" si="680"/>
        <v/>
      </c>
      <c r="H764" s="5" t="str">
        <f t="shared" si="681"/>
        <v/>
      </c>
      <c r="I764" s="122" t="str">
        <f t="shared" si="682"/>
        <v/>
      </c>
      <c r="J764" s="7" t="str">
        <f t="shared" si="683"/>
        <v/>
      </c>
      <c r="K764" s="9" t="str">
        <f t="shared" si="684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">
      <c r="A765" s="126"/>
      <c r="B765" s="4"/>
      <c r="C765" s="4"/>
      <c r="D765" s="7"/>
      <c r="E765" s="7"/>
      <c r="F765" s="8" t="str">
        <f t="shared" si="679"/>
        <v/>
      </c>
      <c r="G765" s="7" t="str">
        <f t="shared" si="680"/>
        <v/>
      </c>
      <c r="H765" s="5" t="str">
        <f t="shared" si="681"/>
        <v/>
      </c>
      <c r="I765" s="122" t="str">
        <f t="shared" si="682"/>
        <v/>
      </c>
      <c r="J765" s="7" t="str">
        <f t="shared" si="683"/>
        <v/>
      </c>
      <c r="K765" s="9" t="str">
        <f t="shared" si="684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">
      <c r="A766" s="126"/>
      <c r="B766" s="4"/>
      <c r="C766" s="4"/>
      <c r="D766" s="7"/>
      <c r="E766" s="7"/>
      <c r="F766" s="8" t="str">
        <f t="shared" si="679"/>
        <v/>
      </c>
      <c r="G766" s="7" t="str">
        <f t="shared" si="680"/>
        <v/>
      </c>
      <c r="H766" s="5" t="str">
        <f t="shared" si="681"/>
        <v/>
      </c>
      <c r="I766" s="122" t="str">
        <f t="shared" si="682"/>
        <v/>
      </c>
      <c r="J766" s="7" t="str">
        <f t="shared" si="683"/>
        <v/>
      </c>
      <c r="K766" s="9" t="str">
        <f t="shared" si="684"/>
        <v/>
      </c>
      <c r="L766" s="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">
      <c r="A767" s="126"/>
      <c r="B767" s="4"/>
      <c r="C767" s="4"/>
      <c r="D767" s="7"/>
      <c r="E767" s="7"/>
      <c r="F767" s="8" t="str">
        <f t="shared" si="679"/>
        <v/>
      </c>
      <c r="G767" s="7" t="str">
        <f t="shared" si="680"/>
        <v/>
      </c>
      <c r="H767" s="5" t="str">
        <f t="shared" si="681"/>
        <v/>
      </c>
      <c r="I767" s="122" t="str">
        <f t="shared" si="682"/>
        <v/>
      </c>
      <c r="J767" s="7" t="str">
        <f t="shared" si="683"/>
        <v/>
      </c>
      <c r="K767" s="9" t="str">
        <f t="shared" si="684"/>
        <v/>
      </c>
      <c r="L767" s="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">
      <c r="A768" s="126"/>
      <c r="B768" s="4"/>
      <c r="C768" s="4"/>
      <c r="D768" s="7"/>
      <c r="E768" s="7"/>
      <c r="F768" s="8" t="str">
        <f t="shared" si="679"/>
        <v/>
      </c>
      <c r="G768" s="7" t="str">
        <f t="shared" si="680"/>
        <v/>
      </c>
      <c r="H768" s="5" t="str">
        <f t="shared" si="681"/>
        <v/>
      </c>
      <c r="I768" s="122" t="str">
        <f t="shared" si="682"/>
        <v/>
      </c>
      <c r="J768" s="7" t="str">
        <f t="shared" si="683"/>
        <v/>
      </c>
      <c r="K768" s="9" t="str">
        <f t="shared" si="684"/>
        <v/>
      </c>
      <c r="L768" s="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">
      <c r="A769" s="126"/>
      <c r="B769" s="4"/>
      <c r="C769" s="4"/>
      <c r="D769" s="7"/>
      <c r="E769" s="7"/>
      <c r="F769" s="8" t="str">
        <f t="shared" si="679"/>
        <v/>
      </c>
      <c r="G769" s="7" t="str">
        <f t="shared" si="680"/>
        <v/>
      </c>
      <c r="H769" s="5" t="str">
        <f t="shared" si="681"/>
        <v/>
      </c>
      <c r="I769" s="122" t="str">
        <f t="shared" si="682"/>
        <v/>
      </c>
      <c r="J769" s="7" t="str">
        <f t="shared" si="683"/>
        <v/>
      </c>
      <c r="K769" s="9" t="str">
        <f t="shared" si="684"/>
        <v/>
      </c>
      <c r="L769" s="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">
      <c r="A770" s="126"/>
      <c r="B770" s="4"/>
      <c r="C770" s="4"/>
      <c r="D770" s="7"/>
      <c r="E770" s="7"/>
      <c r="F770" s="8" t="str">
        <f t="shared" si="679"/>
        <v/>
      </c>
      <c r="G770" s="7" t="str">
        <f t="shared" si="680"/>
        <v/>
      </c>
      <c r="H770" s="5" t="str">
        <f t="shared" si="681"/>
        <v/>
      </c>
      <c r="I770" s="122" t="str">
        <f t="shared" si="682"/>
        <v/>
      </c>
      <c r="J770" s="7" t="str">
        <f t="shared" si="683"/>
        <v/>
      </c>
      <c r="K770" s="9" t="str">
        <f t="shared" si="684"/>
        <v/>
      </c>
      <c r="L770" s="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">
      <c r="A771" s="126"/>
      <c r="B771" s="4"/>
      <c r="C771" s="4"/>
      <c r="D771" s="7"/>
      <c r="E771" s="7"/>
      <c r="F771" s="8" t="str">
        <f t="shared" si="679"/>
        <v/>
      </c>
      <c r="G771" s="7" t="str">
        <f t="shared" si="680"/>
        <v/>
      </c>
      <c r="H771" s="5" t="str">
        <f t="shared" si="681"/>
        <v/>
      </c>
      <c r="I771" s="122" t="str">
        <f t="shared" si="682"/>
        <v/>
      </c>
      <c r="J771" s="7" t="str">
        <f t="shared" si="683"/>
        <v/>
      </c>
      <c r="K771" s="9" t="str">
        <f t="shared" si="684"/>
        <v/>
      </c>
      <c r="L771" s="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">
      <c r="A772" s="126"/>
      <c r="B772" s="4"/>
      <c r="C772" s="4"/>
      <c r="D772" s="7"/>
      <c r="E772" s="7"/>
      <c r="F772" s="8" t="str">
        <f t="shared" si="679"/>
        <v/>
      </c>
      <c r="G772" s="7" t="str">
        <f t="shared" si="680"/>
        <v/>
      </c>
      <c r="H772" s="5" t="str">
        <f t="shared" si="681"/>
        <v/>
      </c>
      <c r="I772" s="122" t="str">
        <f t="shared" si="682"/>
        <v/>
      </c>
      <c r="J772" s="7" t="str">
        <f t="shared" si="683"/>
        <v/>
      </c>
      <c r="K772" s="9" t="str">
        <f t="shared" si="684"/>
        <v/>
      </c>
      <c r="L772" s="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">
      <c r="A773" s="126"/>
      <c r="B773" s="4"/>
      <c r="C773" s="4"/>
      <c r="D773" s="7"/>
      <c r="E773" s="7"/>
      <c r="F773" s="8" t="str">
        <f t="shared" si="679"/>
        <v/>
      </c>
      <c r="G773" s="7" t="str">
        <f t="shared" si="680"/>
        <v/>
      </c>
      <c r="H773" s="5" t="str">
        <f t="shared" si="681"/>
        <v/>
      </c>
      <c r="I773" s="122" t="str">
        <f t="shared" si="682"/>
        <v/>
      </c>
      <c r="J773" s="7" t="str">
        <f t="shared" si="683"/>
        <v/>
      </c>
      <c r="K773" s="9" t="str">
        <f t="shared" si="684"/>
        <v/>
      </c>
      <c r="L773" s="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">
      <c r="A774" s="126"/>
      <c r="B774" s="4"/>
      <c r="C774" s="4"/>
      <c r="D774" s="7"/>
      <c r="E774" s="7"/>
      <c r="F774" s="8" t="str">
        <f t="shared" si="679"/>
        <v/>
      </c>
      <c r="G774" s="7" t="str">
        <f t="shared" si="680"/>
        <v/>
      </c>
      <c r="H774" s="5" t="str">
        <f t="shared" si="681"/>
        <v/>
      </c>
      <c r="I774" s="122" t="str">
        <f t="shared" si="682"/>
        <v/>
      </c>
      <c r="J774" s="7" t="str">
        <f t="shared" si="683"/>
        <v/>
      </c>
      <c r="K774" s="9" t="str">
        <f t="shared" si="684"/>
        <v/>
      </c>
      <c r="L774" s="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">
      <c r="A775" s="126"/>
      <c r="B775" s="4"/>
      <c r="C775" s="4"/>
      <c r="D775" s="7"/>
      <c r="E775" s="7"/>
      <c r="F775" s="8" t="str">
        <f t="shared" si="679"/>
        <v/>
      </c>
      <c r="G775" s="7" t="str">
        <f t="shared" si="680"/>
        <v/>
      </c>
      <c r="H775" s="5" t="str">
        <f t="shared" si="681"/>
        <v/>
      </c>
      <c r="I775" s="122" t="str">
        <f t="shared" si="682"/>
        <v/>
      </c>
      <c r="J775" s="7" t="str">
        <f t="shared" si="683"/>
        <v/>
      </c>
      <c r="K775" s="9" t="str">
        <f t="shared" si="684"/>
        <v/>
      </c>
      <c r="L775" s="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">
      <c r="A776" s="126"/>
      <c r="B776" s="4"/>
      <c r="C776" s="4"/>
      <c r="D776" s="7"/>
      <c r="E776" s="7"/>
      <c r="F776" s="8" t="str">
        <f t="shared" si="679"/>
        <v/>
      </c>
      <c r="G776" s="7" t="str">
        <f t="shared" si="680"/>
        <v/>
      </c>
      <c r="H776" s="5" t="str">
        <f t="shared" si="681"/>
        <v/>
      </c>
      <c r="I776" s="122" t="str">
        <f t="shared" si="682"/>
        <v/>
      </c>
      <c r="J776" s="7" t="str">
        <f t="shared" si="683"/>
        <v/>
      </c>
      <c r="K776" s="9" t="str">
        <f t="shared" si="684"/>
        <v/>
      </c>
      <c r="L776" s="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">
      <c r="A777" s="126"/>
      <c r="B777" s="4"/>
      <c r="C777" s="4"/>
      <c r="D777" s="7"/>
      <c r="E777" s="7"/>
      <c r="F777" s="8" t="str">
        <f t="shared" si="679"/>
        <v/>
      </c>
      <c r="G777" s="7" t="str">
        <f t="shared" si="680"/>
        <v/>
      </c>
      <c r="H777" s="5" t="str">
        <f t="shared" si="681"/>
        <v/>
      </c>
      <c r="I777" s="122" t="str">
        <f t="shared" si="682"/>
        <v/>
      </c>
      <c r="J777" s="7" t="str">
        <f t="shared" si="683"/>
        <v/>
      </c>
      <c r="K777" s="9" t="str">
        <f t="shared" si="684"/>
        <v/>
      </c>
      <c r="L777" s="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">
      <c r="A778" s="126"/>
      <c r="B778" s="4"/>
      <c r="C778" s="4"/>
      <c r="D778" s="7"/>
      <c r="E778" s="7"/>
      <c r="F778" s="8" t="str">
        <f t="shared" si="679"/>
        <v/>
      </c>
      <c r="G778" s="7" t="str">
        <f t="shared" si="680"/>
        <v/>
      </c>
      <c r="H778" s="5" t="str">
        <f t="shared" si="681"/>
        <v/>
      </c>
      <c r="I778" s="122" t="str">
        <f t="shared" si="682"/>
        <v/>
      </c>
      <c r="J778" s="7" t="str">
        <f t="shared" si="683"/>
        <v/>
      </c>
      <c r="K778" s="9" t="str">
        <f t="shared" si="684"/>
        <v/>
      </c>
      <c r="L778" s="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">
      <c r="A779" s="126"/>
      <c r="B779" s="4"/>
      <c r="C779" s="4"/>
      <c r="D779" s="7"/>
      <c r="E779" s="7"/>
      <c r="F779" s="8" t="str">
        <f t="shared" si="679"/>
        <v/>
      </c>
      <c r="G779" s="7" t="str">
        <f t="shared" si="680"/>
        <v/>
      </c>
      <c r="H779" s="5" t="str">
        <f t="shared" si="681"/>
        <v/>
      </c>
      <c r="I779" s="122" t="str">
        <f t="shared" si="682"/>
        <v/>
      </c>
      <c r="J779" s="7" t="str">
        <f t="shared" si="683"/>
        <v/>
      </c>
      <c r="K779" s="9" t="str">
        <f t="shared" si="684"/>
        <v/>
      </c>
      <c r="L779" s="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">
      <c r="A780" s="126"/>
      <c r="B780" s="4"/>
      <c r="C780" s="4"/>
      <c r="D780" s="7"/>
      <c r="E780" s="7"/>
      <c r="F780" s="8" t="str">
        <f t="shared" ref="F780:F803" si="685">IF(ISBLANK(B780),"",IF(I780="L","Baixa",IF(I780="A","Média",IF(I780="","","Alta"))))</f>
        <v/>
      </c>
      <c r="G780" s="7" t="str">
        <f t="shared" ref="G780:G803" si="686">CONCATENATE(B780,I780)</f>
        <v/>
      </c>
      <c r="H780" s="5" t="str">
        <f t="shared" ref="H780:H803" si="687">IF(ISBLANK(B780),"",IF(B780="ALI",IF(I780="L",7,IF(I780="A",10,15)),IF(B780="AIE",IF(I780="L",5,IF(I780="A",7,10)),IF(B780="SE",IF(I780="L",4,IF(I780="A",5,7)),IF(OR(B780="EE",B780="CE"),IF(I780="L",3,IF(I780="A",4,6)),0)))))</f>
        <v/>
      </c>
      <c r="I780" s="122" t="str">
        <f t="shared" ref="I780:I803" si="688">IF(OR(ISBLANK(D780),ISBLANK(E780)),IF(OR(B780="ALI",B780="AIE"),"L",IF(OR(B780="EE",B780="SE",B780="CE"),"A","")),IF(B780="EE",IF(E780&gt;=3,IF(D780&gt;=5,"H","A"),IF(E780&gt;=2,IF(D780&gt;=16,"H",IF(D780&lt;=4,"L","A")),IF(D780&lt;=15,"L","A"))),IF(OR(B780="SE",B780="CE"),IF(E780&gt;=4,IF(D780&gt;=6,"H","A"),IF(E780&gt;=2,IF(D780&gt;=20,"H",IF(D780&lt;=5,"L","A")),IF(D780&lt;=19,"L","A"))),IF(OR(B780="ALI",B780="AIE"),IF(E780&gt;=6,IF(D780&gt;=20,"H","A"),IF(E780&gt;=2,IF(D780&gt;=51,"H",IF(D780&lt;=19,"L","A")),IF(D780&lt;=50,"L","A"))),""))))</f>
        <v/>
      </c>
      <c r="J780" s="7" t="str">
        <f t="shared" ref="J780:J803" si="689">CONCATENATE(B780,C780)</f>
        <v/>
      </c>
      <c r="K780" s="9" t="str">
        <f t="shared" si="684"/>
        <v/>
      </c>
      <c r="L780" s="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">
      <c r="A781" s="126"/>
      <c r="B781" s="4"/>
      <c r="C781" s="4"/>
      <c r="D781" s="7"/>
      <c r="E781" s="7"/>
      <c r="F781" s="8" t="str">
        <f t="shared" si="685"/>
        <v/>
      </c>
      <c r="G781" s="7" t="str">
        <f t="shared" si="686"/>
        <v/>
      </c>
      <c r="H781" s="5" t="str">
        <f t="shared" si="687"/>
        <v/>
      </c>
      <c r="I781" s="122" t="str">
        <f t="shared" si="688"/>
        <v/>
      </c>
      <c r="J781" s="7" t="str">
        <f t="shared" si="689"/>
        <v/>
      </c>
      <c r="K781" s="9" t="str">
        <f t="shared" si="684"/>
        <v/>
      </c>
      <c r="L781" s="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">
      <c r="A782" s="126"/>
      <c r="B782" s="4"/>
      <c r="C782" s="4"/>
      <c r="D782" s="7"/>
      <c r="E782" s="7"/>
      <c r="F782" s="8" t="str">
        <f t="shared" si="685"/>
        <v/>
      </c>
      <c r="G782" s="7" t="str">
        <f t="shared" si="686"/>
        <v/>
      </c>
      <c r="H782" s="5" t="str">
        <f t="shared" si="687"/>
        <v/>
      </c>
      <c r="I782" s="122" t="str">
        <f t="shared" si="688"/>
        <v/>
      </c>
      <c r="J782" s="7" t="str">
        <f t="shared" si="689"/>
        <v/>
      </c>
      <c r="K782" s="9" t="str">
        <f t="shared" ref="K782:K803" si="690">IF(OR(H782="",H782=0),L782,H782)</f>
        <v/>
      </c>
      <c r="L782" s="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">
      <c r="A783" s="126"/>
      <c r="B783" s="4"/>
      <c r="C783" s="4"/>
      <c r="D783" s="7"/>
      <c r="E783" s="7"/>
      <c r="F783" s="8" t="str">
        <f t="shared" si="685"/>
        <v/>
      </c>
      <c r="G783" s="7" t="str">
        <f t="shared" si="686"/>
        <v/>
      </c>
      <c r="H783" s="5" t="str">
        <f t="shared" si="687"/>
        <v/>
      </c>
      <c r="I783" s="122" t="str">
        <f t="shared" si="688"/>
        <v/>
      </c>
      <c r="J783" s="7" t="str">
        <f t="shared" si="689"/>
        <v/>
      </c>
      <c r="K783" s="9" t="str">
        <f t="shared" si="690"/>
        <v/>
      </c>
      <c r="L783" s="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">
      <c r="A784" s="126"/>
      <c r="B784" s="4"/>
      <c r="C784" s="4"/>
      <c r="D784" s="7"/>
      <c r="E784" s="7"/>
      <c r="F784" s="8" t="str">
        <f t="shared" si="685"/>
        <v/>
      </c>
      <c r="G784" s="7" t="str">
        <f t="shared" si="686"/>
        <v/>
      </c>
      <c r="H784" s="5" t="str">
        <f t="shared" si="687"/>
        <v/>
      </c>
      <c r="I784" s="122" t="str">
        <f t="shared" si="688"/>
        <v/>
      </c>
      <c r="J784" s="7" t="str">
        <f t="shared" si="689"/>
        <v/>
      </c>
      <c r="K784" s="9" t="str">
        <f t="shared" si="690"/>
        <v/>
      </c>
      <c r="L784" s="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">
      <c r="A785" s="126"/>
      <c r="B785" s="4"/>
      <c r="C785" s="4"/>
      <c r="D785" s="7"/>
      <c r="E785" s="7"/>
      <c r="F785" s="8" t="str">
        <f t="shared" si="685"/>
        <v/>
      </c>
      <c r="G785" s="7" t="str">
        <f t="shared" si="686"/>
        <v/>
      </c>
      <c r="H785" s="5" t="str">
        <f t="shared" si="687"/>
        <v/>
      </c>
      <c r="I785" s="122" t="str">
        <f t="shared" si="688"/>
        <v/>
      </c>
      <c r="J785" s="7" t="str">
        <f t="shared" si="689"/>
        <v/>
      </c>
      <c r="K785" s="9" t="str">
        <f t="shared" si="690"/>
        <v/>
      </c>
      <c r="L785" s="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">
      <c r="A786" s="126"/>
      <c r="B786" s="4"/>
      <c r="C786" s="4"/>
      <c r="D786" s="7"/>
      <c r="E786" s="7"/>
      <c r="F786" s="8" t="str">
        <f t="shared" si="685"/>
        <v/>
      </c>
      <c r="G786" s="7" t="str">
        <f t="shared" si="686"/>
        <v/>
      </c>
      <c r="H786" s="5" t="str">
        <f t="shared" si="687"/>
        <v/>
      </c>
      <c r="I786" s="122" t="str">
        <f t="shared" si="688"/>
        <v/>
      </c>
      <c r="J786" s="7" t="str">
        <f t="shared" si="689"/>
        <v/>
      </c>
      <c r="K786" s="9" t="str">
        <f t="shared" si="690"/>
        <v/>
      </c>
      <c r="L786" s="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">
      <c r="A787" s="126"/>
      <c r="B787" s="4"/>
      <c r="C787" s="4"/>
      <c r="D787" s="7"/>
      <c r="E787" s="7"/>
      <c r="F787" s="8" t="str">
        <f t="shared" si="685"/>
        <v/>
      </c>
      <c r="G787" s="7" t="str">
        <f t="shared" si="686"/>
        <v/>
      </c>
      <c r="H787" s="5" t="str">
        <f t="shared" si="687"/>
        <v/>
      </c>
      <c r="I787" s="122" t="str">
        <f t="shared" si="688"/>
        <v/>
      </c>
      <c r="J787" s="7" t="str">
        <f t="shared" si="689"/>
        <v/>
      </c>
      <c r="K787" s="9" t="str">
        <f t="shared" si="690"/>
        <v/>
      </c>
      <c r="L787" s="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">
      <c r="A788" s="126"/>
      <c r="B788" s="4"/>
      <c r="C788" s="4"/>
      <c r="D788" s="7"/>
      <c r="E788" s="7"/>
      <c r="F788" s="8" t="str">
        <f t="shared" si="685"/>
        <v/>
      </c>
      <c r="G788" s="7" t="str">
        <f t="shared" si="686"/>
        <v/>
      </c>
      <c r="H788" s="5" t="str">
        <f t="shared" si="687"/>
        <v/>
      </c>
      <c r="I788" s="122" t="str">
        <f t="shared" si="688"/>
        <v/>
      </c>
      <c r="J788" s="7" t="str">
        <f t="shared" si="689"/>
        <v/>
      </c>
      <c r="K788" s="9" t="str">
        <f t="shared" si="690"/>
        <v/>
      </c>
      <c r="L788" s="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">
      <c r="A789" s="126"/>
      <c r="B789" s="4"/>
      <c r="C789" s="4"/>
      <c r="D789" s="7"/>
      <c r="E789" s="7"/>
      <c r="F789" s="8" t="str">
        <f t="shared" si="685"/>
        <v/>
      </c>
      <c r="G789" s="7" t="str">
        <f t="shared" si="686"/>
        <v/>
      </c>
      <c r="H789" s="5" t="str">
        <f t="shared" si="687"/>
        <v/>
      </c>
      <c r="I789" s="122" t="str">
        <f t="shared" si="688"/>
        <v/>
      </c>
      <c r="J789" s="7" t="str">
        <f t="shared" si="689"/>
        <v/>
      </c>
      <c r="K789" s="9" t="str">
        <f t="shared" si="690"/>
        <v/>
      </c>
      <c r="L789" s="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">
      <c r="A790" s="126"/>
      <c r="B790" s="4"/>
      <c r="C790" s="4"/>
      <c r="D790" s="7"/>
      <c r="E790" s="7"/>
      <c r="F790" s="8" t="str">
        <f t="shared" si="685"/>
        <v/>
      </c>
      <c r="G790" s="7" t="str">
        <f t="shared" si="686"/>
        <v/>
      </c>
      <c r="H790" s="5" t="str">
        <f t="shared" si="687"/>
        <v/>
      </c>
      <c r="I790" s="122" t="str">
        <f t="shared" si="688"/>
        <v/>
      </c>
      <c r="J790" s="7" t="str">
        <f t="shared" si="689"/>
        <v/>
      </c>
      <c r="K790" s="9" t="str">
        <f t="shared" si="690"/>
        <v/>
      </c>
      <c r="L790" s="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">
      <c r="A791" s="126"/>
      <c r="B791" s="4"/>
      <c r="C791" s="4"/>
      <c r="D791" s="7"/>
      <c r="E791" s="7"/>
      <c r="F791" s="8" t="str">
        <f t="shared" si="685"/>
        <v/>
      </c>
      <c r="G791" s="7" t="str">
        <f t="shared" si="686"/>
        <v/>
      </c>
      <c r="H791" s="5" t="str">
        <f t="shared" si="687"/>
        <v/>
      </c>
      <c r="I791" s="122" t="str">
        <f t="shared" si="688"/>
        <v/>
      </c>
      <c r="J791" s="7" t="str">
        <f t="shared" si="689"/>
        <v/>
      </c>
      <c r="K791" s="9" t="str">
        <f t="shared" si="690"/>
        <v/>
      </c>
      <c r="L791" s="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">
      <c r="A792" s="126"/>
      <c r="B792" s="4"/>
      <c r="C792" s="4"/>
      <c r="D792" s="7"/>
      <c r="E792" s="7"/>
      <c r="F792" s="8" t="str">
        <f t="shared" si="685"/>
        <v/>
      </c>
      <c r="G792" s="7" t="str">
        <f t="shared" si="686"/>
        <v/>
      </c>
      <c r="H792" s="5" t="str">
        <f t="shared" si="687"/>
        <v/>
      </c>
      <c r="I792" s="122" t="str">
        <f t="shared" si="688"/>
        <v/>
      </c>
      <c r="J792" s="7" t="str">
        <f t="shared" si="689"/>
        <v/>
      </c>
      <c r="K792" s="9" t="str">
        <f t="shared" si="690"/>
        <v/>
      </c>
      <c r="L792" s="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">
      <c r="A793" s="126"/>
      <c r="B793" s="4"/>
      <c r="C793" s="4"/>
      <c r="D793" s="7"/>
      <c r="E793" s="7"/>
      <c r="F793" s="8" t="str">
        <f t="shared" si="685"/>
        <v/>
      </c>
      <c r="G793" s="7" t="str">
        <f t="shared" si="686"/>
        <v/>
      </c>
      <c r="H793" s="5" t="str">
        <f t="shared" si="687"/>
        <v/>
      </c>
      <c r="I793" s="122" t="str">
        <f t="shared" si="688"/>
        <v/>
      </c>
      <c r="J793" s="7" t="str">
        <f t="shared" si="689"/>
        <v/>
      </c>
      <c r="K793" s="9" t="str">
        <f t="shared" si="690"/>
        <v/>
      </c>
      <c r="L793" s="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">
      <c r="A794" s="126"/>
      <c r="B794" s="4"/>
      <c r="C794" s="4"/>
      <c r="D794" s="7"/>
      <c r="E794" s="7"/>
      <c r="F794" s="8" t="str">
        <f t="shared" si="685"/>
        <v/>
      </c>
      <c r="G794" s="7" t="str">
        <f t="shared" si="686"/>
        <v/>
      </c>
      <c r="H794" s="5" t="str">
        <f t="shared" si="687"/>
        <v/>
      </c>
      <c r="I794" s="122" t="str">
        <f t="shared" si="688"/>
        <v/>
      </c>
      <c r="J794" s="7" t="str">
        <f t="shared" si="689"/>
        <v/>
      </c>
      <c r="K794" s="9" t="str">
        <f t="shared" si="690"/>
        <v/>
      </c>
      <c r="L794" s="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">
      <c r="A795" s="126"/>
      <c r="B795" s="4"/>
      <c r="C795" s="4"/>
      <c r="D795" s="7"/>
      <c r="E795" s="7"/>
      <c r="F795" s="8" t="str">
        <f t="shared" si="685"/>
        <v/>
      </c>
      <c r="G795" s="7" t="str">
        <f t="shared" si="686"/>
        <v/>
      </c>
      <c r="H795" s="5" t="str">
        <f t="shared" si="687"/>
        <v/>
      </c>
      <c r="I795" s="122" t="str">
        <f t="shared" si="688"/>
        <v/>
      </c>
      <c r="J795" s="7" t="str">
        <f t="shared" si="689"/>
        <v/>
      </c>
      <c r="K795" s="9" t="str">
        <f t="shared" si="690"/>
        <v/>
      </c>
      <c r="L795" s="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">
      <c r="A796" s="126"/>
      <c r="B796" s="4"/>
      <c r="C796" s="4"/>
      <c r="D796" s="7"/>
      <c r="E796" s="7"/>
      <c r="F796" s="8" t="str">
        <f t="shared" si="685"/>
        <v/>
      </c>
      <c r="G796" s="7" t="str">
        <f t="shared" si="686"/>
        <v/>
      </c>
      <c r="H796" s="5" t="str">
        <f t="shared" si="687"/>
        <v/>
      </c>
      <c r="I796" s="122" t="str">
        <f t="shared" si="688"/>
        <v/>
      </c>
      <c r="J796" s="7" t="str">
        <f t="shared" si="689"/>
        <v/>
      </c>
      <c r="K796" s="9" t="str">
        <f t="shared" si="690"/>
        <v/>
      </c>
      <c r="L796" s="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">
      <c r="A797" s="126"/>
      <c r="B797" s="4"/>
      <c r="C797" s="4"/>
      <c r="D797" s="7"/>
      <c r="E797" s="7"/>
      <c r="F797" s="8" t="str">
        <f t="shared" si="685"/>
        <v/>
      </c>
      <c r="G797" s="7" t="str">
        <f t="shared" si="686"/>
        <v/>
      </c>
      <c r="H797" s="5" t="str">
        <f t="shared" si="687"/>
        <v/>
      </c>
      <c r="I797" s="122" t="str">
        <f t="shared" si="688"/>
        <v/>
      </c>
      <c r="J797" s="7" t="str">
        <f t="shared" si="689"/>
        <v/>
      </c>
      <c r="K797" s="9" t="str">
        <f t="shared" si="690"/>
        <v/>
      </c>
      <c r="L797" s="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">
      <c r="A798" s="126"/>
      <c r="B798" s="4"/>
      <c r="C798" s="4"/>
      <c r="D798" s="7"/>
      <c r="E798" s="7"/>
      <c r="F798" s="8" t="str">
        <f t="shared" si="685"/>
        <v/>
      </c>
      <c r="G798" s="7" t="str">
        <f t="shared" si="686"/>
        <v/>
      </c>
      <c r="H798" s="5" t="str">
        <f t="shared" si="687"/>
        <v/>
      </c>
      <c r="I798" s="122" t="str">
        <f t="shared" si="688"/>
        <v/>
      </c>
      <c r="J798" s="7" t="str">
        <f t="shared" si="689"/>
        <v/>
      </c>
      <c r="K798" s="9" t="str">
        <f t="shared" si="690"/>
        <v/>
      </c>
      <c r="L798" s="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">
      <c r="A799" s="126"/>
      <c r="B799" s="4"/>
      <c r="C799" s="4"/>
      <c r="D799" s="7"/>
      <c r="E799" s="7"/>
      <c r="F799" s="8" t="str">
        <f t="shared" si="685"/>
        <v/>
      </c>
      <c r="G799" s="7" t="str">
        <f t="shared" si="686"/>
        <v/>
      </c>
      <c r="H799" s="5" t="str">
        <f t="shared" si="687"/>
        <v/>
      </c>
      <c r="I799" s="122" t="str">
        <f t="shared" si="688"/>
        <v/>
      </c>
      <c r="J799" s="7" t="str">
        <f t="shared" si="689"/>
        <v/>
      </c>
      <c r="K799" s="9" t="str">
        <f t="shared" si="690"/>
        <v/>
      </c>
      <c r="L799" s="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">
      <c r="A800" s="126"/>
      <c r="B800" s="4"/>
      <c r="C800" s="4"/>
      <c r="D800" s="7"/>
      <c r="E800" s="7"/>
      <c r="F800" s="8" t="str">
        <f t="shared" si="685"/>
        <v/>
      </c>
      <c r="G800" s="7" t="str">
        <f t="shared" si="686"/>
        <v/>
      </c>
      <c r="H800" s="5" t="str">
        <f t="shared" si="687"/>
        <v/>
      </c>
      <c r="I800" s="122" t="str">
        <f t="shared" si="688"/>
        <v/>
      </c>
      <c r="J800" s="7" t="str">
        <f t="shared" si="689"/>
        <v/>
      </c>
      <c r="K800" s="9" t="str">
        <f t="shared" si="690"/>
        <v/>
      </c>
      <c r="L800" s="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">
      <c r="A801" s="126"/>
      <c r="B801" s="4"/>
      <c r="C801" s="4"/>
      <c r="D801" s="7"/>
      <c r="E801" s="7"/>
      <c r="F801" s="8" t="str">
        <f t="shared" si="685"/>
        <v/>
      </c>
      <c r="G801" s="7" t="str">
        <f t="shared" si="686"/>
        <v/>
      </c>
      <c r="H801" s="5" t="str">
        <f t="shared" si="687"/>
        <v/>
      </c>
      <c r="I801" s="122" t="str">
        <f t="shared" si="688"/>
        <v/>
      </c>
      <c r="J801" s="7" t="str">
        <f t="shared" si="689"/>
        <v/>
      </c>
      <c r="K801" s="9" t="str">
        <f t="shared" si="690"/>
        <v/>
      </c>
      <c r="L801" s="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x14ac:dyDescent="0.2">
      <c r="A802" s="126"/>
      <c r="B802" s="4"/>
      <c r="C802" s="4"/>
      <c r="D802" s="7"/>
      <c r="E802" s="7"/>
      <c r="F802" s="8" t="str">
        <f t="shared" si="685"/>
        <v/>
      </c>
      <c r="G802" s="7" t="str">
        <f t="shared" si="686"/>
        <v/>
      </c>
      <c r="H802" s="5" t="str">
        <f t="shared" si="687"/>
        <v/>
      </c>
      <c r="I802" s="122" t="str">
        <f t="shared" si="688"/>
        <v/>
      </c>
      <c r="J802" s="7" t="str">
        <f t="shared" si="689"/>
        <v/>
      </c>
      <c r="K802" s="9" t="str">
        <f t="shared" si="690"/>
        <v/>
      </c>
      <c r="L802" s="9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0"/>
      <c r="N802" s="10"/>
      <c r="O802" s="6"/>
    </row>
    <row r="803" spans="1:15" ht="13.5" thickBot="1" x14ac:dyDescent="0.25">
      <c r="A803" s="127"/>
      <c r="B803" s="11"/>
      <c r="C803" s="11"/>
      <c r="D803" s="12"/>
      <c r="E803" s="12"/>
      <c r="F803" s="13" t="str">
        <f t="shared" si="685"/>
        <v/>
      </c>
      <c r="G803" s="14" t="str">
        <f t="shared" si="686"/>
        <v/>
      </c>
      <c r="H803" s="15" t="str">
        <f t="shared" si="687"/>
        <v/>
      </c>
      <c r="I803" s="123" t="str">
        <f t="shared" si="688"/>
        <v/>
      </c>
      <c r="J803" s="124" t="str">
        <f t="shared" si="689"/>
        <v/>
      </c>
      <c r="K803" s="16" t="str">
        <f t="shared" si="690"/>
        <v/>
      </c>
      <c r="L803" s="16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17"/>
      <c r="N803" s="17"/>
      <c r="O803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20:C121 C317:C322 C160 C234 C264:C269 C279:C314 C396:C803 C331:C365 C378:C394 C144 C214 C229:C230 C238 C245:C246 C136:C139 C146:C154">
    <cfRule type="cellIs" dxfId="389" priority="1192" stopIfTrue="1" operator="equal">
      <formula>"I"</formula>
    </cfRule>
    <cfRule type="cellIs" dxfId="388" priority="1193" stopIfTrue="1" operator="equal">
      <formula>"A"</formula>
    </cfRule>
    <cfRule type="cellIs" dxfId="387" priority="1194" stopIfTrue="1" operator="equal">
      <formula>"E"</formula>
    </cfRule>
  </conditionalFormatting>
  <conditionalFormatting sqref="C323 C325:C330">
    <cfRule type="cellIs" dxfId="386" priority="1099" stopIfTrue="1" operator="equal">
      <formula>"I"</formula>
    </cfRule>
    <cfRule type="cellIs" dxfId="385" priority="1100" stopIfTrue="1" operator="equal">
      <formula>"A"</formula>
    </cfRule>
    <cfRule type="cellIs" dxfId="384" priority="1101" stopIfTrue="1" operator="equal">
      <formula>"E"</formula>
    </cfRule>
  </conditionalFormatting>
  <conditionalFormatting sqref="C315:C316">
    <cfRule type="cellIs" dxfId="383" priority="1105" stopIfTrue="1" operator="equal">
      <formula>"I"</formula>
    </cfRule>
    <cfRule type="cellIs" dxfId="382" priority="1106" stopIfTrue="1" operator="equal">
      <formula>"A"</formula>
    </cfRule>
    <cfRule type="cellIs" dxfId="381" priority="1107" stopIfTrue="1" operator="equal">
      <formula>"E"</formula>
    </cfRule>
  </conditionalFormatting>
  <conditionalFormatting sqref="C369">
    <cfRule type="cellIs" dxfId="377" priority="1090" stopIfTrue="1" operator="equal">
      <formula>"I"</formula>
    </cfRule>
    <cfRule type="cellIs" dxfId="376" priority="1091" stopIfTrue="1" operator="equal">
      <formula>"A"</formula>
    </cfRule>
    <cfRule type="cellIs" dxfId="375" priority="1092" stopIfTrue="1" operator="equal">
      <formula>"E"</formula>
    </cfRule>
  </conditionalFormatting>
  <conditionalFormatting sqref="C367:C368 C371:C377">
    <cfRule type="cellIs" dxfId="374" priority="1093" stopIfTrue="1" operator="equal">
      <formula>"I"</formula>
    </cfRule>
    <cfRule type="cellIs" dxfId="373" priority="1094" stopIfTrue="1" operator="equal">
      <formula>"A"</formula>
    </cfRule>
    <cfRule type="cellIs" dxfId="372" priority="1095" stopIfTrue="1" operator="equal">
      <formula>"E"</formula>
    </cfRule>
  </conditionalFormatting>
  <conditionalFormatting sqref="C370">
    <cfRule type="cellIs" dxfId="371" priority="1087" stopIfTrue="1" operator="equal">
      <formula>"I"</formula>
    </cfRule>
    <cfRule type="cellIs" dxfId="370" priority="1088" stopIfTrue="1" operator="equal">
      <formula>"A"</formula>
    </cfRule>
    <cfRule type="cellIs" dxfId="369" priority="1089" stopIfTrue="1" operator="equal">
      <formula>"E"</formula>
    </cfRule>
  </conditionalFormatting>
  <conditionalFormatting sqref="C278">
    <cfRule type="cellIs" dxfId="368" priority="949" stopIfTrue="1" operator="equal">
      <formula>"I"</formula>
    </cfRule>
    <cfRule type="cellIs" dxfId="367" priority="950" stopIfTrue="1" operator="equal">
      <formula>"A"</formula>
    </cfRule>
    <cfRule type="cellIs" dxfId="366" priority="951" stopIfTrue="1" operator="equal">
      <formula>"E"</formula>
    </cfRule>
  </conditionalFormatting>
  <conditionalFormatting sqref="C324">
    <cfRule type="cellIs" dxfId="362" priority="1018" stopIfTrue="1" operator="equal">
      <formula>"I"</formula>
    </cfRule>
    <cfRule type="cellIs" dxfId="361" priority="1019" stopIfTrue="1" operator="equal">
      <formula>"A"</formula>
    </cfRule>
    <cfRule type="cellIs" dxfId="360" priority="1020" stopIfTrue="1" operator="equal">
      <formula>"E"</formula>
    </cfRule>
  </conditionalFormatting>
  <conditionalFormatting sqref="C79:C95">
    <cfRule type="cellIs" dxfId="359" priority="1003" stopIfTrue="1" operator="equal">
      <formula>"I"</formula>
    </cfRule>
    <cfRule type="cellIs" dxfId="358" priority="1004" stopIfTrue="1" operator="equal">
      <formula>"A"</formula>
    </cfRule>
    <cfRule type="cellIs" dxfId="357" priority="1005" stopIfTrue="1" operator="equal">
      <formula>"E"</formula>
    </cfRule>
  </conditionalFormatting>
  <conditionalFormatting sqref="C166 C168 C170:C174 C181:C183 C186:C189">
    <cfRule type="cellIs" dxfId="356" priority="844" stopIfTrue="1" operator="equal">
      <formula>"I"</formula>
    </cfRule>
    <cfRule type="cellIs" dxfId="355" priority="845" stopIfTrue="1" operator="equal">
      <formula>"A"</formula>
    </cfRule>
    <cfRule type="cellIs" dxfId="354" priority="846" stopIfTrue="1" operator="equal">
      <formula>"E"</formula>
    </cfRule>
  </conditionalFormatting>
  <conditionalFormatting sqref="C194:C197">
    <cfRule type="cellIs" dxfId="353" priority="841" stopIfTrue="1" operator="equal">
      <formula>"I"</formula>
    </cfRule>
    <cfRule type="cellIs" dxfId="352" priority="842" stopIfTrue="1" operator="equal">
      <formula>"A"</formula>
    </cfRule>
    <cfRule type="cellIs" dxfId="351" priority="843" stopIfTrue="1" operator="equal">
      <formula>"E"</formula>
    </cfRule>
  </conditionalFormatting>
  <conditionalFormatting sqref="C232">
    <cfRule type="cellIs" dxfId="347" priority="778" stopIfTrue="1" operator="equal">
      <formula>"I"</formula>
    </cfRule>
    <cfRule type="cellIs" dxfId="346" priority="779" stopIfTrue="1" operator="equal">
      <formula>"A"</formula>
    </cfRule>
    <cfRule type="cellIs" dxfId="345" priority="780" stopIfTrue="1" operator="equal">
      <formula>"E"</formula>
    </cfRule>
  </conditionalFormatting>
  <conditionalFormatting sqref="C231">
    <cfRule type="cellIs" dxfId="344" priority="790" stopIfTrue="1" operator="equal">
      <formula>"I"</formula>
    </cfRule>
    <cfRule type="cellIs" dxfId="343" priority="791" stopIfTrue="1" operator="equal">
      <formula>"A"</formula>
    </cfRule>
    <cfRule type="cellIs" dxfId="342" priority="792" stopIfTrue="1" operator="equal">
      <formula>"E"</formula>
    </cfRule>
  </conditionalFormatting>
  <conditionalFormatting sqref="C261">
    <cfRule type="cellIs" dxfId="341" priority="760" stopIfTrue="1" operator="equal">
      <formula>"I"</formula>
    </cfRule>
    <cfRule type="cellIs" dxfId="340" priority="761" stopIfTrue="1" operator="equal">
      <formula>"A"</formula>
    </cfRule>
    <cfRule type="cellIs" dxfId="339" priority="762" stopIfTrue="1" operator="equal">
      <formula>"E"</formula>
    </cfRule>
  </conditionalFormatting>
  <conditionalFormatting sqref="C273:C277">
    <cfRule type="cellIs" dxfId="338" priority="709" stopIfTrue="1" operator="equal">
      <formula>"I"</formula>
    </cfRule>
    <cfRule type="cellIs" dxfId="337" priority="710" stopIfTrue="1" operator="equal">
      <formula>"A"</formula>
    </cfRule>
    <cfRule type="cellIs" dxfId="336" priority="711" stopIfTrue="1" operator="equal">
      <formula>"E"</formula>
    </cfRule>
  </conditionalFormatting>
  <conditionalFormatting sqref="C395">
    <cfRule type="cellIs" dxfId="335" priority="664" stopIfTrue="1" operator="equal">
      <formula>"I"</formula>
    </cfRule>
    <cfRule type="cellIs" dxfId="334" priority="665" stopIfTrue="1" operator="equal">
      <formula>"A"</formula>
    </cfRule>
    <cfRule type="cellIs" dxfId="333" priority="666" stopIfTrue="1" operator="equal">
      <formula>"E"</formula>
    </cfRule>
  </conditionalFormatting>
  <conditionalFormatting sqref="C366">
    <cfRule type="cellIs" dxfId="332" priority="625" stopIfTrue="1" operator="equal">
      <formula>"I"</formula>
    </cfRule>
    <cfRule type="cellIs" dxfId="331" priority="626" stopIfTrue="1" operator="equal">
      <formula>"A"</formula>
    </cfRule>
    <cfRule type="cellIs" dxfId="330" priority="627" stopIfTrue="1" operator="equal">
      <formula>"E"</formula>
    </cfRule>
  </conditionalFormatting>
  <conditionalFormatting sqref="C135">
    <cfRule type="cellIs" dxfId="329" priority="562" stopIfTrue="1" operator="equal">
      <formula>"I"</formula>
    </cfRule>
    <cfRule type="cellIs" dxfId="328" priority="563" stopIfTrue="1" operator="equal">
      <formula>"A"</formula>
    </cfRule>
    <cfRule type="cellIs" dxfId="327" priority="564" stopIfTrue="1" operator="equal">
      <formula>"E"</formula>
    </cfRule>
  </conditionalFormatting>
  <conditionalFormatting sqref="C122:C124">
    <cfRule type="cellIs" dxfId="314" priority="505" stopIfTrue="1" operator="equal">
      <formula>"I"</formula>
    </cfRule>
    <cfRule type="cellIs" dxfId="313" priority="506" stopIfTrue="1" operator="equal">
      <formula>"A"</formula>
    </cfRule>
    <cfRule type="cellIs" dxfId="312" priority="507" stopIfTrue="1" operator="equal">
      <formula>"E"</formula>
    </cfRule>
  </conditionalFormatting>
  <conditionalFormatting sqref="C125">
    <cfRule type="cellIs" dxfId="311" priority="502" stopIfTrue="1" operator="equal">
      <formula>"I"</formula>
    </cfRule>
    <cfRule type="cellIs" dxfId="310" priority="503" stopIfTrue="1" operator="equal">
      <formula>"A"</formula>
    </cfRule>
    <cfRule type="cellIs" dxfId="309" priority="504" stopIfTrue="1" operator="equal">
      <formula>"E"</formula>
    </cfRule>
  </conditionalFormatting>
  <conditionalFormatting sqref="C133">
    <cfRule type="cellIs" dxfId="302" priority="493" stopIfTrue="1" operator="equal">
      <formula>"I"</formula>
    </cfRule>
    <cfRule type="cellIs" dxfId="301" priority="494" stopIfTrue="1" operator="equal">
      <formula>"A"</formula>
    </cfRule>
    <cfRule type="cellIs" dxfId="300" priority="495" stopIfTrue="1" operator="equal">
      <formula>"E"</formula>
    </cfRule>
  </conditionalFormatting>
  <conditionalFormatting sqref="C129">
    <cfRule type="cellIs" dxfId="299" priority="490" stopIfTrue="1" operator="equal">
      <formula>"I"</formula>
    </cfRule>
    <cfRule type="cellIs" dxfId="298" priority="491" stopIfTrue="1" operator="equal">
      <formula>"A"</formula>
    </cfRule>
    <cfRule type="cellIs" dxfId="297" priority="492" stopIfTrue="1" operator="equal">
      <formula>"E"</formula>
    </cfRule>
  </conditionalFormatting>
  <conditionalFormatting sqref="C130">
    <cfRule type="cellIs" dxfId="296" priority="487" stopIfTrue="1" operator="equal">
      <formula>"I"</formula>
    </cfRule>
    <cfRule type="cellIs" dxfId="295" priority="488" stopIfTrue="1" operator="equal">
      <formula>"A"</formula>
    </cfRule>
    <cfRule type="cellIs" dxfId="294" priority="489" stopIfTrue="1" operator="equal">
      <formula>"E"</formula>
    </cfRule>
  </conditionalFormatting>
  <conditionalFormatting sqref="C131">
    <cfRule type="cellIs" dxfId="293" priority="484" stopIfTrue="1" operator="equal">
      <formula>"I"</formula>
    </cfRule>
    <cfRule type="cellIs" dxfId="292" priority="485" stopIfTrue="1" operator="equal">
      <formula>"A"</formula>
    </cfRule>
    <cfRule type="cellIs" dxfId="291" priority="486" stopIfTrue="1" operator="equal">
      <formula>"E"</formula>
    </cfRule>
  </conditionalFormatting>
  <conditionalFormatting sqref="C140">
    <cfRule type="cellIs" dxfId="290" priority="481" stopIfTrue="1" operator="equal">
      <formula>"I"</formula>
    </cfRule>
    <cfRule type="cellIs" dxfId="289" priority="482" stopIfTrue="1" operator="equal">
      <formula>"A"</formula>
    </cfRule>
    <cfRule type="cellIs" dxfId="288" priority="483" stopIfTrue="1" operator="equal">
      <formula>"E"</formula>
    </cfRule>
  </conditionalFormatting>
  <conditionalFormatting sqref="C141:C143">
    <cfRule type="cellIs" dxfId="287" priority="478" stopIfTrue="1" operator="equal">
      <formula>"I"</formula>
    </cfRule>
    <cfRule type="cellIs" dxfId="286" priority="479" stopIfTrue="1" operator="equal">
      <formula>"A"</formula>
    </cfRule>
    <cfRule type="cellIs" dxfId="285" priority="480" stopIfTrue="1" operator="equal">
      <formula>"E"</formula>
    </cfRule>
  </conditionalFormatting>
  <conditionalFormatting sqref="C134">
    <cfRule type="cellIs" dxfId="278" priority="466" stopIfTrue="1" operator="equal">
      <formula>"I"</formula>
    </cfRule>
    <cfRule type="cellIs" dxfId="277" priority="467" stopIfTrue="1" operator="equal">
      <formula>"A"</formula>
    </cfRule>
    <cfRule type="cellIs" dxfId="276" priority="468" stopIfTrue="1" operator="equal">
      <formula>"E"</formula>
    </cfRule>
  </conditionalFormatting>
  <conditionalFormatting sqref="C145">
    <cfRule type="cellIs" dxfId="272" priority="460" stopIfTrue="1" operator="equal">
      <formula>"I"</formula>
    </cfRule>
    <cfRule type="cellIs" dxfId="271" priority="461" stopIfTrue="1" operator="equal">
      <formula>"A"</formula>
    </cfRule>
    <cfRule type="cellIs" dxfId="270" priority="462" stopIfTrue="1" operator="equal">
      <formula>"E"</formula>
    </cfRule>
  </conditionalFormatting>
  <conditionalFormatting sqref="C155:C159">
    <cfRule type="cellIs" dxfId="257" priority="445" stopIfTrue="1" operator="equal">
      <formula>"I"</formula>
    </cfRule>
    <cfRule type="cellIs" dxfId="256" priority="446" stopIfTrue="1" operator="equal">
      <formula>"A"</formula>
    </cfRule>
    <cfRule type="cellIs" dxfId="255" priority="447" stopIfTrue="1" operator="equal">
      <formula>"E"</formula>
    </cfRule>
  </conditionalFormatting>
  <conditionalFormatting sqref="C162:C165">
    <cfRule type="cellIs" dxfId="254" priority="442" stopIfTrue="1" operator="equal">
      <formula>"I"</formula>
    </cfRule>
    <cfRule type="cellIs" dxfId="253" priority="443" stopIfTrue="1" operator="equal">
      <formula>"A"</formula>
    </cfRule>
    <cfRule type="cellIs" dxfId="252" priority="444" stopIfTrue="1" operator="equal">
      <formula>"E"</formula>
    </cfRule>
  </conditionalFormatting>
  <conditionalFormatting sqref="C167">
    <cfRule type="cellIs" dxfId="245" priority="430" stopIfTrue="1" operator="equal">
      <formula>"I"</formula>
    </cfRule>
    <cfRule type="cellIs" dxfId="244" priority="431" stopIfTrue="1" operator="equal">
      <formula>"A"</formula>
    </cfRule>
    <cfRule type="cellIs" dxfId="243" priority="432" stopIfTrue="1" operator="equal">
      <formula>"E"</formula>
    </cfRule>
  </conditionalFormatting>
  <conditionalFormatting sqref="C175:C178">
    <cfRule type="cellIs" dxfId="236" priority="421" stopIfTrue="1" operator="equal">
      <formula>"I"</formula>
    </cfRule>
    <cfRule type="cellIs" dxfId="235" priority="422" stopIfTrue="1" operator="equal">
      <formula>"A"</formula>
    </cfRule>
    <cfRule type="cellIs" dxfId="234" priority="423" stopIfTrue="1" operator="equal">
      <formula>"E"</formula>
    </cfRule>
  </conditionalFormatting>
  <conditionalFormatting sqref="C184">
    <cfRule type="cellIs" dxfId="221" priority="406" stopIfTrue="1" operator="equal">
      <formula>"I"</formula>
    </cfRule>
    <cfRule type="cellIs" dxfId="220" priority="407" stopIfTrue="1" operator="equal">
      <formula>"A"</formula>
    </cfRule>
    <cfRule type="cellIs" dxfId="219" priority="408" stopIfTrue="1" operator="equal">
      <formula>"E"</formula>
    </cfRule>
  </conditionalFormatting>
  <conditionalFormatting sqref="C185">
    <cfRule type="cellIs" dxfId="218" priority="403" stopIfTrue="1" operator="equal">
      <formula>"I"</formula>
    </cfRule>
    <cfRule type="cellIs" dxfId="217" priority="404" stopIfTrue="1" operator="equal">
      <formula>"A"</formula>
    </cfRule>
    <cfRule type="cellIs" dxfId="216" priority="405" stopIfTrue="1" operator="equal">
      <formula>"E"</formula>
    </cfRule>
  </conditionalFormatting>
  <conditionalFormatting sqref="C203">
    <cfRule type="cellIs" dxfId="209" priority="373" stopIfTrue="1" operator="equal">
      <formula>"I"</formula>
    </cfRule>
    <cfRule type="cellIs" dxfId="208" priority="374" stopIfTrue="1" operator="equal">
      <formula>"A"</formula>
    </cfRule>
    <cfRule type="cellIs" dxfId="207" priority="375" stopIfTrue="1" operator="equal">
      <formula>"E"</formula>
    </cfRule>
  </conditionalFormatting>
  <conditionalFormatting sqref="C161">
    <cfRule type="cellIs" dxfId="206" priority="385" stopIfTrue="1" operator="equal">
      <formula>"I"</formula>
    </cfRule>
    <cfRule type="cellIs" dxfId="205" priority="386" stopIfTrue="1" operator="equal">
      <formula>"A"</formula>
    </cfRule>
    <cfRule type="cellIs" dxfId="204" priority="387" stopIfTrue="1" operator="equal">
      <formula>"E"</formula>
    </cfRule>
  </conditionalFormatting>
  <conditionalFormatting sqref="C204">
    <cfRule type="cellIs" dxfId="203" priority="370" stopIfTrue="1" operator="equal">
      <formula>"I"</formula>
    </cfRule>
    <cfRule type="cellIs" dxfId="202" priority="371" stopIfTrue="1" operator="equal">
      <formula>"A"</formula>
    </cfRule>
    <cfRule type="cellIs" dxfId="201" priority="372" stopIfTrue="1" operator="equal">
      <formula>"E"</formula>
    </cfRule>
  </conditionalFormatting>
  <conditionalFormatting sqref="C211">
    <cfRule type="cellIs" dxfId="197" priority="361" stopIfTrue="1" operator="equal">
      <formula>"I"</formula>
    </cfRule>
    <cfRule type="cellIs" dxfId="196" priority="362" stopIfTrue="1" operator="equal">
      <formula>"A"</formula>
    </cfRule>
    <cfRule type="cellIs" dxfId="195" priority="363" stopIfTrue="1" operator="equal">
      <formula>"E"</formula>
    </cfRule>
  </conditionalFormatting>
  <conditionalFormatting sqref="C213">
    <cfRule type="cellIs" dxfId="194" priority="358" stopIfTrue="1" operator="equal">
      <formula>"I"</formula>
    </cfRule>
    <cfRule type="cellIs" dxfId="193" priority="359" stopIfTrue="1" operator="equal">
      <formula>"A"</formula>
    </cfRule>
    <cfRule type="cellIs" dxfId="192" priority="360" stopIfTrue="1" operator="equal">
      <formula>"E"</formula>
    </cfRule>
  </conditionalFormatting>
  <conditionalFormatting sqref="C212">
    <cfRule type="cellIs" dxfId="191" priority="355" stopIfTrue="1" operator="equal">
      <formula>"I"</formula>
    </cfRule>
    <cfRule type="cellIs" dxfId="190" priority="356" stopIfTrue="1" operator="equal">
      <formula>"A"</formula>
    </cfRule>
    <cfRule type="cellIs" dxfId="189" priority="357" stopIfTrue="1" operator="equal">
      <formula>"E"</formula>
    </cfRule>
  </conditionalFormatting>
  <conditionalFormatting sqref="C225:C227">
    <cfRule type="cellIs" dxfId="185" priority="349" stopIfTrue="1" operator="equal">
      <formula>"I"</formula>
    </cfRule>
    <cfRule type="cellIs" dxfId="184" priority="350" stopIfTrue="1" operator="equal">
      <formula>"A"</formula>
    </cfRule>
    <cfRule type="cellIs" dxfId="183" priority="351" stopIfTrue="1" operator="equal">
      <formula>"E"</formula>
    </cfRule>
  </conditionalFormatting>
  <conditionalFormatting sqref="C224">
    <cfRule type="cellIs" dxfId="170" priority="325" stopIfTrue="1" operator="equal">
      <formula>"I"</formula>
    </cfRule>
    <cfRule type="cellIs" dxfId="169" priority="326" stopIfTrue="1" operator="equal">
      <formula>"A"</formula>
    </cfRule>
    <cfRule type="cellIs" dxfId="168" priority="327" stopIfTrue="1" operator="equal">
      <formula>"E"</formula>
    </cfRule>
  </conditionalFormatting>
  <conditionalFormatting sqref="C233">
    <cfRule type="cellIs" dxfId="164" priority="319" stopIfTrue="1" operator="equal">
      <formula>"I"</formula>
    </cfRule>
    <cfRule type="cellIs" dxfId="163" priority="320" stopIfTrue="1" operator="equal">
      <formula>"A"</formula>
    </cfRule>
    <cfRule type="cellIs" dxfId="162" priority="321" stopIfTrue="1" operator="equal">
      <formula>"E"</formula>
    </cfRule>
  </conditionalFormatting>
  <conditionalFormatting sqref="C235">
    <cfRule type="cellIs" dxfId="161" priority="316" stopIfTrue="1" operator="equal">
      <formula>"I"</formula>
    </cfRule>
    <cfRule type="cellIs" dxfId="160" priority="317" stopIfTrue="1" operator="equal">
      <formula>"A"</formula>
    </cfRule>
    <cfRule type="cellIs" dxfId="159" priority="318" stopIfTrue="1" operator="equal">
      <formula>"E"</formula>
    </cfRule>
  </conditionalFormatting>
  <conditionalFormatting sqref="C237">
    <cfRule type="cellIs" dxfId="158" priority="313" stopIfTrue="1" operator="equal">
      <formula>"I"</formula>
    </cfRule>
    <cfRule type="cellIs" dxfId="157" priority="314" stopIfTrue="1" operator="equal">
      <formula>"A"</formula>
    </cfRule>
    <cfRule type="cellIs" dxfId="156" priority="315" stopIfTrue="1" operator="equal">
      <formula>"E"</formula>
    </cfRule>
  </conditionalFormatting>
  <conditionalFormatting sqref="C236">
    <cfRule type="cellIs" dxfId="155" priority="310" stopIfTrue="1" operator="equal">
      <formula>"I"</formula>
    </cfRule>
    <cfRule type="cellIs" dxfId="154" priority="311" stopIfTrue="1" operator="equal">
      <formula>"A"</formula>
    </cfRule>
    <cfRule type="cellIs" dxfId="153" priority="312" stopIfTrue="1" operator="equal">
      <formula>"E"</formula>
    </cfRule>
  </conditionalFormatting>
  <conditionalFormatting sqref="C270">
    <cfRule type="cellIs" dxfId="152" priority="307" stopIfTrue="1" operator="equal">
      <formula>"I"</formula>
    </cfRule>
    <cfRule type="cellIs" dxfId="151" priority="308" stopIfTrue="1" operator="equal">
      <formula>"A"</formula>
    </cfRule>
    <cfRule type="cellIs" dxfId="150" priority="309" stopIfTrue="1" operator="equal">
      <formula>"E"</formula>
    </cfRule>
  </conditionalFormatting>
  <conditionalFormatting sqref="C272">
    <cfRule type="cellIs" dxfId="149" priority="304" stopIfTrue="1" operator="equal">
      <formula>"I"</formula>
    </cfRule>
    <cfRule type="cellIs" dxfId="148" priority="305" stopIfTrue="1" operator="equal">
      <formula>"A"</formula>
    </cfRule>
    <cfRule type="cellIs" dxfId="147" priority="306" stopIfTrue="1" operator="equal">
      <formula>"E"</formula>
    </cfRule>
  </conditionalFormatting>
  <conditionalFormatting sqref="C240">
    <cfRule type="cellIs" dxfId="146" priority="292" stopIfTrue="1" operator="equal">
      <formula>"I"</formula>
    </cfRule>
    <cfRule type="cellIs" dxfId="145" priority="293" stopIfTrue="1" operator="equal">
      <formula>"A"</formula>
    </cfRule>
    <cfRule type="cellIs" dxfId="144" priority="294" stopIfTrue="1" operator="equal">
      <formula>"E"</formula>
    </cfRule>
  </conditionalFormatting>
  <conditionalFormatting sqref="C262">
    <cfRule type="cellIs" dxfId="143" priority="298" stopIfTrue="1" operator="equal">
      <formula>"I"</formula>
    </cfRule>
    <cfRule type="cellIs" dxfId="142" priority="299" stopIfTrue="1" operator="equal">
      <formula>"A"</formula>
    </cfRule>
    <cfRule type="cellIs" dxfId="141" priority="300" stopIfTrue="1" operator="equal">
      <formula>"E"</formula>
    </cfRule>
  </conditionalFormatting>
  <conditionalFormatting sqref="C241:C244">
    <cfRule type="cellIs" dxfId="140" priority="289" stopIfTrue="1" operator="equal">
      <formula>"I"</formula>
    </cfRule>
    <cfRule type="cellIs" dxfId="139" priority="290" stopIfTrue="1" operator="equal">
      <formula>"A"</formula>
    </cfRule>
    <cfRule type="cellIs" dxfId="138" priority="291" stopIfTrue="1" operator="equal">
      <formula>"E"</formula>
    </cfRule>
  </conditionalFormatting>
  <conditionalFormatting sqref="C247">
    <cfRule type="cellIs" dxfId="137" priority="265" stopIfTrue="1" operator="equal">
      <formula>"I"</formula>
    </cfRule>
    <cfRule type="cellIs" dxfId="136" priority="266" stopIfTrue="1" operator="equal">
      <formula>"A"</formula>
    </cfRule>
    <cfRule type="cellIs" dxfId="135" priority="267" stopIfTrue="1" operator="equal">
      <formula>"E"</formula>
    </cfRule>
  </conditionalFormatting>
  <conditionalFormatting sqref="C248">
    <cfRule type="cellIs" dxfId="134" priority="268" stopIfTrue="1" operator="equal">
      <formula>"I"</formula>
    </cfRule>
    <cfRule type="cellIs" dxfId="133" priority="269" stopIfTrue="1" operator="equal">
      <formula>"A"</formula>
    </cfRule>
    <cfRule type="cellIs" dxfId="132" priority="270" stopIfTrue="1" operator="equal">
      <formula>"E"</formula>
    </cfRule>
  </conditionalFormatting>
  <conditionalFormatting sqref="C180">
    <cfRule type="cellIs" dxfId="128" priority="241" stopIfTrue="1" operator="equal">
      <formula>"I"</formula>
    </cfRule>
    <cfRule type="cellIs" dxfId="127" priority="242" stopIfTrue="1" operator="equal">
      <formula>"A"</formula>
    </cfRule>
    <cfRule type="cellIs" dxfId="126" priority="243" stopIfTrue="1" operator="equal">
      <formula>"E"</formula>
    </cfRule>
  </conditionalFormatting>
  <conditionalFormatting sqref="C179">
    <cfRule type="cellIs" dxfId="119" priority="238" stopIfTrue="1" operator="equal">
      <formula>"I"</formula>
    </cfRule>
    <cfRule type="cellIs" dxfId="118" priority="239" stopIfTrue="1" operator="equal">
      <formula>"A"</formula>
    </cfRule>
    <cfRule type="cellIs" dxfId="117" priority="240" stopIfTrue="1" operator="equal">
      <formula>"E"</formula>
    </cfRule>
  </conditionalFormatting>
  <conditionalFormatting sqref="C69:C70">
    <cfRule type="cellIs" dxfId="116" priority="223" stopIfTrue="1" operator="equal">
      <formula>"I"</formula>
    </cfRule>
    <cfRule type="cellIs" dxfId="115" priority="224" stopIfTrue="1" operator="equal">
      <formula>"A"</formula>
    </cfRule>
    <cfRule type="cellIs" dxfId="114" priority="225" stopIfTrue="1" operator="equal">
      <formula>"E"</formula>
    </cfRule>
  </conditionalFormatting>
  <conditionalFormatting sqref="C263">
    <cfRule type="cellIs" dxfId="110" priority="232" stopIfTrue="1" operator="equal">
      <formula>"I"</formula>
    </cfRule>
    <cfRule type="cellIs" dxfId="109" priority="233" stopIfTrue="1" operator="equal">
      <formula>"A"</formula>
    </cfRule>
    <cfRule type="cellIs" dxfId="108" priority="234" stopIfTrue="1" operator="equal">
      <formula>"E"</formula>
    </cfRule>
  </conditionalFormatting>
  <conditionalFormatting sqref="C71:C78">
    <cfRule type="cellIs" dxfId="107" priority="211" stopIfTrue="1" operator="equal">
      <formula>"I"</formula>
    </cfRule>
    <cfRule type="cellIs" dxfId="106" priority="212" stopIfTrue="1" operator="equal">
      <formula>"A"</formula>
    </cfRule>
    <cfRule type="cellIs" dxfId="105" priority="213" stopIfTrue="1" operator="equal">
      <formula>"E"</formula>
    </cfRule>
  </conditionalFormatting>
  <conditionalFormatting sqref="C169">
    <cfRule type="cellIs" dxfId="104" priority="208" stopIfTrue="1" operator="equal">
      <formula>"I"</formula>
    </cfRule>
    <cfRule type="cellIs" dxfId="103" priority="209" stopIfTrue="1" operator="equal">
      <formula>"A"</formula>
    </cfRule>
    <cfRule type="cellIs" dxfId="102" priority="210" stopIfTrue="1" operator="equal">
      <formula>"E"</formula>
    </cfRule>
  </conditionalFormatting>
  <conditionalFormatting sqref="C132">
    <cfRule type="cellIs" dxfId="101" priority="229" stopIfTrue="1" operator="equal">
      <formula>"I"</formula>
    </cfRule>
    <cfRule type="cellIs" dxfId="100" priority="230" stopIfTrue="1" operator="equal">
      <formula>"A"</formula>
    </cfRule>
    <cfRule type="cellIs" dxfId="99" priority="231" stopIfTrue="1" operator="equal">
      <formula>"E"</formula>
    </cfRule>
  </conditionalFormatting>
  <conditionalFormatting sqref="C190:C193">
    <cfRule type="cellIs" dxfId="92" priority="196" stopIfTrue="1" operator="equal">
      <formula>"I"</formula>
    </cfRule>
    <cfRule type="cellIs" dxfId="91" priority="197" stopIfTrue="1" operator="equal">
      <formula>"A"</formula>
    </cfRule>
    <cfRule type="cellIs" dxfId="90" priority="198" stopIfTrue="1" operator="equal">
      <formula>"E"</formula>
    </cfRule>
  </conditionalFormatting>
  <conditionalFormatting sqref="C126:C128">
    <cfRule type="cellIs" dxfId="86" priority="187" stopIfTrue="1" operator="equal">
      <formula>"I"</formula>
    </cfRule>
    <cfRule type="cellIs" dxfId="85" priority="188" stopIfTrue="1" operator="equal">
      <formula>"A"</formula>
    </cfRule>
    <cfRule type="cellIs" dxfId="84" priority="189" stopIfTrue="1" operator="equal">
      <formula>"E"</formula>
    </cfRule>
  </conditionalFormatting>
  <conditionalFormatting sqref="C215:C223">
    <cfRule type="cellIs" dxfId="83" priority="184" stopIfTrue="1" operator="equal">
      <formula>"I"</formula>
    </cfRule>
    <cfRule type="cellIs" dxfId="82" priority="185" stopIfTrue="1" operator="equal">
      <formula>"A"</formula>
    </cfRule>
    <cfRule type="cellIs" dxfId="81" priority="186" stopIfTrue="1" operator="equal">
      <formula>"E"</formula>
    </cfRule>
  </conditionalFormatting>
  <conditionalFormatting sqref="C239">
    <cfRule type="cellIs" dxfId="77" priority="178" stopIfTrue="1" operator="equal">
      <formula>"I"</formula>
    </cfRule>
    <cfRule type="cellIs" dxfId="76" priority="179" stopIfTrue="1" operator="equal">
      <formula>"A"</formula>
    </cfRule>
    <cfRule type="cellIs" dxfId="75" priority="180" stopIfTrue="1" operator="equal">
      <formula>"E"</formula>
    </cfRule>
  </conditionalFormatting>
  <conditionalFormatting sqref="C228">
    <cfRule type="cellIs" dxfId="74" priority="175" stopIfTrue="1" operator="equal">
      <formula>"I"</formula>
    </cfRule>
    <cfRule type="cellIs" dxfId="73" priority="176" stopIfTrue="1" operator="equal">
      <formula>"A"</formula>
    </cfRule>
    <cfRule type="cellIs" dxfId="72" priority="177" stopIfTrue="1" operator="equal">
      <formula>"E"</formula>
    </cfRule>
  </conditionalFormatting>
  <conditionalFormatting sqref="C249:C260">
    <cfRule type="cellIs" dxfId="71" priority="172" stopIfTrue="1" operator="equal">
      <formula>"I"</formula>
    </cfRule>
    <cfRule type="cellIs" dxfId="70" priority="173" stopIfTrue="1" operator="equal">
      <formula>"A"</formula>
    </cfRule>
    <cfRule type="cellIs" dxfId="69" priority="174" stopIfTrue="1" operator="equal">
      <formula>"E"</formula>
    </cfRule>
  </conditionalFormatting>
  <conditionalFormatting sqref="C271">
    <cfRule type="cellIs" dxfId="68" priority="169" stopIfTrue="1" operator="equal">
      <formula>"I"</formula>
    </cfRule>
    <cfRule type="cellIs" dxfId="67" priority="170" stopIfTrue="1" operator="equal">
      <formula>"A"</formula>
    </cfRule>
    <cfRule type="cellIs" dxfId="66" priority="171" stopIfTrue="1" operator="equal">
      <formula>"E"</formula>
    </cfRule>
  </conditionalFormatting>
  <conditionalFormatting sqref="C49:C68">
    <cfRule type="cellIs" dxfId="65" priority="139" stopIfTrue="1" operator="equal">
      <formula>"I"</formula>
    </cfRule>
    <cfRule type="cellIs" dxfId="64" priority="140" stopIfTrue="1" operator="equal">
      <formula>"A"</formula>
    </cfRule>
    <cfRule type="cellIs" dxfId="63" priority="141" stopIfTrue="1" operator="equal">
      <formula>"E"</formula>
    </cfRule>
  </conditionalFormatting>
  <conditionalFormatting sqref="C96:C107">
    <cfRule type="cellIs" dxfId="62" priority="142" stopIfTrue="1" operator="equal">
      <formula>"I"</formula>
    </cfRule>
    <cfRule type="cellIs" dxfId="61" priority="143" stopIfTrue="1" operator="equal">
      <formula>"A"</formula>
    </cfRule>
    <cfRule type="cellIs" dxfId="60" priority="144" stopIfTrue="1" operator="equal">
      <formula>"E"</formula>
    </cfRule>
  </conditionalFormatting>
  <conditionalFormatting sqref="C18:C24">
    <cfRule type="cellIs" dxfId="56" priority="112" stopIfTrue="1" operator="equal">
      <formula>"I"</formula>
    </cfRule>
    <cfRule type="cellIs" dxfId="55" priority="113" stopIfTrue="1" operator="equal">
      <formula>"A"</formula>
    </cfRule>
    <cfRule type="cellIs" dxfId="54" priority="114" stopIfTrue="1" operator="equal">
      <formula>"E"</formula>
    </cfRule>
  </conditionalFormatting>
  <conditionalFormatting sqref="C10:C17">
    <cfRule type="cellIs" dxfId="53" priority="121" stopIfTrue="1" operator="equal">
      <formula>"I"</formula>
    </cfRule>
    <cfRule type="cellIs" dxfId="52" priority="122" stopIfTrue="1" operator="equal">
      <formula>"A"</formula>
    </cfRule>
    <cfRule type="cellIs" dxfId="51" priority="123" stopIfTrue="1" operator="equal">
      <formula>"E"</formula>
    </cfRule>
  </conditionalFormatting>
  <conditionalFormatting sqref="C27:C33 C35:C40">
    <cfRule type="cellIs" dxfId="50" priority="100" stopIfTrue="1" operator="equal">
      <formula>"I"</formula>
    </cfRule>
    <cfRule type="cellIs" dxfId="49" priority="101" stopIfTrue="1" operator="equal">
      <formula>"A"</formula>
    </cfRule>
    <cfRule type="cellIs" dxfId="48" priority="102" stopIfTrue="1" operator="equal">
      <formula>"E"</formula>
    </cfRule>
  </conditionalFormatting>
  <conditionalFormatting sqref="C25">
    <cfRule type="cellIs" dxfId="47" priority="97" stopIfTrue="1" operator="equal">
      <formula>"I"</formula>
    </cfRule>
    <cfRule type="cellIs" dxfId="46" priority="98" stopIfTrue="1" operator="equal">
      <formula>"A"</formula>
    </cfRule>
    <cfRule type="cellIs" dxfId="45" priority="99" stopIfTrue="1" operator="equal">
      <formula>"E"</formula>
    </cfRule>
  </conditionalFormatting>
  <conditionalFormatting sqref="C26">
    <cfRule type="cellIs" dxfId="41" priority="64" stopIfTrue="1" operator="equal">
      <formula>"I"</formula>
    </cfRule>
    <cfRule type="cellIs" dxfId="40" priority="65" stopIfTrue="1" operator="equal">
      <formula>"A"</formula>
    </cfRule>
    <cfRule type="cellIs" dxfId="39" priority="66" stopIfTrue="1" operator="equal">
      <formula>"E"</formula>
    </cfRule>
  </conditionalFormatting>
  <conditionalFormatting sqref="C34">
    <cfRule type="cellIs" dxfId="38" priority="49" stopIfTrue="1" operator="equal">
      <formula>"I"</formula>
    </cfRule>
    <cfRule type="cellIs" dxfId="37" priority="50" stopIfTrue="1" operator="equal">
      <formula>"A"</formula>
    </cfRule>
    <cfRule type="cellIs" dxfId="36" priority="51" stopIfTrue="1" operator="equal">
      <formula>"E"</formula>
    </cfRule>
  </conditionalFormatting>
  <conditionalFormatting sqref="C41:C48">
    <cfRule type="cellIs" dxfId="35" priority="46" stopIfTrue="1" operator="equal">
      <formula>"I"</formula>
    </cfRule>
    <cfRule type="cellIs" dxfId="34" priority="47" stopIfTrue="1" operator="equal">
      <formula>"A"</formula>
    </cfRule>
    <cfRule type="cellIs" dxfId="33" priority="48" stopIfTrue="1" operator="equal">
      <formula>"E"</formula>
    </cfRule>
  </conditionalFormatting>
  <conditionalFormatting sqref="C198">
    <cfRule type="cellIs" dxfId="29" priority="16" stopIfTrue="1" operator="equal">
      <formula>"I"</formula>
    </cfRule>
    <cfRule type="cellIs" dxfId="28" priority="17" stopIfTrue="1" operator="equal">
      <formula>"A"</formula>
    </cfRule>
    <cfRule type="cellIs" dxfId="27" priority="18" stopIfTrue="1" operator="equal">
      <formula>"E"</formula>
    </cfRule>
  </conditionalFormatting>
  <conditionalFormatting sqref="C199">
    <cfRule type="cellIs" dxfId="26" priority="13" stopIfTrue="1" operator="equal">
      <formula>"I"</formula>
    </cfRule>
    <cfRule type="cellIs" dxfId="25" priority="14" stopIfTrue="1" operator="equal">
      <formula>"A"</formula>
    </cfRule>
    <cfRule type="cellIs" dxfId="24" priority="15" stopIfTrue="1" operator="equal">
      <formula>"E"</formula>
    </cfRule>
  </conditionalFormatting>
  <conditionalFormatting sqref="C200:C202">
    <cfRule type="cellIs" dxfId="23" priority="10" stopIfTrue="1" operator="equal">
      <formula>"I"</formula>
    </cfRule>
    <cfRule type="cellIs" dxfId="22" priority="11" stopIfTrue="1" operator="equal">
      <formula>"A"</formula>
    </cfRule>
    <cfRule type="cellIs" dxfId="21" priority="12" stopIfTrue="1" operator="equal">
      <formula>"E"</formula>
    </cfRule>
  </conditionalFormatting>
  <conditionalFormatting sqref="C108:C113">
    <cfRule type="cellIs" dxfId="20" priority="7" stopIfTrue="1" operator="equal">
      <formula>"I"</formula>
    </cfRule>
    <cfRule type="cellIs" dxfId="19" priority="8" stopIfTrue="1" operator="equal">
      <formula>"A"</formula>
    </cfRule>
    <cfRule type="cellIs" dxfId="18" priority="9" stopIfTrue="1" operator="equal">
      <formula>"E"</formula>
    </cfRule>
  </conditionalFormatting>
  <conditionalFormatting sqref="C114:C119">
    <cfRule type="cellIs" dxfId="17" priority="4" stopIfTrue="1" operator="equal">
      <formula>"I"</formula>
    </cfRule>
    <cfRule type="cellIs" dxfId="16" priority="5" stopIfTrue="1" operator="equal">
      <formula>"A"</formula>
    </cfRule>
    <cfRule type="cellIs" dxfId="15" priority="6" stopIfTrue="1" operator="equal">
      <formula>"E"</formula>
    </cfRule>
  </conditionalFormatting>
  <conditionalFormatting sqref="C205:C210">
    <cfRule type="cellIs" dxfId="14" priority="1" stopIfTrue="1" operator="equal">
      <formula>"I"</formula>
    </cfRule>
    <cfRule type="cellIs" dxfId="13" priority="2" stopIfTrue="1" operator="equal">
      <formula>"A"</formula>
    </cfRule>
    <cfRule type="cellIs" dxfId="12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803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803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11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47" t="s">
        <v>30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22"/>
    </row>
    <row r="2" spans="1:12" ht="14.85" customHeight="1" x14ac:dyDescent="0.2">
      <c r="A2" s="163" t="s">
        <v>31</v>
      </c>
      <c r="B2" s="163"/>
      <c r="C2" s="163"/>
      <c r="D2" s="163"/>
      <c r="E2" s="163"/>
      <c r="F2" s="163"/>
      <c r="G2" s="161" t="s">
        <v>32</v>
      </c>
      <c r="H2" s="161" t="s">
        <v>33</v>
      </c>
      <c r="I2" s="161"/>
      <c r="J2" s="161" t="s">
        <v>2</v>
      </c>
      <c r="K2" s="162" t="s">
        <v>34</v>
      </c>
    </row>
    <row r="3" spans="1:12" ht="14.85" customHeight="1" x14ac:dyDescent="0.2">
      <c r="A3" s="23" t="s">
        <v>35</v>
      </c>
      <c r="B3" s="161" t="s">
        <v>36</v>
      </c>
      <c r="C3" s="161"/>
      <c r="D3" s="161"/>
      <c r="E3" s="161"/>
      <c r="F3" s="24" t="s">
        <v>28</v>
      </c>
      <c r="G3" s="161"/>
      <c r="H3" s="24" t="s">
        <v>37</v>
      </c>
      <c r="I3" s="24" t="s">
        <v>38</v>
      </c>
      <c r="J3" s="161"/>
      <c r="K3" s="162"/>
    </row>
    <row r="4" spans="1:12" x14ac:dyDescent="0.2">
      <c r="A4" s="3" t="s">
        <v>39</v>
      </c>
      <c r="B4" s="144" t="s">
        <v>40</v>
      </c>
      <c r="C4" s="144"/>
      <c r="D4" s="144"/>
      <c r="E4" s="144"/>
      <c r="F4" s="2"/>
      <c r="G4" s="25" t="s">
        <v>41</v>
      </c>
      <c r="H4" s="104">
        <v>1</v>
      </c>
      <c r="I4" s="105"/>
      <c r="J4" s="106">
        <f>SUMIF(Funções!$C$8:$C$803,Deflatores!G4,Funções!$H$8:$H$803)</f>
        <v>699</v>
      </c>
      <c r="K4" s="107">
        <f>IF(H4="",COUNTIF(Funções!C$8:C$803,G4)*I4,H4*J4)</f>
        <v>699</v>
      </c>
    </row>
    <row r="5" spans="1:12" x14ac:dyDescent="0.2">
      <c r="A5" s="3" t="s">
        <v>42</v>
      </c>
      <c r="B5" s="144" t="s">
        <v>43</v>
      </c>
      <c r="C5" s="144"/>
      <c r="D5" s="144"/>
      <c r="E5" s="144"/>
      <c r="F5" s="2" t="s">
        <v>48</v>
      </c>
      <c r="G5" s="25" t="s">
        <v>44</v>
      </c>
      <c r="H5" s="104">
        <v>0.5</v>
      </c>
      <c r="I5" s="105"/>
      <c r="J5" s="106">
        <f>SUMIF(Funções!$C$8:$C$803,Deflatores!G5,Funções!$H$8:$H$803)</f>
        <v>0</v>
      </c>
      <c r="K5" s="107">
        <f>IF(H5="",COUNTIF(Funções!C$8:C$803,G5)*I5,H5*J5)</f>
        <v>0</v>
      </c>
    </row>
    <row r="6" spans="1:12" x14ac:dyDescent="0.2">
      <c r="A6" s="3" t="s">
        <v>45</v>
      </c>
      <c r="B6" s="144" t="s">
        <v>46</v>
      </c>
      <c r="C6" s="144"/>
      <c r="D6" s="144"/>
      <c r="E6" s="144"/>
      <c r="F6" s="2" t="s">
        <v>48</v>
      </c>
      <c r="G6" s="25" t="s">
        <v>47</v>
      </c>
      <c r="H6" s="104">
        <v>0.4</v>
      </c>
      <c r="I6" s="105"/>
      <c r="J6" s="106">
        <f>SUMIF(Funções!$C$8:$C$803,Deflatores!G6,Funções!$H$8:$H$803)</f>
        <v>0</v>
      </c>
      <c r="K6" s="107">
        <f>IF(H6="",COUNTIF(Funções!C$8:C$803,G6)*I6,H6*J6)</f>
        <v>0</v>
      </c>
    </row>
    <row r="7" spans="1:12" x14ac:dyDescent="0.2">
      <c r="A7" s="3"/>
      <c r="B7" s="144" t="s">
        <v>150</v>
      </c>
      <c r="C7" s="144"/>
      <c r="D7" s="144"/>
      <c r="E7" s="144"/>
      <c r="F7" s="2" t="s">
        <v>48</v>
      </c>
      <c r="G7" s="25" t="s">
        <v>49</v>
      </c>
      <c r="H7" s="104">
        <v>0.5</v>
      </c>
      <c r="I7" s="105"/>
      <c r="J7" s="106">
        <f>SUMIF(Funções!$C$8:$C$803,Deflatores!G7,Funções!$H$8:$H$803)</f>
        <v>0</v>
      </c>
      <c r="K7" s="107">
        <f>IF(H7="",COUNTIF(Funções!C$8:C$803,G7)*I7,H7*J7)</f>
        <v>0</v>
      </c>
    </row>
    <row r="8" spans="1:12" x14ac:dyDescent="0.2">
      <c r="A8" s="3"/>
      <c r="B8" s="144" t="s">
        <v>151</v>
      </c>
      <c r="C8" s="144"/>
      <c r="D8" s="144"/>
      <c r="E8" s="144"/>
      <c r="F8" s="2" t="s">
        <v>48</v>
      </c>
      <c r="G8" s="25" t="s">
        <v>50</v>
      </c>
      <c r="H8" s="104">
        <v>0.75</v>
      </c>
      <c r="I8" s="105"/>
      <c r="J8" s="106">
        <f>SUMIF(Funções!$C$8:$C$803,Deflatores!G8,Funções!$H$8:$H$803)</f>
        <v>0</v>
      </c>
      <c r="K8" s="107">
        <f>IF(H8="",COUNTIF(Funções!C$8:C$803,G8)*I8,H8*J8)</f>
        <v>0</v>
      </c>
    </row>
    <row r="9" spans="1:12" x14ac:dyDescent="0.2">
      <c r="A9" s="3"/>
      <c r="B9" s="144" t="s">
        <v>152</v>
      </c>
      <c r="C9" s="144"/>
      <c r="D9" s="144"/>
      <c r="E9" s="144"/>
      <c r="F9" s="2" t="s">
        <v>48</v>
      </c>
      <c r="G9" s="25" t="s">
        <v>51</v>
      </c>
      <c r="H9" s="104">
        <v>0.9</v>
      </c>
      <c r="I9" s="105"/>
      <c r="J9" s="106">
        <f>SUMIF(Funções!$C$8:$C$803,Deflatores!G9,Funções!$H$8:$H$803)</f>
        <v>0</v>
      </c>
      <c r="K9" s="107">
        <f>IF(H9="",COUNTIF(Funções!C$8:C$803,G9)*I9,H9*J9)</f>
        <v>0</v>
      </c>
    </row>
    <row r="10" spans="1:12" x14ac:dyDescent="0.2">
      <c r="A10" s="3"/>
      <c r="B10" s="144" t="s">
        <v>52</v>
      </c>
      <c r="C10" s="144"/>
      <c r="D10" s="144"/>
      <c r="E10" s="144"/>
      <c r="F10" s="2" t="s">
        <v>53</v>
      </c>
      <c r="G10" s="25" t="s">
        <v>54</v>
      </c>
      <c r="H10" s="104">
        <v>1</v>
      </c>
      <c r="I10" s="105"/>
      <c r="J10" s="106">
        <f>SUMIF(Funções!$C$8:$C$803,Deflatores!G10,Funções!$H$8:$H$803)</f>
        <v>0</v>
      </c>
      <c r="K10" s="107">
        <f>IF(H10="",COUNTIF(Funções!C$8:C$803,G10)*I10,H10*J10)</f>
        <v>0</v>
      </c>
    </row>
    <row r="11" spans="1:12" x14ac:dyDescent="0.2">
      <c r="A11" s="3"/>
      <c r="B11" s="144" t="s">
        <v>55</v>
      </c>
      <c r="C11" s="144"/>
      <c r="D11" s="144"/>
      <c r="E11" s="144"/>
      <c r="F11" s="2" t="s">
        <v>56</v>
      </c>
      <c r="G11" s="25" t="s">
        <v>57</v>
      </c>
      <c r="H11" s="104">
        <v>0.5</v>
      </c>
      <c r="I11" s="105"/>
      <c r="J11" s="106">
        <f>SUMIF(Funções!$C$8:$C$803,Deflatores!G11,Funções!$H$8:$H$803)</f>
        <v>0</v>
      </c>
      <c r="K11" s="107">
        <f>IF(H11="",COUNTIF(Funções!C$8:C$803,G11)*I11,H11*J11)</f>
        <v>0</v>
      </c>
    </row>
    <row r="12" spans="1:12" ht="13.5" customHeight="1" x14ac:dyDescent="0.2">
      <c r="A12" s="3"/>
      <c r="B12" s="144" t="s">
        <v>146</v>
      </c>
      <c r="C12" s="144"/>
      <c r="D12" s="144"/>
      <c r="E12" s="144"/>
      <c r="F12" s="2" t="s">
        <v>56</v>
      </c>
      <c r="G12" s="25" t="s">
        <v>58</v>
      </c>
      <c r="H12" s="104">
        <v>0.5</v>
      </c>
      <c r="I12" s="105"/>
      <c r="J12" s="106">
        <f>SUMIF(Funções!$C$8:$C$803,Deflatores!G12,Funções!$H$8:$H$803)</f>
        <v>0</v>
      </c>
      <c r="K12" s="107">
        <f>IF(H12="",COUNTIF(Funções!C$8:C$803,G12)*I12,H12*J12)</f>
        <v>0</v>
      </c>
    </row>
    <row r="13" spans="1:12" ht="13.5" customHeight="1" x14ac:dyDescent="0.2">
      <c r="A13" s="3"/>
      <c r="B13" s="144" t="s">
        <v>147</v>
      </c>
      <c r="C13" s="144"/>
      <c r="D13" s="144"/>
      <c r="E13" s="144"/>
      <c r="F13" s="2" t="s">
        <v>56</v>
      </c>
      <c r="G13" s="25" t="s">
        <v>59</v>
      </c>
      <c r="H13" s="104">
        <v>0.75</v>
      </c>
      <c r="I13" s="105"/>
      <c r="J13" s="106">
        <f>SUMIF(Funções!$C$8:$C$803,Deflatores!G13,Funções!$H$8:$H$803)</f>
        <v>0</v>
      </c>
      <c r="K13" s="107">
        <f>IF(H13="",COUNTIF(Funções!C$8:C$803,G13)*I13,H13*J13)</f>
        <v>0</v>
      </c>
    </row>
    <row r="14" spans="1:12" ht="13.5" customHeight="1" x14ac:dyDescent="0.2">
      <c r="A14" s="3"/>
      <c r="B14" s="144" t="s">
        <v>148</v>
      </c>
      <c r="C14" s="144"/>
      <c r="D14" s="144"/>
      <c r="E14" s="144"/>
      <c r="F14" s="2" t="s">
        <v>56</v>
      </c>
      <c r="G14" s="25" t="s">
        <v>149</v>
      </c>
      <c r="H14" s="104">
        <v>0.9</v>
      </c>
      <c r="I14" s="105"/>
      <c r="J14" s="106">
        <f>SUMIF(Funções!$C$8:$C$803,Deflatores!G14,Funções!$H$8:$H$803)</f>
        <v>0</v>
      </c>
      <c r="K14" s="107">
        <f>IF(H14="",COUNTIF(Funções!C$8:C$803,G14)*I14,H14*J14)</f>
        <v>0</v>
      </c>
    </row>
    <row r="15" spans="1:12" ht="13.5" customHeight="1" x14ac:dyDescent="0.2">
      <c r="A15" s="3"/>
      <c r="B15" s="144" t="s">
        <v>60</v>
      </c>
      <c r="C15" s="144"/>
      <c r="D15" s="144"/>
      <c r="E15" s="144"/>
      <c r="F15" s="2" t="s">
        <v>56</v>
      </c>
      <c r="G15" s="25" t="s">
        <v>61</v>
      </c>
      <c r="H15" s="104">
        <v>0</v>
      </c>
      <c r="I15" s="105"/>
      <c r="J15" s="106">
        <f>SUMIF(Funções!$C$8:$C$803,Deflatores!G15,Funções!$H$8:$H$803)</f>
        <v>0</v>
      </c>
      <c r="K15" s="107">
        <f>IF(H15="",COUNTIF(Funções!C$8:C$803,G15)*I15,H15*J15)</f>
        <v>0</v>
      </c>
    </row>
    <row r="16" spans="1:12" ht="13.5" customHeight="1" x14ac:dyDescent="0.2">
      <c r="A16" s="3"/>
      <c r="B16" s="144" t="s">
        <v>62</v>
      </c>
      <c r="C16" s="144"/>
      <c r="D16" s="144"/>
      <c r="E16" s="144"/>
      <c r="F16" s="2" t="s">
        <v>63</v>
      </c>
      <c r="G16" s="25" t="s">
        <v>64</v>
      </c>
      <c r="H16" s="104">
        <v>1</v>
      </c>
      <c r="I16" s="105"/>
      <c r="J16" s="106">
        <f>SUMIF(Funções!$C$8:$C$803,Deflatores!G16,Funções!$H$8:$H$803)</f>
        <v>0</v>
      </c>
      <c r="K16" s="107">
        <f>IF(H16="",COUNTIF(Funções!C$8:C$803,G16)*I16,H16*J16)</f>
        <v>0</v>
      </c>
    </row>
    <row r="17" spans="1:11" x14ac:dyDescent="0.2">
      <c r="A17" s="3"/>
      <c r="B17" s="144" t="s">
        <v>168</v>
      </c>
      <c r="C17" s="144"/>
      <c r="D17" s="144"/>
      <c r="E17" s="144"/>
      <c r="F17" s="2" t="s">
        <v>65</v>
      </c>
      <c r="G17" s="25" t="s">
        <v>161</v>
      </c>
      <c r="H17" s="104">
        <v>1</v>
      </c>
      <c r="I17" s="105"/>
      <c r="J17" s="106">
        <f>SUMIF(Funções!$C$8:$C$803,Deflatores!G17,Funções!$H$8:$H$803)</f>
        <v>0</v>
      </c>
      <c r="K17" s="107">
        <f>IF(H17="",COUNTIF(Funções!C$8:C$803,G17)*I17,H17*J17)</f>
        <v>0</v>
      </c>
    </row>
    <row r="18" spans="1:11" ht="13.5" customHeight="1" x14ac:dyDescent="0.2">
      <c r="A18" s="3"/>
      <c r="B18" s="144" t="s">
        <v>169</v>
      </c>
      <c r="C18" s="144"/>
      <c r="D18" s="144"/>
      <c r="E18" s="144"/>
      <c r="F18" s="2" t="s">
        <v>65</v>
      </c>
      <c r="G18" s="25" t="s">
        <v>162</v>
      </c>
      <c r="H18" s="104">
        <v>0.3</v>
      </c>
      <c r="I18" s="105"/>
      <c r="J18" s="106">
        <f>SUMIF(Funções!$C$8:$C$803,Deflatores!G18,Funções!$H$8:$H$803)</f>
        <v>0</v>
      </c>
      <c r="K18" s="107">
        <f>IF(H18="",COUNTIF(Funções!C$8:C$803,G18)*I18,H18*J18)</f>
        <v>0</v>
      </c>
    </row>
    <row r="19" spans="1:11" ht="13.5" customHeight="1" x14ac:dyDescent="0.2">
      <c r="A19" s="3"/>
      <c r="B19" s="144" t="s">
        <v>66</v>
      </c>
      <c r="C19" s="144"/>
      <c r="D19" s="144"/>
      <c r="E19" s="144"/>
      <c r="F19" s="2" t="s">
        <v>67</v>
      </c>
      <c r="G19" s="25" t="s">
        <v>68</v>
      </c>
      <c r="H19" s="104">
        <v>0.3</v>
      </c>
      <c r="I19" s="105"/>
      <c r="J19" s="106">
        <f>SUMIF(Funções!$C$8:$C$803,Deflatores!G19,Funções!$H$8:$H$803)</f>
        <v>0</v>
      </c>
      <c r="K19" s="107">
        <f>IF(H19="",COUNTIF(Funções!C$8:C$803,G19)*I19,H19*J19)</f>
        <v>0</v>
      </c>
    </row>
    <row r="20" spans="1:11" ht="13.5" customHeight="1" x14ac:dyDescent="0.2">
      <c r="A20" s="3"/>
      <c r="B20" s="144" t="s">
        <v>69</v>
      </c>
      <c r="C20" s="144"/>
      <c r="D20" s="144"/>
      <c r="E20" s="144"/>
      <c r="F20" s="2" t="s">
        <v>70</v>
      </c>
      <c r="G20" s="25" t="s">
        <v>71</v>
      </c>
      <c r="H20" s="104">
        <v>0.3</v>
      </c>
      <c r="I20" s="105"/>
      <c r="J20" s="106">
        <f>SUMIF(Funções!$C$8:$C$803,Deflatores!G20,Funções!$H$8:$H$803)</f>
        <v>0</v>
      </c>
      <c r="K20" s="107">
        <f>IF(H20="",COUNTIF(Funções!C$8:C$803,G20)*I20,H20*J20)</f>
        <v>0</v>
      </c>
    </row>
    <row r="21" spans="1:11" ht="13.5" customHeight="1" x14ac:dyDescent="0.2">
      <c r="A21" s="3"/>
      <c r="B21" s="144" t="s">
        <v>72</v>
      </c>
      <c r="C21" s="144"/>
      <c r="D21" s="144"/>
      <c r="E21" s="144"/>
      <c r="F21" s="2" t="s">
        <v>73</v>
      </c>
      <c r="G21" s="25" t="s">
        <v>74</v>
      </c>
      <c r="H21" s="104">
        <v>0.3</v>
      </c>
      <c r="I21" s="105"/>
      <c r="J21" s="106">
        <f>SUMIF(Funções!$C$8:$C$803,Deflatores!G21,Funções!$H$8:$H$803)</f>
        <v>0</v>
      </c>
      <c r="K21" s="107">
        <f>IF(H21="",COUNTIF(Funções!C$8:C$803,G21)*I21,H21*J21)</f>
        <v>0</v>
      </c>
    </row>
    <row r="22" spans="1:11" x14ac:dyDescent="0.2">
      <c r="A22" s="3"/>
      <c r="B22" s="144" t="s">
        <v>75</v>
      </c>
      <c r="C22" s="144"/>
      <c r="D22" s="144"/>
      <c r="E22" s="144"/>
      <c r="F22" s="2" t="s">
        <v>76</v>
      </c>
      <c r="G22" s="25" t="s">
        <v>77</v>
      </c>
      <c r="H22" s="104"/>
      <c r="I22" s="105">
        <v>0.6</v>
      </c>
      <c r="J22" s="106">
        <f>SUMIF(Funções!$C$8:$C$803,Deflatores!G22,Funções!$H$8:$H$803)</f>
        <v>0</v>
      </c>
      <c r="K22" s="107">
        <f>IF(H22="",COUNTIF(Funções!C$8:C$803,G22)*I22,H22*J22)</f>
        <v>0</v>
      </c>
    </row>
    <row r="23" spans="1:11" ht="27" customHeight="1" x14ac:dyDescent="0.2">
      <c r="A23" s="3"/>
      <c r="B23" s="164" t="s">
        <v>154</v>
      </c>
      <c r="C23" s="165"/>
      <c r="D23" s="165"/>
      <c r="E23" s="166"/>
      <c r="F23" s="103" t="s">
        <v>78</v>
      </c>
      <c r="G23" s="25" t="s">
        <v>153</v>
      </c>
      <c r="H23" s="104">
        <v>0.5</v>
      </c>
      <c r="I23" s="105"/>
      <c r="J23" s="106">
        <f>SUMIF(Funções!$C$8:$C$803,Deflatores!G23,Funções!$H$8:$H$803)</f>
        <v>0</v>
      </c>
      <c r="K23" s="107">
        <f>IF(H23="",COUNTIF(Funções!C$8:C$803,G23)*I23,H23*J23)</f>
        <v>0</v>
      </c>
    </row>
    <row r="24" spans="1:11" ht="27" customHeight="1" x14ac:dyDescent="0.2">
      <c r="A24" s="3"/>
      <c r="B24" s="164" t="s">
        <v>155</v>
      </c>
      <c r="C24" s="165"/>
      <c r="D24" s="165"/>
      <c r="E24" s="166"/>
      <c r="F24" s="103" t="s">
        <v>78</v>
      </c>
      <c r="G24" s="25" t="s">
        <v>79</v>
      </c>
      <c r="H24" s="104">
        <v>0.5</v>
      </c>
      <c r="I24" s="105"/>
      <c r="J24" s="106">
        <f>SUMIF(Funções!$C$8:$C$803,Deflatores!G24,Funções!$H$8:$H$803)</f>
        <v>0</v>
      </c>
      <c r="K24" s="107">
        <f>IF(H24="",COUNTIF(Funções!C$8:C$803,G24)*I24,H24*J24)</f>
        <v>0</v>
      </c>
    </row>
    <row r="25" spans="1:11" ht="27" customHeight="1" x14ac:dyDescent="0.2">
      <c r="A25" s="3"/>
      <c r="B25" s="167" t="s">
        <v>156</v>
      </c>
      <c r="C25" s="144"/>
      <c r="D25" s="144"/>
      <c r="E25" s="144"/>
      <c r="F25" s="103" t="s">
        <v>78</v>
      </c>
      <c r="G25" s="25" t="s">
        <v>80</v>
      </c>
      <c r="H25" s="104">
        <v>0.75</v>
      </c>
      <c r="I25" s="105"/>
      <c r="J25" s="106">
        <f>SUMIF(Funções!$C$8:$C$803,Deflatores!G25,Funções!$H$8:$H$803)</f>
        <v>0</v>
      </c>
      <c r="K25" s="107">
        <f>IF(H25="",COUNTIF(Funções!C$8:C$803,G25)*I25,H25*J25)</f>
        <v>0</v>
      </c>
    </row>
    <row r="26" spans="1:11" ht="13.5" customHeight="1" x14ac:dyDescent="0.2">
      <c r="A26" s="3"/>
      <c r="B26" s="144" t="s">
        <v>167</v>
      </c>
      <c r="C26" s="144"/>
      <c r="D26" s="144"/>
      <c r="E26" s="144"/>
      <c r="F26" s="2" t="s">
        <v>81</v>
      </c>
      <c r="G26" s="25" t="s">
        <v>82</v>
      </c>
      <c r="H26" s="104">
        <v>1</v>
      </c>
      <c r="I26" s="105"/>
      <c r="J26" s="106">
        <f>SUMIF(Funções!$C$8:$C$803,Deflatores!G26,Funções!$H$8:$H$803)</f>
        <v>0</v>
      </c>
      <c r="K26" s="107">
        <f>IF(H26="",COUNTIF(Funções!C$8:C$803,G26)*I26,H26*J26)</f>
        <v>0</v>
      </c>
    </row>
    <row r="27" spans="1:11" ht="13.5" customHeight="1" x14ac:dyDescent="0.2">
      <c r="A27" s="3"/>
      <c r="B27" s="144" t="s">
        <v>166</v>
      </c>
      <c r="C27" s="144"/>
      <c r="D27" s="144"/>
      <c r="E27" s="144"/>
      <c r="F27" s="2" t="s">
        <v>81</v>
      </c>
      <c r="G27" s="25" t="s">
        <v>83</v>
      </c>
      <c r="H27" s="104">
        <v>1</v>
      </c>
      <c r="I27" s="105"/>
      <c r="J27" s="106">
        <f>SUMIF(Funções!$C$8:$C$803,Deflatores!G27,Funções!$H$8:$H$803)</f>
        <v>0</v>
      </c>
      <c r="K27" s="107">
        <f>IF(H27="",COUNTIF(Funções!C$8:C$803,G27)*I27,H27*J27)</f>
        <v>0</v>
      </c>
    </row>
    <row r="28" spans="1:11" ht="13.5" customHeight="1" x14ac:dyDescent="0.2">
      <c r="A28" s="3"/>
      <c r="B28" s="144" t="s">
        <v>165</v>
      </c>
      <c r="C28" s="144"/>
      <c r="D28" s="144"/>
      <c r="E28" s="144"/>
      <c r="F28" s="2" t="s">
        <v>81</v>
      </c>
      <c r="G28" s="25" t="s">
        <v>84</v>
      </c>
      <c r="H28" s="104">
        <v>0.6</v>
      </c>
      <c r="I28" s="105"/>
      <c r="J28" s="106">
        <f>SUMIF(Funções!$C$8:$C$803,Deflatores!G28,Funções!$H$8:$H$803)</f>
        <v>0</v>
      </c>
      <c r="K28" s="107">
        <f>IF(H28="",COUNTIF(Funções!C$8:C$803,G28)*I28,H28*J28)</f>
        <v>0</v>
      </c>
    </row>
    <row r="29" spans="1:11" ht="13.5" customHeight="1" x14ac:dyDescent="0.2">
      <c r="A29" s="3"/>
      <c r="B29" s="144" t="s">
        <v>85</v>
      </c>
      <c r="C29" s="144"/>
      <c r="D29" s="144"/>
      <c r="E29" s="144"/>
      <c r="F29" s="2" t="s">
        <v>86</v>
      </c>
      <c r="G29" s="25" t="s">
        <v>87</v>
      </c>
      <c r="H29" s="104">
        <v>1</v>
      </c>
      <c r="I29" s="105"/>
      <c r="J29" s="106">
        <f>SUMIF(Funções!$C$8:$C$803,Deflatores!G29,Funções!$H$8:$H$803)</f>
        <v>0</v>
      </c>
      <c r="K29" s="107">
        <f>IF(H29="",COUNTIF(Funções!C$8:C$803,G29)*I29,H29*J29)</f>
        <v>0</v>
      </c>
    </row>
    <row r="30" spans="1:11" ht="13.5" customHeight="1" x14ac:dyDescent="0.2">
      <c r="A30" s="3"/>
      <c r="B30" s="144" t="s">
        <v>88</v>
      </c>
      <c r="C30" s="144"/>
      <c r="D30" s="144"/>
      <c r="E30" s="144"/>
      <c r="F30" s="2" t="s">
        <v>89</v>
      </c>
      <c r="G30" s="25" t="s">
        <v>90</v>
      </c>
      <c r="H30" s="104">
        <v>0.1</v>
      </c>
      <c r="I30" s="105"/>
      <c r="J30" s="106">
        <f>SUMIF(Funções!$C$8:$C$803,Deflatores!G30,Funções!$H$8:$H$803)</f>
        <v>0</v>
      </c>
      <c r="K30" s="107">
        <f>IF(H30="",COUNTIF(Funções!C$8:C$803,G30)*I30,H30*J30)</f>
        <v>0</v>
      </c>
    </row>
    <row r="31" spans="1:11" ht="13.5" customHeight="1" x14ac:dyDescent="0.2">
      <c r="A31" s="3"/>
      <c r="B31" s="144" t="s">
        <v>91</v>
      </c>
      <c r="C31" s="144"/>
      <c r="D31" s="144"/>
      <c r="E31" s="144"/>
      <c r="F31" s="2" t="s">
        <v>92</v>
      </c>
      <c r="G31" s="25" t="s">
        <v>93</v>
      </c>
      <c r="H31" s="104">
        <v>0.1</v>
      </c>
      <c r="I31" s="105"/>
      <c r="J31" s="106">
        <f>SUMIF(Funções!$C$8:$C$803,Deflatores!G31,Funções!$H$8:$H$803)</f>
        <v>0</v>
      </c>
      <c r="K31" s="107">
        <f>IF(H31="",COUNTIF(Funções!C$8:C$803,G31)*I31,H31*J31)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SUMIF(Funções!$C$8:$C$803,Deflatores!G32,Funções!$H$8:$H$803)</f>
        <v>0</v>
      </c>
      <c r="K32" s="107">
        <f>IF(H32="",COUNTIF(Funções!C$8:C$803,G32)*I32,H32*J32)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SUMIF(Funções!$C$8:$C$803,Deflatores!G33,Funções!$H$8:$H$803)</f>
        <v>0</v>
      </c>
      <c r="K33" s="107">
        <f>IF(H33="",COUNTIF(Funções!C$8:C$803,G33)*I33,H33*J33)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SUMIF(Funções!$C$8:$C$803,Deflatores!G34,Funções!$H$8:$H$803)</f>
        <v>0</v>
      </c>
      <c r="K34" s="107">
        <f>IF(H34="",COUNTIF(Funções!C$8:C$803,G34)*I34,H34*J34)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SUMIF(Funções!$C$8:$C$803,Deflatores!G35,Funções!$H$8:$H$803)</f>
        <v>0</v>
      </c>
      <c r="K35" s="107">
        <f>IF(H35="",COUNTIF(Funções!C$8:C$803,G35)*I35,H35*J35)</f>
        <v>0</v>
      </c>
    </row>
    <row r="36" spans="1:12" ht="13.5" customHeight="1" x14ac:dyDescent="0.2">
      <c r="A36" s="3"/>
      <c r="B36" s="144" t="s">
        <v>94</v>
      </c>
      <c r="C36" s="144"/>
      <c r="D36" s="144"/>
      <c r="E36" s="144"/>
      <c r="F36" s="2" t="s">
        <v>95</v>
      </c>
      <c r="G36" s="25" t="s">
        <v>96</v>
      </c>
      <c r="H36" s="104">
        <v>1</v>
      </c>
      <c r="I36" s="105"/>
      <c r="J36" s="106">
        <f>SUMIF(Funções!$C$8:$C$803,Deflatores!G36,Funções!$H$8:$H$803)</f>
        <v>0</v>
      </c>
      <c r="K36" s="107">
        <f>IF(H36="",COUNTIF(Funções!C$8:C$803,G36)*I36,H36*J36)</f>
        <v>0</v>
      </c>
    </row>
    <row r="37" spans="1:12" ht="13.5" customHeight="1" x14ac:dyDescent="0.2">
      <c r="A37" s="3"/>
      <c r="B37" s="144"/>
      <c r="C37" s="144"/>
      <c r="D37" s="144"/>
      <c r="E37" s="144"/>
      <c r="F37" s="2"/>
      <c r="G37" s="25" t="s">
        <v>97</v>
      </c>
      <c r="H37" s="104"/>
      <c r="I37" s="105"/>
      <c r="J37" s="106">
        <f>SUMIF(Funções!$C$8:$C$803,Deflatores!G37,Funções!$H$8:$H$803)</f>
        <v>0</v>
      </c>
      <c r="K37" s="107">
        <f>IF(H37="",COUNTIF(Funções!C$8:C$803,G37)*I37,H37*J37)</f>
        <v>0</v>
      </c>
      <c r="L37" s="19" t="s">
        <v>98</v>
      </c>
    </row>
    <row r="38" spans="1:12" ht="13.5" customHeight="1" x14ac:dyDescent="0.2">
      <c r="A38" s="3"/>
      <c r="B38" s="144"/>
      <c r="C38" s="144"/>
      <c r="D38" s="144"/>
      <c r="E38" s="144"/>
      <c r="F38" s="2"/>
      <c r="G38" s="25" t="s">
        <v>97</v>
      </c>
      <c r="H38" s="104"/>
      <c r="I38" s="105"/>
      <c r="J38" s="106">
        <f>SUMIF(Funções!$C$8:$C$803,Deflatores!G38,Funções!$H$8:$H$803)</f>
        <v>0</v>
      </c>
      <c r="K38" s="107">
        <f>IF(H38="",COUNTIF(Funções!C$8:C$803,G38)*I38,H38*J38)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63" t="s">
        <v>30</v>
      </c>
      <c r="B40" s="163"/>
      <c r="C40" s="163"/>
      <c r="D40" s="163"/>
      <c r="E40" s="163"/>
      <c r="F40" s="163"/>
      <c r="G40" s="161" t="s">
        <v>32</v>
      </c>
      <c r="H40" s="161" t="s">
        <v>33</v>
      </c>
      <c r="I40" s="161"/>
      <c r="J40" s="161" t="s">
        <v>101</v>
      </c>
      <c r="K40" s="162" t="s">
        <v>34</v>
      </c>
      <c r="L40" s="19" t="s">
        <v>102</v>
      </c>
    </row>
    <row r="41" spans="1:12" ht="14.85" customHeight="1" x14ac:dyDescent="0.2">
      <c r="A41" s="23" t="s">
        <v>35</v>
      </c>
      <c r="B41" s="161" t="s">
        <v>36</v>
      </c>
      <c r="C41" s="161"/>
      <c r="D41" s="161"/>
      <c r="E41" s="161"/>
      <c r="F41" s="24" t="s">
        <v>28</v>
      </c>
      <c r="G41" s="161"/>
      <c r="H41" s="161"/>
      <c r="I41" s="161"/>
      <c r="J41" s="161"/>
      <c r="K41" s="162"/>
      <c r="L41" s="19" t="s">
        <v>103</v>
      </c>
    </row>
    <row r="42" spans="1:12" ht="13.5" customHeight="1" x14ac:dyDescent="0.25">
      <c r="A42" s="27"/>
      <c r="B42" s="144" t="s">
        <v>104</v>
      </c>
      <c r="C42" s="144"/>
      <c r="D42" s="144"/>
      <c r="E42" s="144"/>
      <c r="F42" s="2" t="s">
        <v>105</v>
      </c>
      <c r="G42" s="25" t="s">
        <v>106</v>
      </c>
      <c r="H42" s="158">
        <v>0.6</v>
      </c>
      <c r="I42" s="158"/>
      <c r="J42" s="28">
        <f>COUNTIF(Funções!B$8:B$803,G42)</f>
        <v>0</v>
      </c>
      <c r="K42" s="26">
        <f>SUMIF(Funções!B$8:B$803,$G42,Funções!K$8:K$803)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44" t="s">
        <v>116</v>
      </c>
      <c r="C43" s="144"/>
      <c r="D43" s="144"/>
      <c r="E43" s="144"/>
      <c r="F43" s="2" t="s">
        <v>76</v>
      </c>
      <c r="G43" s="25" t="s">
        <v>117</v>
      </c>
      <c r="H43" s="158">
        <v>0.6</v>
      </c>
      <c r="I43" s="158"/>
      <c r="J43" s="28">
        <f>COUNTIF(Funções!B$8:B$803,G43)</f>
        <v>0</v>
      </c>
      <c r="K43" s="26">
        <f>SUMIF(Funções!B$8:B$803,$G43,Funções!K$8:K$803)</f>
        <v>0</v>
      </c>
      <c r="L43" s="19" t="str">
        <f t="shared" si="0"/>
        <v>COSNF</v>
      </c>
    </row>
    <row r="44" spans="1:12" ht="13.5" customHeight="1" x14ac:dyDescent="0.25">
      <c r="A44" s="27"/>
      <c r="B44" s="144" t="s">
        <v>159</v>
      </c>
      <c r="C44" s="144"/>
      <c r="D44" s="144"/>
      <c r="E44" s="144"/>
      <c r="F44" s="2"/>
      <c r="G44" s="25" t="s">
        <v>160</v>
      </c>
      <c r="H44" s="158">
        <v>0</v>
      </c>
      <c r="I44" s="158"/>
      <c r="J44" s="28">
        <f>COUNTIF(Funções!B$8:B$803,G44)</f>
        <v>0</v>
      </c>
      <c r="K44" s="26">
        <f>SUMIF(Funções!B$8:B$803,$G44,Funções!K$8:K$803)</f>
        <v>0</v>
      </c>
      <c r="L44" s="19" t="str">
        <f t="shared" si="0"/>
        <v>DC</v>
      </c>
    </row>
    <row r="45" spans="1:12" ht="13.5" customHeight="1" x14ac:dyDescent="0.25">
      <c r="A45" s="27"/>
      <c r="B45" s="144"/>
      <c r="C45" s="144"/>
      <c r="D45" s="144"/>
      <c r="E45" s="144"/>
      <c r="F45" s="2"/>
      <c r="G45" s="25" t="s">
        <v>97</v>
      </c>
      <c r="H45" s="158"/>
      <c r="I45" s="158"/>
      <c r="J45" s="28">
        <f>COUNTIF(Funções!B$8:B$803,G45)</f>
        <v>0</v>
      </c>
      <c r="K45" s="26">
        <f>SUMIF(Funções!B$8:B$803,$G45,Funções!K$8:K$803)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44"/>
      <c r="C46" s="144"/>
      <c r="D46" s="144"/>
      <c r="E46" s="144"/>
      <c r="F46" s="2"/>
      <c r="G46" s="25" t="s">
        <v>97</v>
      </c>
      <c r="H46" s="158"/>
      <c r="I46" s="158"/>
      <c r="J46" s="28">
        <f>COUNTIF(Funções!B$8:B$803,G46)</f>
        <v>0</v>
      </c>
      <c r="K46" s="26">
        <f>SUMIF(Funções!B$8:B$803,$G46,Funções!K$8:K$803)</f>
        <v>0</v>
      </c>
      <c r="L46" s="19" t="str">
        <f t="shared" si="0"/>
        <v xml:space="preserve">           .</v>
      </c>
    </row>
    <row r="47" spans="1:12" ht="13.5" x14ac:dyDescent="0.25">
      <c r="A47" s="27"/>
      <c r="B47" s="144"/>
      <c r="C47" s="144"/>
      <c r="D47" s="144"/>
      <c r="E47" s="144"/>
      <c r="F47" s="2"/>
      <c r="G47" s="25" t="s">
        <v>97</v>
      </c>
      <c r="H47" s="158"/>
      <c r="I47" s="158"/>
      <c r="J47" s="28">
        <f>COUNTIF(Funções!B$8:B$803,G47)</f>
        <v>0</v>
      </c>
      <c r="K47" s="26">
        <f>SUMIF(Funções!B$8:B$803,$G47,Funções!K$8:K$803)</f>
        <v>0</v>
      </c>
      <c r="L47" s="19" t="str">
        <f t="shared" si="0"/>
        <v xml:space="preserve">           .</v>
      </c>
    </row>
    <row r="48" spans="1:12" ht="13.5" x14ac:dyDescent="0.25">
      <c r="A48" s="27"/>
      <c r="B48" s="144"/>
      <c r="C48" s="144"/>
      <c r="D48" s="144"/>
      <c r="E48" s="144"/>
      <c r="F48" s="2"/>
      <c r="G48" s="25" t="s">
        <v>97</v>
      </c>
      <c r="H48" s="158"/>
      <c r="I48" s="158"/>
      <c r="J48" s="28">
        <f>COUNTIF(Funções!B$8:B$803,G48)</f>
        <v>0</v>
      </c>
      <c r="K48" s="26">
        <f>SUMIF(Funções!B$8:B$803,$G48,Funções!K$8:K$803)</f>
        <v>0</v>
      </c>
      <c r="L48" s="19" t="str">
        <f t="shared" si="0"/>
        <v xml:space="preserve">           .</v>
      </c>
    </row>
    <row r="49" spans="1:12" ht="13.5" x14ac:dyDescent="0.25">
      <c r="A49" s="27"/>
      <c r="B49" s="144"/>
      <c r="C49" s="144"/>
      <c r="D49" s="144"/>
      <c r="E49" s="144"/>
      <c r="F49" s="2"/>
      <c r="G49" s="25" t="s">
        <v>97</v>
      </c>
      <c r="H49" s="158"/>
      <c r="I49" s="158"/>
      <c r="J49" s="28">
        <f>COUNTIF(Funções!B$8:B$803,G49)</f>
        <v>0</v>
      </c>
      <c r="K49" s="26">
        <f>SUMIF(Funções!B$8:B$803,$G49,Funções!K$8:K$803)</f>
        <v>0</v>
      </c>
      <c r="L49" s="19" t="str">
        <f t="shared" si="0"/>
        <v xml:space="preserve">           .</v>
      </c>
    </row>
    <row r="50" spans="1:12" ht="13.5" x14ac:dyDescent="0.25">
      <c r="A50" s="27"/>
      <c r="B50" s="144"/>
      <c r="C50" s="144"/>
      <c r="D50" s="144"/>
      <c r="E50" s="144"/>
      <c r="F50" s="2"/>
      <c r="G50" s="25" t="s">
        <v>97</v>
      </c>
      <c r="H50" s="158"/>
      <c r="I50" s="158"/>
      <c r="J50" s="28">
        <f>COUNTIF(Funções!B$8:B$803,G50)</f>
        <v>0</v>
      </c>
      <c r="K50" s="26">
        <f>SUMIF(Funções!B$8:B$803,$G50,Funções!K$8:K$803)</f>
        <v>0</v>
      </c>
      <c r="L50" s="19" t="str">
        <f t="shared" si="0"/>
        <v xml:space="preserve">           .</v>
      </c>
    </row>
    <row r="51" spans="1:12" ht="13.5" x14ac:dyDescent="0.25">
      <c r="A51" s="27"/>
      <c r="B51" s="144"/>
      <c r="C51" s="144"/>
      <c r="D51" s="144"/>
      <c r="E51" s="144"/>
      <c r="F51" s="2"/>
      <c r="G51" s="25" t="s">
        <v>97</v>
      </c>
      <c r="H51" s="158"/>
      <c r="I51" s="158"/>
      <c r="J51" s="28">
        <f>COUNTIF(Funções!B$8:B$803,G51)</f>
        <v>0</v>
      </c>
      <c r="K51" s="26">
        <f>SUMIF(Funções!B$8:B$803,$G51,Funções!K$8:K$803)</f>
        <v>0</v>
      </c>
      <c r="L51" s="19" t="str">
        <f t="shared" si="0"/>
        <v xml:space="preserve">           .</v>
      </c>
    </row>
    <row r="52" spans="1:12" ht="13.5" x14ac:dyDescent="0.25">
      <c r="A52" s="27"/>
      <c r="B52" s="144"/>
      <c r="C52" s="144"/>
      <c r="D52" s="144"/>
      <c r="E52" s="144"/>
      <c r="F52" s="2"/>
      <c r="G52" s="25" t="s">
        <v>97</v>
      </c>
      <c r="H52" s="158"/>
      <c r="I52" s="158"/>
      <c r="J52" s="28">
        <f>COUNTIF(Funções!B$8:B$803,G52)</f>
        <v>0</v>
      </c>
      <c r="K52" s="26">
        <f>SUMIF(Funções!B$8:B$803,$G52,Funções!K$8:K$803)</f>
        <v>0</v>
      </c>
      <c r="L52" s="19" t="str">
        <f t="shared" si="0"/>
        <v xml:space="preserve">           .</v>
      </c>
    </row>
    <row r="53" spans="1:12" ht="13.5" x14ac:dyDescent="0.25">
      <c r="A53" s="27"/>
      <c r="B53" s="144"/>
      <c r="C53" s="144"/>
      <c r="D53" s="144"/>
      <c r="E53" s="144"/>
      <c r="F53" s="2"/>
      <c r="G53" s="25" t="s">
        <v>97</v>
      </c>
      <c r="H53" s="158"/>
      <c r="I53" s="158"/>
      <c r="J53" s="28">
        <f>COUNTIF(Funções!B$8:B$803,G53)</f>
        <v>0</v>
      </c>
      <c r="K53" s="26">
        <f>SUMIF(Funções!B$8:B$803,$G53,Funções!K$8:K$803)</f>
        <v>0</v>
      </c>
      <c r="L53" s="19" t="str">
        <f t="shared" si="0"/>
        <v xml:space="preserve">           .</v>
      </c>
    </row>
    <row r="54" spans="1:12" ht="13.5" x14ac:dyDescent="0.25">
      <c r="A54" s="27"/>
      <c r="B54" s="144"/>
      <c r="C54" s="144"/>
      <c r="D54" s="144"/>
      <c r="E54" s="144"/>
      <c r="F54" s="2"/>
      <c r="G54" s="25" t="s">
        <v>97</v>
      </c>
      <c r="H54" s="158"/>
      <c r="I54" s="158"/>
      <c r="J54" s="28">
        <f>COUNTIF(Funções!B$8:B$803,G54)</f>
        <v>0</v>
      </c>
      <c r="K54" s="26">
        <f>SUMIF(Funções!B$8:B$803,$G54,Funções!K$8:K$803)</f>
        <v>0</v>
      </c>
      <c r="L54" s="19" t="str">
        <f t="shared" si="0"/>
        <v xml:space="preserve">           .</v>
      </c>
    </row>
    <row r="55" spans="1:12" ht="13.5" x14ac:dyDescent="0.25">
      <c r="A55" s="27"/>
      <c r="B55" s="144"/>
      <c r="C55" s="144"/>
      <c r="D55" s="144"/>
      <c r="E55" s="144"/>
      <c r="F55" s="2"/>
      <c r="G55" s="25" t="s">
        <v>97</v>
      </c>
      <c r="H55" s="158"/>
      <c r="I55" s="158"/>
      <c r="J55" s="28">
        <f>COUNTIF(Funções!B$8:B$803,G55)</f>
        <v>0</v>
      </c>
      <c r="K55" s="26">
        <f>SUMIF(Funções!B$8:B$803,$G55,Funções!K$8:K$803)</f>
        <v>0</v>
      </c>
      <c r="L55" s="19" t="str">
        <f t="shared" si="0"/>
        <v xml:space="preserve">           .</v>
      </c>
    </row>
    <row r="56" spans="1:12" ht="13.5" x14ac:dyDescent="0.25">
      <c r="A56" s="27"/>
      <c r="B56" s="144"/>
      <c r="C56" s="144"/>
      <c r="D56" s="144"/>
      <c r="E56" s="144"/>
      <c r="F56" s="2"/>
      <c r="G56" s="25" t="s">
        <v>97</v>
      </c>
      <c r="H56" s="158"/>
      <c r="I56" s="158"/>
      <c r="J56" s="28">
        <f>COUNTIF(Funções!B$8:B$803,G56)</f>
        <v>0</v>
      </c>
      <c r="K56" s="26">
        <f>SUMIF(Funções!B$8:B$803,$G56,Funções!K$8:K$803)</f>
        <v>0</v>
      </c>
      <c r="L56" s="19" t="str">
        <f t="shared" si="0"/>
        <v xml:space="preserve">           .</v>
      </c>
    </row>
    <row r="57" spans="1:12" ht="13.5" x14ac:dyDescent="0.25">
      <c r="A57" s="27"/>
      <c r="B57" s="144"/>
      <c r="C57" s="144"/>
      <c r="D57" s="144"/>
      <c r="E57" s="144"/>
      <c r="F57" s="2"/>
      <c r="G57" s="25" t="s">
        <v>97</v>
      </c>
      <c r="H57" s="158"/>
      <c r="I57" s="158"/>
      <c r="J57" s="28">
        <f>COUNTIF(Funções!B$8:B$803,G57)</f>
        <v>0</v>
      </c>
      <c r="K57" s="26">
        <f>SUMIF(Funções!B$8:B$803,$G57,Funções!K$8:K$803)</f>
        <v>0</v>
      </c>
      <c r="L57" s="19" t="str">
        <f t="shared" si="0"/>
        <v xml:space="preserve">           .</v>
      </c>
    </row>
    <row r="58" spans="1:12" ht="13.5" x14ac:dyDescent="0.25">
      <c r="A58" s="27"/>
      <c r="B58" s="144"/>
      <c r="C58" s="144"/>
      <c r="D58" s="144"/>
      <c r="E58" s="144"/>
      <c r="F58" s="2"/>
      <c r="G58" s="25" t="s">
        <v>97</v>
      </c>
      <c r="H58" s="158"/>
      <c r="I58" s="158"/>
      <c r="J58" s="28">
        <f>COUNTIF(Funções!B$8:B$803,G58)</f>
        <v>0</v>
      </c>
      <c r="K58" s="26">
        <f>SUMIF(Funções!B$8:B$803,$G58,Funções!K$8:K$803)</f>
        <v>0</v>
      </c>
      <c r="L58" s="19" t="str">
        <f t="shared" si="0"/>
        <v xml:space="preserve">           .</v>
      </c>
    </row>
    <row r="59" spans="1:12" ht="13.5" x14ac:dyDescent="0.25">
      <c r="A59" s="27"/>
      <c r="B59" s="144"/>
      <c r="C59" s="144"/>
      <c r="D59" s="144"/>
      <c r="E59" s="144"/>
      <c r="F59" s="2"/>
      <c r="G59" s="25" t="s">
        <v>97</v>
      </c>
      <c r="H59" s="158"/>
      <c r="I59" s="158"/>
      <c r="J59" s="28">
        <f>COUNTIF(Funções!B$8:B$803,G59)</f>
        <v>0</v>
      </c>
      <c r="K59" s="26">
        <f>SUMIF(Funções!B$8:B$803,$G59,Funções!K$8:K$803)</f>
        <v>0</v>
      </c>
      <c r="L59" s="19" t="str">
        <f t="shared" si="0"/>
        <v xml:space="preserve">           .</v>
      </c>
    </row>
    <row r="60" spans="1:12" ht="13.5" x14ac:dyDescent="0.25">
      <c r="A60" s="27"/>
      <c r="B60" s="144"/>
      <c r="C60" s="144"/>
      <c r="D60" s="144"/>
      <c r="E60" s="144"/>
      <c r="F60" s="2"/>
      <c r="G60" s="25" t="s">
        <v>97</v>
      </c>
      <c r="H60" s="158"/>
      <c r="I60" s="158"/>
      <c r="J60" s="28">
        <f>COUNTIF(Funções!B$8:B$803,G60)</f>
        <v>0</v>
      </c>
      <c r="K60" s="26">
        <f>SUMIF(Funções!B$8:B$803,$G60,Funções!K$8:K$803)</f>
        <v>0</v>
      </c>
      <c r="L60" s="19" t="str">
        <f t="shared" si="0"/>
        <v xml:space="preserve">           .</v>
      </c>
    </row>
    <row r="61" spans="1:12" ht="13.5" x14ac:dyDescent="0.25">
      <c r="A61" s="27"/>
      <c r="B61" s="144"/>
      <c r="C61" s="144"/>
      <c r="D61" s="144"/>
      <c r="E61" s="144"/>
      <c r="F61" s="2"/>
      <c r="G61" s="25" t="s">
        <v>97</v>
      </c>
      <c r="H61" s="158"/>
      <c r="I61" s="158"/>
      <c r="J61" s="28">
        <f>COUNTIF(Funções!B$8:B$803,G61)</f>
        <v>0</v>
      </c>
      <c r="K61" s="26">
        <f>SUMIF(Funções!B$8:B$803,$G61,Funções!K$8:K$803)</f>
        <v>0</v>
      </c>
      <c r="L61" s="19" t="str">
        <f t="shared" si="0"/>
        <v xml:space="preserve">           .</v>
      </c>
    </row>
    <row r="62" spans="1:12" ht="13.5" x14ac:dyDescent="0.25">
      <c r="A62" s="27"/>
      <c r="B62" s="144"/>
      <c r="C62" s="144"/>
      <c r="D62" s="144"/>
      <c r="E62" s="144"/>
      <c r="F62" s="2"/>
      <c r="G62" s="25" t="s">
        <v>97</v>
      </c>
      <c r="H62" s="158"/>
      <c r="I62" s="158"/>
      <c r="J62" s="28">
        <f>COUNTIF(Funções!B$8:B$803,G62)</f>
        <v>0</v>
      </c>
      <c r="K62" s="26">
        <f>SUMIF(Funções!B$8:B$803,$G62,Funções!K$8:K$803)</f>
        <v>0</v>
      </c>
      <c r="L62" s="19" t="str">
        <f t="shared" si="0"/>
        <v xml:space="preserve">           .</v>
      </c>
    </row>
    <row r="63" spans="1:12" ht="13.5" x14ac:dyDescent="0.25">
      <c r="A63" s="27"/>
      <c r="B63" s="144"/>
      <c r="C63" s="144"/>
      <c r="D63" s="144"/>
      <c r="E63" s="144"/>
      <c r="F63" s="2"/>
      <c r="G63" s="25" t="s">
        <v>97</v>
      </c>
      <c r="H63" s="158"/>
      <c r="I63" s="158"/>
      <c r="J63" s="28">
        <f>COUNTIF(Funções!B$8:B$803,G63)</f>
        <v>0</v>
      </c>
      <c r="K63" s="26">
        <f>SUMIF(Funções!B$8:B$803,$G63,Funções!K$8:K$803)</f>
        <v>0</v>
      </c>
      <c r="L63" s="19" t="str">
        <f t="shared" si="0"/>
        <v xml:space="preserve">           .</v>
      </c>
    </row>
    <row r="64" spans="1:12" ht="13.5" x14ac:dyDescent="0.25">
      <c r="A64" s="29"/>
      <c r="B64" s="159"/>
      <c r="C64" s="159"/>
      <c r="D64" s="159"/>
      <c r="E64" s="159"/>
      <c r="F64" s="30"/>
      <c r="G64" s="31" t="s">
        <v>97</v>
      </c>
      <c r="H64" s="160"/>
      <c r="I64" s="160"/>
      <c r="J64" s="32">
        <f>COUNTIF(Funções!B$8:B$803,G64)</f>
        <v>0</v>
      </c>
      <c r="K64" s="33">
        <f>SUMIF(Funções!B$8:B$803,$G64,Funções!K$8:K$803)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4:E4"/>
    <mergeCell ref="B5:E5"/>
    <mergeCell ref="A1:K1"/>
    <mergeCell ref="A2:F2"/>
    <mergeCell ref="G2:G3"/>
    <mergeCell ref="H2:I2"/>
    <mergeCell ref="J2:J3"/>
    <mergeCell ref="K2:K3"/>
    <mergeCell ref="B3:E3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31:E31"/>
    <mergeCell ref="B36:E36"/>
    <mergeCell ref="B37:E37"/>
    <mergeCell ref="B38:E38"/>
    <mergeCell ref="A40:F40"/>
    <mergeCell ref="J40:J41"/>
    <mergeCell ref="K40:K41"/>
    <mergeCell ref="B41:E41"/>
    <mergeCell ref="B42:E42"/>
    <mergeCell ref="H42:I42"/>
    <mergeCell ref="G40:G41"/>
    <mergeCell ref="B43:E43"/>
    <mergeCell ref="H43:I43"/>
    <mergeCell ref="B44:E44"/>
    <mergeCell ref="H44:I44"/>
    <mergeCell ref="H40:I41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="145" zoomScaleNormal="145" zoomScaleSheetLayoutView="100" workbookViewId="0">
      <pane ySplit="8" topLeftCell="A30" activePane="bottomLeft" state="frozen"/>
      <selection activeCell="B11" sqref="B11"/>
      <selection pane="bottomLeft" activeCell="N49" sqref="N49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47" t="s">
        <v>118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x14ac:dyDescent="0.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1:12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1:12" x14ac:dyDescent="0.2">
      <c r="A4" s="173" t="str">
        <f>Contagem!A5&amp;" : "&amp;Contagem!F5</f>
        <v>Aplicação : Sistema Estadual de Seleção</v>
      </c>
      <c r="B4" s="173"/>
      <c r="C4" s="173"/>
      <c r="D4" s="173"/>
      <c r="E4" s="173"/>
      <c r="F4" s="152" t="str">
        <f>Contagem!A8&amp;" : "&amp;Contagem!F8</f>
        <v>Projeto : Sistema Estadual de Seleção</v>
      </c>
      <c r="G4" s="152"/>
      <c r="H4" s="152"/>
      <c r="I4" s="152"/>
      <c r="J4" s="152"/>
      <c r="K4" s="152"/>
      <c r="L4" s="152"/>
    </row>
    <row r="5" spans="1:12" x14ac:dyDescent="0.2">
      <c r="A5" s="173" t="str">
        <f>Contagem!A9&amp;" : "&amp;Contagem!F9</f>
        <v>Responsável : Jonathas Gomes Marques</v>
      </c>
      <c r="B5" s="173"/>
      <c r="C5" s="173"/>
      <c r="D5" s="173"/>
      <c r="E5" s="173"/>
      <c r="F5" s="152" t="str">
        <f>Contagem!A10&amp;" : "&amp;Contagem!F10</f>
        <v xml:space="preserve">Revisor : </v>
      </c>
      <c r="G5" s="152"/>
      <c r="H5" s="152"/>
      <c r="I5" s="152"/>
      <c r="J5" s="152"/>
      <c r="K5" s="152"/>
      <c r="L5" s="152"/>
    </row>
    <row r="6" spans="1:12" x14ac:dyDescent="0.2">
      <c r="A6" s="173" t="str">
        <f>Contagem!A4&amp;" : "&amp;Contagem!F4</f>
        <v>Empresa : Secretaria de Estado de Planejamento e Gestão de Mato Grosso</v>
      </c>
      <c r="B6" s="173"/>
      <c r="C6" s="173"/>
      <c r="D6" s="173"/>
      <c r="E6" s="173"/>
      <c r="F6" s="152" t="str">
        <f>"Tipo de Contagem : "&amp;Contagem!F6</f>
        <v>Tipo de Contagem : Aplicação</v>
      </c>
      <c r="G6" s="152"/>
      <c r="H6" s="152"/>
      <c r="I6" s="152"/>
      <c r="J6" s="152"/>
      <c r="K6" s="152"/>
      <c r="L6" s="152"/>
    </row>
    <row r="7" spans="1:12" ht="12.75" customHeight="1" x14ac:dyDescent="0.2">
      <c r="A7" s="169" t="s">
        <v>119</v>
      </c>
      <c r="B7" s="169"/>
      <c r="C7" s="170" t="s">
        <v>120</v>
      </c>
      <c r="D7" s="170"/>
      <c r="E7" s="170"/>
      <c r="F7" s="170"/>
      <c r="G7" s="171" t="s">
        <v>121</v>
      </c>
      <c r="H7" s="171" t="s">
        <v>122</v>
      </c>
      <c r="I7" s="69"/>
      <c r="J7" s="171" t="s">
        <v>123</v>
      </c>
      <c r="K7" s="171"/>
      <c r="L7" s="172" t="s">
        <v>122</v>
      </c>
    </row>
    <row r="8" spans="1:12" x14ac:dyDescent="0.2">
      <c r="A8" s="169"/>
      <c r="B8" s="169"/>
      <c r="C8" s="170"/>
      <c r="D8" s="170"/>
      <c r="E8" s="170"/>
      <c r="F8" s="170"/>
      <c r="G8" s="171"/>
      <c r="H8" s="171"/>
      <c r="I8" s="70"/>
      <c r="J8" s="171"/>
      <c r="K8" s="171"/>
      <c r="L8" s="172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COUNTIF(Funções!G8:G803,"EEL")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SUMIF(Funções!$J$8:$J$803,"EE"&amp;Deflatores!G4,Funções!$L$8:$L$803)</f>
        <v>232</v>
      </c>
      <c r="L10" s="56"/>
    </row>
    <row r="11" spans="1:12" ht="13.5" x14ac:dyDescent="0.25">
      <c r="A11" s="57"/>
      <c r="B11" s="51"/>
      <c r="C11" s="52">
        <f>COUNTIF(Funções!G8:G803,"EEA")</f>
        <v>58</v>
      </c>
      <c r="D11" s="51"/>
      <c r="E11" s="53" t="s">
        <v>126</v>
      </c>
      <c r="F11" s="53" t="s">
        <v>127</v>
      </c>
      <c r="G11" s="52">
        <f>C11*4</f>
        <v>232</v>
      </c>
      <c r="H11" s="51"/>
      <c r="I11" s="34"/>
      <c r="J11" s="54" t="str">
        <f>Deflatores!$G$5&amp;"="</f>
        <v>A=</v>
      </c>
      <c r="K11" s="55">
        <f>SUMIF(Funções!$J$8:$J$803,"EE"&amp;Deflatores!G5,Funções!$L$8:$L$803)</f>
        <v>0</v>
      </c>
      <c r="L11" s="56"/>
    </row>
    <row r="12" spans="1:12" ht="13.5" x14ac:dyDescent="0.25">
      <c r="A12" s="57"/>
      <c r="B12" s="51"/>
      <c r="C12" s="52">
        <f>COUNTIF(Funções!G8:G803,"EEH")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SUMIF(Funções!$J$8:$J$803,"EE"&amp;Deflatores!G6,Funções!$L$8:$L$803)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58</v>
      </c>
      <c r="D14" s="51"/>
      <c r="E14" s="51"/>
      <c r="F14" s="60" t="s">
        <v>131</v>
      </c>
      <c r="G14" s="52">
        <f>SUM(G10:G12)</f>
        <v>232</v>
      </c>
      <c r="H14" s="34">
        <f>IF($G$45&lt;&gt;0,G14/$G$45,"")</f>
        <v>0.33190271816881262</v>
      </c>
      <c r="I14" s="61"/>
      <c r="J14" s="54"/>
      <c r="K14" s="55">
        <f>SUM(K10:K13)</f>
        <v>232</v>
      </c>
      <c r="L14" s="36">
        <f>IF('Sumário 2'!L11&lt;&gt;0,K14/'Sumário 2'!L11,"")</f>
        <v>0.33190271816881262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COUNTIF(Funções!G8:G803,"SEL")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SUMIF(Funções!$J$8:$J$803,"SE"&amp;Deflatores!$G$4,Funções!$L$8:$L$803)</f>
        <v>30</v>
      </c>
      <c r="L17" s="56"/>
    </row>
    <row r="18" spans="1:12" ht="13.5" x14ac:dyDescent="0.25">
      <c r="A18" s="57"/>
      <c r="B18" s="51"/>
      <c r="C18" s="54">
        <f>COUNTIF(Funções!G8:G803,"SEA")</f>
        <v>6</v>
      </c>
      <c r="D18" s="51"/>
      <c r="E18" s="53" t="s">
        <v>126</v>
      </c>
      <c r="F18" s="53" t="s">
        <v>132</v>
      </c>
      <c r="G18" s="54">
        <f>C18*5</f>
        <v>30</v>
      </c>
      <c r="H18" s="51"/>
      <c r="I18" s="51"/>
      <c r="J18" s="54" t="str">
        <f>Deflatores!$G$5&amp;"="</f>
        <v>A=</v>
      </c>
      <c r="K18" s="64">
        <f>SUMIF(Funções!$J$8:$J$803,"SE"&amp;Deflatores!$G$5,Funções!$L$8:$L$803)</f>
        <v>0</v>
      </c>
      <c r="L18" s="56"/>
    </row>
    <row r="19" spans="1:12" ht="13.5" x14ac:dyDescent="0.25">
      <c r="A19" s="57"/>
      <c r="B19" s="51"/>
      <c r="C19" s="54">
        <f>COUNTIF(Funções!G8:G803,"SEH")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SUMIF(Funções!$J$8:$J$803,"SE"&amp;Deflatores!$G$6,Funções!$L$8:$L$803)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6</v>
      </c>
      <c r="D21" s="51"/>
      <c r="E21" s="51"/>
      <c r="F21" s="60" t="s">
        <v>131</v>
      </c>
      <c r="G21" s="52">
        <f>SUM(G17:G19)</f>
        <v>30</v>
      </c>
      <c r="H21" s="34">
        <f>IF($G$45&lt;&gt;0,G21/$G$45,"")</f>
        <v>4.2918454935622317E-2</v>
      </c>
      <c r="I21" s="61"/>
      <c r="J21" s="54"/>
      <c r="K21" s="55">
        <f>SUM(K17:K20)</f>
        <v>30</v>
      </c>
      <c r="L21" s="36">
        <f>IF('Sumário 2'!L11&lt;&gt;0,K21/'Sumário 2'!L11,"")</f>
        <v>4.2918454935622317E-2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COUNTIF(Funções!G8:G803,"CEL")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SUMIF(Funções!$J$8:$J$803,"CE"&amp;Deflatores!$G$4,Funções!$L$8:$L$803)</f>
        <v>320</v>
      </c>
      <c r="L24" s="56"/>
    </row>
    <row r="25" spans="1:12" ht="13.5" x14ac:dyDescent="0.25">
      <c r="A25" s="57"/>
      <c r="B25" s="51"/>
      <c r="C25" s="52">
        <f>COUNTIF(Funções!G8:G803,"CEA")</f>
        <v>80</v>
      </c>
      <c r="D25" s="51"/>
      <c r="E25" s="53" t="s">
        <v>126</v>
      </c>
      <c r="F25" s="53" t="s">
        <v>127</v>
      </c>
      <c r="G25" s="52">
        <f>C25*4</f>
        <v>320</v>
      </c>
      <c r="H25" s="51"/>
      <c r="I25" s="51"/>
      <c r="J25" s="54" t="str">
        <f>Deflatores!$G$5&amp;"="</f>
        <v>A=</v>
      </c>
      <c r="K25" s="55">
        <f>SUMIF(Funções!$J$8:$J$803,"CE"&amp;Deflatores!$G$5,Funções!$L$8:$L$803)</f>
        <v>0</v>
      </c>
      <c r="L25" s="56"/>
    </row>
    <row r="26" spans="1:12" ht="13.5" x14ac:dyDescent="0.25">
      <c r="A26" s="57"/>
      <c r="B26" s="51"/>
      <c r="C26" s="52">
        <f>COUNTIF(Funções!G8:G803,"CEH")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SUMIF(Funções!$J$8:$J$803,"CE"&amp;Deflatores!$G$6,Funções!$L$8:$L$803)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80</v>
      </c>
      <c r="D28" s="51"/>
      <c r="E28" s="51"/>
      <c r="F28" s="60" t="s">
        <v>131</v>
      </c>
      <c r="G28" s="52">
        <f>SUM(G24:G26)</f>
        <v>320</v>
      </c>
      <c r="H28" s="34">
        <f>IF($G$45&lt;&gt;0,G28/$G$45,"")</f>
        <v>0.45779685264663805</v>
      </c>
      <c r="I28" s="61"/>
      <c r="J28" s="54"/>
      <c r="K28" s="55">
        <f>SUM(K24:K27)</f>
        <v>320</v>
      </c>
      <c r="L28" s="36">
        <f>IF('Sumário 2'!L11&lt;&gt;0,K28/'Sumário 2'!L11,"")</f>
        <v>0.45779685264663805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COUNTIF(Funções!G8:G803,"ALIL")</f>
        <v>16</v>
      </c>
      <c r="D31" s="51"/>
      <c r="E31" s="51" t="s">
        <v>124</v>
      </c>
      <c r="F31" s="51" t="s">
        <v>133</v>
      </c>
      <c r="G31" s="52">
        <f>C31*7</f>
        <v>112</v>
      </c>
      <c r="H31" s="51"/>
      <c r="I31" s="51"/>
      <c r="J31" s="54" t="str">
        <f>Deflatores!$G$4&amp;"="</f>
        <v>I=</v>
      </c>
      <c r="K31" s="55">
        <f>SUMIF(Funções!$J$8:$J$803,"ALI"&amp;Deflatores!$G$4,Funções!$L$8:$L$803)</f>
        <v>112</v>
      </c>
      <c r="L31" s="56"/>
    </row>
    <row r="32" spans="1:12" ht="13.5" x14ac:dyDescent="0.25">
      <c r="A32" s="57"/>
      <c r="B32" s="51"/>
      <c r="C32" s="52">
        <f>COUNTIF(Funções!G8:G803,"ALIA")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SUMIF(Funções!$J$8:$J$803,"ALI"&amp;Deflatores!$G$5,Funções!$L$8:$L$803)</f>
        <v>0</v>
      </c>
      <c r="L32" s="56"/>
    </row>
    <row r="33" spans="1:12" ht="13.5" x14ac:dyDescent="0.25">
      <c r="A33" s="57"/>
      <c r="B33" s="51"/>
      <c r="C33" s="52">
        <f>COUNTIF(Funções!G8:G803,"ALIH")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SUMIF(Funções!$J$8:$J$803,"ALI"&amp;Deflatores!$G$6,Funções!$L$8:$L$803)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16</v>
      </c>
      <c r="D35" s="51"/>
      <c r="E35" s="51"/>
      <c r="F35" s="60" t="s">
        <v>131</v>
      </c>
      <c r="G35" s="52">
        <f>SUM(G31:G33)</f>
        <v>112</v>
      </c>
      <c r="H35" s="34">
        <f>IF($G$45&lt;&gt;0,G35/$G$45,"")</f>
        <v>0.16022889842632332</v>
      </c>
      <c r="I35" s="61"/>
      <c r="J35" s="54"/>
      <c r="K35" s="55">
        <f>SUM(K31:K34)</f>
        <v>112</v>
      </c>
      <c r="L35" s="36">
        <f>IF('Sumário 2'!L11&lt;&gt;0,K35/'Sumário 2'!L11,"")</f>
        <v>0.16022889842632332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COUNTIF(Funções!G8:G803,"AIEL")</f>
        <v>1</v>
      </c>
      <c r="D38" s="51"/>
      <c r="E38" s="51" t="s">
        <v>124</v>
      </c>
      <c r="F38" s="51" t="s">
        <v>132</v>
      </c>
      <c r="G38" s="52">
        <f>C38*5</f>
        <v>5</v>
      </c>
      <c r="H38" s="51"/>
      <c r="I38" s="51"/>
      <c r="J38" s="54" t="str">
        <f>Deflatores!$G$4&amp;"="</f>
        <v>I=</v>
      </c>
      <c r="K38" s="55">
        <f>SUMIF(Funções!$J$8:$J$803,"AIE"&amp;Deflatores!$G$4,Funções!$L$8:$L$803)</f>
        <v>5</v>
      </c>
      <c r="L38" s="56"/>
    </row>
    <row r="39" spans="1:12" ht="13.5" x14ac:dyDescent="0.25">
      <c r="A39" s="57"/>
      <c r="B39" s="51"/>
      <c r="C39" s="52">
        <f>COUNTIF(Funções!G8:G803,"AIEA")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SUMIF(Funções!$J$8:$J$803,"AIE"&amp;Deflatores!$G$5,Funções!$L$8:$L$803)</f>
        <v>0</v>
      </c>
      <c r="L39" s="56"/>
    </row>
    <row r="40" spans="1:12" ht="13.5" x14ac:dyDescent="0.25">
      <c r="A40" s="57"/>
      <c r="B40" s="51"/>
      <c r="C40" s="52">
        <f>COUNTIF(Funções!G8:G803,"AIEH")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SUMIF(Funções!$J$8:$J$803,"AIE"&amp;Deflatores!$G$6,Funções!$L$8:$L$803)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1</v>
      </c>
      <c r="D42" s="51"/>
      <c r="E42" s="51"/>
      <c r="F42" s="60" t="s">
        <v>131</v>
      </c>
      <c r="G42" s="52">
        <f>SUM(G38:G40)</f>
        <v>5</v>
      </c>
      <c r="H42" s="34">
        <f>IF($G$45&lt;&gt;0,G42/$G$45,"")</f>
        <v>7.1530758226037196E-3</v>
      </c>
      <c r="I42" s="61"/>
      <c r="J42" s="54"/>
      <c r="K42" s="55">
        <f>SUM(K38:K41)</f>
        <v>5</v>
      </c>
      <c r="L42" s="36">
        <f>IF('Sumário 2'!L11&lt;&gt;0,K42/'Sumário 2'!L11,"")</f>
        <v>7.1530758226037196E-3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68" t="s">
        <v>136</v>
      </c>
      <c r="C45" s="168"/>
      <c r="D45" s="168"/>
      <c r="E45" s="168"/>
      <c r="F45" s="168"/>
      <c r="G45" s="52">
        <f>SUM(G14+G21+G28+G35+G42)</f>
        <v>699</v>
      </c>
      <c r="H45" s="51"/>
      <c r="I45" s="51"/>
      <c r="J45" s="51"/>
      <c r="K45" s="51"/>
      <c r="L45" s="56"/>
    </row>
    <row r="46" spans="1:12" ht="13.5" x14ac:dyDescent="0.25">
      <c r="A46" s="57"/>
      <c r="B46" s="168" t="s">
        <v>137</v>
      </c>
      <c r="C46" s="168"/>
      <c r="D46" s="168"/>
      <c r="E46" s="168"/>
      <c r="F46" s="168"/>
      <c r="G46" s="52">
        <f>(C10+C11+C12)*4+(C17+C18+C19)*5+(C24+C25+C26)*4+(C31+C32+C33)*7+(C38+C39+C40)*5</f>
        <v>699</v>
      </c>
      <c r="H46" s="51"/>
      <c r="I46" s="51"/>
      <c r="J46" s="51"/>
      <c r="K46" s="51"/>
      <c r="L46" s="56"/>
    </row>
    <row r="47" spans="1:12" ht="13.5" x14ac:dyDescent="0.25">
      <c r="A47" s="57"/>
      <c r="B47" s="168" t="s">
        <v>138</v>
      </c>
      <c r="C47" s="168"/>
      <c r="D47" s="168"/>
      <c r="E47" s="168"/>
      <c r="F47" s="168"/>
      <c r="G47" s="52">
        <f>(C31+C32+C33)*35+(C38+C39+C40)*15</f>
        <v>575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B45:F45"/>
    <mergeCell ref="B46:F46"/>
    <mergeCell ref="B47:F47"/>
    <mergeCell ref="A7:B8"/>
    <mergeCell ref="C7:F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47" t="s">
        <v>139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x14ac:dyDescent="0.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1:13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1:13" x14ac:dyDescent="0.2">
      <c r="A4" s="173" t="str">
        <f>Contagem!A5&amp;" : "&amp;Contagem!F5</f>
        <v>Aplicação : Sistema Estadual de Seleção</v>
      </c>
      <c r="B4" s="173"/>
      <c r="C4" s="173"/>
      <c r="D4" s="173"/>
      <c r="E4" s="173"/>
      <c r="F4" s="152" t="str">
        <f>Contagem!A8&amp;" : "&amp;Contagem!F8</f>
        <v>Projeto : Sistema Estadual de Seleção</v>
      </c>
      <c r="G4" s="152"/>
      <c r="H4" s="152"/>
      <c r="I4" s="152"/>
      <c r="J4" s="152"/>
      <c r="K4" s="152"/>
      <c r="L4" s="152"/>
      <c r="M4" s="152"/>
    </row>
    <row r="5" spans="1:13" x14ac:dyDescent="0.2">
      <c r="A5" s="175" t="str">
        <f>Contagem!A9&amp;" : "&amp;Contagem!F9</f>
        <v>Responsável : Jonathas Gomes Marques</v>
      </c>
      <c r="B5" s="175"/>
      <c r="C5" s="175"/>
      <c r="D5" s="175"/>
      <c r="E5" s="175"/>
      <c r="F5" s="152" t="str">
        <f>Contagem!A10&amp;" : "&amp;Contagem!F10</f>
        <v xml:space="preserve">Revisor : </v>
      </c>
      <c r="G5" s="152"/>
      <c r="H5" s="152"/>
      <c r="I5" s="152"/>
      <c r="J5" s="152"/>
      <c r="K5" s="152"/>
      <c r="L5" s="152"/>
      <c r="M5" s="152"/>
    </row>
    <row r="6" spans="1:13" x14ac:dyDescent="0.2">
      <c r="A6" s="175" t="str">
        <f>Contagem!A4&amp;" : "&amp;Contagem!F4</f>
        <v>Empresa : Secretaria de Estado de Planejamento e Gestão de Mato Grosso</v>
      </c>
      <c r="B6" s="175"/>
      <c r="C6" s="175"/>
      <c r="D6" s="175"/>
      <c r="E6" s="175"/>
      <c r="F6" s="152" t="str">
        <f>"Tipo de Contagem : "&amp;Contagem!F6</f>
        <v>Tipo de Contagem : Aplicação</v>
      </c>
      <c r="G6" s="152"/>
      <c r="H6" s="152"/>
      <c r="I6" s="152"/>
      <c r="J6" s="152"/>
      <c r="K6" s="152"/>
      <c r="L6" s="152"/>
      <c r="M6" s="152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6"/>
      <c r="C8" s="176"/>
      <c r="D8" s="176"/>
      <c r="E8" s="176"/>
      <c r="F8" s="176"/>
      <c r="G8" s="176"/>
      <c r="H8" s="176"/>
      <c r="I8" s="176"/>
      <c r="J8" s="61"/>
      <c r="K8" s="61"/>
      <c r="L8" s="61"/>
      <c r="M8" s="85"/>
    </row>
    <row r="9" spans="1:13" ht="13.5" x14ac:dyDescent="0.25">
      <c r="A9" s="84"/>
      <c r="B9" s="177" t="s">
        <v>140</v>
      </c>
      <c r="C9" s="177"/>
      <c r="D9" s="177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44" t="str">
        <f>""&amp;Deflatores!B4</f>
        <v>Inclusão</v>
      </c>
      <c r="C10" s="144"/>
      <c r="D10" s="25" t="str">
        <f>""&amp;Deflatores!G4</f>
        <v>I</v>
      </c>
      <c r="E10" s="108">
        <f>IF(D10="","",COUNTIF(Funções!C$8:C$803,D10))</f>
        <v>163</v>
      </c>
      <c r="F10" s="109">
        <f>SUMIF(Funções!$C$8:$C$803,Deflatores!G4,Funções!$H$8:$H$803)</f>
        <v>699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699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44" t="str">
        <f>""&amp;Deflatores!B5</f>
        <v>Alteração (sem conhecimento do Fator de Impacto)</v>
      </c>
      <c r="C11" s="144"/>
      <c r="D11" s="25" t="str">
        <f>""&amp;Deflatores!G5</f>
        <v>A</v>
      </c>
      <c r="E11" s="108">
        <f>IF(D11="","",COUNTIF(Funções!C$8:C$803,D11))</f>
        <v>0</v>
      </c>
      <c r="F11" s="109">
        <f>SUMIF(Funções!$C$8:$C$803,Deflatores!G5,Funções!$H$8:$H$803)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699</v>
      </c>
      <c r="M11" s="56"/>
    </row>
    <row r="12" spans="1:13" ht="13.5" customHeight="1" x14ac:dyDescent="0.25">
      <c r="A12" s="84"/>
      <c r="B12" s="144" t="str">
        <f>""&amp;Deflatores!B6</f>
        <v>Exclusão</v>
      </c>
      <c r="C12" s="144"/>
      <c r="D12" s="25" t="str">
        <f>""&amp;Deflatores!G6</f>
        <v>E</v>
      </c>
      <c r="E12" s="108">
        <f>IF(D12="","",COUNTIF(Funções!C$8:C$803,D12))</f>
        <v>0</v>
      </c>
      <c r="F12" s="109">
        <f>SUMIF(Funções!$C$8:$C$803,Deflatores!G6,Funções!$H$8:$H$803)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44" t="str">
        <f>""&amp;Deflatores!B7</f>
        <v>Alteração (50%) de função desenvolvida ou já alterada pela empresa atual</v>
      </c>
      <c r="C13" s="144"/>
      <c r="D13" s="25" t="str">
        <f>""&amp;Deflatores!G7</f>
        <v>A50</v>
      </c>
      <c r="E13" s="108">
        <f>IF(D13="","",COUNTIF(Funções!C$8:C$803,D13))</f>
        <v>0</v>
      </c>
      <c r="F13" s="109">
        <f>SUMIF(Funções!$C$8:$C$803,Deflatores!G7,Funções!$H$8:$H$803)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44" t="str">
        <f>""&amp;Deflatores!B8</f>
        <v>Alteração (75%) de função não desenv. e ainda não alterada pela empresa atual</v>
      </c>
      <c r="C14" s="144"/>
      <c r="D14" s="25" t="str">
        <f>""&amp;Deflatores!G8</f>
        <v>A75</v>
      </c>
      <c r="E14" s="108">
        <f>IF(D14="","",COUNTIF(Funções!C$8:C$803,D14))</f>
        <v>0</v>
      </c>
      <c r="F14" s="109">
        <f>SUMIF(Funções!$C$8:$C$803,Deflatores!G8,Funções!$H$8:$H$803)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699</v>
      </c>
      <c r="M14" s="56"/>
    </row>
    <row r="15" spans="1:13" ht="13.5" customHeight="1" x14ac:dyDescent="0.2">
      <c r="A15" s="84"/>
      <c r="B15" s="144" t="str">
        <f>""&amp;Deflatores!B9</f>
        <v>Alteração (75%+15%): o mesmo acima + redocumentar a função</v>
      </c>
      <c r="C15" s="144"/>
      <c r="D15" s="25" t="str">
        <f>""&amp;Deflatores!G9</f>
        <v>A90</v>
      </c>
      <c r="E15" s="108">
        <f>IF(D15="","",COUNTIF(Funções!C$8:C$803,D15))</f>
        <v>0</v>
      </c>
      <c r="F15" s="109">
        <f>SUMIF(Funções!$C$8:$C$803,Deflatores!G9,Funções!$H$8:$H$803)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44" t="str">
        <f>""&amp;Deflatores!B10</f>
        <v>Migração de Dados</v>
      </c>
      <c r="C16" s="144"/>
      <c r="D16" s="25" t="str">
        <f>""&amp;Deflatores!G10</f>
        <v>PMD</v>
      </c>
      <c r="E16" s="108">
        <f>IF(D16="","",COUNTIF(Funções!C$8:C$803,D16))</f>
        <v>0</v>
      </c>
      <c r="F16" s="109">
        <f>SUMIF(Funções!$C$8:$C$803,Deflatores!G10,Funções!$H$8:$H$803)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44" t="str">
        <f>""&amp;Deflatores!B11</f>
        <v>Corretiva (sem conhecimento do Fator de Impacto)</v>
      </c>
      <c r="C17" s="144"/>
      <c r="D17" s="25" t="str">
        <f>""&amp;Deflatores!G11</f>
        <v>COR</v>
      </c>
      <c r="E17" s="108">
        <f>IF(D17="","",COUNTIF(Funções!C$8:C$803,D17))</f>
        <v>0</v>
      </c>
      <c r="F17" s="109">
        <f>SUMIF(Funções!$C$8:$C$803,Deflatores!G11,Funções!$H$8:$H$803)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44" t="str">
        <f>""&amp;Deflatores!B12</f>
        <v>Corretiva (50%) - Fora da garantia (mesma empresa)</v>
      </c>
      <c r="C18" s="144"/>
      <c r="D18" s="25" t="str">
        <f>""&amp;Deflatores!G12</f>
        <v>COR50</v>
      </c>
      <c r="E18" s="108">
        <f>IF(D18="","",COUNTIF(Funções!C$8:C$803,D18))</f>
        <v>0</v>
      </c>
      <c r="F18" s="109">
        <f>SUMIF(Funções!$C$8:$C$803,Deflatores!G12,Funções!$H$8:$H$803)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44" t="str">
        <f>""&amp;Deflatores!B13</f>
        <v>Corretiva (75%) - Fora da garantia (outra empresa)</v>
      </c>
      <c r="C19" s="144"/>
      <c r="D19" s="25" t="str">
        <f>""&amp;Deflatores!G13</f>
        <v>COR75</v>
      </c>
      <c r="E19" s="108">
        <f>IF(D19="","",COUNTIF(Funções!C$8:C$803,D19))</f>
        <v>0</v>
      </c>
      <c r="F19" s="109">
        <f>SUMIF(Funções!$C$8:$C$803,Deflatores!G13,Funções!$H$8:$H$803)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44" t="str">
        <f>""&amp;Deflatores!B14</f>
        <v>Corretiva (75%+15%) - Fora da garantia (outra empresa) + Redocumentação</v>
      </c>
      <c r="C20" s="144"/>
      <c r="D20" s="25" t="str">
        <f>""&amp;Deflatores!G14</f>
        <v>COR90</v>
      </c>
      <c r="E20" s="108">
        <f>IF(D20="","",COUNTIF(Funções!C$8:C$803,D20))</f>
        <v>0</v>
      </c>
      <c r="F20" s="109">
        <f>SUMIF(Funções!$C$8:$C$803,Deflatores!G14,Funções!$H$8:$H$803)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44" t="str">
        <f>""&amp;Deflatores!B15</f>
        <v>Corretiva em Garantia</v>
      </c>
      <c r="C21" s="144"/>
      <c r="D21" s="25" t="str">
        <f>""&amp;Deflatores!G15</f>
        <v>GAR</v>
      </c>
      <c r="E21" s="108">
        <f>IF(D21="","",COUNTIF(Funções!C$8:C$803,D21))</f>
        <v>0</v>
      </c>
      <c r="F21" s="109">
        <f>SUMIF(Funções!$C$8:$C$803,Deflatores!G15,Funções!$H$8:$H$803)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44" t="str">
        <f>""&amp;Deflatores!B16</f>
        <v>Mudança de Plataforma - Linguagem de Programação</v>
      </c>
      <c r="C22" s="144"/>
      <c r="D22" s="25" t="str">
        <f>""&amp;Deflatores!G16</f>
        <v>MLP</v>
      </c>
      <c r="E22" s="108">
        <f>IF(D22="","",COUNTIF(Funções!C$8:C$803,D22))</f>
        <v>0</v>
      </c>
      <c r="F22" s="109">
        <f>SUMIF(Funções!$C$8:$C$803,Deflatores!G16,Funções!$H$8:$H$803)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44" t="str">
        <f>""&amp;Deflatores!B17</f>
        <v>Mudança de Plataforma - Banco de Dados (outro paradigma)</v>
      </c>
      <c r="C23" s="144"/>
      <c r="D23" s="25" t="str">
        <f>""&amp;Deflatores!G17</f>
        <v>MBO</v>
      </c>
      <c r="E23" s="108">
        <f>IF(D23="","",COUNTIF(Funções!C$8:C$803,D23))</f>
        <v>0</v>
      </c>
      <c r="F23" s="109">
        <f>SUMIF(Funções!$C$8:$C$803,Deflatores!G17,Funções!$H$8:$H$803)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44" t="str">
        <f>""&amp;Deflatores!B18</f>
        <v>Mudança de Plataforma - Banco de Dados (mesmo paradigma com alterações)</v>
      </c>
      <c r="C24" s="144"/>
      <c r="D24" s="25" t="str">
        <f>""&amp;Deflatores!G18</f>
        <v>MBM</v>
      </c>
      <c r="E24" s="108">
        <f>IF(D24="","",COUNTIF(Funções!C$8:C$803,D24))</f>
        <v>0</v>
      </c>
      <c r="F24" s="109">
        <f>SUMIF(Funções!$C$8:$C$803,Deflatores!G18,Funções!$H$8:$H$803)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44" t="str">
        <f>""&amp;Deflatores!B19</f>
        <v>Atualização de Versão – Linguagem de Programação</v>
      </c>
      <c r="C25" s="144"/>
      <c r="D25" s="25" t="str">
        <f>""&amp;Deflatores!G19</f>
        <v>ALP</v>
      </c>
      <c r="E25" s="108">
        <f>IF(D25="","",COUNTIF(Funções!C$8:C$803,D25))</f>
        <v>0</v>
      </c>
      <c r="F25" s="109">
        <f>SUMIF(Funções!$C$8:$C$803,Deflatores!G19,Funções!$H$8:$H$803)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44" t="str">
        <f>""&amp;Deflatores!B20</f>
        <v>Atualização de Versão – Browser</v>
      </c>
      <c r="C26" s="144"/>
      <c r="D26" s="25" t="str">
        <f>""&amp;Deflatores!G20</f>
        <v>AVB</v>
      </c>
      <c r="E26" s="108">
        <f>IF(D26="","",COUNTIF(Funções!C$8:C$803,D26))</f>
        <v>0</v>
      </c>
      <c r="F26" s="109">
        <f>SUMIF(Funções!$C$8:$C$803,Deflatores!G20,Funções!$H$8:$H$803)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44" t="str">
        <f>""&amp;Deflatores!B21</f>
        <v>Atualização de Versão – Banco de Dados</v>
      </c>
      <c r="C27" s="144"/>
      <c r="D27" s="25" t="str">
        <f>""&amp;Deflatores!G21</f>
        <v>ABD</v>
      </c>
      <c r="E27" s="108">
        <f>IF(D27="","",COUNTIF(Funções!C$8:C$803,D27))</f>
        <v>0</v>
      </c>
      <c r="F27" s="109">
        <f>SUMIF(Funções!$C$8:$C$803,Deflatores!G21,Funções!$H$8:$H$803)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44" t="str">
        <f>""&amp;Deflatores!B22</f>
        <v>Manutenção Cosmética</v>
      </c>
      <c r="C28" s="144"/>
      <c r="D28" s="25" t="str">
        <f>""&amp;Deflatores!G22</f>
        <v>COS</v>
      </c>
      <c r="E28" s="108">
        <f>IF(D28="","",COUNTIF(Funções!C$8:C$803,D28))</f>
        <v>0</v>
      </c>
      <c r="F28" s="109">
        <f>SUMIF(Funções!$C$8:$C$803,Deflatores!G22,Funções!$H$8:$H$803)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64" t="str">
        <f>""&amp;Deflatores!B23</f>
        <v>Adaptação em Funcionalidades sem Alteração de Requisitos Funcionais
(sem conhecimento do Fator de Impacto)</v>
      </c>
      <c r="C29" s="166"/>
      <c r="D29" s="25" t="str">
        <f>""&amp;Deflatores!G23</f>
        <v>ARN</v>
      </c>
      <c r="E29" s="108">
        <f>IF(D29="","",COUNTIF(Funções!C$8:C$803,D29))</f>
        <v>0</v>
      </c>
      <c r="F29" s="109">
        <f>SUMIF(Funções!$C$8:$C$803,Deflatores!G23,Funções!$H$8:$H$803)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64" t="str">
        <f>""&amp;Deflatores!B24</f>
        <v>Adaptação em Funcionalidades sem Alteração de Requisitos Funcionais (50%)
(em função desenvolvida ou já alterada pela empresa atual)</v>
      </c>
      <c r="C30" s="166"/>
      <c r="D30" s="25" t="str">
        <f>""&amp;Deflatores!G24</f>
        <v>ARN50</v>
      </c>
      <c r="E30" s="108">
        <f>IF(D30="","",COUNTIF(Funções!C$8:C$803,D30))</f>
        <v>0</v>
      </c>
      <c r="F30" s="109">
        <f>SUMIF(Funções!$C$8:$C$803,Deflatores!G24,Funções!$H$8:$H$803)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64" t="str">
        <f>""&amp;Deflatores!B25</f>
        <v>Adaptação em Funcionalidades sem Alteração de Requisitos Funcionais (75%)
(em função não desenvolvida e ainda não alterada pela empresa atual)</v>
      </c>
      <c r="C31" s="166"/>
      <c r="D31" s="25" t="str">
        <f>""&amp;Deflatores!G25</f>
        <v>ARN75</v>
      </c>
      <c r="E31" s="108">
        <f>IF(D31="","",COUNTIF(Funções!C$8:C$803,D31))</f>
        <v>0</v>
      </c>
      <c r="F31" s="109">
        <f>SUMIF(Funções!$C$8:$C$803,Deflatores!G25,Funções!$H$8:$H$803)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44" t="str">
        <f>""&amp;Deflatores!B26</f>
        <v>Atualização de Dados sem Consulta Prévia</v>
      </c>
      <c r="C32" s="144"/>
      <c r="D32" s="25" t="str">
        <f>""&amp;Deflatores!G26</f>
        <v>ADS</v>
      </c>
      <c r="E32" s="108">
        <f>IF(D32="","",COUNTIF(Funções!C$8:C$803,D32))</f>
        <v>0</v>
      </c>
      <c r="F32" s="109">
        <f>SUMIF(Funções!$C$8:$C$803,Deflatores!G26,Funções!$H$8:$H$803)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44" t="str">
        <f>""&amp;Deflatores!B27</f>
        <v>Consulta Prévia sem Atualização</v>
      </c>
      <c r="C33" s="144"/>
      <c r="D33" s="25" t="str">
        <f>""&amp;Deflatores!G27</f>
        <v>CPA</v>
      </c>
      <c r="E33" s="108">
        <f>IF(D33="","",COUNTIF(Funções!C$8:C$803,D33))</f>
        <v>0</v>
      </c>
      <c r="F33" s="109">
        <f>SUMIF(Funções!$C$8:$C$803,Deflatores!G27,Funções!$H$8:$H$803)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44" t="str">
        <f>""&amp;Deflatores!B28</f>
        <v>Atualização de Dados com Consulta Prévia</v>
      </c>
      <c r="C34" s="144"/>
      <c r="D34" s="25" t="str">
        <f>""&amp;Deflatores!G28</f>
        <v>ADC</v>
      </c>
      <c r="E34" s="108">
        <f>IF(D34="","",COUNTIF(Funções!C$8:C$803,D34))</f>
        <v>0</v>
      </c>
      <c r="F34" s="109">
        <f>SUMIF(Funções!$C$8:$C$803,Deflatores!G28,Funções!$H$8:$H$803)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44" t="str">
        <f>""&amp;Deflatores!B29</f>
        <v>Apuração Especial – Geração de Relatórios</v>
      </c>
      <c r="C35" s="144"/>
      <c r="D35" s="25" t="str">
        <f>""&amp;Deflatores!G29</f>
        <v>AGR</v>
      </c>
      <c r="E35" s="108">
        <f>IF(D35="","",COUNTIF(Funções!C$8:C$803,D35))</f>
        <v>0</v>
      </c>
      <c r="F35" s="109">
        <f>SUMIF(Funções!$C$8:$C$803,Deflatores!G29,Funções!$H$8:$H$803)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44" t="str">
        <f>""&amp;Deflatores!B30</f>
        <v>Apuração Especial – Reexecução</v>
      </c>
      <c r="C36" s="144"/>
      <c r="D36" s="25" t="str">
        <f>""&amp;Deflatores!G30</f>
        <v>AER</v>
      </c>
      <c r="E36" s="108">
        <f>IF(D36="","",COUNTIF(Funções!C$8:C$803,D36))</f>
        <v>0</v>
      </c>
      <c r="F36" s="109">
        <f>SUMIF(Funções!$C$8:$C$803,Deflatores!G30,Funções!$H$8:$H$803)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44" t="str">
        <f>""&amp;Deflatores!B31</f>
        <v>Atualização de Dados</v>
      </c>
      <c r="C37" s="144"/>
      <c r="D37" s="25" t="str">
        <f>""&amp;Deflatores!G31</f>
        <v>ATD</v>
      </c>
      <c r="E37" s="108">
        <f>IF(D37="","",COUNTIF(Funções!C$8:C$803,D37))</f>
        <v>0</v>
      </c>
      <c r="F37" s="109">
        <f>SUMIF(Funções!$C$8:$C$803,Deflatores!G31,Funções!$H$8:$H$803)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44" t="str">
        <f>""&amp;Deflatores!B32</f>
        <v>Manutenção de Documentação de Sistemas Legados</v>
      </c>
      <c r="C38" s="144"/>
      <c r="D38" s="25" t="str">
        <f>""&amp;Deflatores!G32</f>
        <v>MSL</v>
      </c>
      <c r="E38" s="108">
        <f>IF(D38="","",COUNTIF(Funções!C$8:C$803,D38))</f>
        <v>0</v>
      </c>
      <c r="F38" s="109">
        <f>SUMIF(Funções!$C$8:$C$803,Deflatores!G32,Funções!$H$8:$H$803)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44" t="str">
        <f>""&amp;Deflatores!B33</f>
        <v>Verificação de Erros (Sem Documentação de Teste existente)</v>
      </c>
      <c r="C39" s="144"/>
      <c r="D39" s="25" t="str">
        <f>""&amp;Deflatores!G33</f>
        <v>VES</v>
      </c>
      <c r="E39" s="108">
        <f>IF(D39="","",COUNTIF(Funções!C$8:C$803,D39))</f>
        <v>0</v>
      </c>
      <c r="F39" s="109">
        <f>SUMIF(Funções!$C$8:$C$803,Deflatores!G33,Funções!$H$8:$H$803)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44" t="str">
        <f>""&amp;Deflatores!B34</f>
        <v>Verificação de Erros (Com Documentação de Teste existente)</v>
      </c>
      <c r="C40" s="144"/>
      <c r="D40" s="25" t="str">
        <f>""&amp;Deflatores!G34</f>
        <v>VEC</v>
      </c>
      <c r="E40" s="108">
        <f>IF(D40="","",COUNTIF(Funções!C$8:C$803,D40))</f>
        <v>0</v>
      </c>
      <c r="F40" s="109">
        <f>SUMIF(Funções!$C$8:$C$803,Deflatores!G34,Funções!$H$8:$H$803)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44" t="str">
        <f>""&amp;Deflatores!B35</f>
        <v>Pontos de Função de Teste</v>
      </c>
      <c r="C41" s="144"/>
      <c r="D41" s="25" t="str">
        <f>""&amp;Deflatores!G35</f>
        <v>PFT</v>
      </c>
      <c r="E41" s="108">
        <f>IF(D41="","",COUNTIF(Funções!C$8:C$803,D41))</f>
        <v>0</v>
      </c>
      <c r="F41" s="109">
        <f>SUMIF(Funções!$C$8:$C$803,Deflatores!G35,Funções!$H$8:$H$803)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44" t="str">
        <f>""&amp;Deflatores!B36</f>
        <v>Componente Interno Reusável</v>
      </c>
      <c r="C42" s="144"/>
      <c r="D42" s="25" t="str">
        <f>""&amp;Deflatores!G36</f>
        <v>CIR</v>
      </c>
      <c r="E42" s="108">
        <f>IF(D42="","",COUNTIF(Funções!C$8:C$803,D42))</f>
        <v>0</v>
      </c>
      <c r="F42" s="109">
        <f>SUMIF(Funções!$C$8:$C$803,Deflatores!G36,Funções!$H$8:$H$803)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44" t="str">
        <f>""&amp;Deflatores!B37</f>
        <v/>
      </c>
      <c r="C43" s="144"/>
      <c r="D43" s="25" t="str">
        <f>""&amp;Deflatores!G37</f>
        <v xml:space="preserve">           .</v>
      </c>
      <c r="E43" s="108">
        <f>IF(D43="","",COUNTIF(Funções!C$8:C$803,D43))</f>
        <v>0</v>
      </c>
      <c r="F43" s="109">
        <f>SUMIF(Funções!$C$8:$C$803,Deflatores!G37,Funções!$H$8:$H$803)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44" t="str">
        <f>""&amp;Deflatores!B38</f>
        <v/>
      </c>
      <c r="C44" s="144"/>
      <c r="D44" s="25" t="str">
        <f>""&amp;Deflatores!G38</f>
        <v xml:space="preserve">           .</v>
      </c>
      <c r="E44" s="108">
        <f>IF(D44="","",COUNTIF(Funções!C$8:C$803,D44))</f>
        <v>0</v>
      </c>
      <c r="F44" s="109">
        <f>SUMIF(Funções!$C$8:$C$803,Deflatores!G38,Funções!$H$8:$H$803)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4" t="s">
        <v>145</v>
      </c>
      <c r="C46" s="174"/>
      <c r="D46" s="174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44" t="str">
        <f>""&amp;Deflatores!B42</f>
        <v>Páginas Estáticas</v>
      </c>
      <c r="C47" s="144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44" t="str">
        <f>""&amp;Deflatores!B43</f>
        <v>Manutenção Cosmética (atrelada a algo não funcional)</v>
      </c>
      <c r="C48" s="144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44" t="str">
        <f>""&amp;Deflatores!B44</f>
        <v>Dados de Código</v>
      </c>
      <c r="C49" s="144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44" t="str">
        <f>""&amp;Deflatores!B45</f>
        <v/>
      </c>
      <c r="C50" s="144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44" t="str">
        <f>""&amp;Deflatores!B46</f>
        <v/>
      </c>
      <c r="C51" s="144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44" t="str">
        <f>""&amp;Deflatores!B47</f>
        <v/>
      </c>
      <c r="C52" s="144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44" t="str">
        <f>""&amp;Deflatores!B48</f>
        <v/>
      </c>
      <c r="C53" s="144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44" t="str">
        <f>""&amp;Deflatores!B49</f>
        <v/>
      </c>
      <c r="C54" s="144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44" t="str">
        <f>""&amp;Deflatores!B50</f>
        <v/>
      </c>
      <c r="C55" s="144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44" t="str">
        <f>""&amp;Deflatores!B51</f>
        <v/>
      </c>
      <c r="C56" s="144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44" t="str">
        <f>""&amp;Deflatores!B52</f>
        <v/>
      </c>
      <c r="C57" s="144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44" t="str">
        <f>""&amp;Deflatores!B53</f>
        <v/>
      </c>
      <c r="C58" s="144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44" t="str">
        <f>""&amp;Deflatores!B54</f>
        <v/>
      </c>
      <c r="C59" s="144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44" t="str">
        <f>""&amp;Deflatores!B55</f>
        <v/>
      </c>
      <c r="C60" s="144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44" t="str">
        <f>""&amp;Deflatores!B56</f>
        <v/>
      </c>
      <c r="C61" s="144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44" t="str">
        <f>""&amp;Deflatores!B57</f>
        <v/>
      </c>
      <c r="C62" s="144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44" t="str">
        <f>""&amp;Deflatores!B58</f>
        <v/>
      </c>
      <c r="C63" s="144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44" t="str">
        <f>""&amp;Deflatores!B59</f>
        <v/>
      </c>
      <c r="C64" s="144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44" t="str">
        <f>""&amp;Deflatores!B60</f>
        <v/>
      </c>
      <c r="C65" s="144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44" t="str">
        <f>""&amp;Deflatores!B61</f>
        <v/>
      </c>
      <c r="C66" s="144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44" t="str">
        <f>""&amp;Deflatores!B62</f>
        <v/>
      </c>
      <c r="C67" s="144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44" t="str">
        <f>""&amp;Deflatores!B63</f>
        <v/>
      </c>
      <c r="C68" s="144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44" t="str">
        <f>""&amp;Deflatores!B64</f>
        <v/>
      </c>
      <c r="C69" s="144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6:C16"/>
    <mergeCell ref="B18:C18"/>
    <mergeCell ref="B19:C19"/>
    <mergeCell ref="B22:C22"/>
    <mergeCell ref="B17:C17"/>
    <mergeCell ref="B21:C21"/>
    <mergeCell ref="B20:C20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2015-06-26T20:29:38Z</cp:lastPrinted>
  <dcterms:created xsi:type="dcterms:W3CDTF">2015-06-26T19:24:40Z</dcterms:created>
  <dcterms:modified xsi:type="dcterms:W3CDTF">2025-12-10T15:53:49Z</dcterms:modified>
</cp:coreProperties>
</file>