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charts/chart1.xml" ContentType="application/vnd.openxmlformats-officedocument.drawingml.chart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jonathasmarques\Documents\GitHub\Seplag\Inventário de Ativos Intangíveis\2025\2. Levantamento_Identificacao_Avaliacao\2.2 Softwares Dev. Internamente\2.1. Medições em APF\28.SINOVA\"/>
    </mc:Choice>
  </mc:AlternateContent>
  <bookViews>
    <workbookView xWindow="0" yWindow="0" windowWidth="28800" windowHeight="12435" tabRatio="340" activeTab="1"/>
  </bookViews>
  <sheets>
    <sheet name="Contagem" sheetId="1" r:id="rId1"/>
    <sheet name="Funções" sheetId="2" r:id="rId2"/>
    <sheet name="Deflatores" sheetId="3" r:id="rId3"/>
    <sheet name="Sumário 1" sheetId="4" r:id="rId4"/>
    <sheet name="Sumário 2" sheetId="5" r:id="rId5"/>
  </sheets>
  <definedNames>
    <definedName name="_xlnm.Print_Area" localSheetId="0">Contagem!$A$1:$V$45</definedName>
    <definedName name="TiposDeFuncao" localSheetId="1">Deflatores!$L$37:$L$64</definedName>
    <definedName name="TiposDeManutencao" localSheetId="1">Deflatores!$G$4:$G$38</definedName>
    <definedName name="_xlnm.Print_Titles" localSheetId="1">Funções!$1:$7</definedName>
  </definedNames>
  <calcPr calcId="152511"/>
</workbook>
</file>

<file path=xl/calcChain.xml><?xml version="1.0" encoding="utf-8"?>
<calcChain xmlns="http://schemas.openxmlformats.org/spreadsheetml/2006/main">
  <c r="I152" i="2" l="1"/>
  <c r="J152" i="2"/>
  <c r="I153" i="2"/>
  <c r="J153" i="2"/>
  <c r="I154" i="2"/>
  <c r="J154" i="2"/>
  <c r="L154" i="2"/>
  <c r="I155" i="2"/>
  <c r="J155" i="2"/>
  <c r="L155" i="2"/>
  <c r="I156" i="2"/>
  <c r="J156" i="2"/>
  <c r="L156" i="2"/>
  <c r="I157" i="2"/>
  <c r="H157" i="2" s="1"/>
  <c r="K157" i="2" s="1"/>
  <c r="J157" i="2"/>
  <c r="L157" i="2"/>
  <c r="I158" i="2"/>
  <c r="J158" i="2"/>
  <c r="L158" i="2"/>
  <c r="I159" i="2"/>
  <c r="J159" i="2"/>
  <c r="L159" i="2"/>
  <c r="I160" i="2"/>
  <c r="J160" i="2"/>
  <c r="L160" i="2"/>
  <c r="I161" i="2"/>
  <c r="F161" i="2" s="1"/>
  <c r="J161" i="2"/>
  <c r="L161" i="2"/>
  <c r="I162" i="2"/>
  <c r="J162" i="2"/>
  <c r="L162" i="2"/>
  <c r="I163" i="2"/>
  <c r="J163" i="2"/>
  <c r="L163" i="2"/>
  <c r="I164" i="2"/>
  <c r="J164" i="2"/>
  <c r="L164" i="2"/>
  <c r="I165" i="2"/>
  <c r="J165" i="2"/>
  <c r="L165" i="2"/>
  <c r="I166" i="2"/>
  <c r="J166" i="2"/>
  <c r="L166" i="2"/>
  <c r="I167" i="2"/>
  <c r="J167" i="2"/>
  <c r="L167" i="2"/>
  <c r="I168" i="2"/>
  <c r="H168" i="2" s="1"/>
  <c r="K168" i="2" s="1"/>
  <c r="J168" i="2"/>
  <c r="L168" i="2"/>
  <c r="I169" i="2"/>
  <c r="J169" i="2"/>
  <c r="L169" i="2"/>
  <c r="I170" i="2"/>
  <c r="J170" i="2"/>
  <c r="I171" i="2"/>
  <c r="J171" i="2"/>
  <c r="I172" i="2"/>
  <c r="H172" i="2" s="1"/>
  <c r="J172" i="2"/>
  <c r="I173" i="2"/>
  <c r="G173" i="2" s="1"/>
  <c r="J173" i="2"/>
  <c r="I174" i="2"/>
  <c r="J174" i="2"/>
  <c r="L174" i="2"/>
  <c r="I175" i="2"/>
  <c r="J175" i="2"/>
  <c r="L175" i="2"/>
  <c r="I176" i="2"/>
  <c r="J176" i="2"/>
  <c r="L176" i="2"/>
  <c r="I177" i="2"/>
  <c r="J177" i="2"/>
  <c r="L177" i="2"/>
  <c r="I178" i="2"/>
  <c r="J178" i="2"/>
  <c r="K178" i="2"/>
  <c r="L178" i="2"/>
  <c r="I179" i="2"/>
  <c r="J179" i="2"/>
  <c r="L179" i="2"/>
  <c r="I180" i="2"/>
  <c r="J180" i="2"/>
  <c r="L180" i="2"/>
  <c r="I181" i="2"/>
  <c r="J181" i="2"/>
  <c r="L181" i="2"/>
  <c r="I182" i="2"/>
  <c r="J182" i="2"/>
  <c r="L182" i="2"/>
  <c r="I183" i="2"/>
  <c r="J183" i="2"/>
  <c r="L183" i="2"/>
  <c r="I184" i="2"/>
  <c r="J184" i="2"/>
  <c r="L184" i="2"/>
  <c r="I185" i="2"/>
  <c r="J185" i="2"/>
  <c r="L185" i="2"/>
  <c r="I186" i="2"/>
  <c r="J186" i="2"/>
  <c r="L186" i="2"/>
  <c r="I187" i="2"/>
  <c r="J187" i="2"/>
  <c r="L187" i="2"/>
  <c r="I188" i="2"/>
  <c r="J188" i="2"/>
  <c r="L188" i="2"/>
  <c r="I189" i="2"/>
  <c r="J189" i="2"/>
  <c r="L189" i="2"/>
  <c r="I190" i="2"/>
  <c r="J190" i="2"/>
  <c r="L190" i="2"/>
  <c r="I191" i="2"/>
  <c r="J191" i="2"/>
  <c r="K191" i="2"/>
  <c r="L191" i="2"/>
  <c r="I192" i="2"/>
  <c r="J192" i="2"/>
  <c r="L192" i="2"/>
  <c r="I193" i="2"/>
  <c r="J193" i="2"/>
  <c r="L193" i="2"/>
  <c r="I194" i="2"/>
  <c r="J194" i="2"/>
  <c r="L194" i="2"/>
  <c r="I195" i="2"/>
  <c r="J195" i="2"/>
  <c r="L195" i="2"/>
  <c r="I196" i="2"/>
  <c r="J196" i="2"/>
  <c r="L196" i="2"/>
  <c r="I197" i="2"/>
  <c r="J197" i="2"/>
  <c r="L197" i="2"/>
  <c r="I198" i="2"/>
  <c r="J198" i="2"/>
  <c r="L198" i="2"/>
  <c r="I199" i="2"/>
  <c r="J199" i="2"/>
  <c r="L199" i="2"/>
  <c r="I200" i="2"/>
  <c r="J200" i="2"/>
  <c r="L200" i="2"/>
  <c r="I201" i="2"/>
  <c r="J201" i="2"/>
  <c r="L201" i="2"/>
  <c r="I202" i="2"/>
  <c r="J202" i="2"/>
  <c r="L202" i="2"/>
  <c r="I203" i="2"/>
  <c r="J203" i="2"/>
  <c r="L203" i="2"/>
  <c r="I204" i="2"/>
  <c r="J204" i="2"/>
  <c r="L204" i="2"/>
  <c r="I205" i="2"/>
  <c r="J205" i="2"/>
  <c r="L205" i="2"/>
  <c r="I206" i="2"/>
  <c r="J206" i="2"/>
  <c r="L206" i="2"/>
  <c r="I207" i="2"/>
  <c r="J207" i="2"/>
  <c r="L207" i="2"/>
  <c r="I208" i="2"/>
  <c r="J208" i="2"/>
  <c r="L208" i="2"/>
  <c r="I209" i="2"/>
  <c r="J209" i="2"/>
  <c r="L209" i="2"/>
  <c r="I210" i="2"/>
  <c r="J210" i="2"/>
  <c r="L210" i="2"/>
  <c r="I211" i="2"/>
  <c r="J211" i="2"/>
  <c r="L211" i="2"/>
  <c r="I212" i="2"/>
  <c r="J212" i="2"/>
  <c r="L212" i="2"/>
  <c r="I213" i="2"/>
  <c r="J213" i="2"/>
  <c r="L213" i="2"/>
  <c r="I214" i="2"/>
  <c r="J214" i="2"/>
  <c r="K214" i="2"/>
  <c r="L214" i="2"/>
  <c r="I215" i="2"/>
  <c r="J215" i="2"/>
  <c r="L215" i="2"/>
  <c r="I216" i="2"/>
  <c r="J216" i="2"/>
  <c r="L216" i="2"/>
  <c r="I217" i="2"/>
  <c r="J217" i="2"/>
  <c r="L217" i="2"/>
  <c r="I218" i="2"/>
  <c r="J218" i="2"/>
  <c r="L218" i="2"/>
  <c r="I219" i="2"/>
  <c r="J219" i="2"/>
  <c r="L219" i="2"/>
  <c r="I220" i="2"/>
  <c r="J220" i="2"/>
  <c r="L220" i="2"/>
  <c r="I221" i="2"/>
  <c r="J221" i="2"/>
  <c r="L221" i="2"/>
  <c r="I222" i="2"/>
  <c r="J222" i="2"/>
  <c r="L222" i="2"/>
  <c r="I223" i="2"/>
  <c r="J223" i="2"/>
  <c r="L223" i="2"/>
  <c r="I224" i="2"/>
  <c r="J224" i="2"/>
  <c r="L224" i="2"/>
  <c r="I225" i="2"/>
  <c r="J225" i="2"/>
  <c r="L225" i="2"/>
  <c r="I226" i="2"/>
  <c r="J226" i="2"/>
  <c r="L226" i="2"/>
  <c r="I227" i="2"/>
  <c r="J227" i="2"/>
  <c r="L227" i="2"/>
  <c r="I228" i="2"/>
  <c r="J228" i="2"/>
  <c r="L228" i="2"/>
  <c r="I229" i="2"/>
  <c r="J229" i="2"/>
  <c r="L229" i="2"/>
  <c r="I230" i="2"/>
  <c r="J230" i="2"/>
  <c r="L230" i="2"/>
  <c r="I231" i="2"/>
  <c r="J231" i="2"/>
  <c r="L231" i="2"/>
  <c r="I232" i="2"/>
  <c r="J232" i="2"/>
  <c r="L232" i="2"/>
  <c r="I233" i="2"/>
  <c r="J233" i="2"/>
  <c r="L233" i="2"/>
  <c r="I234" i="2"/>
  <c r="G234" i="2" s="1"/>
  <c r="J234" i="2"/>
  <c r="L234" i="2"/>
  <c r="I235" i="2"/>
  <c r="J235" i="2"/>
  <c r="L235" i="2"/>
  <c r="I236" i="2"/>
  <c r="J236" i="2"/>
  <c r="L236" i="2"/>
  <c r="I237" i="2"/>
  <c r="J237" i="2"/>
  <c r="L237" i="2"/>
  <c r="I238" i="2"/>
  <c r="J238" i="2"/>
  <c r="L238" i="2"/>
  <c r="I239" i="2"/>
  <c r="J239" i="2"/>
  <c r="L239" i="2"/>
  <c r="I240" i="2"/>
  <c r="J240" i="2"/>
  <c r="L240" i="2"/>
  <c r="I241" i="2"/>
  <c r="J241" i="2"/>
  <c r="L241" i="2"/>
  <c r="I242" i="2"/>
  <c r="J242" i="2"/>
  <c r="L242" i="2"/>
  <c r="I243" i="2"/>
  <c r="J243" i="2"/>
  <c r="L243" i="2"/>
  <c r="I244" i="2"/>
  <c r="J244" i="2"/>
  <c r="L244" i="2"/>
  <c r="I245" i="2"/>
  <c r="J245" i="2"/>
  <c r="L245" i="2"/>
  <c r="I246" i="2"/>
  <c r="J246" i="2"/>
  <c r="L246" i="2"/>
  <c r="I247" i="2"/>
  <c r="J247" i="2"/>
  <c r="L247" i="2"/>
  <c r="I248" i="2"/>
  <c r="J248" i="2"/>
  <c r="L248" i="2"/>
  <c r="I249" i="2"/>
  <c r="J249" i="2"/>
  <c r="L249" i="2"/>
  <c r="I250" i="2"/>
  <c r="J250" i="2"/>
  <c r="K250" i="2"/>
  <c r="L250" i="2"/>
  <c r="I251" i="2"/>
  <c r="J251" i="2"/>
  <c r="L251" i="2"/>
  <c r="I252" i="2"/>
  <c r="J252" i="2"/>
  <c r="L252" i="2"/>
  <c r="I253" i="2"/>
  <c r="J253" i="2"/>
  <c r="L253" i="2"/>
  <c r="I254" i="2"/>
  <c r="J254" i="2"/>
  <c r="L254" i="2"/>
  <c r="I255" i="2"/>
  <c r="J255" i="2"/>
  <c r="L255" i="2"/>
  <c r="I256" i="2"/>
  <c r="J256" i="2"/>
  <c r="L256" i="2"/>
  <c r="I257" i="2"/>
  <c r="J257" i="2"/>
  <c r="L257" i="2"/>
  <c r="I258" i="2"/>
  <c r="J258" i="2"/>
  <c r="L258" i="2"/>
  <c r="I259" i="2"/>
  <c r="J259" i="2"/>
  <c r="L259" i="2"/>
  <c r="I260" i="2"/>
  <c r="J260" i="2"/>
  <c r="L260" i="2"/>
  <c r="I261" i="2"/>
  <c r="J261" i="2"/>
  <c r="L261" i="2"/>
  <c r="I262" i="2"/>
  <c r="J262" i="2"/>
  <c r="L262" i="2"/>
  <c r="I263" i="2"/>
  <c r="J263" i="2"/>
  <c r="L263" i="2"/>
  <c r="I264" i="2"/>
  <c r="J264" i="2"/>
  <c r="L264" i="2"/>
  <c r="I265" i="2"/>
  <c r="J265" i="2"/>
  <c r="L265" i="2"/>
  <c r="I266" i="2"/>
  <c r="J266" i="2"/>
  <c r="L266" i="2"/>
  <c r="I267" i="2"/>
  <c r="J267" i="2"/>
  <c r="L267" i="2"/>
  <c r="I268" i="2"/>
  <c r="J268" i="2"/>
  <c r="L268" i="2"/>
  <c r="I269" i="2"/>
  <c r="J269" i="2"/>
  <c r="L269" i="2"/>
  <c r="I270" i="2"/>
  <c r="G270" i="2" s="1"/>
  <c r="J270" i="2"/>
  <c r="L270" i="2"/>
  <c r="I271" i="2"/>
  <c r="J271" i="2"/>
  <c r="L271" i="2"/>
  <c r="I272" i="2"/>
  <c r="J272" i="2"/>
  <c r="L272" i="2"/>
  <c r="I273" i="2"/>
  <c r="J273" i="2"/>
  <c r="L273" i="2"/>
  <c r="I274" i="2"/>
  <c r="J274" i="2"/>
  <c r="L274" i="2"/>
  <c r="I275" i="2"/>
  <c r="J275" i="2"/>
  <c r="L275" i="2"/>
  <c r="I276" i="2"/>
  <c r="J276" i="2"/>
  <c r="L276" i="2"/>
  <c r="I277" i="2"/>
  <c r="J277" i="2"/>
  <c r="L277" i="2"/>
  <c r="I278" i="2"/>
  <c r="J278" i="2"/>
  <c r="L278" i="2"/>
  <c r="I279" i="2"/>
  <c r="J279" i="2"/>
  <c r="L279" i="2"/>
  <c r="I280" i="2"/>
  <c r="J280" i="2"/>
  <c r="L280" i="2"/>
  <c r="I281" i="2"/>
  <c r="J281" i="2"/>
  <c r="L281" i="2"/>
  <c r="I282" i="2"/>
  <c r="J282" i="2"/>
  <c r="L282" i="2"/>
  <c r="I283" i="2"/>
  <c r="J283" i="2"/>
  <c r="L283" i="2"/>
  <c r="I284" i="2"/>
  <c r="J284" i="2"/>
  <c r="L284" i="2"/>
  <c r="I285" i="2"/>
  <c r="J285" i="2"/>
  <c r="L285" i="2"/>
  <c r="I286" i="2"/>
  <c r="J286" i="2"/>
  <c r="K286" i="2"/>
  <c r="L286" i="2"/>
  <c r="I287" i="2"/>
  <c r="J287" i="2"/>
  <c r="L287" i="2"/>
  <c r="I288" i="2"/>
  <c r="J288" i="2"/>
  <c r="L288" i="2"/>
  <c r="I289" i="2"/>
  <c r="J289" i="2"/>
  <c r="L289" i="2"/>
  <c r="I290" i="2"/>
  <c r="J290" i="2"/>
  <c r="L290" i="2"/>
  <c r="I291" i="2"/>
  <c r="J291" i="2"/>
  <c r="L291" i="2"/>
  <c r="I292" i="2"/>
  <c r="J292" i="2"/>
  <c r="L292" i="2"/>
  <c r="I293" i="2"/>
  <c r="J293" i="2"/>
  <c r="L293" i="2"/>
  <c r="I294" i="2"/>
  <c r="J294" i="2"/>
  <c r="L294" i="2"/>
  <c r="I295" i="2"/>
  <c r="J295" i="2"/>
  <c r="L295" i="2"/>
  <c r="I296" i="2"/>
  <c r="J296" i="2"/>
  <c r="L296" i="2"/>
  <c r="I297" i="2"/>
  <c r="J297" i="2"/>
  <c r="L297" i="2"/>
  <c r="I298" i="2"/>
  <c r="J298" i="2"/>
  <c r="L298" i="2"/>
  <c r="I299" i="2"/>
  <c r="J299" i="2"/>
  <c r="L299" i="2"/>
  <c r="I300" i="2"/>
  <c r="J300" i="2"/>
  <c r="L300" i="2"/>
  <c r="I301" i="2"/>
  <c r="J301" i="2"/>
  <c r="L301" i="2"/>
  <c r="I302" i="2"/>
  <c r="J302" i="2"/>
  <c r="L302" i="2"/>
  <c r="I303" i="2"/>
  <c r="J303" i="2"/>
  <c r="L303" i="2"/>
  <c r="I304" i="2"/>
  <c r="J304" i="2"/>
  <c r="L304" i="2"/>
  <c r="I305" i="2"/>
  <c r="J305" i="2"/>
  <c r="L305" i="2"/>
  <c r="I306" i="2"/>
  <c r="J306" i="2"/>
  <c r="L306" i="2"/>
  <c r="I307" i="2"/>
  <c r="J307" i="2"/>
  <c r="L307" i="2"/>
  <c r="I308" i="2"/>
  <c r="J308" i="2"/>
  <c r="L308" i="2"/>
  <c r="I309" i="2"/>
  <c r="J309" i="2"/>
  <c r="L309" i="2"/>
  <c r="I310" i="2"/>
  <c r="J310" i="2"/>
  <c r="L310" i="2"/>
  <c r="I311" i="2"/>
  <c r="J311" i="2"/>
  <c r="L311" i="2"/>
  <c r="I312" i="2"/>
  <c r="J312" i="2"/>
  <c r="L312" i="2"/>
  <c r="I313" i="2"/>
  <c r="J313" i="2"/>
  <c r="L313" i="2"/>
  <c r="I314" i="2"/>
  <c r="J314" i="2"/>
  <c r="L314" i="2"/>
  <c r="I315" i="2"/>
  <c r="J315" i="2"/>
  <c r="L315" i="2"/>
  <c r="I316" i="2"/>
  <c r="J316" i="2"/>
  <c r="L316" i="2"/>
  <c r="I317" i="2"/>
  <c r="J317" i="2"/>
  <c r="L317" i="2"/>
  <c r="I318" i="2"/>
  <c r="J318" i="2"/>
  <c r="L318" i="2"/>
  <c r="I319" i="2"/>
  <c r="J319" i="2"/>
  <c r="L319" i="2"/>
  <c r="I320" i="2"/>
  <c r="J320" i="2"/>
  <c r="L320" i="2"/>
  <c r="I321" i="2"/>
  <c r="J321" i="2"/>
  <c r="L321" i="2"/>
  <c r="I322" i="2"/>
  <c r="J322" i="2"/>
  <c r="K322" i="2"/>
  <c r="L322" i="2"/>
  <c r="I323" i="2"/>
  <c r="J323" i="2"/>
  <c r="L323" i="2"/>
  <c r="I324" i="2"/>
  <c r="J324" i="2"/>
  <c r="L324" i="2"/>
  <c r="I325" i="2"/>
  <c r="J325" i="2"/>
  <c r="L325" i="2"/>
  <c r="I326" i="2"/>
  <c r="J326" i="2"/>
  <c r="L326" i="2"/>
  <c r="I327" i="2"/>
  <c r="J327" i="2"/>
  <c r="L327" i="2"/>
  <c r="I328" i="2"/>
  <c r="J328" i="2"/>
  <c r="L328" i="2"/>
  <c r="I329" i="2"/>
  <c r="J329" i="2"/>
  <c r="L329" i="2"/>
  <c r="I330" i="2"/>
  <c r="J330" i="2"/>
  <c r="L330" i="2"/>
  <c r="I331" i="2"/>
  <c r="J331" i="2"/>
  <c r="L331" i="2"/>
  <c r="I332" i="2"/>
  <c r="J332" i="2"/>
  <c r="L332" i="2"/>
  <c r="I333" i="2"/>
  <c r="J333" i="2"/>
  <c r="L333" i="2"/>
  <c r="I334" i="2"/>
  <c r="J334" i="2"/>
  <c r="L334" i="2"/>
  <c r="I335" i="2"/>
  <c r="J335" i="2"/>
  <c r="L335" i="2"/>
  <c r="I336" i="2"/>
  <c r="J336" i="2"/>
  <c r="L336" i="2"/>
  <c r="I337" i="2"/>
  <c r="J337" i="2"/>
  <c r="L337" i="2"/>
  <c r="I338" i="2"/>
  <c r="J338" i="2"/>
  <c r="L338" i="2"/>
  <c r="I339" i="2"/>
  <c r="J339" i="2"/>
  <c r="L339" i="2"/>
  <c r="I340" i="2"/>
  <c r="J340" i="2"/>
  <c r="L340" i="2"/>
  <c r="I341" i="2"/>
  <c r="J341" i="2"/>
  <c r="L341" i="2"/>
  <c r="I342" i="2"/>
  <c r="J342" i="2"/>
  <c r="L342" i="2"/>
  <c r="I343" i="2"/>
  <c r="J343" i="2"/>
  <c r="L343" i="2"/>
  <c r="I344" i="2"/>
  <c r="J344" i="2"/>
  <c r="L344" i="2"/>
  <c r="I345" i="2"/>
  <c r="J345" i="2"/>
  <c r="L345" i="2"/>
  <c r="I346" i="2"/>
  <c r="J346" i="2"/>
  <c r="L346" i="2"/>
  <c r="I347" i="2"/>
  <c r="J347" i="2"/>
  <c r="L347" i="2"/>
  <c r="I348" i="2"/>
  <c r="J348" i="2"/>
  <c r="L348" i="2"/>
  <c r="I349" i="2"/>
  <c r="J349" i="2"/>
  <c r="L349" i="2"/>
  <c r="I350" i="2"/>
  <c r="J350" i="2"/>
  <c r="L350" i="2"/>
  <c r="I351" i="2"/>
  <c r="J351" i="2"/>
  <c r="L351" i="2"/>
  <c r="I352" i="2"/>
  <c r="J352" i="2"/>
  <c r="L352" i="2"/>
  <c r="I353" i="2"/>
  <c r="J353" i="2"/>
  <c r="L353" i="2"/>
  <c r="I354" i="2"/>
  <c r="J354" i="2"/>
  <c r="L354" i="2"/>
  <c r="I355" i="2"/>
  <c r="J355" i="2"/>
  <c r="L355" i="2"/>
  <c r="I356" i="2"/>
  <c r="J356" i="2"/>
  <c r="L356" i="2"/>
  <c r="I357" i="2"/>
  <c r="J357" i="2"/>
  <c r="L357" i="2"/>
  <c r="I358" i="2"/>
  <c r="J358" i="2"/>
  <c r="K358" i="2"/>
  <c r="L358" i="2"/>
  <c r="I359" i="2"/>
  <c r="J359" i="2"/>
  <c r="L359" i="2"/>
  <c r="I360" i="2"/>
  <c r="J360" i="2"/>
  <c r="L360" i="2"/>
  <c r="I361" i="2"/>
  <c r="J361" i="2"/>
  <c r="L361" i="2"/>
  <c r="I362" i="2"/>
  <c r="J362" i="2"/>
  <c r="L362" i="2"/>
  <c r="I363" i="2"/>
  <c r="J363" i="2"/>
  <c r="L363" i="2"/>
  <c r="I364" i="2"/>
  <c r="J364" i="2"/>
  <c r="L364" i="2"/>
  <c r="I365" i="2"/>
  <c r="J365" i="2"/>
  <c r="L365" i="2"/>
  <c r="I366" i="2"/>
  <c r="J366" i="2"/>
  <c r="L366" i="2"/>
  <c r="I367" i="2"/>
  <c r="J367" i="2"/>
  <c r="L367" i="2"/>
  <c r="I368" i="2"/>
  <c r="J368" i="2"/>
  <c r="L368" i="2"/>
  <c r="I369" i="2"/>
  <c r="J369" i="2"/>
  <c r="L369" i="2"/>
  <c r="I370" i="2"/>
  <c r="J370" i="2"/>
  <c r="L370" i="2"/>
  <c r="I371" i="2"/>
  <c r="J371" i="2"/>
  <c r="L371" i="2"/>
  <c r="I372" i="2"/>
  <c r="J372" i="2"/>
  <c r="L372" i="2"/>
  <c r="I373" i="2"/>
  <c r="J373" i="2"/>
  <c r="L373" i="2"/>
  <c r="I374" i="2"/>
  <c r="J374" i="2"/>
  <c r="L374" i="2"/>
  <c r="I375" i="2"/>
  <c r="J375" i="2"/>
  <c r="L375" i="2"/>
  <c r="I376" i="2"/>
  <c r="J376" i="2"/>
  <c r="L376" i="2"/>
  <c r="I377" i="2"/>
  <c r="J377" i="2"/>
  <c r="L377" i="2"/>
  <c r="I378" i="2"/>
  <c r="J378" i="2"/>
  <c r="L378" i="2"/>
  <c r="I379" i="2"/>
  <c r="J379" i="2"/>
  <c r="L379" i="2"/>
  <c r="I380" i="2"/>
  <c r="J380" i="2"/>
  <c r="L380" i="2"/>
  <c r="I381" i="2"/>
  <c r="J381" i="2"/>
  <c r="L381" i="2"/>
  <c r="I382" i="2"/>
  <c r="J382" i="2"/>
  <c r="L382" i="2"/>
  <c r="I383" i="2"/>
  <c r="J383" i="2"/>
  <c r="L383" i="2"/>
  <c r="I384" i="2"/>
  <c r="J384" i="2"/>
  <c r="L384" i="2"/>
  <c r="I385" i="2"/>
  <c r="J385" i="2"/>
  <c r="L385" i="2"/>
  <c r="I386" i="2"/>
  <c r="J386" i="2"/>
  <c r="L386" i="2"/>
  <c r="I387" i="2"/>
  <c r="J387" i="2"/>
  <c r="L387" i="2"/>
  <c r="I388" i="2"/>
  <c r="J388" i="2"/>
  <c r="L388" i="2"/>
  <c r="I389" i="2"/>
  <c r="J389" i="2"/>
  <c r="L389" i="2"/>
  <c r="I390" i="2"/>
  <c r="J390" i="2"/>
  <c r="L390" i="2"/>
  <c r="I391" i="2"/>
  <c r="J391" i="2"/>
  <c r="L391" i="2"/>
  <c r="I392" i="2"/>
  <c r="J392" i="2"/>
  <c r="L392" i="2"/>
  <c r="I393" i="2"/>
  <c r="J393" i="2"/>
  <c r="L393" i="2"/>
  <c r="I394" i="2"/>
  <c r="J394" i="2"/>
  <c r="L394" i="2"/>
  <c r="I395" i="2"/>
  <c r="J395" i="2"/>
  <c r="L395" i="2"/>
  <c r="I396" i="2"/>
  <c r="J396" i="2"/>
  <c r="L396" i="2"/>
  <c r="I397" i="2"/>
  <c r="J397" i="2"/>
  <c r="L397" i="2"/>
  <c r="I398" i="2"/>
  <c r="J398" i="2"/>
  <c r="L398" i="2"/>
  <c r="I399" i="2"/>
  <c r="J399" i="2"/>
  <c r="L399" i="2"/>
  <c r="I400" i="2"/>
  <c r="J400" i="2"/>
  <c r="L400" i="2"/>
  <c r="I401" i="2"/>
  <c r="J401" i="2"/>
  <c r="L401" i="2"/>
  <c r="I402" i="2"/>
  <c r="J402" i="2"/>
  <c r="L402" i="2"/>
  <c r="I403" i="2"/>
  <c r="J403" i="2"/>
  <c r="L403" i="2"/>
  <c r="I404" i="2"/>
  <c r="J404" i="2"/>
  <c r="L404" i="2"/>
  <c r="I405" i="2"/>
  <c r="J405" i="2"/>
  <c r="L405" i="2"/>
  <c r="I406" i="2"/>
  <c r="J406" i="2"/>
  <c r="L406" i="2"/>
  <c r="I407" i="2"/>
  <c r="J407" i="2"/>
  <c r="L407" i="2"/>
  <c r="I408" i="2"/>
  <c r="J408" i="2"/>
  <c r="L408" i="2"/>
  <c r="I409" i="2"/>
  <c r="J409" i="2"/>
  <c r="L409" i="2"/>
  <c r="I410" i="2"/>
  <c r="J410" i="2"/>
  <c r="L410" i="2"/>
  <c r="I411" i="2"/>
  <c r="J411" i="2"/>
  <c r="L411" i="2"/>
  <c r="I412" i="2"/>
  <c r="J412" i="2"/>
  <c r="L412" i="2"/>
  <c r="I413" i="2"/>
  <c r="J413" i="2"/>
  <c r="L413" i="2"/>
  <c r="I414" i="2"/>
  <c r="J414" i="2"/>
  <c r="L414" i="2"/>
  <c r="I415" i="2"/>
  <c r="J415" i="2"/>
  <c r="L415" i="2"/>
  <c r="I416" i="2"/>
  <c r="J416" i="2"/>
  <c r="L416" i="2"/>
  <c r="I417" i="2"/>
  <c r="J417" i="2"/>
  <c r="L417" i="2"/>
  <c r="I418" i="2"/>
  <c r="J418" i="2"/>
  <c r="L418" i="2"/>
  <c r="I419" i="2"/>
  <c r="J419" i="2"/>
  <c r="L419" i="2"/>
  <c r="I420" i="2"/>
  <c r="J420" i="2"/>
  <c r="L420" i="2"/>
  <c r="I421" i="2"/>
  <c r="J421" i="2"/>
  <c r="L421" i="2"/>
  <c r="I422" i="2"/>
  <c r="J422" i="2"/>
  <c r="L422" i="2"/>
  <c r="I423" i="2"/>
  <c r="J423" i="2"/>
  <c r="L423" i="2"/>
  <c r="I424" i="2"/>
  <c r="J424" i="2"/>
  <c r="L424" i="2"/>
  <c r="I425" i="2"/>
  <c r="J425" i="2"/>
  <c r="L425" i="2"/>
  <c r="I426" i="2"/>
  <c r="J426" i="2"/>
  <c r="L426" i="2"/>
  <c r="I427" i="2"/>
  <c r="J427" i="2"/>
  <c r="L427" i="2"/>
  <c r="I428" i="2"/>
  <c r="J428" i="2"/>
  <c r="L428" i="2"/>
  <c r="I429" i="2"/>
  <c r="J429" i="2"/>
  <c r="L429" i="2"/>
  <c r="I430" i="2"/>
  <c r="J430" i="2"/>
  <c r="L430" i="2"/>
  <c r="I431" i="2"/>
  <c r="J431" i="2"/>
  <c r="L431" i="2"/>
  <c r="I432" i="2"/>
  <c r="J432" i="2"/>
  <c r="L432" i="2"/>
  <c r="I433" i="2"/>
  <c r="J433" i="2"/>
  <c r="L433" i="2"/>
  <c r="I434" i="2"/>
  <c r="J434" i="2"/>
  <c r="L434" i="2"/>
  <c r="I435" i="2"/>
  <c r="J435" i="2"/>
  <c r="L435" i="2"/>
  <c r="I436" i="2"/>
  <c r="J436" i="2"/>
  <c r="L436" i="2"/>
  <c r="I437" i="2"/>
  <c r="J437" i="2"/>
  <c r="L437" i="2"/>
  <c r="I438" i="2"/>
  <c r="J438" i="2"/>
  <c r="L438" i="2"/>
  <c r="I439" i="2"/>
  <c r="J439" i="2"/>
  <c r="L439" i="2"/>
  <c r="I440" i="2"/>
  <c r="J440" i="2"/>
  <c r="L440" i="2"/>
  <c r="I441" i="2"/>
  <c r="J441" i="2"/>
  <c r="L441" i="2"/>
  <c r="I442" i="2"/>
  <c r="J442" i="2"/>
  <c r="L442" i="2"/>
  <c r="I443" i="2"/>
  <c r="J443" i="2"/>
  <c r="L443" i="2"/>
  <c r="I444" i="2"/>
  <c r="J444" i="2"/>
  <c r="L444" i="2"/>
  <c r="I445" i="2"/>
  <c r="J445" i="2"/>
  <c r="L445" i="2"/>
  <c r="I446" i="2"/>
  <c r="J446" i="2"/>
  <c r="L446" i="2"/>
  <c r="I447" i="2"/>
  <c r="J447" i="2"/>
  <c r="L447" i="2"/>
  <c r="I448" i="2"/>
  <c r="J448" i="2"/>
  <c r="L448" i="2"/>
  <c r="I449" i="2"/>
  <c r="J449" i="2"/>
  <c r="L449" i="2"/>
  <c r="I450" i="2"/>
  <c r="J450" i="2"/>
  <c r="L450" i="2"/>
  <c r="I451" i="2"/>
  <c r="J451" i="2"/>
  <c r="L451" i="2"/>
  <c r="I452" i="2"/>
  <c r="J452" i="2"/>
  <c r="L452" i="2"/>
  <c r="I453" i="2"/>
  <c r="J453" i="2"/>
  <c r="L453" i="2"/>
  <c r="I454" i="2"/>
  <c r="J454" i="2"/>
  <c r="L454" i="2"/>
  <c r="I455" i="2"/>
  <c r="J455" i="2"/>
  <c r="L455" i="2"/>
  <c r="I456" i="2"/>
  <c r="J456" i="2"/>
  <c r="L456" i="2"/>
  <c r="I457" i="2"/>
  <c r="J457" i="2"/>
  <c r="L457" i="2"/>
  <c r="I458" i="2"/>
  <c r="J458" i="2"/>
  <c r="L458" i="2"/>
  <c r="I459" i="2"/>
  <c r="J459" i="2"/>
  <c r="L459" i="2"/>
  <c r="I460" i="2"/>
  <c r="J460" i="2"/>
  <c r="L460" i="2"/>
  <c r="I461" i="2"/>
  <c r="J461" i="2"/>
  <c r="L461" i="2"/>
  <c r="I462" i="2"/>
  <c r="J462" i="2"/>
  <c r="L462" i="2"/>
  <c r="I463" i="2"/>
  <c r="J463" i="2"/>
  <c r="L463" i="2"/>
  <c r="I464" i="2"/>
  <c r="J464" i="2"/>
  <c r="L464" i="2"/>
  <c r="I465" i="2"/>
  <c r="J465" i="2"/>
  <c r="L465" i="2"/>
  <c r="I466" i="2"/>
  <c r="J466" i="2"/>
  <c r="L466" i="2"/>
  <c r="I467" i="2"/>
  <c r="J467" i="2"/>
  <c r="L467" i="2"/>
  <c r="I468" i="2"/>
  <c r="J468" i="2"/>
  <c r="L468" i="2"/>
  <c r="I469" i="2"/>
  <c r="J469" i="2"/>
  <c r="L469" i="2"/>
  <c r="I470" i="2"/>
  <c r="J470" i="2"/>
  <c r="L470" i="2"/>
  <c r="I471" i="2"/>
  <c r="J471" i="2"/>
  <c r="L471" i="2"/>
  <c r="I472" i="2"/>
  <c r="J472" i="2"/>
  <c r="L472" i="2"/>
  <c r="I473" i="2"/>
  <c r="J473" i="2"/>
  <c r="L473" i="2"/>
  <c r="I474" i="2"/>
  <c r="J474" i="2"/>
  <c r="L474" i="2"/>
  <c r="I475" i="2"/>
  <c r="J475" i="2"/>
  <c r="L475" i="2"/>
  <c r="I476" i="2"/>
  <c r="J476" i="2"/>
  <c r="L476" i="2"/>
  <c r="I477" i="2"/>
  <c r="J477" i="2"/>
  <c r="L477" i="2"/>
  <c r="I478" i="2"/>
  <c r="J478" i="2"/>
  <c r="L478" i="2"/>
  <c r="I479" i="2"/>
  <c r="J479" i="2"/>
  <c r="L479" i="2"/>
  <c r="I480" i="2"/>
  <c r="J480" i="2"/>
  <c r="L480" i="2"/>
  <c r="I481" i="2"/>
  <c r="J481" i="2"/>
  <c r="L481" i="2"/>
  <c r="I482" i="2"/>
  <c r="J482" i="2"/>
  <c r="L482" i="2"/>
  <c r="I483" i="2"/>
  <c r="J483" i="2"/>
  <c r="L483" i="2"/>
  <c r="I484" i="2"/>
  <c r="J484" i="2"/>
  <c r="L484" i="2"/>
  <c r="I485" i="2"/>
  <c r="J485" i="2"/>
  <c r="L485" i="2"/>
  <c r="I486" i="2"/>
  <c r="J486" i="2"/>
  <c r="L486" i="2"/>
  <c r="I487" i="2"/>
  <c r="J487" i="2"/>
  <c r="L487" i="2"/>
  <c r="I488" i="2"/>
  <c r="J488" i="2"/>
  <c r="L488" i="2"/>
  <c r="I489" i="2"/>
  <c r="J489" i="2"/>
  <c r="L489" i="2"/>
  <c r="I490" i="2"/>
  <c r="J490" i="2"/>
  <c r="L490" i="2"/>
  <c r="I491" i="2"/>
  <c r="J491" i="2"/>
  <c r="L491" i="2"/>
  <c r="I492" i="2"/>
  <c r="J492" i="2"/>
  <c r="L492" i="2"/>
  <c r="I493" i="2"/>
  <c r="J493" i="2"/>
  <c r="L493" i="2"/>
  <c r="I494" i="2"/>
  <c r="J494" i="2"/>
  <c r="L494" i="2"/>
  <c r="I495" i="2"/>
  <c r="J495" i="2"/>
  <c r="L495" i="2"/>
  <c r="I496" i="2"/>
  <c r="J496" i="2"/>
  <c r="L496" i="2"/>
  <c r="I497" i="2"/>
  <c r="J497" i="2"/>
  <c r="L497" i="2"/>
  <c r="I498" i="2"/>
  <c r="J498" i="2"/>
  <c r="L498" i="2"/>
  <c r="I499" i="2"/>
  <c r="J499" i="2"/>
  <c r="L499" i="2"/>
  <c r="I500" i="2"/>
  <c r="J500" i="2"/>
  <c r="L500" i="2"/>
  <c r="I501" i="2"/>
  <c r="J501" i="2"/>
  <c r="L501" i="2"/>
  <c r="I502" i="2"/>
  <c r="J502" i="2"/>
  <c r="L502" i="2"/>
  <c r="I503" i="2"/>
  <c r="J503" i="2"/>
  <c r="L503" i="2"/>
  <c r="I504" i="2"/>
  <c r="J504" i="2"/>
  <c r="L504" i="2"/>
  <c r="I505" i="2"/>
  <c r="J505" i="2"/>
  <c r="L505" i="2"/>
  <c r="I506" i="2"/>
  <c r="J506" i="2"/>
  <c r="L506" i="2"/>
  <c r="I507" i="2"/>
  <c r="J507" i="2"/>
  <c r="L507" i="2"/>
  <c r="I508" i="2"/>
  <c r="J508" i="2"/>
  <c r="L508" i="2"/>
  <c r="I509" i="2"/>
  <c r="J509" i="2"/>
  <c r="L509" i="2"/>
  <c r="I510" i="2"/>
  <c r="J510" i="2"/>
  <c r="L510" i="2"/>
  <c r="I511" i="2"/>
  <c r="J511" i="2"/>
  <c r="L511" i="2"/>
  <c r="I512" i="2"/>
  <c r="J512" i="2"/>
  <c r="L512" i="2"/>
  <c r="I513" i="2"/>
  <c r="J513" i="2"/>
  <c r="L513" i="2"/>
  <c r="I514" i="2"/>
  <c r="J514" i="2"/>
  <c r="L514" i="2"/>
  <c r="I515" i="2"/>
  <c r="J515" i="2"/>
  <c r="L515" i="2"/>
  <c r="I516" i="2"/>
  <c r="J516" i="2"/>
  <c r="L516" i="2"/>
  <c r="I517" i="2"/>
  <c r="J517" i="2"/>
  <c r="L517" i="2"/>
  <c r="I518" i="2"/>
  <c r="J518" i="2"/>
  <c r="L518" i="2"/>
  <c r="I519" i="2"/>
  <c r="J519" i="2"/>
  <c r="L519" i="2"/>
  <c r="I520" i="2"/>
  <c r="J520" i="2"/>
  <c r="L520" i="2"/>
  <c r="I521" i="2"/>
  <c r="J521" i="2"/>
  <c r="L521" i="2"/>
  <c r="I522" i="2"/>
  <c r="J522" i="2"/>
  <c r="L522" i="2"/>
  <c r="I523" i="2"/>
  <c r="J523" i="2"/>
  <c r="L523" i="2"/>
  <c r="I524" i="2"/>
  <c r="J524" i="2"/>
  <c r="L524" i="2"/>
  <c r="I525" i="2"/>
  <c r="J525" i="2"/>
  <c r="L525" i="2"/>
  <c r="I526" i="2"/>
  <c r="J526" i="2"/>
  <c r="L526" i="2"/>
  <c r="I527" i="2"/>
  <c r="J527" i="2"/>
  <c r="L527" i="2"/>
  <c r="I528" i="2"/>
  <c r="J528" i="2"/>
  <c r="L528" i="2"/>
  <c r="I529" i="2"/>
  <c r="J529" i="2"/>
  <c r="L529" i="2"/>
  <c r="I530" i="2"/>
  <c r="J530" i="2"/>
  <c r="L530" i="2"/>
  <c r="I531" i="2"/>
  <c r="J531" i="2"/>
  <c r="L531" i="2"/>
  <c r="I532" i="2"/>
  <c r="J532" i="2"/>
  <c r="L532" i="2"/>
  <c r="I533" i="2"/>
  <c r="J533" i="2"/>
  <c r="L533" i="2"/>
  <c r="I534" i="2"/>
  <c r="J534" i="2"/>
  <c r="L534" i="2"/>
  <c r="I535" i="2"/>
  <c r="J535" i="2"/>
  <c r="L535" i="2"/>
  <c r="I536" i="2"/>
  <c r="J536" i="2"/>
  <c r="L536" i="2"/>
  <c r="I537" i="2"/>
  <c r="J537" i="2"/>
  <c r="L537" i="2"/>
  <c r="I538" i="2"/>
  <c r="J538" i="2"/>
  <c r="L538" i="2"/>
  <c r="I539" i="2"/>
  <c r="J539" i="2"/>
  <c r="L539" i="2"/>
  <c r="I540" i="2"/>
  <c r="J540" i="2"/>
  <c r="L540" i="2"/>
  <c r="I541" i="2"/>
  <c r="J541" i="2"/>
  <c r="L541" i="2"/>
  <c r="I542" i="2"/>
  <c r="J542" i="2"/>
  <c r="L542" i="2"/>
  <c r="I543" i="2"/>
  <c r="J543" i="2"/>
  <c r="L543" i="2"/>
  <c r="I544" i="2"/>
  <c r="J544" i="2"/>
  <c r="L544" i="2"/>
  <c r="I545" i="2"/>
  <c r="J545" i="2"/>
  <c r="L545" i="2"/>
  <c r="I546" i="2"/>
  <c r="J546" i="2"/>
  <c r="L546" i="2"/>
  <c r="I547" i="2"/>
  <c r="J547" i="2"/>
  <c r="L547" i="2"/>
  <c r="I548" i="2"/>
  <c r="J548" i="2"/>
  <c r="L548" i="2"/>
  <c r="I549" i="2"/>
  <c r="J549" i="2"/>
  <c r="L549" i="2"/>
  <c r="I550" i="2"/>
  <c r="J550" i="2"/>
  <c r="L550" i="2"/>
  <c r="I551" i="2"/>
  <c r="J551" i="2"/>
  <c r="L551" i="2"/>
  <c r="I552" i="2"/>
  <c r="J552" i="2"/>
  <c r="L552" i="2"/>
  <c r="I553" i="2"/>
  <c r="J553" i="2"/>
  <c r="L553" i="2"/>
  <c r="I554" i="2"/>
  <c r="J554" i="2"/>
  <c r="L554" i="2"/>
  <c r="I555" i="2"/>
  <c r="J555" i="2"/>
  <c r="L555" i="2"/>
  <c r="I556" i="2"/>
  <c r="J556" i="2"/>
  <c r="L556" i="2"/>
  <c r="I557" i="2"/>
  <c r="J557" i="2"/>
  <c r="L557" i="2"/>
  <c r="I558" i="2"/>
  <c r="J558" i="2"/>
  <c r="L558" i="2"/>
  <c r="I559" i="2"/>
  <c r="J559" i="2"/>
  <c r="L559" i="2"/>
  <c r="I560" i="2"/>
  <c r="J560" i="2"/>
  <c r="L560" i="2"/>
  <c r="I561" i="2"/>
  <c r="J561" i="2"/>
  <c r="L561" i="2"/>
  <c r="I562" i="2"/>
  <c r="J562" i="2"/>
  <c r="L562" i="2"/>
  <c r="I563" i="2"/>
  <c r="J563" i="2"/>
  <c r="L563" i="2"/>
  <c r="I564" i="2"/>
  <c r="J564" i="2"/>
  <c r="L564" i="2"/>
  <c r="I565" i="2"/>
  <c r="J565" i="2"/>
  <c r="L565" i="2"/>
  <c r="I566" i="2"/>
  <c r="J566" i="2"/>
  <c r="L566" i="2"/>
  <c r="I567" i="2"/>
  <c r="J567" i="2"/>
  <c r="L567" i="2"/>
  <c r="I568" i="2"/>
  <c r="J568" i="2"/>
  <c r="L568" i="2"/>
  <c r="I569" i="2"/>
  <c r="J569" i="2"/>
  <c r="L569" i="2"/>
  <c r="I570" i="2"/>
  <c r="J570" i="2"/>
  <c r="L570" i="2"/>
  <c r="I571" i="2"/>
  <c r="J571" i="2"/>
  <c r="L571" i="2"/>
  <c r="I572" i="2"/>
  <c r="J572" i="2"/>
  <c r="L572" i="2"/>
  <c r="I573" i="2"/>
  <c r="J573" i="2"/>
  <c r="L573" i="2"/>
  <c r="I574" i="2"/>
  <c r="J574" i="2"/>
  <c r="L574" i="2"/>
  <c r="I575" i="2"/>
  <c r="J575" i="2"/>
  <c r="L575" i="2"/>
  <c r="I576" i="2"/>
  <c r="J576" i="2"/>
  <c r="L576" i="2"/>
  <c r="I577" i="2"/>
  <c r="J577" i="2"/>
  <c r="L577" i="2"/>
  <c r="I578" i="2"/>
  <c r="J578" i="2"/>
  <c r="L578" i="2"/>
  <c r="I579" i="2"/>
  <c r="J579" i="2"/>
  <c r="L579" i="2"/>
  <c r="I580" i="2"/>
  <c r="J580" i="2"/>
  <c r="L580" i="2"/>
  <c r="I581" i="2"/>
  <c r="J581" i="2"/>
  <c r="L581" i="2"/>
  <c r="I582" i="2"/>
  <c r="J582" i="2"/>
  <c r="L582" i="2"/>
  <c r="I583" i="2"/>
  <c r="J583" i="2"/>
  <c r="L583" i="2"/>
  <c r="I584" i="2"/>
  <c r="J584" i="2"/>
  <c r="L584" i="2"/>
  <c r="I585" i="2"/>
  <c r="J585" i="2"/>
  <c r="L585" i="2"/>
  <c r="I586" i="2"/>
  <c r="J586" i="2"/>
  <c r="L586" i="2"/>
  <c r="I587" i="2"/>
  <c r="J587" i="2"/>
  <c r="L587" i="2"/>
  <c r="I588" i="2"/>
  <c r="J588" i="2"/>
  <c r="L588" i="2"/>
  <c r="I589" i="2"/>
  <c r="J589" i="2"/>
  <c r="L589" i="2"/>
  <c r="I590" i="2"/>
  <c r="J590" i="2"/>
  <c r="L590" i="2"/>
  <c r="I591" i="2"/>
  <c r="J591" i="2"/>
  <c r="L591" i="2"/>
  <c r="I592" i="2"/>
  <c r="J592" i="2"/>
  <c r="L592" i="2"/>
  <c r="I593" i="2"/>
  <c r="J593" i="2"/>
  <c r="L593" i="2"/>
  <c r="I594" i="2"/>
  <c r="J594" i="2"/>
  <c r="L594" i="2"/>
  <c r="I595" i="2"/>
  <c r="J595" i="2"/>
  <c r="L595" i="2"/>
  <c r="I596" i="2"/>
  <c r="J596" i="2"/>
  <c r="L596" i="2"/>
  <c r="I597" i="2"/>
  <c r="J597" i="2"/>
  <c r="L597" i="2"/>
  <c r="I598" i="2"/>
  <c r="J598" i="2"/>
  <c r="L598" i="2"/>
  <c r="I599" i="2"/>
  <c r="J599" i="2"/>
  <c r="L599" i="2"/>
  <c r="I600" i="2"/>
  <c r="J600" i="2"/>
  <c r="L600" i="2"/>
  <c r="I601" i="2"/>
  <c r="J601" i="2"/>
  <c r="L601" i="2"/>
  <c r="I602" i="2"/>
  <c r="J602" i="2"/>
  <c r="L602" i="2"/>
  <c r="I603" i="2"/>
  <c r="J603" i="2"/>
  <c r="L603" i="2"/>
  <c r="I604" i="2"/>
  <c r="J604" i="2"/>
  <c r="L604" i="2"/>
  <c r="I605" i="2"/>
  <c r="J605" i="2"/>
  <c r="L605" i="2"/>
  <c r="I606" i="2"/>
  <c r="J606" i="2"/>
  <c r="L606" i="2"/>
  <c r="I607" i="2"/>
  <c r="J607" i="2"/>
  <c r="L607" i="2"/>
  <c r="I608" i="2"/>
  <c r="J608" i="2"/>
  <c r="L608" i="2"/>
  <c r="I609" i="2"/>
  <c r="J609" i="2"/>
  <c r="L609" i="2"/>
  <c r="I610" i="2"/>
  <c r="J610" i="2"/>
  <c r="L610" i="2"/>
  <c r="I611" i="2"/>
  <c r="J611" i="2"/>
  <c r="L611" i="2"/>
  <c r="I612" i="2"/>
  <c r="J612" i="2"/>
  <c r="L612" i="2"/>
  <c r="I613" i="2"/>
  <c r="J613" i="2"/>
  <c r="L613" i="2"/>
  <c r="I614" i="2"/>
  <c r="J614" i="2"/>
  <c r="L614" i="2"/>
  <c r="H152" i="2"/>
  <c r="H153" i="2"/>
  <c r="H154" i="2"/>
  <c r="K154" i="2" s="1"/>
  <c r="H155" i="2"/>
  <c r="K155" i="2" s="1"/>
  <c r="H156" i="2"/>
  <c r="K156" i="2" s="1"/>
  <c r="H158" i="2"/>
  <c r="K158" i="2" s="1"/>
  <c r="H159" i="2"/>
  <c r="K159" i="2" s="1"/>
  <c r="H160" i="2"/>
  <c r="K160" i="2" s="1"/>
  <c r="H161" i="2"/>
  <c r="K161" i="2" s="1"/>
  <c r="H162" i="2"/>
  <c r="K162" i="2" s="1"/>
  <c r="H163" i="2"/>
  <c r="K163" i="2" s="1"/>
  <c r="H164" i="2"/>
  <c r="K164" i="2" s="1"/>
  <c r="H165" i="2"/>
  <c r="K165" i="2" s="1"/>
  <c r="H166" i="2"/>
  <c r="K166" i="2" s="1"/>
  <c r="H167" i="2"/>
  <c r="K167" i="2" s="1"/>
  <c r="H169" i="2"/>
  <c r="K169" i="2" s="1"/>
  <c r="H170" i="2"/>
  <c r="K170" i="2" s="1"/>
  <c r="H171" i="2"/>
  <c r="L171" i="2" s="1"/>
  <c r="H174" i="2"/>
  <c r="K174" i="2" s="1"/>
  <c r="H175" i="2"/>
  <c r="K175" i="2" s="1"/>
  <c r="H176" i="2"/>
  <c r="K176" i="2" s="1"/>
  <c r="H177" i="2"/>
  <c r="K177" i="2" s="1"/>
  <c r="H178" i="2"/>
  <c r="H179" i="2"/>
  <c r="K179" i="2" s="1"/>
  <c r="H180" i="2"/>
  <c r="K180" i="2" s="1"/>
  <c r="H181" i="2"/>
  <c r="K181" i="2" s="1"/>
  <c r="H182" i="2"/>
  <c r="K182" i="2" s="1"/>
  <c r="H183" i="2"/>
  <c r="K183" i="2" s="1"/>
  <c r="H184" i="2"/>
  <c r="K184" i="2" s="1"/>
  <c r="H185" i="2"/>
  <c r="K185" i="2" s="1"/>
  <c r="H186" i="2"/>
  <c r="K186" i="2" s="1"/>
  <c r="H187" i="2"/>
  <c r="K187" i="2" s="1"/>
  <c r="H188" i="2"/>
  <c r="K188" i="2" s="1"/>
  <c r="H189" i="2"/>
  <c r="K189" i="2" s="1"/>
  <c r="H190" i="2"/>
  <c r="K190" i="2" s="1"/>
  <c r="H191" i="2"/>
  <c r="H192" i="2"/>
  <c r="K192" i="2" s="1"/>
  <c r="H193" i="2"/>
  <c r="K193" i="2" s="1"/>
  <c r="H194" i="2"/>
  <c r="K194" i="2" s="1"/>
  <c r="H195" i="2"/>
  <c r="K195" i="2" s="1"/>
  <c r="H196" i="2"/>
  <c r="K196" i="2" s="1"/>
  <c r="H197" i="2"/>
  <c r="K197" i="2" s="1"/>
  <c r="H198" i="2"/>
  <c r="K198" i="2" s="1"/>
  <c r="H199" i="2"/>
  <c r="K199" i="2" s="1"/>
  <c r="H200" i="2"/>
  <c r="K200" i="2" s="1"/>
  <c r="H201" i="2"/>
  <c r="K201" i="2" s="1"/>
  <c r="H202" i="2"/>
  <c r="K202" i="2" s="1"/>
  <c r="H203" i="2"/>
  <c r="K203" i="2" s="1"/>
  <c r="H204" i="2"/>
  <c r="K204" i="2" s="1"/>
  <c r="H205" i="2"/>
  <c r="K205" i="2" s="1"/>
  <c r="H206" i="2"/>
  <c r="K206" i="2" s="1"/>
  <c r="H207" i="2"/>
  <c r="K207" i="2" s="1"/>
  <c r="H208" i="2"/>
  <c r="K208" i="2" s="1"/>
  <c r="H209" i="2"/>
  <c r="K209" i="2" s="1"/>
  <c r="H210" i="2"/>
  <c r="K210" i="2" s="1"/>
  <c r="H211" i="2"/>
  <c r="K211" i="2" s="1"/>
  <c r="H212" i="2"/>
  <c r="K212" i="2" s="1"/>
  <c r="H213" i="2"/>
  <c r="K213" i="2" s="1"/>
  <c r="H214" i="2"/>
  <c r="H215" i="2"/>
  <c r="K215" i="2" s="1"/>
  <c r="H216" i="2"/>
  <c r="K216" i="2" s="1"/>
  <c r="H217" i="2"/>
  <c r="K217" i="2" s="1"/>
  <c r="H218" i="2"/>
  <c r="K218" i="2" s="1"/>
  <c r="H219" i="2"/>
  <c r="K219" i="2" s="1"/>
  <c r="H220" i="2"/>
  <c r="K220" i="2" s="1"/>
  <c r="H221" i="2"/>
  <c r="K221" i="2" s="1"/>
  <c r="H222" i="2"/>
  <c r="K222" i="2" s="1"/>
  <c r="H223" i="2"/>
  <c r="K223" i="2" s="1"/>
  <c r="H224" i="2"/>
  <c r="K224" i="2" s="1"/>
  <c r="H225" i="2"/>
  <c r="K225" i="2" s="1"/>
  <c r="H226" i="2"/>
  <c r="K226" i="2" s="1"/>
  <c r="H227" i="2"/>
  <c r="K227" i="2" s="1"/>
  <c r="H228" i="2"/>
  <c r="K228" i="2" s="1"/>
  <c r="H229" i="2"/>
  <c r="K229" i="2" s="1"/>
  <c r="H230" i="2"/>
  <c r="H231" i="2"/>
  <c r="K231" i="2" s="1"/>
  <c r="H232" i="2"/>
  <c r="K232" i="2" s="1"/>
  <c r="H233" i="2"/>
  <c r="K233" i="2" s="1"/>
  <c r="H234" i="2"/>
  <c r="K234" i="2" s="1"/>
  <c r="H235" i="2"/>
  <c r="K235" i="2" s="1"/>
  <c r="H236" i="2"/>
  <c r="K236" i="2" s="1"/>
  <c r="H237" i="2"/>
  <c r="K237" i="2" s="1"/>
  <c r="H238" i="2"/>
  <c r="K238" i="2" s="1"/>
  <c r="H239" i="2"/>
  <c r="K239" i="2" s="1"/>
  <c r="H240" i="2"/>
  <c r="K240" i="2" s="1"/>
  <c r="H241" i="2"/>
  <c r="K241" i="2" s="1"/>
  <c r="H242" i="2"/>
  <c r="K242" i="2" s="1"/>
  <c r="H243" i="2"/>
  <c r="K243" i="2" s="1"/>
  <c r="H244" i="2"/>
  <c r="K244" i="2" s="1"/>
  <c r="H245" i="2"/>
  <c r="K245" i="2" s="1"/>
  <c r="H246" i="2"/>
  <c r="K246" i="2" s="1"/>
  <c r="H247" i="2"/>
  <c r="K247" i="2" s="1"/>
  <c r="H248" i="2"/>
  <c r="K248" i="2" s="1"/>
  <c r="H249" i="2"/>
  <c r="K249" i="2" s="1"/>
  <c r="H250" i="2"/>
  <c r="H251" i="2"/>
  <c r="K251" i="2" s="1"/>
  <c r="H252" i="2"/>
  <c r="K252" i="2" s="1"/>
  <c r="H253" i="2"/>
  <c r="K253" i="2" s="1"/>
  <c r="H254" i="2"/>
  <c r="K254" i="2" s="1"/>
  <c r="H255" i="2"/>
  <c r="K255" i="2" s="1"/>
  <c r="H256" i="2"/>
  <c r="K256" i="2" s="1"/>
  <c r="H257" i="2"/>
  <c r="K257" i="2" s="1"/>
  <c r="H258" i="2"/>
  <c r="K258" i="2" s="1"/>
  <c r="H259" i="2"/>
  <c r="K259" i="2" s="1"/>
  <c r="H260" i="2"/>
  <c r="K260" i="2" s="1"/>
  <c r="H261" i="2"/>
  <c r="K261" i="2" s="1"/>
  <c r="H262" i="2"/>
  <c r="K262" i="2" s="1"/>
  <c r="H263" i="2"/>
  <c r="K263" i="2" s="1"/>
  <c r="H264" i="2"/>
  <c r="K264" i="2" s="1"/>
  <c r="H265" i="2"/>
  <c r="K265" i="2" s="1"/>
  <c r="H266" i="2"/>
  <c r="K266" i="2" s="1"/>
  <c r="H267" i="2"/>
  <c r="K267" i="2" s="1"/>
  <c r="H268" i="2"/>
  <c r="K268" i="2" s="1"/>
  <c r="H269" i="2"/>
  <c r="K269" i="2" s="1"/>
  <c r="H270" i="2"/>
  <c r="K270" i="2" s="1"/>
  <c r="H271" i="2"/>
  <c r="K271" i="2" s="1"/>
  <c r="H272" i="2"/>
  <c r="K272" i="2" s="1"/>
  <c r="H273" i="2"/>
  <c r="K273" i="2" s="1"/>
  <c r="H274" i="2"/>
  <c r="K274" i="2" s="1"/>
  <c r="H275" i="2"/>
  <c r="K275" i="2" s="1"/>
  <c r="H276" i="2"/>
  <c r="K276" i="2" s="1"/>
  <c r="H277" i="2"/>
  <c r="K277" i="2" s="1"/>
  <c r="H278" i="2"/>
  <c r="K278" i="2" s="1"/>
  <c r="H279" i="2"/>
  <c r="K279" i="2" s="1"/>
  <c r="H280" i="2"/>
  <c r="K280" i="2" s="1"/>
  <c r="H281" i="2"/>
  <c r="K281" i="2" s="1"/>
  <c r="H282" i="2"/>
  <c r="K282" i="2" s="1"/>
  <c r="H283" i="2"/>
  <c r="K283" i="2" s="1"/>
  <c r="H284" i="2"/>
  <c r="K284" i="2" s="1"/>
  <c r="H285" i="2"/>
  <c r="K285" i="2" s="1"/>
  <c r="H286" i="2"/>
  <c r="H287" i="2"/>
  <c r="K287" i="2" s="1"/>
  <c r="H288" i="2"/>
  <c r="K288" i="2" s="1"/>
  <c r="H289" i="2"/>
  <c r="H290" i="2"/>
  <c r="K290" i="2" s="1"/>
  <c r="H291" i="2"/>
  <c r="K291" i="2" s="1"/>
  <c r="H292" i="2"/>
  <c r="K292" i="2" s="1"/>
  <c r="H293" i="2"/>
  <c r="K293" i="2" s="1"/>
  <c r="H294" i="2"/>
  <c r="K294" i="2" s="1"/>
  <c r="H295" i="2"/>
  <c r="K295" i="2" s="1"/>
  <c r="H296" i="2"/>
  <c r="K296" i="2" s="1"/>
  <c r="H297" i="2"/>
  <c r="K297" i="2" s="1"/>
  <c r="H298" i="2"/>
  <c r="K298" i="2" s="1"/>
  <c r="H299" i="2"/>
  <c r="K299" i="2" s="1"/>
  <c r="H300" i="2"/>
  <c r="K300" i="2" s="1"/>
  <c r="H301" i="2"/>
  <c r="K301" i="2" s="1"/>
  <c r="H302" i="2"/>
  <c r="K302" i="2" s="1"/>
  <c r="H303" i="2"/>
  <c r="K303" i="2" s="1"/>
  <c r="H304" i="2"/>
  <c r="K304" i="2" s="1"/>
  <c r="H305" i="2"/>
  <c r="K305" i="2" s="1"/>
  <c r="H306" i="2"/>
  <c r="K306" i="2" s="1"/>
  <c r="H307" i="2"/>
  <c r="K307" i="2" s="1"/>
  <c r="H308" i="2"/>
  <c r="K308" i="2" s="1"/>
  <c r="H309" i="2"/>
  <c r="K309" i="2" s="1"/>
  <c r="H310" i="2"/>
  <c r="K310" i="2" s="1"/>
  <c r="H311" i="2"/>
  <c r="K311" i="2" s="1"/>
  <c r="H312" i="2"/>
  <c r="K312" i="2" s="1"/>
  <c r="H313" i="2"/>
  <c r="K313" i="2" s="1"/>
  <c r="H314" i="2"/>
  <c r="K314" i="2" s="1"/>
  <c r="H315" i="2"/>
  <c r="K315" i="2" s="1"/>
  <c r="H316" i="2"/>
  <c r="K316" i="2" s="1"/>
  <c r="H317" i="2"/>
  <c r="K317" i="2" s="1"/>
  <c r="H318" i="2"/>
  <c r="K318" i="2" s="1"/>
  <c r="H319" i="2"/>
  <c r="K319" i="2" s="1"/>
  <c r="H320" i="2"/>
  <c r="K320" i="2" s="1"/>
  <c r="H321" i="2"/>
  <c r="K321" i="2" s="1"/>
  <c r="H322" i="2"/>
  <c r="H323" i="2"/>
  <c r="K323" i="2" s="1"/>
  <c r="H324" i="2"/>
  <c r="K324" i="2" s="1"/>
  <c r="H325" i="2"/>
  <c r="K325" i="2" s="1"/>
  <c r="H326" i="2"/>
  <c r="K326" i="2" s="1"/>
  <c r="H327" i="2"/>
  <c r="K327" i="2" s="1"/>
  <c r="H328" i="2"/>
  <c r="K328" i="2" s="1"/>
  <c r="H329" i="2"/>
  <c r="K329" i="2" s="1"/>
  <c r="H330" i="2"/>
  <c r="K330" i="2" s="1"/>
  <c r="H331" i="2"/>
  <c r="K331" i="2" s="1"/>
  <c r="H332" i="2"/>
  <c r="K332" i="2" s="1"/>
  <c r="H333" i="2"/>
  <c r="K333" i="2" s="1"/>
  <c r="H334" i="2"/>
  <c r="K334" i="2" s="1"/>
  <c r="H335" i="2"/>
  <c r="K335" i="2" s="1"/>
  <c r="H336" i="2"/>
  <c r="K336" i="2" s="1"/>
  <c r="H337" i="2"/>
  <c r="K337" i="2" s="1"/>
  <c r="H338" i="2"/>
  <c r="K338" i="2" s="1"/>
  <c r="H339" i="2"/>
  <c r="K339" i="2" s="1"/>
  <c r="H340" i="2"/>
  <c r="K340" i="2" s="1"/>
  <c r="H341" i="2"/>
  <c r="K341" i="2" s="1"/>
  <c r="H342" i="2"/>
  <c r="K342" i="2" s="1"/>
  <c r="H343" i="2"/>
  <c r="K343" i="2" s="1"/>
  <c r="H344" i="2"/>
  <c r="K344" i="2" s="1"/>
  <c r="H345" i="2"/>
  <c r="K345" i="2" s="1"/>
  <c r="H346" i="2"/>
  <c r="K346" i="2" s="1"/>
  <c r="H347" i="2"/>
  <c r="K347" i="2" s="1"/>
  <c r="H348" i="2"/>
  <c r="K348" i="2" s="1"/>
  <c r="H349" i="2"/>
  <c r="K349" i="2" s="1"/>
  <c r="H350" i="2"/>
  <c r="K350" i="2" s="1"/>
  <c r="H351" i="2"/>
  <c r="K351" i="2" s="1"/>
  <c r="H352" i="2"/>
  <c r="K352" i="2" s="1"/>
  <c r="H353" i="2"/>
  <c r="K353" i="2" s="1"/>
  <c r="H354" i="2"/>
  <c r="K354" i="2" s="1"/>
  <c r="H355" i="2"/>
  <c r="K355" i="2" s="1"/>
  <c r="H356" i="2"/>
  <c r="K356" i="2" s="1"/>
  <c r="H357" i="2"/>
  <c r="K357" i="2" s="1"/>
  <c r="H358" i="2"/>
  <c r="H359" i="2"/>
  <c r="K359" i="2" s="1"/>
  <c r="H360" i="2"/>
  <c r="K360" i="2" s="1"/>
  <c r="H361" i="2"/>
  <c r="K361" i="2" s="1"/>
  <c r="H362" i="2"/>
  <c r="K362" i="2" s="1"/>
  <c r="H363" i="2"/>
  <c r="K363" i="2" s="1"/>
  <c r="H364" i="2"/>
  <c r="K364" i="2" s="1"/>
  <c r="H365" i="2"/>
  <c r="K365" i="2" s="1"/>
  <c r="H366" i="2"/>
  <c r="K366" i="2" s="1"/>
  <c r="H367" i="2"/>
  <c r="K367" i="2" s="1"/>
  <c r="H368" i="2"/>
  <c r="K368" i="2" s="1"/>
  <c r="H369" i="2"/>
  <c r="K369" i="2" s="1"/>
  <c r="H370" i="2"/>
  <c r="K370" i="2" s="1"/>
  <c r="H371" i="2"/>
  <c r="K371" i="2" s="1"/>
  <c r="H372" i="2"/>
  <c r="K372" i="2" s="1"/>
  <c r="H373" i="2"/>
  <c r="K373" i="2" s="1"/>
  <c r="H374" i="2"/>
  <c r="K374" i="2" s="1"/>
  <c r="H375" i="2"/>
  <c r="K375" i="2" s="1"/>
  <c r="H376" i="2"/>
  <c r="K376" i="2" s="1"/>
  <c r="H377" i="2"/>
  <c r="K377" i="2" s="1"/>
  <c r="H378" i="2"/>
  <c r="K378" i="2" s="1"/>
  <c r="H379" i="2"/>
  <c r="K379" i="2" s="1"/>
  <c r="H380" i="2"/>
  <c r="K380" i="2" s="1"/>
  <c r="H381" i="2"/>
  <c r="K381" i="2" s="1"/>
  <c r="H382" i="2"/>
  <c r="K382" i="2" s="1"/>
  <c r="F152" i="2"/>
  <c r="F153" i="2"/>
  <c r="F154" i="2"/>
  <c r="F155" i="2"/>
  <c r="F156" i="2"/>
  <c r="F158" i="2"/>
  <c r="F159" i="2"/>
  <c r="F160" i="2"/>
  <c r="F162" i="2"/>
  <c r="F163" i="2"/>
  <c r="F164" i="2"/>
  <c r="F165" i="2"/>
  <c r="F166" i="2"/>
  <c r="F167" i="2"/>
  <c r="F169" i="2"/>
  <c r="F170" i="2"/>
  <c r="F171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9" i="2"/>
  <c r="G170" i="2"/>
  <c r="G171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J116" i="2"/>
  <c r="I116" i="2"/>
  <c r="H116" i="2" s="1"/>
  <c r="J103" i="2"/>
  <c r="I103" i="2"/>
  <c r="G103" i="2" s="1"/>
  <c r="J119" i="2"/>
  <c r="I119" i="2"/>
  <c r="G119" i="2" s="1"/>
  <c r="J17" i="2"/>
  <c r="I17" i="2"/>
  <c r="G17" i="2" s="1"/>
  <c r="J18" i="2"/>
  <c r="I18" i="2"/>
  <c r="H18" i="2" s="1"/>
  <c r="J19" i="2"/>
  <c r="I19" i="2"/>
  <c r="H19" i="2" s="1"/>
  <c r="H173" i="2" l="1"/>
  <c r="F173" i="2"/>
  <c r="K172" i="2"/>
  <c r="L172" i="2"/>
  <c r="G172" i="2"/>
  <c r="F172" i="2"/>
  <c r="L170" i="2"/>
  <c r="K171" i="2"/>
  <c r="G168" i="2"/>
  <c r="F168" i="2"/>
  <c r="F157" i="2"/>
  <c r="K153" i="2"/>
  <c r="L153" i="2"/>
  <c r="K152" i="2"/>
  <c r="L152" i="2"/>
  <c r="K230" i="2"/>
  <c r="K289" i="2"/>
  <c r="H119" i="2"/>
  <c r="L119" i="2" s="1"/>
  <c r="K116" i="2"/>
  <c r="L116" i="2"/>
  <c r="F116" i="2"/>
  <c r="G116" i="2"/>
  <c r="F103" i="2"/>
  <c r="H103" i="2"/>
  <c r="F119" i="2"/>
  <c r="H17" i="2"/>
  <c r="K17" i="2" s="1"/>
  <c r="F17" i="2"/>
  <c r="L17" i="2"/>
  <c r="L18" i="2"/>
  <c r="K18" i="2" s="1"/>
  <c r="F18" i="2"/>
  <c r="G18" i="2"/>
  <c r="L19" i="2"/>
  <c r="K19" i="2" s="1"/>
  <c r="F19" i="2"/>
  <c r="G19" i="2"/>
  <c r="K173" i="2" l="1"/>
  <c r="L173" i="2"/>
  <c r="K119" i="2"/>
  <c r="K103" i="2"/>
  <c r="L103" i="2"/>
  <c r="J25" i="2"/>
  <c r="I25" i="2"/>
  <c r="G25" i="2" s="1"/>
  <c r="J23" i="2"/>
  <c r="I23" i="2"/>
  <c r="G23" i="2" s="1"/>
  <c r="J24" i="2"/>
  <c r="I24" i="2"/>
  <c r="G24" i="2" s="1"/>
  <c r="L21" i="2"/>
  <c r="J21" i="2"/>
  <c r="I21" i="2"/>
  <c r="G21" i="2" s="1"/>
  <c r="L20" i="2"/>
  <c r="J20" i="2"/>
  <c r="I20" i="2"/>
  <c r="G20" i="2" s="1"/>
  <c r="J47" i="2"/>
  <c r="I47" i="2"/>
  <c r="G47" i="2" s="1"/>
  <c r="J45" i="2"/>
  <c r="I45" i="2"/>
  <c r="H45" i="2" s="1"/>
  <c r="J43" i="2"/>
  <c r="I43" i="2"/>
  <c r="H43" i="2" s="1"/>
  <c r="J41" i="2"/>
  <c r="I41" i="2"/>
  <c r="H41" i="2" s="1"/>
  <c r="J38" i="2"/>
  <c r="I38" i="2"/>
  <c r="H38" i="2" s="1"/>
  <c r="J36" i="2"/>
  <c r="I36" i="2"/>
  <c r="H36" i="2" s="1"/>
  <c r="J35" i="2"/>
  <c r="I35" i="2"/>
  <c r="H35" i="2" s="1"/>
  <c r="J32" i="2"/>
  <c r="I32" i="2"/>
  <c r="H32" i="2" s="1"/>
  <c r="J22" i="2"/>
  <c r="I22" i="2"/>
  <c r="H22" i="2" s="1"/>
  <c r="L22" i="2" s="1"/>
  <c r="J30" i="2"/>
  <c r="I30" i="2"/>
  <c r="F30" i="2" s="1"/>
  <c r="J28" i="2"/>
  <c r="I28" i="2"/>
  <c r="H28" i="2" s="1"/>
  <c r="G28" i="2"/>
  <c r="J26" i="2"/>
  <c r="I26" i="2"/>
  <c r="G26" i="2" s="1"/>
  <c r="J39" i="2"/>
  <c r="I39" i="2"/>
  <c r="G39" i="2" s="1"/>
  <c r="J37" i="2"/>
  <c r="I37" i="2"/>
  <c r="G37" i="2" s="1"/>
  <c r="J34" i="2"/>
  <c r="I34" i="2"/>
  <c r="G34" i="2" s="1"/>
  <c r="J33" i="2"/>
  <c r="I33" i="2"/>
  <c r="G33" i="2" s="1"/>
  <c r="J31" i="2"/>
  <c r="I31" i="2"/>
  <c r="G31" i="2" s="1"/>
  <c r="J42" i="2"/>
  <c r="I42" i="2"/>
  <c r="H42" i="2" s="1"/>
  <c r="L42" i="2" s="1"/>
  <c r="J40" i="2"/>
  <c r="I40" i="2"/>
  <c r="G40" i="2" s="1"/>
  <c r="J46" i="2"/>
  <c r="I46" i="2"/>
  <c r="G46" i="2" s="1"/>
  <c r="J44" i="2"/>
  <c r="I44" i="2"/>
  <c r="G44" i="2" s="1"/>
  <c r="L27" i="2"/>
  <c r="J27" i="2"/>
  <c r="I27" i="2"/>
  <c r="G27" i="2" s="1"/>
  <c r="H27" i="2"/>
  <c r="F27" i="2"/>
  <c r="J29" i="2"/>
  <c r="I29" i="2"/>
  <c r="G29" i="2" s="1"/>
  <c r="J93" i="2"/>
  <c r="I93" i="2"/>
  <c r="G93" i="2" s="1"/>
  <c r="J94" i="2"/>
  <c r="I94" i="2"/>
  <c r="G94" i="2" s="1"/>
  <c r="J16" i="2"/>
  <c r="I16" i="2"/>
  <c r="G16" i="2" s="1"/>
  <c r="J51" i="2"/>
  <c r="I51" i="2"/>
  <c r="G51" i="2" s="1"/>
  <c r="J65" i="2"/>
  <c r="I65" i="2"/>
  <c r="G65" i="2" s="1"/>
  <c r="J13" i="2"/>
  <c r="I13" i="2"/>
  <c r="G13" i="2" s="1"/>
  <c r="L12" i="2"/>
  <c r="J12" i="2"/>
  <c r="I12" i="2"/>
  <c r="G12" i="2" s="1"/>
  <c r="L11" i="2"/>
  <c r="J11" i="2"/>
  <c r="I11" i="2"/>
  <c r="G11" i="2" s="1"/>
  <c r="J10" i="2"/>
  <c r="I10" i="2"/>
  <c r="G10" i="2" s="1"/>
  <c r="J15" i="2"/>
  <c r="I15" i="2"/>
  <c r="G15" i="2" s="1"/>
  <c r="J14" i="2"/>
  <c r="I14" i="2"/>
  <c r="G14" i="2" s="1"/>
  <c r="J48" i="2"/>
  <c r="I48" i="2"/>
  <c r="G48" i="2" s="1"/>
  <c r="F16" i="2" l="1"/>
  <c r="K27" i="2"/>
  <c r="H37" i="2"/>
  <c r="L37" i="2" s="1"/>
  <c r="H46" i="2"/>
  <c r="F46" i="2"/>
  <c r="F37" i="2"/>
  <c r="F94" i="2"/>
  <c r="H93" i="2"/>
  <c r="F93" i="2"/>
  <c r="H48" i="2"/>
  <c r="F48" i="2"/>
  <c r="F42" i="2"/>
  <c r="H39" i="2"/>
  <c r="L39" i="2" s="1"/>
  <c r="H33" i="2"/>
  <c r="F33" i="2"/>
  <c r="H30" i="2"/>
  <c r="L30" i="2" s="1"/>
  <c r="F26" i="2"/>
  <c r="H26" i="2"/>
  <c r="F25" i="2"/>
  <c r="H25" i="2"/>
  <c r="H23" i="2"/>
  <c r="H21" i="2"/>
  <c r="K21" i="2" s="1"/>
  <c r="F10" i="2"/>
  <c r="H10" i="2"/>
  <c r="F24" i="2"/>
  <c r="H24" i="2"/>
  <c r="F23" i="2"/>
  <c r="F22" i="2"/>
  <c r="G22" i="2"/>
  <c r="F21" i="2"/>
  <c r="H94" i="2"/>
  <c r="F65" i="2"/>
  <c r="H65" i="2"/>
  <c r="F20" i="2"/>
  <c r="H20" i="2"/>
  <c r="K20" i="2" s="1"/>
  <c r="F51" i="2"/>
  <c r="H51" i="2"/>
  <c r="F47" i="2"/>
  <c r="H47" i="2"/>
  <c r="L45" i="2"/>
  <c r="K45" i="2" s="1"/>
  <c r="F45" i="2"/>
  <c r="G45" i="2"/>
  <c r="L43" i="2"/>
  <c r="K43" i="2" s="1"/>
  <c r="F43" i="2"/>
  <c r="G43" i="2"/>
  <c r="L41" i="2"/>
  <c r="K41" i="2" s="1"/>
  <c r="F41" i="2"/>
  <c r="G41" i="2"/>
  <c r="L38" i="2"/>
  <c r="K38" i="2" s="1"/>
  <c r="F38" i="2"/>
  <c r="G38" i="2"/>
  <c r="L36" i="2"/>
  <c r="K36" i="2" s="1"/>
  <c r="F36" i="2"/>
  <c r="G36" i="2"/>
  <c r="L35" i="2"/>
  <c r="K35" i="2" s="1"/>
  <c r="F35" i="2"/>
  <c r="G35" i="2"/>
  <c r="L32" i="2"/>
  <c r="K32" i="2" s="1"/>
  <c r="K22" i="2"/>
  <c r="F32" i="2"/>
  <c r="G32" i="2"/>
  <c r="G30" i="2"/>
  <c r="L28" i="2"/>
  <c r="K28" i="2" s="1"/>
  <c r="F28" i="2"/>
  <c r="H44" i="2"/>
  <c r="F44" i="2"/>
  <c r="G42" i="2"/>
  <c r="F40" i="2"/>
  <c r="H40" i="2"/>
  <c r="F39" i="2"/>
  <c r="F31" i="2"/>
  <c r="F34" i="2"/>
  <c r="H31" i="2"/>
  <c r="H34" i="2"/>
  <c r="F29" i="2"/>
  <c r="H29" i="2"/>
  <c r="K42" i="2"/>
  <c r="H16" i="2"/>
  <c r="F15" i="2"/>
  <c r="H15" i="2"/>
  <c r="F14" i="2"/>
  <c r="H14" i="2"/>
  <c r="H12" i="2"/>
  <c r="K12" i="2" s="1"/>
  <c r="F12" i="2"/>
  <c r="F13" i="2"/>
  <c r="H13" i="2"/>
  <c r="H11" i="2"/>
  <c r="K11" i="2" s="1"/>
  <c r="F11" i="2"/>
  <c r="J97" i="2"/>
  <c r="I97" i="2"/>
  <c r="G97" i="2" s="1"/>
  <c r="K37" i="2" l="1"/>
  <c r="K14" i="2"/>
  <c r="L14" i="2"/>
  <c r="K16" i="2"/>
  <c r="L16" i="2"/>
  <c r="L48" i="2"/>
  <c r="K48" i="2" s="1"/>
  <c r="K29" i="2"/>
  <c r="L29" i="2"/>
  <c r="L93" i="2"/>
  <c r="K93" i="2" s="1"/>
  <c r="L47" i="2"/>
  <c r="K47" i="2" s="1"/>
  <c r="K13" i="2"/>
  <c r="L13" i="2"/>
  <c r="L46" i="2"/>
  <c r="K46" i="2" s="1"/>
  <c r="K10" i="2"/>
  <c r="L10" i="2"/>
  <c r="L94" i="2"/>
  <c r="K94" i="2" s="1"/>
  <c r="K15" i="2"/>
  <c r="L15" i="2"/>
  <c r="K30" i="2"/>
  <c r="L26" i="2"/>
  <c r="K26" i="2" s="1"/>
  <c r="L25" i="2"/>
  <c r="K25" i="2" s="1"/>
  <c r="L24" i="2"/>
  <c r="K24" i="2" s="1"/>
  <c r="L23" i="2"/>
  <c r="K23" i="2" s="1"/>
  <c r="K39" i="2"/>
  <c r="L65" i="2"/>
  <c r="K65" i="2" s="1"/>
  <c r="L51" i="2"/>
  <c r="K51" i="2" s="1"/>
  <c r="L44" i="2"/>
  <c r="K44" i="2" s="1"/>
  <c r="L40" i="2"/>
  <c r="K40" i="2" s="1"/>
  <c r="L34" i="2"/>
  <c r="K34" i="2" s="1"/>
  <c r="L33" i="2"/>
  <c r="K33" i="2" s="1"/>
  <c r="L31" i="2"/>
  <c r="K31" i="2" s="1"/>
  <c r="H97" i="2"/>
  <c r="F97" i="2"/>
  <c r="J82" i="2"/>
  <c r="I82" i="2"/>
  <c r="H82" i="2" s="1"/>
  <c r="J70" i="2"/>
  <c r="I70" i="2"/>
  <c r="G70" i="2" s="1"/>
  <c r="J69" i="2"/>
  <c r="I69" i="2"/>
  <c r="G69" i="2" s="1"/>
  <c r="L97" i="2" l="1"/>
  <c r="K97" i="2" s="1"/>
  <c r="L82" i="2"/>
  <c r="K82" i="2" s="1"/>
  <c r="G82" i="2"/>
  <c r="F82" i="2"/>
  <c r="H69" i="2"/>
  <c r="L69" i="2" s="1"/>
  <c r="K69" i="2" s="1"/>
  <c r="F70" i="2"/>
  <c r="H70" i="2"/>
  <c r="F69" i="2"/>
  <c r="J66" i="2"/>
  <c r="I66" i="2"/>
  <c r="H66" i="2" s="1"/>
  <c r="L66" i="2" s="1"/>
  <c r="J63" i="2"/>
  <c r="I63" i="2"/>
  <c r="G63" i="2" s="1"/>
  <c r="J54" i="2"/>
  <c r="I54" i="2"/>
  <c r="G54" i="2" s="1"/>
  <c r="J53" i="2"/>
  <c r="I53" i="2"/>
  <c r="G53" i="2" s="1"/>
  <c r="L70" i="2" l="1"/>
  <c r="K70" i="2" s="1"/>
  <c r="K66" i="2"/>
  <c r="H63" i="2"/>
  <c r="F54" i="2"/>
  <c r="H54" i="2"/>
  <c r="F66" i="2"/>
  <c r="G66" i="2"/>
  <c r="F63" i="2"/>
  <c r="F53" i="2"/>
  <c r="H53" i="2"/>
  <c r="L63" i="2" l="1"/>
  <c r="K63" i="2" s="1"/>
  <c r="L54" i="2"/>
  <c r="K54" i="2" s="1"/>
  <c r="L53" i="2"/>
  <c r="K53" i="2" s="1"/>
  <c r="J130" i="2"/>
  <c r="I130" i="2"/>
  <c r="H130" i="2" s="1"/>
  <c r="J56" i="2"/>
  <c r="I56" i="2"/>
  <c r="G56" i="2" s="1"/>
  <c r="L130" i="2" l="1"/>
  <c r="K130" i="2" s="1"/>
  <c r="F130" i="2"/>
  <c r="G130" i="2"/>
  <c r="H56" i="2"/>
  <c r="F56" i="2"/>
  <c r="J49" i="2"/>
  <c r="I49" i="2"/>
  <c r="G49" i="2" s="1"/>
  <c r="J64" i="2"/>
  <c r="I64" i="2"/>
  <c r="G64" i="2" s="1"/>
  <c r="J73" i="2"/>
  <c r="I73" i="2"/>
  <c r="G73" i="2" s="1"/>
  <c r="J57" i="2"/>
  <c r="I57" i="2"/>
  <c r="H57" i="2" s="1"/>
  <c r="J52" i="2"/>
  <c r="I52" i="2"/>
  <c r="H52" i="2" s="1"/>
  <c r="H49" i="2" l="1"/>
  <c r="F49" i="2"/>
  <c r="H64" i="2"/>
  <c r="H73" i="2"/>
  <c r="F73" i="2"/>
  <c r="L56" i="2"/>
  <c r="K56" i="2" s="1"/>
  <c r="F64" i="2"/>
  <c r="L57" i="2"/>
  <c r="K57" i="2" s="1"/>
  <c r="F57" i="2"/>
  <c r="G57" i="2"/>
  <c r="L52" i="2"/>
  <c r="K52" i="2" s="1"/>
  <c r="F52" i="2"/>
  <c r="G52" i="2"/>
  <c r="J50" i="2"/>
  <c r="I50" i="2"/>
  <c r="H50" i="2" s="1"/>
  <c r="L49" i="2" l="1"/>
  <c r="K49" i="2" s="1"/>
  <c r="L73" i="2"/>
  <c r="K73" i="2" s="1"/>
  <c r="L64" i="2"/>
  <c r="K64" i="2" s="1"/>
  <c r="F50" i="2"/>
  <c r="L50" i="2"/>
  <c r="K50" i="2" s="1"/>
  <c r="G50" i="2"/>
  <c r="J136" i="2" l="1"/>
  <c r="I136" i="2"/>
  <c r="H136" i="2" s="1"/>
  <c r="L136" i="2" l="1"/>
  <c r="K136" i="2" s="1"/>
  <c r="F136" i="2"/>
  <c r="G136" i="2"/>
  <c r="J120" i="2" l="1"/>
  <c r="I120" i="2"/>
  <c r="H120" i="2" s="1"/>
  <c r="J112" i="2"/>
  <c r="I112" i="2"/>
  <c r="H112" i="2" s="1"/>
  <c r="J111" i="2"/>
  <c r="I111" i="2"/>
  <c r="H111" i="2" s="1"/>
  <c r="J104" i="2"/>
  <c r="I104" i="2"/>
  <c r="H104" i="2" s="1"/>
  <c r="J89" i="2"/>
  <c r="I89" i="2"/>
  <c r="H89" i="2" s="1"/>
  <c r="J74" i="2"/>
  <c r="I74" i="2"/>
  <c r="H74" i="2" s="1"/>
  <c r="J140" i="2"/>
  <c r="I140" i="2"/>
  <c r="H140" i="2" s="1"/>
  <c r="L120" i="2" l="1"/>
  <c r="K120" i="2" s="1"/>
  <c r="F120" i="2"/>
  <c r="G120" i="2"/>
  <c r="L112" i="2"/>
  <c r="K112" i="2" s="1"/>
  <c r="F112" i="2"/>
  <c r="G112" i="2"/>
  <c r="L111" i="2"/>
  <c r="K111" i="2" s="1"/>
  <c r="F111" i="2"/>
  <c r="G111" i="2"/>
  <c r="L104" i="2"/>
  <c r="K104" i="2" s="1"/>
  <c r="F104" i="2"/>
  <c r="G104" i="2"/>
  <c r="L89" i="2"/>
  <c r="K89" i="2" s="1"/>
  <c r="F89" i="2"/>
  <c r="G89" i="2"/>
  <c r="L74" i="2"/>
  <c r="K74" i="2" s="1"/>
  <c r="F74" i="2"/>
  <c r="G74" i="2"/>
  <c r="G140" i="2"/>
  <c r="L140" i="2"/>
  <c r="K140" i="2" s="1"/>
  <c r="F140" i="2"/>
  <c r="J151" i="2" l="1"/>
  <c r="I151" i="2"/>
  <c r="J148" i="2"/>
  <c r="I148" i="2"/>
  <c r="H148" i="2" s="1"/>
  <c r="J142" i="2"/>
  <c r="I142" i="2"/>
  <c r="H142" i="2" s="1"/>
  <c r="J138" i="2"/>
  <c r="I138" i="2"/>
  <c r="H138" i="2" s="1"/>
  <c r="J129" i="2"/>
  <c r="I129" i="2"/>
  <c r="H129" i="2" s="1"/>
  <c r="J146" i="2"/>
  <c r="I146" i="2"/>
  <c r="H146" i="2" s="1"/>
  <c r="J145" i="2"/>
  <c r="I145" i="2"/>
  <c r="H145" i="2" s="1"/>
  <c r="J144" i="2"/>
  <c r="I144" i="2"/>
  <c r="H144" i="2" s="1"/>
  <c r="J143" i="2"/>
  <c r="I143" i="2"/>
  <c r="J135" i="2"/>
  <c r="I135" i="2"/>
  <c r="H135" i="2" s="1"/>
  <c r="J134" i="2"/>
  <c r="I134" i="2"/>
  <c r="H134" i="2" s="1"/>
  <c r="J133" i="2"/>
  <c r="I133" i="2"/>
  <c r="G133" i="2" s="1"/>
  <c r="J137" i="2"/>
  <c r="I137" i="2"/>
  <c r="F137" i="2" s="1"/>
  <c r="J131" i="2"/>
  <c r="I131" i="2"/>
  <c r="H131" i="2" s="1"/>
  <c r="J132" i="2"/>
  <c r="I132" i="2"/>
  <c r="H132" i="2" s="1"/>
  <c r="J127" i="2"/>
  <c r="I127" i="2"/>
  <c r="H127" i="2" s="1"/>
  <c r="J126" i="2"/>
  <c r="I126" i="2"/>
  <c r="H126" i="2" s="1"/>
  <c r="F146" i="2" l="1"/>
  <c r="H151" i="2"/>
  <c r="F151" i="2"/>
  <c r="L148" i="2"/>
  <c r="K148" i="2" s="1"/>
  <c r="F148" i="2"/>
  <c r="L142" i="2"/>
  <c r="K142" i="2" s="1"/>
  <c r="F142" i="2"/>
  <c r="L138" i="2"/>
  <c r="K138" i="2" s="1"/>
  <c r="F138" i="2"/>
  <c r="G138" i="2"/>
  <c r="H133" i="2"/>
  <c r="L146" i="2"/>
  <c r="K146" i="2" s="1"/>
  <c r="F133" i="2"/>
  <c r="L129" i="2"/>
  <c r="K129" i="2" s="1"/>
  <c r="F129" i="2"/>
  <c r="G129" i="2"/>
  <c r="L145" i="2"/>
  <c r="K145" i="2" s="1"/>
  <c r="F145" i="2"/>
  <c r="L144" i="2"/>
  <c r="K144" i="2" s="1"/>
  <c r="F144" i="2"/>
  <c r="H143" i="2"/>
  <c r="F143" i="2"/>
  <c r="L135" i="2"/>
  <c r="K135" i="2" s="1"/>
  <c r="F135" i="2"/>
  <c r="G135" i="2"/>
  <c r="L134" i="2"/>
  <c r="K134" i="2" s="1"/>
  <c r="F134" i="2"/>
  <c r="G134" i="2"/>
  <c r="G137" i="2"/>
  <c r="H137" i="2"/>
  <c r="L131" i="2"/>
  <c r="K131" i="2" s="1"/>
  <c r="F131" i="2"/>
  <c r="G131" i="2"/>
  <c r="L132" i="2"/>
  <c r="K132" i="2" s="1"/>
  <c r="G132" i="2"/>
  <c r="F132" i="2"/>
  <c r="F127" i="2"/>
  <c r="G127" i="2"/>
  <c r="L127" i="2"/>
  <c r="K127" i="2" s="1"/>
  <c r="L126" i="2"/>
  <c r="K126" i="2" s="1"/>
  <c r="F126" i="2"/>
  <c r="G126" i="2"/>
  <c r="L151" i="2" l="1"/>
  <c r="K151" i="2" s="1"/>
  <c r="L133" i="2"/>
  <c r="K133" i="2" s="1"/>
  <c r="L143" i="2"/>
  <c r="K143" i="2" s="1"/>
  <c r="L137" i="2"/>
  <c r="K137" i="2" s="1"/>
  <c r="J115" i="2" l="1"/>
  <c r="I115" i="2"/>
  <c r="H115" i="2" s="1"/>
  <c r="J110" i="2"/>
  <c r="I110" i="2"/>
  <c r="H110" i="2" s="1"/>
  <c r="J109" i="2"/>
  <c r="I109" i="2"/>
  <c r="G109" i="2" s="1"/>
  <c r="J85" i="2"/>
  <c r="I85" i="2"/>
  <c r="F85" i="2" s="1"/>
  <c r="J61" i="2"/>
  <c r="I61" i="2"/>
  <c r="G61" i="2" s="1"/>
  <c r="J114" i="2"/>
  <c r="I114" i="2"/>
  <c r="H114" i="2" s="1"/>
  <c r="L115" i="2" l="1"/>
  <c r="K115" i="2" s="1"/>
  <c r="G115" i="2"/>
  <c r="F115" i="2"/>
  <c r="L110" i="2"/>
  <c r="K110" i="2" s="1"/>
  <c r="F110" i="2"/>
  <c r="G110" i="2"/>
  <c r="F109" i="2"/>
  <c r="H109" i="2"/>
  <c r="H85" i="2"/>
  <c r="G85" i="2"/>
  <c r="F61" i="2"/>
  <c r="H61" i="2"/>
  <c r="L114" i="2"/>
  <c r="K114" i="2" s="1"/>
  <c r="G114" i="2"/>
  <c r="F114" i="2"/>
  <c r="L109" i="2" l="1"/>
  <c r="K109" i="2" s="1"/>
  <c r="L85" i="2"/>
  <c r="K85" i="2" s="1"/>
  <c r="L61" i="2"/>
  <c r="K61" i="2" s="1"/>
  <c r="J121" i="2" l="1"/>
  <c r="I121" i="2"/>
  <c r="H121" i="2" s="1"/>
  <c r="J118" i="2"/>
  <c r="I118" i="2"/>
  <c r="H118" i="2" s="1"/>
  <c r="L121" i="2" l="1"/>
  <c r="K121" i="2" s="1"/>
  <c r="G121" i="2"/>
  <c r="F121" i="2"/>
  <c r="L118" i="2"/>
  <c r="K118" i="2" s="1"/>
  <c r="F118" i="2"/>
  <c r="G118" i="2"/>
  <c r="J90" i="2"/>
  <c r="I90" i="2"/>
  <c r="H90" i="2" s="1"/>
  <c r="J88" i="2"/>
  <c r="I88" i="2"/>
  <c r="H88" i="2" s="1"/>
  <c r="J102" i="2"/>
  <c r="I102" i="2"/>
  <c r="G102" i="2" s="1"/>
  <c r="J101" i="2"/>
  <c r="I101" i="2"/>
  <c r="H101" i="2" s="1"/>
  <c r="J78" i="2"/>
  <c r="I78" i="2"/>
  <c r="G78" i="2" s="1"/>
  <c r="J76" i="2"/>
  <c r="I76" i="2"/>
  <c r="H76" i="2" s="1"/>
  <c r="J58" i="2"/>
  <c r="I58" i="2"/>
  <c r="G58" i="2" s="1"/>
  <c r="J59" i="2"/>
  <c r="I59" i="2"/>
  <c r="G59" i="2" s="1"/>
  <c r="J60" i="2"/>
  <c r="I60" i="2"/>
  <c r="H60" i="2" s="1"/>
  <c r="L60" i="2" s="1"/>
  <c r="F58" i="2" l="1"/>
  <c r="H58" i="2"/>
  <c r="G88" i="2"/>
  <c r="F88" i="2"/>
  <c r="L90" i="2"/>
  <c r="K90" i="2" s="1"/>
  <c r="F90" i="2"/>
  <c r="G90" i="2"/>
  <c r="L88" i="2"/>
  <c r="K88" i="2" s="1"/>
  <c r="H102" i="2"/>
  <c r="F102" i="2"/>
  <c r="L101" i="2"/>
  <c r="K101" i="2" s="1"/>
  <c r="F101" i="2"/>
  <c r="G101" i="2"/>
  <c r="H78" i="2"/>
  <c r="F78" i="2"/>
  <c r="L76" i="2"/>
  <c r="K76" i="2" s="1"/>
  <c r="F76" i="2"/>
  <c r="G76" i="2"/>
  <c r="F60" i="2"/>
  <c r="K60" i="2"/>
  <c r="G60" i="2"/>
  <c r="F59" i="2"/>
  <c r="H59" i="2"/>
  <c r="L59" i="2" s="1"/>
  <c r="J72" i="2"/>
  <c r="I72" i="2"/>
  <c r="G72" i="2" s="1"/>
  <c r="J84" i="2"/>
  <c r="I84" i="2"/>
  <c r="H84" i="2" s="1"/>
  <c r="J98" i="2"/>
  <c r="I98" i="2"/>
  <c r="F98" i="2" s="1"/>
  <c r="L58" i="2" l="1"/>
  <c r="K58" i="2" s="1"/>
  <c r="H98" i="2"/>
  <c r="G98" i="2"/>
  <c r="L102" i="2"/>
  <c r="K102" i="2" s="1"/>
  <c r="L78" i="2"/>
  <c r="K78" i="2" s="1"/>
  <c r="K59" i="2"/>
  <c r="H72" i="2"/>
  <c r="F72" i="2"/>
  <c r="L84" i="2"/>
  <c r="K84" i="2" s="1"/>
  <c r="F84" i="2"/>
  <c r="G84" i="2"/>
  <c r="L98" i="2" l="1"/>
  <c r="K98" i="2" s="1"/>
  <c r="L72" i="2"/>
  <c r="K72" i="2" s="1"/>
  <c r="J83" i="2"/>
  <c r="I83" i="2"/>
  <c r="G83" i="2" s="1"/>
  <c r="G362" i="2"/>
  <c r="G361" i="2"/>
  <c r="G360" i="2"/>
  <c r="G358" i="2"/>
  <c r="G366" i="2"/>
  <c r="G365" i="2"/>
  <c r="G364" i="2"/>
  <c r="G368" i="2"/>
  <c r="G367" i="2"/>
  <c r="G369" i="2"/>
  <c r="G397" i="2"/>
  <c r="G396" i="2"/>
  <c r="F395" i="2"/>
  <c r="G394" i="2"/>
  <c r="G393" i="2"/>
  <c r="G392" i="2"/>
  <c r="G398" i="2"/>
  <c r="H398" i="2"/>
  <c r="K398" i="2" s="1"/>
  <c r="F398" i="2"/>
  <c r="J55" i="2"/>
  <c r="I55" i="2"/>
  <c r="G55" i="2" s="1"/>
  <c r="H55" i="2" l="1"/>
  <c r="L55" i="2" s="1"/>
  <c r="F55" i="2"/>
  <c r="F83" i="2"/>
  <c r="H83" i="2"/>
  <c r="L83" i="2" s="1"/>
  <c r="G359" i="2"/>
  <c r="G363" i="2"/>
  <c r="H392" i="2"/>
  <c r="K392" i="2" s="1"/>
  <c r="F393" i="2"/>
  <c r="G395" i="2"/>
  <c r="H395" i="2"/>
  <c r="K395" i="2" s="1"/>
  <c r="F392" i="2"/>
  <c r="F396" i="2"/>
  <c r="H396" i="2"/>
  <c r="K396" i="2" s="1"/>
  <c r="F397" i="2"/>
  <c r="H393" i="2"/>
  <c r="K393" i="2" s="1"/>
  <c r="F394" i="2"/>
  <c r="H397" i="2"/>
  <c r="K397" i="2" s="1"/>
  <c r="H394" i="2"/>
  <c r="K394" i="2" s="1"/>
  <c r="K55" i="2" l="1"/>
  <c r="K83" i="2"/>
  <c r="G355" i="2"/>
  <c r="G354" i="2"/>
  <c r="G353" i="2"/>
  <c r="G352" i="2"/>
  <c r="G350" i="2"/>
  <c r="G349" i="2"/>
  <c r="G357" i="2"/>
  <c r="J81" i="2"/>
  <c r="I81" i="2"/>
  <c r="G81" i="2" s="1"/>
  <c r="J71" i="2"/>
  <c r="I71" i="2"/>
  <c r="G71" i="2" s="1"/>
  <c r="J80" i="2"/>
  <c r="I80" i="2"/>
  <c r="G80" i="2" s="1"/>
  <c r="J79" i="2"/>
  <c r="I79" i="2"/>
  <c r="G79" i="2" s="1"/>
  <c r="G327" i="2"/>
  <c r="J77" i="2"/>
  <c r="I77" i="2"/>
  <c r="G77" i="2" s="1"/>
  <c r="J75" i="2"/>
  <c r="I75" i="2"/>
  <c r="G75" i="2" s="1"/>
  <c r="J123" i="2"/>
  <c r="I123" i="2"/>
  <c r="G123" i="2" s="1"/>
  <c r="F80" i="2" l="1"/>
  <c r="H80" i="2"/>
  <c r="F79" i="2"/>
  <c r="H79" i="2"/>
  <c r="L79" i="2" s="1"/>
  <c r="F75" i="2"/>
  <c r="H75" i="2"/>
  <c r="F71" i="2"/>
  <c r="H71" i="2"/>
  <c r="L71" i="2" s="1"/>
  <c r="G356" i="2"/>
  <c r="G351" i="2"/>
  <c r="F81" i="2"/>
  <c r="H81" i="2"/>
  <c r="L81" i="2" s="1"/>
  <c r="F77" i="2"/>
  <c r="H77" i="2"/>
  <c r="H123" i="2"/>
  <c r="F123" i="2"/>
  <c r="L80" i="2" l="1"/>
  <c r="K80" i="2" s="1"/>
  <c r="K79" i="2"/>
  <c r="L75" i="2"/>
  <c r="K75" i="2" s="1"/>
  <c r="K71" i="2"/>
  <c r="K81" i="2"/>
  <c r="L77" i="2"/>
  <c r="K77" i="2" s="1"/>
  <c r="L123" i="2"/>
  <c r="K123" i="2" s="1"/>
  <c r="J99" i="2" l="1"/>
  <c r="I99" i="2"/>
  <c r="F99" i="2" s="1"/>
  <c r="G307" i="2"/>
  <c r="J95" i="2"/>
  <c r="I95" i="2"/>
  <c r="G95" i="2" s="1"/>
  <c r="J96" i="2"/>
  <c r="I96" i="2"/>
  <c r="G96" i="2" s="1"/>
  <c r="H99" i="2" l="1"/>
  <c r="L99" i="2" s="1"/>
  <c r="K99" i="2" s="1"/>
  <c r="G99" i="2"/>
  <c r="H95" i="2"/>
  <c r="F95" i="2"/>
  <c r="H96" i="2"/>
  <c r="F96" i="2"/>
  <c r="L95" i="2" l="1"/>
  <c r="K95" i="2" s="1"/>
  <c r="L96" i="2"/>
  <c r="K96" i="2" s="1"/>
  <c r="B6" i="2"/>
  <c r="B5" i="2"/>
  <c r="B4" i="2"/>
  <c r="H41" i="5"/>
  <c r="G41" i="5"/>
  <c r="F41" i="5"/>
  <c r="D41" i="5"/>
  <c r="E41" i="5" s="1"/>
  <c r="B41" i="5"/>
  <c r="H40" i="5"/>
  <c r="G40" i="5"/>
  <c r="F40" i="5"/>
  <c r="D40" i="5"/>
  <c r="E40" i="5" s="1"/>
  <c r="B40" i="5"/>
  <c r="H39" i="5"/>
  <c r="G39" i="5"/>
  <c r="F39" i="5"/>
  <c r="D39" i="5"/>
  <c r="E39" i="5" s="1"/>
  <c r="B39" i="5"/>
  <c r="H38" i="5"/>
  <c r="G38" i="5"/>
  <c r="F38" i="5"/>
  <c r="D38" i="5"/>
  <c r="E38" i="5" s="1"/>
  <c r="B38" i="5"/>
  <c r="J32" i="3"/>
  <c r="K32" i="3" s="1"/>
  <c r="I38" i="5" s="1"/>
  <c r="J33" i="3"/>
  <c r="K33" i="3" s="1"/>
  <c r="I39" i="5" s="1"/>
  <c r="J34" i="3"/>
  <c r="K34" i="3" s="1"/>
  <c r="I40" i="5" s="1"/>
  <c r="J35" i="3"/>
  <c r="K35" i="3" s="1"/>
  <c r="I41" i="5" s="1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H29" i="5"/>
  <c r="G29" i="5"/>
  <c r="F29" i="5"/>
  <c r="D29" i="5"/>
  <c r="E29" i="5" s="1"/>
  <c r="B29" i="5"/>
  <c r="J23" i="3"/>
  <c r="K23" i="3" s="1"/>
  <c r="I29" i="5" s="1"/>
  <c r="H20" i="5"/>
  <c r="G20" i="5"/>
  <c r="F20" i="5"/>
  <c r="D20" i="5"/>
  <c r="E20" i="5" s="1"/>
  <c r="B20" i="5"/>
  <c r="J14" i="3"/>
  <c r="K14" i="3" s="1"/>
  <c r="I20" i="5" s="1"/>
  <c r="H21" i="5"/>
  <c r="G21" i="5"/>
  <c r="F21" i="5"/>
  <c r="D21" i="5"/>
  <c r="E21" i="5" s="1"/>
  <c r="B21" i="5"/>
  <c r="H17" i="5"/>
  <c r="G17" i="5"/>
  <c r="F17" i="5"/>
  <c r="D17" i="5"/>
  <c r="E17" i="5"/>
  <c r="B17" i="5"/>
  <c r="J8" i="3"/>
  <c r="K8" i="3" s="1"/>
  <c r="I14" i="5" s="1"/>
  <c r="J9" i="3"/>
  <c r="K9" i="3" s="1"/>
  <c r="I15" i="5" s="1"/>
  <c r="J10" i="3"/>
  <c r="K10" i="3" s="1"/>
  <c r="I16" i="5" s="1"/>
  <c r="J11" i="3"/>
  <c r="K11" i="3" s="1"/>
  <c r="I17" i="5" s="1"/>
  <c r="J12" i="3"/>
  <c r="K12" i="3" s="1"/>
  <c r="I18" i="5" s="1"/>
  <c r="J13" i="3"/>
  <c r="K13" i="3" s="1"/>
  <c r="I19" i="5" s="1"/>
  <c r="J15" i="3"/>
  <c r="K15" i="3" s="1"/>
  <c r="I21" i="5" s="1"/>
  <c r="J16" i="3"/>
  <c r="K16" i="3" s="1"/>
  <c r="I22" i="5" s="1"/>
  <c r="J17" i="3"/>
  <c r="K17" i="3" s="1"/>
  <c r="I23" i="5" s="1"/>
  <c r="J18" i="3"/>
  <c r="K18" i="3" s="1"/>
  <c r="I24" i="5" s="1"/>
  <c r="J19" i="3"/>
  <c r="K19" i="3" s="1"/>
  <c r="I25" i="5" s="1"/>
  <c r="J20" i="3"/>
  <c r="K20" i="3" s="1"/>
  <c r="I26" i="5" s="1"/>
  <c r="J21" i="3"/>
  <c r="K21" i="3" s="1"/>
  <c r="I27" i="5" s="1"/>
  <c r="K22" i="3"/>
  <c r="I28" i="5" s="1"/>
  <c r="J24" i="3"/>
  <c r="K24" i="3" s="1"/>
  <c r="I30" i="5" s="1"/>
  <c r="J25" i="3"/>
  <c r="K25" i="3" s="1"/>
  <c r="I31" i="5" s="1"/>
  <c r="J26" i="3"/>
  <c r="K26" i="3" s="1"/>
  <c r="I32" i="5" s="1"/>
  <c r="J27" i="3"/>
  <c r="K27" i="3" s="1"/>
  <c r="I33" i="5" s="1"/>
  <c r="J28" i="3"/>
  <c r="K28" i="3" s="1"/>
  <c r="I34" i="5" s="1"/>
  <c r="J29" i="3"/>
  <c r="K29" i="3" s="1"/>
  <c r="I35" i="5" s="1"/>
  <c r="J31" i="3"/>
  <c r="K31" i="3" s="1"/>
  <c r="I37" i="5" s="1"/>
  <c r="J36" i="3"/>
  <c r="K36" i="3" s="1"/>
  <c r="I42" i="5" s="1"/>
  <c r="K37" i="3"/>
  <c r="I43" i="5" s="1"/>
  <c r="K38" i="3"/>
  <c r="I44" i="5" s="1"/>
  <c r="J42" i="3"/>
  <c r="E47" i="5" s="1"/>
  <c r="L42" i="3"/>
  <c r="J43" i="3"/>
  <c r="E48" i="5" s="1"/>
  <c r="K43" i="3"/>
  <c r="L43" i="3"/>
  <c r="J44" i="3"/>
  <c r="E49" i="5" s="1"/>
  <c r="L44" i="3"/>
  <c r="J45" i="3"/>
  <c r="E50" i="5" s="1"/>
  <c r="K45" i="3"/>
  <c r="L45" i="3"/>
  <c r="J46" i="3"/>
  <c r="E51" i="5" s="1"/>
  <c r="K46" i="3"/>
  <c r="L46" i="3"/>
  <c r="J47" i="3"/>
  <c r="E52" i="5" s="1"/>
  <c r="K47" i="3"/>
  <c r="L47" i="3"/>
  <c r="J48" i="3"/>
  <c r="E53" i="5" s="1"/>
  <c r="K48" i="3"/>
  <c r="L48" i="3"/>
  <c r="J49" i="3"/>
  <c r="E54" i="5" s="1"/>
  <c r="K49" i="3"/>
  <c r="L49" i="3"/>
  <c r="J50" i="3"/>
  <c r="E55" i="5" s="1"/>
  <c r="K50" i="3"/>
  <c r="L50" i="3"/>
  <c r="J51" i="3"/>
  <c r="E56" i="5" s="1"/>
  <c r="K51" i="3"/>
  <c r="L51" i="3"/>
  <c r="J52" i="3"/>
  <c r="E57" i="5" s="1"/>
  <c r="K52" i="3"/>
  <c r="L52" i="3"/>
  <c r="J53" i="3"/>
  <c r="E58" i="5" s="1"/>
  <c r="K53" i="3"/>
  <c r="L53" i="3"/>
  <c r="J54" i="3"/>
  <c r="E59" i="5" s="1"/>
  <c r="K54" i="3"/>
  <c r="L54" i="3"/>
  <c r="J55" i="3"/>
  <c r="E60" i="5" s="1"/>
  <c r="K55" i="3"/>
  <c r="L55" i="3"/>
  <c r="J56" i="3"/>
  <c r="E61" i="5" s="1"/>
  <c r="K56" i="3"/>
  <c r="L56" i="3"/>
  <c r="J57" i="3"/>
  <c r="E62" i="5" s="1"/>
  <c r="K57" i="3"/>
  <c r="L57" i="3"/>
  <c r="J58" i="3"/>
  <c r="E63" i="5" s="1"/>
  <c r="K58" i="3"/>
  <c r="L58" i="3"/>
  <c r="J59" i="3"/>
  <c r="E64" i="5" s="1"/>
  <c r="K59" i="3"/>
  <c r="L59" i="3"/>
  <c r="J60" i="3"/>
  <c r="E65" i="5" s="1"/>
  <c r="K60" i="3"/>
  <c r="L60" i="3"/>
  <c r="J61" i="3"/>
  <c r="E66" i="5" s="1"/>
  <c r="K61" i="3"/>
  <c r="L61" i="3"/>
  <c r="J62" i="3"/>
  <c r="E67" i="5" s="1"/>
  <c r="K62" i="3"/>
  <c r="L62" i="3"/>
  <c r="J63" i="3"/>
  <c r="E68" i="5" s="1"/>
  <c r="K63" i="3"/>
  <c r="L63" i="3"/>
  <c r="J64" i="3"/>
  <c r="E69" i="5" s="1"/>
  <c r="K64" i="3"/>
  <c r="L64" i="3"/>
  <c r="A4" i="2"/>
  <c r="A5" i="2"/>
  <c r="A6" i="2"/>
  <c r="I8" i="2"/>
  <c r="G8" i="2" s="1"/>
  <c r="F8" i="2"/>
  <c r="J8" i="2"/>
  <c r="I9" i="2"/>
  <c r="G9" i="2" s="1"/>
  <c r="J9" i="2"/>
  <c r="I62" i="2"/>
  <c r="G62" i="2" s="1"/>
  <c r="J62" i="2"/>
  <c r="I67" i="2"/>
  <c r="G67" i="2" s="1"/>
  <c r="J67" i="2"/>
  <c r="I68" i="2"/>
  <c r="G68" i="2" s="1"/>
  <c r="J68" i="2"/>
  <c r="I86" i="2"/>
  <c r="G86" i="2" s="1"/>
  <c r="J86" i="2"/>
  <c r="I87" i="2"/>
  <c r="G87" i="2" s="1"/>
  <c r="J87" i="2"/>
  <c r="I91" i="2"/>
  <c r="G91" i="2" s="1"/>
  <c r="J91" i="2"/>
  <c r="I92" i="2"/>
  <c r="F92" i="2" s="1"/>
  <c r="J92" i="2"/>
  <c r="I100" i="2"/>
  <c r="G100" i="2" s="1"/>
  <c r="J100" i="2"/>
  <c r="I105" i="2"/>
  <c r="G105" i="2" s="1"/>
  <c r="J105" i="2"/>
  <c r="I106" i="2"/>
  <c r="H106" i="2" s="1"/>
  <c r="L106" i="2" s="1"/>
  <c r="J106" i="2"/>
  <c r="I107" i="2"/>
  <c r="G107" i="2" s="1"/>
  <c r="J107" i="2"/>
  <c r="I108" i="2"/>
  <c r="G108" i="2" s="1"/>
  <c r="J108" i="2"/>
  <c r="I113" i="2"/>
  <c r="F113" i="2" s="1"/>
  <c r="J113" i="2"/>
  <c r="I117" i="2"/>
  <c r="G117" i="2" s="1"/>
  <c r="J117" i="2"/>
  <c r="I122" i="2"/>
  <c r="G122" i="2" s="1"/>
  <c r="J122" i="2"/>
  <c r="I124" i="2"/>
  <c r="G124" i="2" s="1"/>
  <c r="J124" i="2"/>
  <c r="I125" i="2"/>
  <c r="G125" i="2" s="1"/>
  <c r="J125" i="2"/>
  <c r="I128" i="2"/>
  <c r="G128" i="2" s="1"/>
  <c r="J128" i="2"/>
  <c r="I139" i="2"/>
  <c r="H139" i="2" s="1"/>
  <c r="L139" i="2" s="1"/>
  <c r="J139" i="2"/>
  <c r="I141" i="2"/>
  <c r="G141" i="2" s="1"/>
  <c r="J141" i="2"/>
  <c r="I147" i="2"/>
  <c r="J147" i="2"/>
  <c r="I149" i="2"/>
  <c r="J149" i="2"/>
  <c r="I150" i="2"/>
  <c r="J150" i="2"/>
  <c r="G303" i="2"/>
  <c r="G304" i="2"/>
  <c r="G305" i="2"/>
  <c r="G306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5" i="2"/>
  <c r="G346" i="2"/>
  <c r="G347" i="2"/>
  <c r="G348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F399" i="2"/>
  <c r="H399" i="2"/>
  <c r="K399" i="2" s="1"/>
  <c r="G399" i="2"/>
  <c r="F400" i="2"/>
  <c r="H400" i="2"/>
  <c r="K400" i="2" s="1"/>
  <c r="G400" i="2"/>
  <c r="G401" i="2"/>
  <c r="G402" i="2"/>
  <c r="F403" i="2"/>
  <c r="H403" i="2"/>
  <c r="K403" i="2" s="1"/>
  <c r="G403" i="2"/>
  <c r="F404" i="2"/>
  <c r="H404" i="2"/>
  <c r="K404" i="2" s="1"/>
  <c r="G404" i="2"/>
  <c r="G405" i="2"/>
  <c r="F406" i="2"/>
  <c r="H406" i="2"/>
  <c r="K406" i="2" s="1"/>
  <c r="G406" i="2"/>
  <c r="F407" i="2"/>
  <c r="H407" i="2"/>
  <c r="K407" i="2" s="1"/>
  <c r="G407" i="2"/>
  <c r="F408" i="2"/>
  <c r="H408" i="2"/>
  <c r="K408" i="2" s="1"/>
  <c r="G408" i="2"/>
  <c r="F409" i="2"/>
  <c r="H409" i="2"/>
  <c r="K409" i="2" s="1"/>
  <c r="G409" i="2"/>
  <c r="F410" i="2"/>
  <c r="H410" i="2"/>
  <c r="K410" i="2" s="1"/>
  <c r="G410" i="2"/>
  <c r="F411" i="2"/>
  <c r="H411" i="2"/>
  <c r="K411" i="2" s="1"/>
  <c r="G411" i="2"/>
  <c r="F412" i="2"/>
  <c r="H412" i="2"/>
  <c r="K412" i="2" s="1"/>
  <c r="G412" i="2"/>
  <c r="F413" i="2"/>
  <c r="H413" i="2"/>
  <c r="K413" i="2" s="1"/>
  <c r="G413" i="2"/>
  <c r="F414" i="2"/>
  <c r="H414" i="2"/>
  <c r="K414" i="2" s="1"/>
  <c r="G414" i="2"/>
  <c r="F415" i="2"/>
  <c r="H415" i="2"/>
  <c r="K415" i="2" s="1"/>
  <c r="G415" i="2"/>
  <c r="F416" i="2"/>
  <c r="H416" i="2"/>
  <c r="K416" i="2" s="1"/>
  <c r="G416" i="2"/>
  <c r="F417" i="2"/>
  <c r="H417" i="2"/>
  <c r="K417" i="2" s="1"/>
  <c r="G417" i="2"/>
  <c r="F418" i="2"/>
  <c r="H418" i="2"/>
  <c r="K418" i="2" s="1"/>
  <c r="G418" i="2"/>
  <c r="F419" i="2"/>
  <c r="H419" i="2"/>
  <c r="K419" i="2" s="1"/>
  <c r="G419" i="2"/>
  <c r="F420" i="2"/>
  <c r="H420" i="2"/>
  <c r="K420" i="2" s="1"/>
  <c r="G420" i="2"/>
  <c r="F421" i="2"/>
  <c r="H421" i="2"/>
  <c r="K421" i="2" s="1"/>
  <c r="G421" i="2"/>
  <c r="F422" i="2"/>
  <c r="H422" i="2"/>
  <c r="K422" i="2" s="1"/>
  <c r="G422" i="2"/>
  <c r="F423" i="2"/>
  <c r="H423" i="2"/>
  <c r="K423" i="2" s="1"/>
  <c r="G423" i="2"/>
  <c r="F424" i="2"/>
  <c r="H424" i="2"/>
  <c r="K424" i="2" s="1"/>
  <c r="G424" i="2"/>
  <c r="F425" i="2"/>
  <c r="H425" i="2"/>
  <c r="K425" i="2" s="1"/>
  <c r="G425" i="2"/>
  <c r="F426" i="2"/>
  <c r="H426" i="2"/>
  <c r="K426" i="2" s="1"/>
  <c r="G426" i="2"/>
  <c r="F427" i="2"/>
  <c r="H427" i="2"/>
  <c r="K427" i="2" s="1"/>
  <c r="G427" i="2"/>
  <c r="F428" i="2"/>
  <c r="H428" i="2"/>
  <c r="K428" i="2" s="1"/>
  <c r="G428" i="2"/>
  <c r="F429" i="2"/>
  <c r="H429" i="2"/>
  <c r="K429" i="2" s="1"/>
  <c r="G429" i="2"/>
  <c r="F430" i="2"/>
  <c r="H430" i="2"/>
  <c r="K430" i="2" s="1"/>
  <c r="G430" i="2"/>
  <c r="F431" i="2"/>
  <c r="H431" i="2"/>
  <c r="K431" i="2" s="1"/>
  <c r="G431" i="2"/>
  <c r="F432" i="2"/>
  <c r="H432" i="2"/>
  <c r="K432" i="2" s="1"/>
  <c r="G432" i="2"/>
  <c r="F433" i="2"/>
  <c r="H433" i="2"/>
  <c r="K433" i="2" s="1"/>
  <c r="G433" i="2"/>
  <c r="F434" i="2"/>
  <c r="H434" i="2"/>
  <c r="K434" i="2" s="1"/>
  <c r="G434" i="2"/>
  <c r="F435" i="2"/>
  <c r="H435" i="2"/>
  <c r="K435" i="2" s="1"/>
  <c r="G435" i="2"/>
  <c r="F436" i="2"/>
  <c r="H436" i="2"/>
  <c r="K436" i="2" s="1"/>
  <c r="G436" i="2"/>
  <c r="F437" i="2"/>
  <c r="H437" i="2"/>
  <c r="K437" i="2" s="1"/>
  <c r="G437" i="2"/>
  <c r="F438" i="2"/>
  <c r="H438" i="2"/>
  <c r="K438" i="2" s="1"/>
  <c r="G438" i="2"/>
  <c r="F439" i="2"/>
  <c r="H439" i="2"/>
  <c r="K439" i="2" s="1"/>
  <c r="G439" i="2"/>
  <c r="F440" i="2"/>
  <c r="H440" i="2"/>
  <c r="K440" i="2" s="1"/>
  <c r="G440" i="2"/>
  <c r="F441" i="2"/>
  <c r="H441" i="2"/>
  <c r="K441" i="2" s="1"/>
  <c r="G441" i="2"/>
  <c r="F442" i="2"/>
  <c r="H442" i="2"/>
  <c r="K442" i="2" s="1"/>
  <c r="G442" i="2"/>
  <c r="F443" i="2"/>
  <c r="H443" i="2"/>
  <c r="K443" i="2" s="1"/>
  <c r="G443" i="2"/>
  <c r="F444" i="2"/>
  <c r="H444" i="2"/>
  <c r="K444" i="2" s="1"/>
  <c r="G444" i="2"/>
  <c r="F445" i="2"/>
  <c r="H445" i="2"/>
  <c r="K445" i="2" s="1"/>
  <c r="G445" i="2"/>
  <c r="F446" i="2"/>
  <c r="H446" i="2"/>
  <c r="K446" i="2" s="1"/>
  <c r="G446" i="2"/>
  <c r="F447" i="2"/>
  <c r="H447" i="2"/>
  <c r="K447" i="2" s="1"/>
  <c r="G447" i="2"/>
  <c r="F448" i="2"/>
  <c r="H448" i="2"/>
  <c r="K448" i="2" s="1"/>
  <c r="G448" i="2"/>
  <c r="F449" i="2"/>
  <c r="H449" i="2"/>
  <c r="K449" i="2" s="1"/>
  <c r="G449" i="2"/>
  <c r="F450" i="2"/>
  <c r="H450" i="2"/>
  <c r="K450" i="2" s="1"/>
  <c r="G450" i="2"/>
  <c r="F451" i="2"/>
  <c r="H451" i="2"/>
  <c r="K451" i="2" s="1"/>
  <c r="G451" i="2"/>
  <c r="F452" i="2"/>
  <c r="H452" i="2"/>
  <c r="K452" i="2" s="1"/>
  <c r="G452" i="2"/>
  <c r="F453" i="2"/>
  <c r="H453" i="2"/>
  <c r="K453" i="2" s="1"/>
  <c r="G453" i="2"/>
  <c r="F454" i="2"/>
  <c r="H454" i="2"/>
  <c r="K454" i="2" s="1"/>
  <c r="G454" i="2"/>
  <c r="F455" i="2"/>
  <c r="H455" i="2"/>
  <c r="K455" i="2" s="1"/>
  <c r="G455" i="2"/>
  <c r="F456" i="2"/>
  <c r="H456" i="2"/>
  <c r="K456" i="2" s="1"/>
  <c r="G456" i="2"/>
  <c r="F457" i="2"/>
  <c r="H457" i="2"/>
  <c r="K457" i="2" s="1"/>
  <c r="G457" i="2"/>
  <c r="F458" i="2"/>
  <c r="H458" i="2"/>
  <c r="K458" i="2" s="1"/>
  <c r="G458" i="2"/>
  <c r="F459" i="2"/>
  <c r="H459" i="2"/>
  <c r="K459" i="2" s="1"/>
  <c r="G459" i="2"/>
  <c r="F460" i="2"/>
  <c r="H460" i="2"/>
  <c r="K460" i="2" s="1"/>
  <c r="G460" i="2"/>
  <c r="F461" i="2"/>
  <c r="H461" i="2"/>
  <c r="K461" i="2" s="1"/>
  <c r="G461" i="2"/>
  <c r="F462" i="2"/>
  <c r="H462" i="2"/>
  <c r="K462" i="2" s="1"/>
  <c r="G462" i="2"/>
  <c r="F463" i="2"/>
  <c r="H463" i="2"/>
  <c r="K463" i="2" s="1"/>
  <c r="G463" i="2"/>
  <c r="F464" i="2"/>
  <c r="H464" i="2"/>
  <c r="K464" i="2" s="1"/>
  <c r="G464" i="2"/>
  <c r="F465" i="2"/>
  <c r="H465" i="2"/>
  <c r="K465" i="2" s="1"/>
  <c r="G465" i="2"/>
  <c r="F466" i="2"/>
  <c r="H466" i="2"/>
  <c r="K466" i="2" s="1"/>
  <c r="G466" i="2"/>
  <c r="F467" i="2"/>
  <c r="H467" i="2"/>
  <c r="K467" i="2" s="1"/>
  <c r="G467" i="2"/>
  <c r="F468" i="2"/>
  <c r="H468" i="2"/>
  <c r="K468" i="2" s="1"/>
  <c r="G468" i="2"/>
  <c r="F469" i="2"/>
  <c r="H469" i="2"/>
  <c r="K469" i="2" s="1"/>
  <c r="G469" i="2"/>
  <c r="F470" i="2"/>
  <c r="H470" i="2"/>
  <c r="K470" i="2" s="1"/>
  <c r="G470" i="2"/>
  <c r="F471" i="2"/>
  <c r="H471" i="2"/>
  <c r="K471" i="2" s="1"/>
  <c r="G471" i="2"/>
  <c r="F472" i="2"/>
  <c r="H472" i="2"/>
  <c r="K472" i="2" s="1"/>
  <c r="G472" i="2"/>
  <c r="F473" i="2"/>
  <c r="H473" i="2"/>
  <c r="K473" i="2" s="1"/>
  <c r="G473" i="2"/>
  <c r="F474" i="2"/>
  <c r="H474" i="2"/>
  <c r="K474" i="2" s="1"/>
  <c r="G474" i="2"/>
  <c r="F475" i="2"/>
  <c r="H475" i="2"/>
  <c r="K475" i="2" s="1"/>
  <c r="G475" i="2"/>
  <c r="F476" i="2"/>
  <c r="H476" i="2"/>
  <c r="K476" i="2" s="1"/>
  <c r="G476" i="2"/>
  <c r="F477" i="2"/>
  <c r="H477" i="2"/>
  <c r="K477" i="2" s="1"/>
  <c r="G477" i="2"/>
  <c r="F478" i="2"/>
  <c r="H478" i="2"/>
  <c r="K478" i="2" s="1"/>
  <c r="G478" i="2"/>
  <c r="F479" i="2"/>
  <c r="H479" i="2"/>
  <c r="K479" i="2" s="1"/>
  <c r="G479" i="2"/>
  <c r="F480" i="2"/>
  <c r="H480" i="2"/>
  <c r="K480" i="2" s="1"/>
  <c r="G480" i="2"/>
  <c r="F481" i="2"/>
  <c r="H481" i="2"/>
  <c r="K481" i="2" s="1"/>
  <c r="G481" i="2"/>
  <c r="F482" i="2"/>
  <c r="H482" i="2"/>
  <c r="K482" i="2" s="1"/>
  <c r="G482" i="2"/>
  <c r="F483" i="2"/>
  <c r="H483" i="2"/>
  <c r="K483" i="2" s="1"/>
  <c r="G483" i="2"/>
  <c r="F484" i="2"/>
  <c r="H484" i="2"/>
  <c r="K484" i="2" s="1"/>
  <c r="G484" i="2"/>
  <c r="F485" i="2"/>
  <c r="H485" i="2"/>
  <c r="K485" i="2" s="1"/>
  <c r="G485" i="2"/>
  <c r="F486" i="2"/>
  <c r="H486" i="2"/>
  <c r="K486" i="2" s="1"/>
  <c r="G486" i="2"/>
  <c r="F487" i="2"/>
  <c r="H487" i="2"/>
  <c r="K487" i="2" s="1"/>
  <c r="G487" i="2"/>
  <c r="F488" i="2"/>
  <c r="H488" i="2"/>
  <c r="K488" i="2" s="1"/>
  <c r="G488" i="2"/>
  <c r="F489" i="2"/>
  <c r="H489" i="2"/>
  <c r="K489" i="2" s="1"/>
  <c r="G489" i="2"/>
  <c r="F490" i="2"/>
  <c r="H490" i="2"/>
  <c r="K490" i="2" s="1"/>
  <c r="G490" i="2"/>
  <c r="F491" i="2"/>
  <c r="H491" i="2"/>
  <c r="K491" i="2" s="1"/>
  <c r="G491" i="2"/>
  <c r="F492" i="2"/>
  <c r="H492" i="2"/>
  <c r="K492" i="2" s="1"/>
  <c r="G492" i="2"/>
  <c r="F493" i="2"/>
  <c r="H493" i="2"/>
  <c r="K493" i="2" s="1"/>
  <c r="G493" i="2"/>
  <c r="F494" i="2"/>
  <c r="H494" i="2"/>
  <c r="K494" i="2" s="1"/>
  <c r="G494" i="2"/>
  <c r="F495" i="2"/>
  <c r="H495" i="2"/>
  <c r="K495" i="2" s="1"/>
  <c r="G495" i="2"/>
  <c r="F496" i="2"/>
  <c r="H496" i="2"/>
  <c r="K496" i="2" s="1"/>
  <c r="G496" i="2"/>
  <c r="F497" i="2"/>
  <c r="H497" i="2"/>
  <c r="K497" i="2" s="1"/>
  <c r="G497" i="2"/>
  <c r="F498" i="2"/>
  <c r="H498" i="2"/>
  <c r="K498" i="2" s="1"/>
  <c r="G498" i="2"/>
  <c r="F499" i="2"/>
  <c r="H499" i="2"/>
  <c r="K499" i="2" s="1"/>
  <c r="G499" i="2"/>
  <c r="F500" i="2"/>
  <c r="H500" i="2"/>
  <c r="K500" i="2" s="1"/>
  <c r="G500" i="2"/>
  <c r="F501" i="2"/>
  <c r="H501" i="2"/>
  <c r="K501" i="2" s="1"/>
  <c r="G501" i="2"/>
  <c r="F502" i="2"/>
  <c r="H502" i="2"/>
  <c r="K502" i="2" s="1"/>
  <c r="G502" i="2"/>
  <c r="F503" i="2"/>
  <c r="H503" i="2"/>
  <c r="K503" i="2" s="1"/>
  <c r="G503" i="2"/>
  <c r="F504" i="2"/>
  <c r="H504" i="2"/>
  <c r="K504" i="2" s="1"/>
  <c r="G504" i="2"/>
  <c r="F505" i="2"/>
  <c r="H505" i="2"/>
  <c r="K505" i="2" s="1"/>
  <c r="G505" i="2"/>
  <c r="F506" i="2"/>
  <c r="H506" i="2"/>
  <c r="K506" i="2" s="1"/>
  <c r="G506" i="2"/>
  <c r="F507" i="2"/>
  <c r="H507" i="2"/>
  <c r="K507" i="2" s="1"/>
  <c r="G507" i="2"/>
  <c r="F508" i="2"/>
  <c r="H508" i="2"/>
  <c r="K508" i="2" s="1"/>
  <c r="G508" i="2"/>
  <c r="F509" i="2"/>
  <c r="H509" i="2"/>
  <c r="K509" i="2" s="1"/>
  <c r="G509" i="2"/>
  <c r="F510" i="2"/>
  <c r="H510" i="2"/>
  <c r="K510" i="2" s="1"/>
  <c r="G510" i="2"/>
  <c r="F511" i="2"/>
  <c r="H511" i="2"/>
  <c r="K511" i="2" s="1"/>
  <c r="G511" i="2"/>
  <c r="F512" i="2"/>
  <c r="H512" i="2"/>
  <c r="K512" i="2" s="1"/>
  <c r="G512" i="2"/>
  <c r="F513" i="2"/>
  <c r="H513" i="2"/>
  <c r="K513" i="2" s="1"/>
  <c r="G513" i="2"/>
  <c r="F514" i="2"/>
  <c r="H514" i="2"/>
  <c r="K514" i="2" s="1"/>
  <c r="G514" i="2"/>
  <c r="F515" i="2"/>
  <c r="H515" i="2"/>
  <c r="K515" i="2" s="1"/>
  <c r="G515" i="2"/>
  <c r="F516" i="2"/>
  <c r="H516" i="2"/>
  <c r="K516" i="2" s="1"/>
  <c r="G516" i="2"/>
  <c r="F517" i="2"/>
  <c r="H517" i="2"/>
  <c r="K517" i="2" s="1"/>
  <c r="G517" i="2"/>
  <c r="F518" i="2"/>
  <c r="H518" i="2"/>
  <c r="K518" i="2" s="1"/>
  <c r="G518" i="2"/>
  <c r="F519" i="2"/>
  <c r="H519" i="2"/>
  <c r="K519" i="2" s="1"/>
  <c r="G519" i="2"/>
  <c r="F520" i="2"/>
  <c r="H520" i="2"/>
  <c r="K520" i="2" s="1"/>
  <c r="G520" i="2"/>
  <c r="F521" i="2"/>
  <c r="H521" i="2"/>
  <c r="K521" i="2" s="1"/>
  <c r="G521" i="2"/>
  <c r="F522" i="2"/>
  <c r="H522" i="2"/>
  <c r="K522" i="2" s="1"/>
  <c r="G522" i="2"/>
  <c r="F523" i="2"/>
  <c r="H523" i="2"/>
  <c r="K523" i="2" s="1"/>
  <c r="G523" i="2"/>
  <c r="F524" i="2"/>
  <c r="H524" i="2"/>
  <c r="K524" i="2" s="1"/>
  <c r="G524" i="2"/>
  <c r="F525" i="2"/>
  <c r="H525" i="2"/>
  <c r="K525" i="2" s="1"/>
  <c r="G525" i="2"/>
  <c r="F526" i="2"/>
  <c r="H526" i="2"/>
  <c r="K526" i="2" s="1"/>
  <c r="G526" i="2"/>
  <c r="F527" i="2"/>
  <c r="H527" i="2"/>
  <c r="K527" i="2" s="1"/>
  <c r="G527" i="2"/>
  <c r="F528" i="2"/>
  <c r="H528" i="2"/>
  <c r="K528" i="2" s="1"/>
  <c r="G528" i="2"/>
  <c r="F529" i="2"/>
  <c r="H529" i="2"/>
  <c r="K529" i="2" s="1"/>
  <c r="G529" i="2"/>
  <c r="F530" i="2"/>
  <c r="H530" i="2"/>
  <c r="K530" i="2" s="1"/>
  <c r="G530" i="2"/>
  <c r="F531" i="2"/>
  <c r="H531" i="2"/>
  <c r="K531" i="2" s="1"/>
  <c r="G531" i="2"/>
  <c r="F532" i="2"/>
  <c r="H532" i="2"/>
  <c r="K532" i="2" s="1"/>
  <c r="G532" i="2"/>
  <c r="F533" i="2"/>
  <c r="H533" i="2"/>
  <c r="K533" i="2" s="1"/>
  <c r="G533" i="2"/>
  <c r="F534" i="2"/>
  <c r="H534" i="2"/>
  <c r="K534" i="2" s="1"/>
  <c r="G534" i="2"/>
  <c r="F535" i="2"/>
  <c r="H535" i="2"/>
  <c r="K535" i="2" s="1"/>
  <c r="G535" i="2"/>
  <c r="F536" i="2"/>
  <c r="H536" i="2"/>
  <c r="K536" i="2" s="1"/>
  <c r="G536" i="2"/>
  <c r="F537" i="2"/>
  <c r="H537" i="2"/>
  <c r="K537" i="2" s="1"/>
  <c r="G537" i="2"/>
  <c r="F538" i="2"/>
  <c r="H538" i="2"/>
  <c r="K538" i="2" s="1"/>
  <c r="G538" i="2"/>
  <c r="F539" i="2"/>
  <c r="H539" i="2"/>
  <c r="K539" i="2" s="1"/>
  <c r="G539" i="2"/>
  <c r="F540" i="2"/>
  <c r="H540" i="2"/>
  <c r="K540" i="2" s="1"/>
  <c r="G540" i="2"/>
  <c r="F541" i="2"/>
  <c r="H541" i="2"/>
  <c r="K541" i="2" s="1"/>
  <c r="G541" i="2"/>
  <c r="F542" i="2"/>
  <c r="H542" i="2"/>
  <c r="K542" i="2" s="1"/>
  <c r="G542" i="2"/>
  <c r="F543" i="2"/>
  <c r="H543" i="2"/>
  <c r="K543" i="2" s="1"/>
  <c r="G543" i="2"/>
  <c r="F544" i="2"/>
  <c r="H544" i="2"/>
  <c r="K544" i="2" s="1"/>
  <c r="G544" i="2"/>
  <c r="F545" i="2"/>
  <c r="H545" i="2"/>
  <c r="K545" i="2" s="1"/>
  <c r="G545" i="2"/>
  <c r="F546" i="2"/>
  <c r="H546" i="2"/>
  <c r="K546" i="2" s="1"/>
  <c r="G546" i="2"/>
  <c r="F547" i="2"/>
  <c r="H547" i="2"/>
  <c r="K547" i="2" s="1"/>
  <c r="G547" i="2"/>
  <c r="F548" i="2"/>
  <c r="H548" i="2"/>
  <c r="K548" i="2" s="1"/>
  <c r="G548" i="2"/>
  <c r="F549" i="2"/>
  <c r="H549" i="2"/>
  <c r="K549" i="2" s="1"/>
  <c r="G549" i="2"/>
  <c r="F550" i="2"/>
  <c r="H550" i="2"/>
  <c r="K550" i="2" s="1"/>
  <c r="G550" i="2"/>
  <c r="F551" i="2"/>
  <c r="H551" i="2"/>
  <c r="K551" i="2" s="1"/>
  <c r="G551" i="2"/>
  <c r="F552" i="2"/>
  <c r="H552" i="2"/>
  <c r="K552" i="2" s="1"/>
  <c r="G552" i="2"/>
  <c r="F553" i="2"/>
  <c r="H553" i="2"/>
  <c r="K553" i="2" s="1"/>
  <c r="G553" i="2"/>
  <c r="F554" i="2"/>
  <c r="H554" i="2"/>
  <c r="K554" i="2" s="1"/>
  <c r="G554" i="2"/>
  <c r="F555" i="2"/>
  <c r="H555" i="2"/>
  <c r="K555" i="2" s="1"/>
  <c r="G555" i="2"/>
  <c r="F556" i="2"/>
  <c r="H556" i="2"/>
  <c r="K556" i="2" s="1"/>
  <c r="G556" i="2"/>
  <c r="F557" i="2"/>
  <c r="H557" i="2"/>
  <c r="K557" i="2" s="1"/>
  <c r="G557" i="2"/>
  <c r="F558" i="2"/>
  <c r="H558" i="2"/>
  <c r="K558" i="2" s="1"/>
  <c r="G558" i="2"/>
  <c r="F559" i="2"/>
  <c r="H559" i="2"/>
  <c r="K559" i="2" s="1"/>
  <c r="G559" i="2"/>
  <c r="F560" i="2"/>
  <c r="H560" i="2"/>
  <c r="K560" i="2" s="1"/>
  <c r="G560" i="2"/>
  <c r="F561" i="2"/>
  <c r="H561" i="2"/>
  <c r="K561" i="2" s="1"/>
  <c r="G561" i="2"/>
  <c r="F562" i="2"/>
  <c r="H562" i="2"/>
  <c r="K562" i="2" s="1"/>
  <c r="G562" i="2"/>
  <c r="F563" i="2"/>
  <c r="H563" i="2"/>
  <c r="K563" i="2" s="1"/>
  <c r="G563" i="2"/>
  <c r="F564" i="2"/>
  <c r="H564" i="2"/>
  <c r="K564" i="2" s="1"/>
  <c r="G564" i="2"/>
  <c r="F565" i="2"/>
  <c r="H565" i="2"/>
  <c r="K565" i="2" s="1"/>
  <c r="G565" i="2"/>
  <c r="F566" i="2"/>
  <c r="H566" i="2"/>
  <c r="K566" i="2" s="1"/>
  <c r="G566" i="2"/>
  <c r="F567" i="2"/>
  <c r="H567" i="2"/>
  <c r="K567" i="2" s="1"/>
  <c r="G567" i="2"/>
  <c r="F568" i="2"/>
  <c r="H568" i="2"/>
  <c r="K568" i="2" s="1"/>
  <c r="G568" i="2"/>
  <c r="F569" i="2"/>
  <c r="H569" i="2"/>
  <c r="K569" i="2" s="1"/>
  <c r="G569" i="2"/>
  <c r="F570" i="2"/>
  <c r="H570" i="2"/>
  <c r="K570" i="2" s="1"/>
  <c r="G570" i="2"/>
  <c r="F571" i="2"/>
  <c r="H571" i="2"/>
  <c r="K571" i="2" s="1"/>
  <c r="G571" i="2"/>
  <c r="F572" i="2"/>
  <c r="H572" i="2"/>
  <c r="K572" i="2" s="1"/>
  <c r="G572" i="2"/>
  <c r="F573" i="2"/>
  <c r="H573" i="2"/>
  <c r="K573" i="2" s="1"/>
  <c r="G573" i="2"/>
  <c r="F574" i="2"/>
  <c r="H574" i="2"/>
  <c r="K574" i="2" s="1"/>
  <c r="G574" i="2"/>
  <c r="F575" i="2"/>
  <c r="H575" i="2"/>
  <c r="K575" i="2" s="1"/>
  <c r="G575" i="2"/>
  <c r="F576" i="2"/>
  <c r="H576" i="2"/>
  <c r="K576" i="2" s="1"/>
  <c r="G576" i="2"/>
  <c r="F577" i="2"/>
  <c r="H577" i="2"/>
  <c r="K577" i="2" s="1"/>
  <c r="G577" i="2"/>
  <c r="F578" i="2"/>
  <c r="H578" i="2"/>
  <c r="K578" i="2" s="1"/>
  <c r="G578" i="2"/>
  <c r="F579" i="2"/>
  <c r="H579" i="2"/>
  <c r="K579" i="2" s="1"/>
  <c r="G579" i="2"/>
  <c r="F580" i="2"/>
  <c r="H580" i="2"/>
  <c r="K580" i="2" s="1"/>
  <c r="G580" i="2"/>
  <c r="F581" i="2"/>
  <c r="H581" i="2"/>
  <c r="K581" i="2" s="1"/>
  <c r="G581" i="2"/>
  <c r="F582" i="2"/>
  <c r="H582" i="2"/>
  <c r="K582" i="2" s="1"/>
  <c r="G582" i="2"/>
  <c r="F583" i="2"/>
  <c r="H583" i="2"/>
  <c r="K583" i="2" s="1"/>
  <c r="G583" i="2"/>
  <c r="F584" i="2"/>
  <c r="H584" i="2"/>
  <c r="K584" i="2" s="1"/>
  <c r="G584" i="2"/>
  <c r="F585" i="2"/>
  <c r="H585" i="2"/>
  <c r="K585" i="2" s="1"/>
  <c r="G585" i="2"/>
  <c r="F586" i="2"/>
  <c r="H586" i="2"/>
  <c r="K586" i="2" s="1"/>
  <c r="G586" i="2"/>
  <c r="F587" i="2"/>
  <c r="H587" i="2"/>
  <c r="K587" i="2" s="1"/>
  <c r="G587" i="2"/>
  <c r="F588" i="2"/>
  <c r="H588" i="2"/>
  <c r="K588" i="2" s="1"/>
  <c r="G588" i="2"/>
  <c r="F589" i="2"/>
  <c r="H589" i="2"/>
  <c r="K589" i="2" s="1"/>
  <c r="G589" i="2"/>
  <c r="F590" i="2"/>
  <c r="H590" i="2"/>
  <c r="K590" i="2" s="1"/>
  <c r="G590" i="2"/>
  <c r="F591" i="2"/>
  <c r="H591" i="2"/>
  <c r="K591" i="2" s="1"/>
  <c r="G591" i="2"/>
  <c r="F592" i="2"/>
  <c r="H592" i="2"/>
  <c r="K592" i="2" s="1"/>
  <c r="G592" i="2"/>
  <c r="F593" i="2"/>
  <c r="H593" i="2"/>
  <c r="K593" i="2" s="1"/>
  <c r="G593" i="2"/>
  <c r="F594" i="2"/>
  <c r="H594" i="2"/>
  <c r="K594" i="2" s="1"/>
  <c r="G594" i="2"/>
  <c r="F595" i="2"/>
  <c r="H595" i="2"/>
  <c r="K595" i="2" s="1"/>
  <c r="G595" i="2"/>
  <c r="F596" i="2"/>
  <c r="H596" i="2"/>
  <c r="K596" i="2" s="1"/>
  <c r="G596" i="2"/>
  <c r="F597" i="2"/>
  <c r="H597" i="2"/>
  <c r="K597" i="2" s="1"/>
  <c r="G597" i="2"/>
  <c r="F598" i="2"/>
  <c r="H598" i="2"/>
  <c r="K598" i="2" s="1"/>
  <c r="G598" i="2"/>
  <c r="F599" i="2"/>
  <c r="H599" i="2"/>
  <c r="K599" i="2" s="1"/>
  <c r="G599" i="2"/>
  <c r="F600" i="2"/>
  <c r="H600" i="2"/>
  <c r="K600" i="2" s="1"/>
  <c r="G600" i="2"/>
  <c r="F601" i="2"/>
  <c r="H601" i="2"/>
  <c r="K601" i="2" s="1"/>
  <c r="G601" i="2"/>
  <c r="F602" i="2"/>
  <c r="H602" i="2"/>
  <c r="K602" i="2" s="1"/>
  <c r="G602" i="2"/>
  <c r="F603" i="2"/>
  <c r="H603" i="2"/>
  <c r="K603" i="2" s="1"/>
  <c r="G603" i="2"/>
  <c r="F604" i="2"/>
  <c r="H604" i="2"/>
  <c r="K604" i="2" s="1"/>
  <c r="G604" i="2"/>
  <c r="F605" i="2"/>
  <c r="H605" i="2"/>
  <c r="K605" i="2" s="1"/>
  <c r="G605" i="2"/>
  <c r="F606" i="2"/>
  <c r="H606" i="2"/>
  <c r="K606" i="2" s="1"/>
  <c r="G606" i="2"/>
  <c r="F607" i="2"/>
  <c r="H607" i="2"/>
  <c r="K607" i="2" s="1"/>
  <c r="G607" i="2"/>
  <c r="F608" i="2"/>
  <c r="H608" i="2"/>
  <c r="K608" i="2" s="1"/>
  <c r="G608" i="2"/>
  <c r="F609" i="2"/>
  <c r="H609" i="2"/>
  <c r="K609" i="2" s="1"/>
  <c r="G609" i="2"/>
  <c r="F610" i="2"/>
  <c r="H610" i="2"/>
  <c r="K610" i="2" s="1"/>
  <c r="G610" i="2"/>
  <c r="F611" i="2"/>
  <c r="H611" i="2"/>
  <c r="K611" i="2" s="1"/>
  <c r="G611" i="2"/>
  <c r="F612" i="2"/>
  <c r="H612" i="2"/>
  <c r="K612" i="2" s="1"/>
  <c r="G612" i="2"/>
  <c r="F613" i="2"/>
  <c r="H613" i="2"/>
  <c r="K613" i="2" s="1"/>
  <c r="G613" i="2"/>
  <c r="F614" i="2"/>
  <c r="H614" i="2"/>
  <c r="K614" i="2" s="1"/>
  <c r="G614" i="2"/>
  <c r="F615" i="2"/>
  <c r="H615" i="2"/>
  <c r="I615" i="2"/>
  <c r="G615" i="2" s="1"/>
  <c r="J615" i="2"/>
  <c r="F616" i="2"/>
  <c r="H616" i="2"/>
  <c r="I616" i="2"/>
  <c r="G616" i="2" s="1"/>
  <c r="J616" i="2"/>
  <c r="F617" i="2"/>
  <c r="H617" i="2"/>
  <c r="I617" i="2"/>
  <c r="G617" i="2" s="1"/>
  <c r="J617" i="2"/>
  <c r="F618" i="2"/>
  <c r="H618" i="2"/>
  <c r="I618" i="2"/>
  <c r="G618" i="2" s="1"/>
  <c r="J618" i="2"/>
  <c r="F619" i="2"/>
  <c r="H619" i="2"/>
  <c r="I619" i="2"/>
  <c r="G619" i="2" s="1"/>
  <c r="J619" i="2"/>
  <c r="F620" i="2"/>
  <c r="H620" i="2"/>
  <c r="I620" i="2"/>
  <c r="G620" i="2" s="1"/>
  <c r="J620" i="2"/>
  <c r="F621" i="2"/>
  <c r="H621" i="2"/>
  <c r="I621" i="2"/>
  <c r="G621" i="2" s="1"/>
  <c r="J621" i="2"/>
  <c r="F622" i="2"/>
  <c r="H622" i="2"/>
  <c r="I622" i="2"/>
  <c r="G622" i="2" s="1"/>
  <c r="J622" i="2"/>
  <c r="F623" i="2"/>
  <c r="H623" i="2"/>
  <c r="I623" i="2"/>
  <c r="G623" i="2" s="1"/>
  <c r="J623" i="2"/>
  <c r="F624" i="2"/>
  <c r="H624" i="2"/>
  <c r="I624" i="2"/>
  <c r="G624" i="2" s="1"/>
  <c r="J624" i="2"/>
  <c r="F625" i="2"/>
  <c r="H625" i="2"/>
  <c r="I625" i="2"/>
  <c r="G625" i="2" s="1"/>
  <c r="J625" i="2"/>
  <c r="F626" i="2"/>
  <c r="H626" i="2"/>
  <c r="I626" i="2"/>
  <c r="G626" i="2" s="1"/>
  <c r="J626" i="2"/>
  <c r="F627" i="2"/>
  <c r="H627" i="2"/>
  <c r="I627" i="2"/>
  <c r="G627" i="2" s="1"/>
  <c r="J627" i="2"/>
  <c r="F628" i="2"/>
  <c r="H628" i="2"/>
  <c r="I628" i="2"/>
  <c r="G628" i="2" s="1"/>
  <c r="J628" i="2"/>
  <c r="F629" i="2"/>
  <c r="H629" i="2"/>
  <c r="I629" i="2"/>
  <c r="G629" i="2" s="1"/>
  <c r="J629" i="2"/>
  <c r="F630" i="2"/>
  <c r="H630" i="2"/>
  <c r="I630" i="2"/>
  <c r="G630" i="2" s="1"/>
  <c r="J630" i="2"/>
  <c r="F631" i="2"/>
  <c r="H631" i="2"/>
  <c r="I631" i="2"/>
  <c r="G631" i="2" s="1"/>
  <c r="J631" i="2"/>
  <c r="F632" i="2"/>
  <c r="H632" i="2"/>
  <c r="I632" i="2"/>
  <c r="G632" i="2" s="1"/>
  <c r="J632" i="2"/>
  <c r="F633" i="2"/>
  <c r="H633" i="2"/>
  <c r="I633" i="2"/>
  <c r="G633" i="2" s="1"/>
  <c r="J633" i="2"/>
  <c r="F634" i="2"/>
  <c r="H634" i="2"/>
  <c r="I634" i="2"/>
  <c r="G634" i="2" s="1"/>
  <c r="J634" i="2"/>
  <c r="F635" i="2"/>
  <c r="H635" i="2"/>
  <c r="I635" i="2"/>
  <c r="G635" i="2" s="1"/>
  <c r="J635" i="2"/>
  <c r="F636" i="2"/>
  <c r="H636" i="2"/>
  <c r="I636" i="2"/>
  <c r="G636" i="2" s="1"/>
  <c r="J636" i="2"/>
  <c r="F637" i="2"/>
  <c r="H637" i="2"/>
  <c r="I637" i="2"/>
  <c r="G637" i="2" s="1"/>
  <c r="J637" i="2"/>
  <c r="F638" i="2"/>
  <c r="H638" i="2"/>
  <c r="I638" i="2"/>
  <c r="G638" i="2" s="1"/>
  <c r="J638" i="2"/>
  <c r="F639" i="2"/>
  <c r="H639" i="2"/>
  <c r="I639" i="2"/>
  <c r="G639" i="2" s="1"/>
  <c r="J639" i="2"/>
  <c r="F640" i="2"/>
  <c r="H640" i="2"/>
  <c r="I640" i="2"/>
  <c r="G640" i="2" s="1"/>
  <c r="J640" i="2"/>
  <c r="F641" i="2"/>
  <c r="H641" i="2"/>
  <c r="I641" i="2"/>
  <c r="G641" i="2" s="1"/>
  <c r="J641" i="2"/>
  <c r="F642" i="2"/>
  <c r="H642" i="2"/>
  <c r="I642" i="2"/>
  <c r="G642" i="2" s="1"/>
  <c r="J642" i="2"/>
  <c r="F643" i="2"/>
  <c r="H643" i="2"/>
  <c r="I643" i="2"/>
  <c r="G643" i="2" s="1"/>
  <c r="J643" i="2"/>
  <c r="F644" i="2"/>
  <c r="H644" i="2"/>
  <c r="I644" i="2"/>
  <c r="G644" i="2" s="1"/>
  <c r="J644" i="2"/>
  <c r="F645" i="2"/>
  <c r="H645" i="2"/>
  <c r="I645" i="2"/>
  <c r="G645" i="2" s="1"/>
  <c r="J645" i="2"/>
  <c r="F646" i="2"/>
  <c r="H646" i="2"/>
  <c r="I646" i="2"/>
  <c r="G646" i="2" s="1"/>
  <c r="J646" i="2"/>
  <c r="F647" i="2"/>
  <c r="H647" i="2"/>
  <c r="I647" i="2"/>
  <c r="G647" i="2" s="1"/>
  <c r="J647" i="2"/>
  <c r="F648" i="2"/>
  <c r="H648" i="2"/>
  <c r="I648" i="2"/>
  <c r="G648" i="2" s="1"/>
  <c r="J648" i="2"/>
  <c r="F649" i="2"/>
  <c r="H649" i="2"/>
  <c r="I649" i="2"/>
  <c r="G649" i="2" s="1"/>
  <c r="J649" i="2"/>
  <c r="F650" i="2"/>
  <c r="H650" i="2"/>
  <c r="I650" i="2"/>
  <c r="G650" i="2" s="1"/>
  <c r="J650" i="2"/>
  <c r="F651" i="2"/>
  <c r="H651" i="2"/>
  <c r="I651" i="2"/>
  <c r="G651" i="2" s="1"/>
  <c r="J651" i="2"/>
  <c r="F652" i="2"/>
  <c r="H652" i="2"/>
  <c r="I652" i="2"/>
  <c r="G652" i="2" s="1"/>
  <c r="J652" i="2"/>
  <c r="F653" i="2"/>
  <c r="H653" i="2"/>
  <c r="I653" i="2"/>
  <c r="G653" i="2" s="1"/>
  <c r="J653" i="2"/>
  <c r="F654" i="2"/>
  <c r="H654" i="2"/>
  <c r="I654" i="2"/>
  <c r="G654" i="2" s="1"/>
  <c r="J654" i="2"/>
  <c r="F655" i="2"/>
  <c r="H655" i="2"/>
  <c r="I655" i="2"/>
  <c r="G655" i="2" s="1"/>
  <c r="J655" i="2"/>
  <c r="F656" i="2"/>
  <c r="H656" i="2"/>
  <c r="I656" i="2"/>
  <c r="G656" i="2" s="1"/>
  <c r="J656" i="2"/>
  <c r="F657" i="2"/>
  <c r="H657" i="2"/>
  <c r="I657" i="2"/>
  <c r="G657" i="2" s="1"/>
  <c r="J657" i="2"/>
  <c r="F658" i="2"/>
  <c r="H658" i="2"/>
  <c r="I658" i="2"/>
  <c r="G658" i="2" s="1"/>
  <c r="J658" i="2"/>
  <c r="F659" i="2"/>
  <c r="H659" i="2"/>
  <c r="I659" i="2"/>
  <c r="G659" i="2" s="1"/>
  <c r="J659" i="2"/>
  <c r="F660" i="2"/>
  <c r="H660" i="2"/>
  <c r="I660" i="2"/>
  <c r="G660" i="2" s="1"/>
  <c r="J660" i="2"/>
  <c r="F661" i="2"/>
  <c r="H661" i="2"/>
  <c r="I661" i="2"/>
  <c r="G661" i="2" s="1"/>
  <c r="J661" i="2"/>
  <c r="F662" i="2"/>
  <c r="H662" i="2"/>
  <c r="I662" i="2"/>
  <c r="G662" i="2" s="1"/>
  <c r="J662" i="2"/>
  <c r="F663" i="2"/>
  <c r="H663" i="2"/>
  <c r="I663" i="2"/>
  <c r="G663" i="2" s="1"/>
  <c r="J663" i="2"/>
  <c r="F664" i="2"/>
  <c r="H664" i="2"/>
  <c r="I664" i="2"/>
  <c r="G664" i="2" s="1"/>
  <c r="J664" i="2"/>
  <c r="F665" i="2"/>
  <c r="H665" i="2"/>
  <c r="I665" i="2"/>
  <c r="G665" i="2" s="1"/>
  <c r="J665" i="2"/>
  <c r="F666" i="2"/>
  <c r="H666" i="2"/>
  <c r="I666" i="2"/>
  <c r="G666" i="2" s="1"/>
  <c r="J666" i="2"/>
  <c r="F667" i="2"/>
  <c r="H667" i="2"/>
  <c r="I667" i="2"/>
  <c r="G667" i="2" s="1"/>
  <c r="J667" i="2"/>
  <c r="F668" i="2"/>
  <c r="H668" i="2"/>
  <c r="I668" i="2"/>
  <c r="G668" i="2" s="1"/>
  <c r="J668" i="2"/>
  <c r="F669" i="2"/>
  <c r="H669" i="2"/>
  <c r="I669" i="2"/>
  <c r="G669" i="2" s="1"/>
  <c r="J669" i="2"/>
  <c r="F670" i="2"/>
  <c r="H670" i="2"/>
  <c r="I670" i="2"/>
  <c r="G670" i="2" s="1"/>
  <c r="J670" i="2"/>
  <c r="F671" i="2"/>
  <c r="H671" i="2"/>
  <c r="I671" i="2"/>
  <c r="G671" i="2" s="1"/>
  <c r="J671" i="2"/>
  <c r="F672" i="2"/>
  <c r="H672" i="2"/>
  <c r="I672" i="2"/>
  <c r="G672" i="2" s="1"/>
  <c r="J672" i="2"/>
  <c r="F673" i="2"/>
  <c r="H673" i="2"/>
  <c r="I673" i="2"/>
  <c r="G673" i="2" s="1"/>
  <c r="J673" i="2"/>
  <c r="F674" i="2"/>
  <c r="H674" i="2"/>
  <c r="I674" i="2"/>
  <c r="G674" i="2" s="1"/>
  <c r="J674" i="2"/>
  <c r="F675" i="2"/>
  <c r="H675" i="2"/>
  <c r="I675" i="2"/>
  <c r="G675" i="2" s="1"/>
  <c r="J675" i="2"/>
  <c r="F676" i="2"/>
  <c r="H676" i="2"/>
  <c r="I676" i="2"/>
  <c r="G676" i="2" s="1"/>
  <c r="J676" i="2"/>
  <c r="F677" i="2"/>
  <c r="H677" i="2"/>
  <c r="I677" i="2"/>
  <c r="G677" i="2" s="1"/>
  <c r="J677" i="2"/>
  <c r="F678" i="2"/>
  <c r="H678" i="2"/>
  <c r="I678" i="2"/>
  <c r="G678" i="2" s="1"/>
  <c r="J678" i="2"/>
  <c r="F679" i="2"/>
  <c r="H679" i="2"/>
  <c r="I679" i="2"/>
  <c r="G679" i="2" s="1"/>
  <c r="J679" i="2"/>
  <c r="F680" i="2"/>
  <c r="H680" i="2"/>
  <c r="I680" i="2"/>
  <c r="G680" i="2" s="1"/>
  <c r="J680" i="2"/>
  <c r="F681" i="2"/>
  <c r="H681" i="2"/>
  <c r="I681" i="2"/>
  <c r="G681" i="2" s="1"/>
  <c r="J681" i="2"/>
  <c r="F682" i="2"/>
  <c r="H682" i="2"/>
  <c r="I682" i="2"/>
  <c r="G682" i="2" s="1"/>
  <c r="J682" i="2"/>
  <c r="F683" i="2"/>
  <c r="H683" i="2"/>
  <c r="I683" i="2"/>
  <c r="G683" i="2" s="1"/>
  <c r="J683" i="2"/>
  <c r="F684" i="2"/>
  <c r="H684" i="2"/>
  <c r="I684" i="2"/>
  <c r="G684" i="2" s="1"/>
  <c r="J684" i="2"/>
  <c r="F685" i="2"/>
  <c r="H685" i="2"/>
  <c r="I685" i="2"/>
  <c r="G685" i="2" s="1"/>
  <c r="J685" i="2"/>
  <c r="F686" i="2"/>
  <c r="H686" i="2"/>
  <c r="I686" i="2"/>
  <c r="G686" i="2" s="1"/>
  <c r="J686" i="2"/>
  <c r="F687" i="2"/>
  <c r="H687" i="2"/>
  <c r="I687" i="2"/>
  <c r="G687" i="2" s="1"/>
  <c r="J687" i="2"/>
  <c r="F688" i="2"/>
  <c r="H688" i="2"/>
  <c r="I688" i="2"/>
  <c r="G688" i="2" s="1"/>
  <c r="J688" i="2"/>
  <c r="F689" i="2"/>
  <c r="H689" i="2"/>
  <c r="I689" i="2"/>
  <c r="G689" i="2" s="1"/>
  <c r="J689" i="2"/>
  <c r="F690" i="2"/>
  <c r="H690" i="2"/>
  <c r="I690" i="2"/>
  <c r="G690" i="2" s="1"/>
  <c r="J690" i="2"/>
  <c r="F691" i="2"/>
  <c r="H691" i="2"/>
  <c r="I691" i="2"/>
  <c r="G691" i="2" s="1"/>
  <c r="J691" i="2"/>
  <c r="F692" i="2"/>
  <c r="H692" i="2"/>
  <c r="I692" i="2"/>
  <c r="G692" i="2" s="1"/>
  <c r="J692" i="2"/>
  <c r="F693" i="2"/>
  <c r="H693" i="2"/>
  <c r="I693" i="2"/>
  <c r="G693" i="2" s="1"/>
  <c r="J693" i="2"/>
  <c r="F694" i="2"/>
  <c r="H694" i="2"/>
  <c r="I694" i="2"/>
  <c r="G694" i="2" s="1"/>
  <c r="J694" i="2"/>
  <c r="F695" i="2"/>
  <c r="H695" i="2"/>
  <c r="I695" i="2"/>
  <c r="G695" i="2" s="1"/>
  <c r="J695" i="2"/>
  <c r="F696" i="2"/>
  <c r="H696" i="2"/>
  <c r="I696" i="2"/>
  <c r="G696" i="2" s="1"/>
  <c r="J696" i="2"/>
  <c r="F697" i="2"/>
  <c r="H697" i="2"/>
  <c r="I697" i="2"/>
  <c r="G697" i="2" s="1"/>
  <c r="J697" i="2"/>
  <c r="F698" i="2"/>
  <c r="H698" i="2"/>
  <c r="I698" i="2"/>
  <c r="G698" i="2" s="1"/>
  <c r="J698" i="2"/>
  <c r="F699" i="2"/>
  <c r="H699" i="2"/>
  <c r="I699" i="2"/>
  <c r="G699" i="2" s="1"/>
  <c r="J699" i="2"/>
  <c r="F700" i="2"/>
  <c r="H700" i="2"/>
  <c r="I700" i="2"/>
  <c r="G700" i="2" s="1"/>
  <c r="J700" i="2"/>
  <c r="F701" i="2"/>
  <c r="H701" i="2"/>
  <c r="I701" i="2"/>
  <c r="G701" i="2" s="1"/>
  <c r="J701" i="2"/>
  <c r="F702" i="2"/>
  <c r="H702" i="2"/>
  <c r="I702" i="2"/>
  <c r="G702" i="2" s="1"/>
  <c r="J702" i="2"/>
  <c r="F703" i="2"/>
  <c r="H703" i="2"/>
  <c r="I703" i="2"/>
  <c r="G703" i="2" s="1"/>
  <c r="J703" i="2"/>
  <c r="F704" i="2"/>
  <c r="H704" i="2"/>
  <c r="I704" i="2"/>
  <c r="G704" i="2" s="1"/>
  <c r="J704" i="2"/>
  <c r="F705" i="2"/>
  <c r="H705" i="2"/>
  <c r="I705" i="2"/>
  <c r="G705" i="2" s="1"/>
  <c r="J705" i="2"/>
  <c r="F706" i="2"/>
  <c r="H706" i="2"/>
  <c r="I706" i="2"/>
  <c r="G706" i="2" s="1"/>
  <c r="J706" i="2"/>
  <c r="F707" i="2"/>
  <c r="H707" i="2"/>
  <c r="I707" i="2"/>
  <c r="G707" i="2" s="1"/>
  <c r="J707" i="2"/>
  <c r="F708" i="2"/>
  <c r="H708" i="2"/>
  <c r="I708" i="2"/>
  <c r="G708" i="2" s="1"/>
  <c r="J708" i="2"/>
  <c r="F709" i="2"/>
  <c r="H709" i="2"/>
  <c r="I709" i="2"/>
  <c r="G709" i="2" s="1"/>
  <c r="J709" i="2"/>
  <c r="F710" i="2"/>
  <c r="H710" i="2"/>
  <c r="I710" i="2"/>
  <c r="G710" i="2" s="1"/>
  <c r="J710" i="2"/>
  <c r="F711" i="2"/>
  <c r="H711" i="2"/>
  <c r="I711" i="2"/>
  <c r="G711" i="2" s="1"/>
  <c r="J711" i="2"/>
  <c r="F712" i="2"/>
  <c r="H712" i="2"/>
  <c r="I712" i="2"/>
  <c r="G712" i="2" s="1"/>
  <c r="J712" i="2"/>
  <c r="F713" i="2"/>
  <c r="H713" i="2"/>
  <c r="I713" i="2"/>
  <c r="G713" i="2" s="1"/>
  <c r="J713" i="2"/>
  <c r="F714" i="2"/>
  <c r="H714" i="2"/>
  <c r="I714" i="2"/>
  <c r="G714" i="2" s="1"/>
  <c r="J714" i="2"/>
  <c r="F715" i="2"/>
  <c r="H715" i="2"/>
  <c r="I715" i="2"/>
  <c r="G715" i="2" s="1"/>
  <c r="J715" i="2"/>
  <c r="F716" i="2"/>
  <c r="H716" i="2"/>
  <c r="I716" i="2"/>
  <c r="G716" i="2" s="1"/>
  <c r="J716" i="2"/>
  <c r="F717" i="2"/>
  <c r="H717" i="2"/>
  <c r="I717" i="2"/>
  <c r="G717" i="2" s="1"/>
  <c r="J717" i="2"/>
  <c r="F718" i="2"/>
  <c r="H718" i="2"/>
  <c r="I718" i="2"/>
  <c r="G718" i="2" s="1"/>
  <c r="J718" i="2"/>
  <c r="F719" i="2"/>
  <c r="H719" i="2"/>
  <c r="I719" i="2"/>
  <c r="G719" i="2" s="1"/>
  <c r="J719" i="2"/>
  <c r="F720" i="2"/>
  <c r="H720" i="2"/>
  <c r="I720" i="2"/>
  <c r="G720" i="2" s="1"/>
  <c r="J720" i="2"/>
  <c r="F721" i="2"/>
  <c r="H721" i="2"/>
  <c r="I721" i="2"/>
  <c r="G721" i="2" s="1"/>
  <c r="J721" i="2"/>
  <c r="F722" i="2"/>
  <c r="H722" i="2"/>
  <c r="I722" i="2"/>
  <c r="G722" i="2" s="1"/>
  <c r="J722" i="2"/>
  <c r="F723" i="2"/>
  <c r="H723" i="2"/>
  <c r="I723" i="2"/>
  <c r="G723" i="2" s="1"/>
  <c r="J723" i="2"/>
  <c r="F724" i="2"/>
  <c r="H724" i="2"/>
  <c r="I724" i="2"/>
  <c r="G724" i="2" s="1"/>
  <c r="J724" i="2"/>
  <c r="F725" i="2"/>
  <c r="H725" i="2"/>
  <c r="I725" i="2"/>
  <c r="G725" i="2" s="1"/>
  <c r="J725" i="2"/>
  <c r="F726" i="2"/>
  <c r="H726" i="2"/>
  <c r="I726" i="2"/>
  <c r="G726" i="2" s="1"/>
  <c r="J726" i="2"/>
  <c r="F727" i="2"/>
  <c r="H727" i="2"/>
  <c r="I727" i="2"/>
  <c r="G727" i="2" s="1"/>
  <c r="J727" i="2"/>
  <c r="F728" i="2"/>
  <c r="H728" i="2"/>
  <c r="I728" i="2"/>
  <c r="G728" i="2" s="1"/>
  <c r="J728" i="2"/>
  <c r="F729" i="2"/>
  <c r="H729" i="2"/>
  <c r="I729" i="2"/>
  <c r="G729" i="2" s="1"/>
  <c r="J729" i="2"/>
  <c r="F730" i="2"/>
  <c r="H730" i="2"/>
  <c r="I730" i="2"/>
  <c r="G730" i="2" s="1"/>
  <c r="J730" i="2"/>
  <c r="F731" i="2"/>
  <c r="H731" i="2"/>
  <c r="I731" i="2"/>
  <c r="G731" i="2" s="1"/>
  <c r="J731" i="2"/>
  <c r="F732" i="2"/>
  <c r="H732" i="2"/>
  <c r="I732" i="2"/>
  <c r="G732" i="2" s="1"/>
  <c r="J732" i="2"/>
  <c r="F733" i="2"/>
  <c r="H733" i="2"/>
  <c r="I733" i="2"/>
  <c r="G733" i="2" s="1"/>
  <c r="J733" i="2"/>
  <c r="F734" i="2"/>
  <c r="H734" i="2"/>
  <c r="I734" i="2"/>
  <c r="G734" i="2" s="1"/>
  <c r="J734" i="2"/>
  <c r="F735" i="2"/>
  <c r="H735" i="2"/>
  <c r="I735" i="2"/>
  <c r="G735" i="2" s="1"/>
  <c r="J735" i="2"/>
  <c r="F736" i="2"/>
  <c r="H736" i="2"/>
  <c r="I736" i="2"/>
  <c r="G736" i="2" s="1"/>
  <c r="J736" i="2"/>
  <c r="F737" i="2"/>
  <c r="H737" i="2"/>
  <c r="I737" i="2"/>
  <c r="G737" i="2" s="1"/>
  <c r="J737" i="2"/>
  <c r="F738" i="2"/>
  <c r="H738" i="2"/>
  <c r="I738" i="2"/>
  <c r="G738" i="2" s="1"/>
  <c r="J738" i="2"/>
  <c r="F739" i="2"/>
  <c r="H739" i="2"/>
  <c r="I739" i="2"/>
  <c r="G739" i="2" s="1"/>
  <c r="J739" i="2"/>
  <c r="F740" i="2"/>
  <c r="H740" i="2"/>
  <c r="I740" i="2"/>
  <c r="G740" i="2" s="1"/>
  <c r="J740" i="2"/>
  <c r="F741" i="2"/>
  <c r="H741" i="2"/>
  <c r="I741" i="2"/>
  <c r="G741" i="2" s="1"/>
  <c r="J741" i="2"/>
  <c r="F742" i="2"/>
  <c r="H742" i="2"/>
  <c r="I742" i="2"/>
  <c r="G742" i="2" s="1"/>
  <c r="J742" i="2"/>
  <c r="F743" i="2"/>
  <c r="H743" i="2"/>
  <c r="I743" i="2"/>
  <c r="G743" i="2" s="1"/>
  <c r="J743" i="2"/>
  <c r="F744" i="2"/>
  <c r="H744" i="2"/>
  <c r="I744" i="2"/>
  <c r="G744" i="2" s="1"/>
  <c r="J744" i="2"/>
  <c r="F745" i="2"/>
  <c r="H745" i="2"/>
  <c r="I745" i="2"/>
  <c r="G745" i="2" s="1"/>
  <c r="J745" i="2"/>
  <c r="F746" i="2"/>
  <c r="H746" i="2"/>
  <c r="I746" i="2"/>
  <c r="G746" i="2" s="1"/>
  <c r="J746" i="2"/>
  <c r="F747" i="2"/>
  <c r="H747" i="2"/>
  <c r="I747" i="2"/>
  <c r="G747" i="2" s="1"/>
  <c r="J747" i="2"/>
  <c r="F748" i="2"/>
  <c r="H748" i="2"/>
  <c r="I748" i="2"/>
  <c r="G748" i="2" s="1"/>
  <c r="J748" i="2"/>
  <c r="F749" i="2"/>
  <c r="H749" i="2"/>
  <c r="I749" i="2"/>
  <c r="G749" i="2" s="1"/>
  <c r="J749" i="2"/>
  <c r="F750" i="2"/>
  <c r="H750" i="2"/>
  <c r="I750" i="2"/>
  <c r="G750" i="2" s="1"/>
  <c r="J750" i="2"/>
  <c r="F751" i="2"/>
  <c r="H751" i="2"/>
  <c r="I751" i="2"/>
  <c r="G751" i="2" s="1"/>
  <c r="J751" i="2"/>
  <c r="F752" i="2"/>
  <c r="H752" i="2"/>
  <c r="I752" i="2"/>
  <c r="G752" i="2" s="1"/>
  <c r="J752" i="2"/>
  <c r="F753" i="2"/>
  <c r="H753" i="2"/>
  <c r="I753" i="2"/>
  <c r="G753" i="2" s="1"/>
  <c r="J753" i="2"/>
  <c r="F754" i="2"/>
  <c r="H754" i="2"/>
  <c r="I754" i="2"/>
  <c r="G754" i="2" s="1"/>
  <c r="J754" i="2"/>
  <c r="F755" i="2"/>
  <c r="H755" i="2"/>
  <c r="I755" i="2"/>
  <c r="G755" i="2" s="1"/>
  <c r="J755" i="2"/>
  <c r="F756" i="2"/>
  <c r="H756" i="2"/>
  <c r="I756" i="2"/>
  <c r="G756" i="2" s="1"/>
  <c r="J756" i="2"/>
  <c r="F757" i="2"/>
  <c r="H757" i="2"/>
  <c r="I757" i="2"/>
  <c r="G757" i="2" s="1"/>
  <c r="J757" i="2"/>
  <c r="F758" i="2"/>
  <c r="H758" i="2"/>
  <c r="I758" i="2"/>
  <c r="G758" i="2" s="1"/>
  <c r="J758" i="2"/>
  <c r="F759" i="2"/>
  <c r="H759" i="2"/>
  <c r="I759" i="2"/>
  <c r="G759" i="2" s="1"/>
  <c r="J759" i="2"/>
  <c r="F760" i="2"/>
  <c r="H760" i="2"/>
  <c r="I760" i="2"/>
  <c r="G760" i="2" s="1"/>
  <c r="J760" i="2"/>
  <c r="F761" i="2"/>
  <c r="H761" i="2"/>
  <c r="I761" i="2"/>
  <c r="G761" i="2" s="1"/>
  <c r="J761" i="2"/>
  <c r="F762" i="2"/>
  <c r="H762" i="2"/>
  <c r="I762" i="2"/>
  <c r="G762" i="2" s="1"/>
  <c r="J762" i="2"/>
  <c r="F763" i="2"/>
  <c r="H763" i="2"/>
  <c r="I763" i="2"/>
  <c r="G763" i="2" s="1"/>
  <c r="J763" i="2"/>
  <c r="F764" i="2"/>
  <c r="H764" i="2"/>
  <c r="I764" i="2"/>
  <c r="G764" i="2" s="1"/>
  <c r="J764" i="2"/>
  <c r="F765" i="2"/>
  <c r="H765" i="2"/>
  <c r="I765" i="2"/>
  <c r="G765" i="2" s="1"/>
  <c r="J765" i="2"/>
  <c r="F766" i="2"/>
  <c r="H766" i="2"/>
  <c r="I766" i="2"/>
  <c r="G766" i="2" s="1"/>
  <c r="J766" i="2"/>
  <c r="F767" i="2"/>
  <c r="H767" i="2"/>
  <c r="I767" i="2"/>
  <c r="G767" i="2" s="1"/>
  <c r="J767" i="2"/>
  <c r="F768" i="2"/>
  <c r="H768" i="2"/>
  <c r="I768" i="2"/>
  <c r="G768" i="2" s="1"/>
  <c r="J768" i="2"/>
  <c r="F769" i="2"/>
  <c r="H769" i="2"/>
  <c r="I769" i="2"/>
  <c r="G769" i="2" s="1"/>
  <c r="J769" i="2"/>
  <c r="F770" i="2"/>
  <c r="H770" i="2"/>
  <c r="I770" i="2"/>
  <c r="G770" i="2" s="1"/>
  <c r="J770" i="2"/>
  <c r="F771" i="2"/>
  <c r="H771" i="2"/>
  <c r="I771" i="2"/>
  <c r="G771" i="2" s="1"/>
  <c r="J771" i="2"/>
  <c r="F772" i="2"/>
  <c r="H772" i="2"/>
  <c r="I772" i="2"/>
  <c r="G772" i="2" s="1"/>
  <c r="J772" i="2"/>
  <c r="I773" i="2"/>
  <c r="G773" i="2" s="1"/>
  <c r="H773" i="2"/>
  <c r="J773" i="2"/>
  <c r="H774" i="2"/>
  <c r="I774" i="2"/>
  <c r="G774" i="2" s="1"/>
  <c r="F774" i="2"/>
  <c r="J774" i="2"/>
  <c r="F775" i="2"/>
  <c r="I775" i="2"/>
  <c r="G775" i="2" s="1"/>
  <c r="J775" i="2"/>
  <c r="F776" i="2"/>
  <c r="H776" i="2"/>
  <c r="I776" i="2"/>
  <c r="G776" i="2" s="1"/>
  <c r="J776" i="2"/>
  <c r="F777" i="2"/>
  <c r="H777" i="2"/>
  <c r="I777" i="2"/>
  <c r="G777" i="2" s="1"/>
  <c r="J777" i="2"/>
  <c r="F778" i="2"/>
  <c r="H778" i="2"/>
  <c r="I778" i="2"/>
  <c r="G778" i="2" s="1"/>
  <c r="J778" i="2"/>
  <c r="H779" i="2"/>
  <c r="I779" i="2"/>
  <c r="G779" i="2" s="1"/>
  <c r="F779" i="2"/>
  <c r="J779" i="2"/>
  <c r="F780" i="2"/>
  <c r="H780" i="2"/>
  <c r="I780" i="2"/>
  <c r="G780" i="2" s="1"/>
  <c r="J780" i="2"/>
  <c r="F781" i="2"/>
  <c r="H781" i="2"/>
  <c r="I781" i="2"/>
  <c r="G781" i="2" s="1"/>
  <c r="J781" i="2"/>
  <c r="F782" i="2"/>
  <c r="H782" i="2"/>
  <c r="I782" i="2"/>
  <c r="G782" i="2" s="1"/>
  <c r="J782" i="2"/>
  <c r="F783" i="2"/>
  <c r="H783" i="2"/>
  <c r="I783" i="2"/>
  <c r="G783" i="2" s="1"/>
  <c r="J783" i="2"/>
  <c r="F784" i="2"/>
  <c r="H784" i="2"/>
  <c r="I784" i="2"/>
  <c r="G784" i="2" s="1"/>
  <c r="J784" i="2"/>
  <c r="F785" i="2"/>
  <c r="H785" i="2"/>
  <c r="I785" i="2"/>
  <c r="G785" i="2" s="1"/>
  <c r="J785" i="2"/>
  <c r="F786" i="2"/>
  <c r="H786" i="2"/>
  <c r="I786" i="2"/>
  <c r="G786" i="2" s="1"/>
  <c r="J786" i="2"/>
  <c r="F787" i="2"/>
  <c r="H787" i="2"/>
  <c r="I787" i="2"/>
  <c r="G787" i="2" s="1"/>
  <c r="J787" i="2"/>
  <c r="F788" i="2"/>
  <c r="H788" i="2"/>
  <c r="I788" i="2"/>
  <c r="G788" i="2" s="1"/>
  <c r="J788" i="2"/>
  <c r="F789" i="2"/>
  <c r="H789" i="2"/>
  <c r="I789" i="2"/>
  <c r="G789" i="2" s="1"/>
  <c r="J789" i="2"/>
  <c r="F790" i="2"/>
  <c r="H790" i="2"/>
  <c r="I790" i="2"/>
  <c r="G790" i="2" s="1"/>
  <c r="J790" i="2"/>
  <c r="F791" i="2"/>
  <c r="H791" i="2"/>
  <c r="I791" i="2"/>
  <c r="G791" i="2" s="1"/>
  <c r="J791" i="2"/>
  <c r="F792" i="2"/>
  <c r="H792" i="2"/>
  <c r="I792" i="2"/>
  <c r="G792" i="2" s="1"/>
  <c r="J792" i="2"/>
  <c r="F793" i="2"/>
  <c r="H793" i="2"/>
  <c r="I793" i="2"/>
  <c r="G793" i="2" s="1"/>
  <c r="J793" i="2"/>
  <c r="F794" i="2"/>
  <c r="H794" i="2"/>
  <c r="I794" i="2"/>
  <c r="G794" i="2" s="1"/>
  <c r="J794" i="2"/>
  <c r="F795" i="2"/>
  <c r="H795" i="2"/>
  <c r="I795" i="2"/>
  <c r="G795" i="2" s="1"/>
  <c r="J795" i="2"/>
  <c r="F796" i="2"/>
  <c r="H796" i="2"/>
  <c r="I796" i="2"/>
  <c r="G796" i="2" s="1"/>
  <c r="J796" i="2"/>
  <c r="F797" i="2"/>
  <c r="H797" i="2"/>
  <c r="I797" i="2"/>
  <c r="G797" i="2" s="1"/>
  <c r="J797" i="2"/>
  <c r="F798" i="2"/>
  <c r="H798" i="2"/>
  <c r="I798" i="2"/>
  <c r="G798" i="2" s="1"/>
  <c r="J798" i="2"/>
  <c r="F799" i="2"/>
  <c r="H799" i="2"/>
  <c r="I799" i="2"/>
  <c r="G799" i="2" s="1"/>
  <c r="J799" i="2"/>
  <c r="F800" i="2"/>
  <c r="H800" i="2"/>
  <c r="I800" i="2"/>
  <c r="G800" i="2" s="1"/>
  <c r="J800" i="2"/>
  <c r="F801" i="2"/>
  <c r="H801" i="2"/>
  <c r="I801" i="2"/>
  <c r="G801" i="2" s="1"/>
  <c r="J801" i="2"/>
  <c r="F802" i="2"/>
  <c r="H802" i="2"/>
  <c r="I802" i="2"/>
  <c r="G802" i="2" s="1"/>
  <c r="J802" i="2"/>
  <c r="F803" i="2"/>
  <c r="H803" i="2"/>
  <c r="I803" i="2"/>
  <c r="G803" i="2" s="1"/>
  <c r="J803" i="2"/>
  <c r="F804" i="2"/>
  <c r="H804" i="2"/>
  <c r="I804" i="2"/>
  <c r="G804" i="2" s="1"/>
  <c r="J804" i="2"/>
  <c r="F805" i="2"/>
  <c r="H805" i="2"/>
  <c r="I805" i="2"/>
  <c r="G805" i="2" s="1"/>
  <c r="J805" i="2"/>
  <c r="F806" i="2"/>
  <c r="H806" i="2"/>
  <c r="I806" i="2"/>
  <c r="G806" i="2" s="1"/>
  <c r="J806" i="2"/>
  <c r="A4" i="4"/>
  <c r="F4" i="4"/>
  <c r="A5" i="4"/>
  <c r="F5" i="4"/>
  <c r="A6" i="4"/>
  <c r="F6" i="4"/>
  <c r="J10" i="4"/>
  <c r="J11" i="4"/>
  <c r="J12" i="4"/>
  <c r="J17" i="4"/>
  <c r="J18" i="4"/>
  <c r="J19" i="4"/>
  <c r="J24" i="4"/>
  <c r="J25" i="4"/>
  <c r="J26" i="4"/>
  <c r="J31" i="4"/>
  <c r="J32" i="4"/>
  <c r="J33" i="4"/>
  <c r="J38" i="4"/>
  <c r="J39" i="4"/>
  <c r="J40" i="4"/>
  <c r="A4" i="5"/>
  <c r="F4" i="5"/>
  <c r="A5" i="5"/>
  <c r="F5" i="5"/>
  <c r="A6" i="5"/>
  <c r="F6" i="5"/>
  <c r="B10" i="5"/>
  <c r="D10" i="5"/>
  <c r="E10" i="5"/>
  <c r="G10" i="5"/>
  <c r="H10" i="5"/>
  <c r="B11" i="5"/>
  <c r="D11" i="5"/>
  <c r="E11" i="5" s="1"/>
  <c r="G11" i="5"/>
  <c r="H11" i="5"/>
  <c r="B12" i="5"/>
  <c r="D12" i="5"/>
  <c r="E12" i="5" s="1"/>
  <c r="G12" i="5"/>
  <c r="H12" i="5"/>
  <c r="B13" i="5"/>
  <c r="D13" i="5"/>
  <c r="E13" i="5"/>
  <c r="G13" i="5"/>
  <c r="H13" i="5"/>
  <c r="B14" i="5"/>
  <c r="D14" i="5"/>
  <c r="E14" i="5" s="1"/>
  <c r="F14" i="5"/>
  <c r="G14" i="5"/>
  <c r="H14" i="5"/>
  <c r="B15" i="5"/>
  <c r="D15" i="5"/>
  <c r="E15" i="5"/>
  <c r="F15" i="5"/>
  <c r="G15" i="5"/>
  <c r="H15" i="5"/>
  <c r="B16" i="5"/>
  <c r="D16" i="5"/>
  <c r="E16" i="5" s="1"/>
  <c r="F16" i="5"/>
  <c r="G16" i="5"/>
  <c r="H16" i="5"/>
  <c r="B18" i="5"/>
  <c r="D18" i="5"/>
  <c r="E18" i="5"/>
  <c r="F18" i="5"/>
  <c r="G18" i="5"/>
  <c r="H18" i="5"/>
  <c r="B19" i="5"/>
  <c r="D19" i="5"/>
  <c r="E19" i="5" s="1"/>
  <c r="F19" i="5"/>
  <c r="G19" i="5"/>
  <c r="H19" i="5"/>
  <c r="B22" i="5"/>
  <c r="D22" i="5"/>
  <c r="E22" i="5"/>
  <c r="F22" i="5"/>
  <c r="G22" i="5"/>
  <c r="H22" i="5"/>
  <c r="B23" i="5"/>
  <c r="D23" i="5"/>
  <c r="E23" i="5" s="1"/>
  <c r="F23" i="5"/>
  <c r="G23" i="5"/>
  <c r="H23" i="5"/>
  <c r="B24" i="5"/>
  <c r="D24" i="5"/>
  <c r="E24" i="5"/>
  <c r="F24" i="5"/>
  <c r="G24" i="5"/>
  <c r="H24" i="5"/>
  <c r="B25" i="5"/>
  <c r="D25" i="5"/>
  <c r="E25" i="5" s="1"/>
  <c r="F25" i="5"/>
  <c r="G25" i="5"/>
  <c r="H25" i="5"/>
  <c r="B26" i="5"/>
  <c r="D26" i="5"/>
  <c r="E26" i="5"/>
  <c r="F26" i="5"/>
  <c r="G26" i="5"/>
  <c r="H26" i="5"/>
  <c r="B27" i="5"/>
  <c r="D27" i="5"/>
  <c r="E27" i="5" s="1"/>
  <c r="F27" i="5"/>
  <c r="G27" i="5"/>
  <c r="H27" i="5"/>
  <c r="B28" i="5"/>
  <c r="D28" i="5"/>
  <c r="E28" i="5"/>
  <c r="G28" i="5"/>
  <c r="H28" i="5"/>
  <c r="B30" i="5"/>
  <c r="D30" i="5"/>
  <c r="E30" i="5" s="1"/>
  <c r="F30" i="5"/>
  <c r="G30" i="5"/>
  <c r="H30" i="5"/>
  <c r="B31" i="5"/>
  <c r="D31" i="5"/>
  <c r="E31" i="5"/>
  <c r="F31" i="5"/>
  <c r="G31" i="5"/>
  <c r="H31" i="5"/>
  <c r="B32" i="5"/>
  <c r="D32" i="5"/>
  <c r="E32" i="5" s="1"/>
  <c r="F32" i="5"/>
  <c r="G32" i="5"/>
  <c r="H32" i="5"/>
  <c r="B33" i="5"/>
  <c r="D33" i="5"/>
  <c r="E33" i="5"/>
  <c r="F33" i="5"/>
  <c r="G33" i="5"/>
  <c r="H33" i="5"/>
  <c r="B34" i="5"/>
  <c r="D34" i="5"/>
  <c r="E34" i="5" s="1"/>
  <c r="F34" i="5"/>
  <c r="G34" i="5"/>
  <c r="H34" i="5"/>
  <c r="B35" i="5"/>
  <c r="D35" i="5"/>
  <c r="E35" i="5"/>
  <c r="F35" i="5"/>
  <c r="G35" i="5"/>
  <c r="H35" i="5"/>
  <c r="B36" i="5"/>
  <c r="D36" i="5"/>
  <c r="E36" i="5" s="1"/>
  <c r="G36" i="5"/>
  <c r="H36" i="5"/>
  <c r="B37" i="5"/>
  <c r="D37" i="5"/>
  <c r="E37" i="5"/>
  <c r="F37" i="5"/>
  <c r="G37" i="5"/>
  <c r="H37" i="5"/>
  <c r="B42" i="5"/>
  <c r="D42" i="5"/>
  <c r="E42" i="5" s="1"/>
  <c r="F42" i="5"/>
  <c r="G42" i="5"/>
  <c r="H42" i="5"/>
  <c r="B43" i="5"/>
  <c r="D43" i="5"/>
  <c r="E43" i="5"/>
  <c r="G43" i="5"/>
  <c r="H43" i="5"/>
  <c r="B44" i="5"/>
  <c r="D44" i="5"/>
  <c r="E44" i="5" s="1"/>
  <c r="G44" i="5"/>
  <c r="H44" i="5"/>
  <c r="B47" i="5"/>
  <c r="D47" i="5"/>
  <c r="H47" i="5"/>
  <c r="B48" i="5"/>
  <c r="D48" i="5"/>
  <c r="H48" i="5"/>
  <c r="B49" i="5"/>
  <c r="D49" i="5"/>
  <c r="H49" i="5"/>
  <c r="B50" i="5"/>
  <c r="D50" i="5"/>
  <c r="H50" i="5"/>
  <c r="I50" i="5"/>
  <c r="J50" i="5" s="1"/>
  <c r="B51" i="5"/>
  <c r="D51" i="5"/>
  <c r="H51" i="5"/>
  <c r="I51" i="5" s="1"/>
  <c r="J51" i="5" s="1"/>
  <c r="B52" i="5"/>
  <c r="D52" i="5"/>
  <c r="H52" i="5"/>
  <c r="I52" i="5" s="1"/>
  <c r="J52" i="5" s="1"/>
  <c r="B53" i="5"/>
  <c r="D53" i="5"/>
  <c r="H53" i="5"/>
  <c r="I53" i="5"/>
  <c r="J53" i="5" s="1"/>
  <c r="B54" i="5"/>
  <c r="D54" i="5"/>
  <c r="H54" i="5"/>
  <c r="I54" i="5" s="1"/>
  <c r="J54" i="5" s="1"/>
  <c r="B55" i="5"/>
  <c r="D55" i="5"/>
  <c r="H55" i="5"/>
  <c r="I55" i="5" s="1"/>
  <c r="J55" i="5" s="1"/>
  <c r="B56" i="5"/>
  <c r="D56" i="5"/>
  <c r="H56" i="5"/>
  <c r="I56" i="5"/>
  <c r="J56" i="5" s="1"/>
  <c r="B57" i="5"/>
  <c r="D57" i="5"/>
  <c r="H57" i="5"/>
  <c r="I57" i="5" s="1"/>
  <c r="J57" i="5" s="1"/>
  <c r="B58" i="5"/>
  <c r="D58" i="5"/>
  <c r="H58" i="5"/>
  <c r="I58" i="5" s="1"/>
  <c r="J58" i="5" s="1"/>
  <c r="B59" i="5"/>
  <c r="D59" i="5"/>
  <c r="H59" i="5"/>
  <c r="I59" i="5"/>
  <c r="J59" i="5" s="1"/>
  <c r="B60" i="5"/>
  <c r="D60" i="5"/>
  <c r="H60" i="5"/>
  <c r="I60" i="5" s="1"/>
  <c r="J60" i="5" s="1"/>
  <c r="B61" i="5"/>
  <c r="D61" i="5"/>
  <c r="H61" i="5"/>
  <c r="I61" i="5" s="1"/>
  <c r="J61" i="5" s="1"/>
  <c r="B62" i="5"/>
  <c r="D62" i="5"/>
  <c r="H62" i="5"/>
  <c r="I62" i="5"/>
  <c r="J62" i="5" s="1"/>
  <c r="B63" i="5"/>
  <c r="D63" i="5"/>
  <c r="H63" i="5"/>
  <c r="I63" i="5" s="1"/>
  <c r="J63" i="5" s="1"/>
  <c r="B64" i="5"/>
  <c r="D64" i="5"/>
  <c r="H64" i="5"/>
  <c r="I64" i="5" s="1"/>
  <c r="J64" i="5" s="1"/>
  <c r="B65" i="5"/>
  <c r="D65" i="5"/>
  <c r="H65" i="5"/>
  <c r="I65" i="5"/>
  <c r="J65" i="5" s="1"/>
  <c r="B66" i="5"/>
  <c r="D66" i="5"/>
  <c r="H66" i="5"/>
  <c r="I66" i="5" s="1"/>
  <c r="J66" i="5" s="1"/>
  <c r="B67" i="5"/>
  <c r="D67" i="5"/>
  <c r="H67" i="5"/>
  <c r="I67" i="5" s="1"/>
  <c r="J67" i="5" s="1"/>
  <c r="B68" i="5"/>
  <c r="D68" i="5"/>
  <c r="H68" i="5"/>
  <c r="I68" i="5"/>
  <c r="J68" i="5" s="1"/>
  <c r="B69" i="5"/>
  <c r="D69" i="5"/>
  <c r="H69" i="5"/>
  <c r="I69" i="5" s="1"/>
  <c r="J69" i="5" s="1"/>
  <c r="H775" i="2"/>
  <c r="F773" i="2"/>
  <c r="F11" i="5"/>
  <c r="J5" i="3"/>
  <c r="K5" i="3" s="1"/>
  <c r="H8" i="2"/>
  <c r="L8" i="2"/>
  <c r="F62" i="2" l="1"/>
  <c r="H62" i="2"/>
  <c r="L62" i="2" s="1"/>
  <c r="K770" i="2"/>
  <c r="K758" i="2"/>
  <c r="K746" i="2"/>
  <c r="K734" i="2"/>
  <c r="K722" i="2"/>
  <c r="K710" i="2"/>
  <c r="K698" i="2"/>
  <c r="K686" i="2"/>
  <c r="K674" i="2"/>
  <c r="K662" i="2"/>
  <c r="K650" i="2"/>
  <c r="K638" i="2"/>
  <c r="K626" i="2"/>
  <c r="H91" i="2"/>
  <c r="L91" i="2" s="1"/>
  <c r="K91" i="2" s="1"/>
  <c r="F91" i="2"/>
  <c r="F388" i="2"/>
  <c r="F390" i="2"/>
  <c r="K806" i="2"/>
  <c r="K794" i="2"/>
  <c r="K782" i="2"/>
  <c r="H390" i="2"/>
  <c r="K390" i="2" s="1"/>
  <c r="F405" i="2"/>
  <c r="F402" i="2"/>
  <c r="H388" i="2"/>
  <c r="K388" i="2" s="1"/>
  <c r="H405" i="2"/>
  <c r="K405" i="2" s="1"/>
  <c r="H402" i="2"/>
  <c r="K402" i="2" s="1"/>
  <c r="H401" i="2"/>
  <c r="K401" i="2" s="1"/>
  <c r="F401" i="2"/>
  <c r="F387" i="2"/>
  <c r="F391" i="2"/>
  <c r="H387" i="2"/>
  <c r="K387" i="2" s="1"/>
  <c r="F386" i="2"/>
  <c r="H391" i="2"/>
  <c r="K391" i="2" s="1"/>
  <c r="H386" i="2"/>
  <c r="K386" i="2" s="1"/>
  <c r="H385" i="2"/>
  <c r="K385" i="2" s="1"/>
  <c r="F385" i="2"/>
  <c r="F384" i="2"/>
  <c r="H384" i="2"/>
  <c r="K384" i="2" s="1"/>
  <c r="H389" i="2"/>
  <c r="K389" i="2" s="1"/>
  <c r="F389" i="2"/>
  <c r="H383" i="2"/>
  <c r="K383" i="2" s="1"/>
  <c r="F139" i="2"/>
  <c r="F150" i="2"/>
  <c r="K769" i="2"/>
  <c r="K757" i="2"/>
  <c r="K745" i="2"/>
  <c r="K733" i="2"/>
  <c r="K721" i="2"/>
  <c r="K709" i="2"/>
  <c r="K697" i="2"/>
  <c r="K685" i="2"/>
  <c r="K805" i="2"/>
  <c r="K793" i="2"/>
  <c r="K781" i="2"/>
  <c r="F383" i="2"/>
  <c r="G139" i="2"/>
  <c r="H150" i="2"/>
  <c r="L150" i="2" s="1"/>
  <c r="F108" i="2"/>
  <c r="H122" i="2"/>
  <c r="L122" i="2" s="1"/>
  <c r="F122" i="2"/>
  <c r="F87" i="2"/>
  <c r="H87" i="2"/>
  <c r="H68" i="2"/>
  <c r="L68" i="2" s="1"/>
  <c r="K728" i="2"/>
  <c r="K692" i="2"/>
  <c r="K680" i="2"/>
  <c r="K656" i="2"/>
  <c r="K644" i="2"/>
  <c r="K632" i="2"/>
  <c r="K764" i="2"/>
  <c r="K740" i="2"/>
  <c r="K716" i="2"/>
  <c r="K668" i="2"/>
  <c r="K620" i="2"/>
  <c r="K752" i="2"/>
  <c r="K704" i="2"/>
  <c r="K800" i="2"/>
  <c r="K788" i="2"/>
  <c r="K776" i="2"/>
  <c r="G344" i="2"/>
  <c r="K725" i="2"/>
  <c r="K701" i="2"/>
  <c r="K677" i="2"/>
  <c r="K653" i="2"/>
  <c r="K641" i="2"/>
  <c r="K629" i="2"/>
  <c r="K749" i="2"/>
  <c r="K737" i="2"/>
  <c r="K713" i="2"/>
  <c r="K689" i="2"/>
  <c r="K665" i="2"/>
  <c r="K775" i="2"/>
  <c r="K743" i="2"/>
  <c r="K719" i="2"/>
  <c r="K707" i="2"/>
  <c r="K683" i="2"/>
  <c r="K671" i="2"/>
  <c r="K659" i="2"/>
  <c r="K647" i="2"/>
  <c r="K623" i="2"/>
  <c r="K767" i="2"/>
  <c r="K755" i="2"/>
  <c r="K695" i="2"/>
  <c r="K731" i="2"/>
  <c r="K799" i="2"/>
  <c r="K787" i="2"/>
  <c r="K763" i="2"/>
  <c r="K751" i="2"/>
  <c r="K739" i="2"/>
  <c r="K727" i="2"/>
  <c r="K715" i="2"/>
  <c r="K703" i="2"/>
  <c r="K691" i="2"/>
  <c r="K803" i="2"/>
  <c r="K791" i="2"/>
  <c r="K779" i="2"/>
  <c r="K772" i="2"/>
  <c r="K736" i="2"/>
  <c r="K724" i="2"/>
  <c r="K700" i="2"/>
  <c r="K688" i="2"/>
  <c r="K676" i="2"/>
  <c r="K664" i="2"/>
  <c r="K652" i="2"/>
  <c r="K640" i="2"/>
  <c r="K628" i="2"/>
  <c r="K616" i="2"/>
  <c r="K635" i="2"/>
  <c r="K796" i="2"/>
  <c r="K784" i="2"/>
  <c r="K666" i="2"/>
  <c r="K630" i="2"/>
  <c r="K773" i="2"/>
  <c r="K761" i="2"/>
  <c r="K797" i="2"/>
  <c r="K785" i="2"/>
  <c r="K139" i="2"/>
  <c r="H117" i="2"/>
  <c r="F117" i="2"/>
  <c r="H108" i="2"/>
  <c r="H107" i="2"/>
  <c r="F107" i="2"/>
  <c r="F68" i="2"/>
  <c r="K771" i="2"/>
  <c r="K759" i="2"/>
  <c r="K747" i="2"/>
  <c r="K735" i="2"/>
  <c r="K723" i="2"/>
  <c r="K711" i="2"/>
  <c r="K699" i="2"/>
  <c r="K687" i="2"/>
  <c r="K675" i="2"/>
  <c r="K663" i="2"/>
  <c r="K651" i="2"/>
  <c r="K639" i="2"/>
  <c r="K627" i="2"/>
  <c r="K615" i="2"/>
  <c r="K780" i="2"/>
  <c r="K795" i="2"/>
  <c r="K783" i="2"/>
  <c r="K732" i="2"/>
  <c r="K672" i="2"/>
  <c r="K660" i="2"/>
  <c r="K648" i="2"/>
  <c r="K636" i="2"/>
  <c r="K624" i="2"/>
  <c r="K768" i="2"/>
  <c r="K802" i="2"/>
  <c r="K790" i="2"/>
  <c r="K766" i="2"/>
  <c r="K754" i="2"/>
  <c r="K742" i="2"/>
  <c r="K730" i="2"/>
  <c r="K778" i="2"/>
  <c r="K718" i="2"/>
  <c r="K706" i="2"/>
  <c r="K694" i="2"/>
  <c r="K682" i="2"/>
  <c r="K670" i="2"/>
  <c r="K658" i="2"/>
  <c r="K646" i="2"/>
  <c r="K634" i="2"/>
  <c r="K622" i="2"/>
  <c r="K633" i="2"/>
  <c r="K621" i="2"/>
  <c r="K741" i="2"/>
  <c r="K657" i="2"/>
  <c r="K645" i="2"/>
  <c r="K801" i="2"/>
  <c r="K729" i="2"/>
  <c r="K717" i="2"/>
  <c r="K789" i="2"/>
  <c r="K705" i="2"/>
  <c r="K693" i="2"/>
  <c r="K681" i="2"/>
  <c r="K669" i="2"/>
  <c r="K777" i="2"/>
  <c r="K765" i="2"/>
  <c r="K753" i="2"/>
  <c r="F106" i="2"/>
  <c r="F9" i="2"/>
  <c r="K654" i="2"/>
  <c r="K618" i="2"/>
  <c r="K642" i="2"/>
  <c r="K678" i="2"/>
  <c r="G106" i="2"/>
  <c r="H9" i="2"/>
  <c r="K774" i="2"/>
  <c r="K62" i="2"/>
  <c r="H149" i="2"/>
  <c r="L149" i="2" s="1"/>
  <c r="F149" i="2"/>
  <c r="H128" i="2"/>
  <c r="H147" i="2"/>
  <c r="F147" i="2"/>
  <c r="F141" i="2"/>
  <c r="H141" i="2"/>
  <c r="F128" i="2"/>
  <c r="H125" i="2"/>
  <c r="F125" i="2"/>
  <c r="H124" i="2"/>
  <c r="F124" i="2"/>
  <c r="K702" i="2"/>
  <c r="K726" i="2"/>
  <c r="K655" i="2"/>
  <c r="K798" i="2"/>
  <c r="K786" i="2"/>
  <c r="K762" i="2"/>
  <c r="K619" i="2"/>
  <c r="K667" i="2"/>
  <c r="K631" i="2"/>
  <c r="K714" i="2"/>
  <c r="K690" i="2"/>
  <c r="K804" i="2"/>
  <c r="K738" i="2"/>
  <c r="K679" i="2"/>
  <c r="K643" i="2"/>
  <c r="K750" i="2"/>
  <c r="H113" i="2"/>
  <c r="G113" i="2"/>
  <c r="K106" i="2"/>
  <c r="H105" i="2"/>
  <c r="F105" i="2"/>
  <c r="H100" i="2"/>
  <c r="F100" i="2"/>
  <c r="G92" i="2"/>
  <c r="H92" i="2"/>
  <c r="K756" i="2"/>
  <c r="K708" i="2"/>
  <c r="K792" i="2"/>
  <c r="K661" i="2"/>
  <c r="K625" i="2"/>
  <c r="K684" i="2"/>
  <c r="K8" i="2"/>
  <c r="K760" i="2"/>
  <c r="K617" i="2"/>
  <c r="K744" i="2"/>
  <c r="K696" i="2"/>
  <c r="K673" i="2"/>
  <c r="K637" i="2"/>
  <c r="K720" i="2"/>
  <c r="K712" i="2"/>
  <c r="K649" i="2"/>
  <c r="K748" i="2"/>
  <c r="H86" i="2"/>
  <c r="F86" i="2"/>
  <c r="H67" i="2"/>
  <c r="F67" i="2"/>
  <c r="I49" i="5"/>
  <c r="I48" i="5"/>
  <c r="I47" i="5"/>
  <c r="K33" i="4"/>
  <c r="I11" i="5"/>
  <c r="K18" i="4"/>
  <c r="K19" i="4"/>
  <c r="K39" i="4"/>
  <c r="K40" i="4"/>
  <c r="K25" i="4"/>
  <c r="K32" i="4"/>
  <c r="K26" i="4"/>
  <c r="J37" i="3" l="1"/>
  <c r="F43" i="5"/>
  <c r="J38" i="3"/>
  <c r="F44" i="5"/>
  <c r="J7" i="3"/>
  <c r="K7" i="3" s="1"/>
  <c r="I13" i="5" s="1"/>
  <c r="F13" i="5"/>
  <c r="K42" i="3"/>
  <c r="K150" i="2"/>
  <c r="K122" i="2"/>
  <c r="L87" i="2"/>
  <c r="K87" i="2" s="1"/>
  <c r="K68" i="2"/>
  <c r="K44" i="3"/>
  <c r="L107" i="2"/>
  <c r="K107" i="2" s="1"/>
  <c r="L117" i="2"/>
  <c r="K117" i="2" s="1"/>
  <c r="L108" i="2"/>
  <c r="K108" i="2" s="1"/>
  <c r="F28" i="5"/>
  <c r="J22" i="3"/>
  <c r="K149" i="2"/>
  <c r="L86" i="2"/>
  <c r="L9" i="2"/>
  <c r="K9" i="2" s="1"/>
  <c r="L128" i="2"/>
  <c r="K128" i="2" s="1"/>
  <c r="L147" i="2"/>
  <c r="K147" i="2" s="1"/>
  <c r="L141" i="2"/>
  <c r="K141" i="2" s="1"/>
  <c r="L125" i="2"/>
  <c r="K125" i="2" s="1"/>
  <c r="L124" i="2"/>
  <c r="K124" i="2" s="1"/>
  <c r="C19" i="4"/>
  <c r="G19" i="4" s="1"/>
  <c r="C25" i="4"/>
  <c r="G25" i="4" s="1"/>
  <c r="C11" i="4"/>
  <c r="G11" i="4" s="1"/>
  <c r="C40" i="4"/>
  <c r="G40" i="4" s="1"/>
  <c r="C32" i="4"/>
  <c r="G32" i="4" s="1"/>
  <c r="L113" i="2"/>
  <c r="K113" i="2" s="1"/>
  <c r="L105" i="2"/>
  <c r="K105" i="2" s="1"/>
  <c r="L100" i="2"/>
  <c r="K100" i="2" s="1"/>
  <c r="L92" i="2"/>
  <c r="K92" i="2" s="1"/>
  <c r="J4" i="3"/>
  <c r="K4" i="3" s="1"/>
  <c r="C26" i="4"/>
  <c r="G26" i="4" s="1"/>
  <c r="C38" i="4"/>
  <c r="G38" i="4" s="1"/>
  <c r="C10" i="4"/>
  <c r="G10" i="4" s="1"/>
  <c r="J30" i="3"/>
  <c r="K30" i="3" s="1"/>
  <c r="I36" i="5" s="1"/>
  <c r="F36" i="5"/>
  <c r="L67" i="2"/>
  <c r="K67" i="2" s="1"/>
  <c r="C24" i="4"/>
  <c r="G24" i="4" s="1"/>
  <c r="C18" i="4"/>
  <c r="G18" i="4" s="1"/>
  <c r="C17" i="4"/>
  <c r="C12" i="4"/>
  <c r="G12" i="4" s="1"/>
  <c r="C33" i="4"/>
  <c r="G33" i="4" s="1"/>
  <c r="L4" i="2"/>
  <c r="Q4" i="1" s="1"/>
  <c r="L14" i="5" s="1"/>
  <c r="F10" i="5"/>
  <c r="J6" i="3"/>
  <c r="K6" i="3" s="1"/>
  <c r="F12" i="5"/>
  <c r="K12" i="4"/>
  <c r="C31" i="4"/>
  <c r="C39" i="4"/>
  <c r="G39" i="4" s="1"/>
  <c r="K86" i="2" l="1"/>
  <c r="K11" i="4"/>
  <c r="K38" i="4"/>
  <c r="K42" i="4" s="1"/>
  <c r="I10" i="5"/>
  <c r="K24" i="4"/>
  <c r="K28" i="4" s="1"/>
  <c r="K17" i="4"/>
  <c r="K21" i="4" s="1"/>
  <c r="K31" i="4"/>
  <c r="K35" i="4" s="1"/>
  <c r="K10" i="4"/>
  <c r="G28" i="4"/>
  <c r="I12" i="5"/>
  <c r="C21" i="4"/>
  <c r="C14" i="4"/>
  <c r="G17" i="4"/>
  <c r="G21" i="4" s="1"/>
  <c r="C28" i="4"/>
  <c r="G14" i="4"/>
  <c r="G46" i="4"/>
  <c r="L6" i="2"/>
  <c r="Q6" i="1" s="1"/>
  <c r="L11" i="5" s="1"/>
  <c r="G47" i="4"/>
  <c r="G31" i="4"/>
  <c r="G35" i="4" s="1"/>
  <c r="C35" i="4"/>
  <c r="G42" i="4"/>
  <c r="C42" i="4"/>
  <c r="K14" i="4" l="1"/>
  <c r="L14" i="4" s="1"/>
  <c r="L5" i="2"/>
  <c r="Q5" i="1" s="1"/>
  <c r="J44" i="5"/>
  <c r="J35" i="5"/>
  <c r="J34" i="5"/>
  <c r="J39" i="5"/>
  <c r="J28" i="5"/>
  <c r="J30" i="5"/>
  <c r="J19" i="5"/>
  <c r="J37" i="5"/>
  <c r="J32" i="5"/>
  <c r="J33" i="5"/>
  <c r="J36" i="5"/>
  <c r="J31" i="5"/>
  <c r="J12" i="5"/>
  <c r="J49" i="5"/>
  <c r="J24" i="5"/>
  <c r="J15" i="5"/>
  <c r="L42" i="4"/>
  <c r="J14" i="5"/>
  <c r="J18" i="5"/>
  <c r="J29" i="5"/>
  <c r="J27" i="5"/>
  <c r="J42" i="5"/>
  <c r="J47" i="5"/>
  <c r="J41" i="5"/>
  <c r="J13" i="5"/>
  <c r="J48" i="5"/>
  <c r="J22" i="5"/>
  <c r="L35" i="4"/>
  <c r="J26" i="5"/>
  <c r="J40" i="5"/>
  <c r="J23" i="5"/>
  <c r="J17" i="5"/>
  <c r="L28" i="4"/>
  <c r="L21" i="4"/>
  <c r="J11" i="5"/>
  <c r="J43" i="5"/>
  <c r="J20" i="5"/>
  <c r="J25" i="5"/>
  <c r="J10" i="5"/>
  <c r="J38" i="5"/>
  <c r="J16" i="5"/>
  <c r="J21" i="5"/>
  <c r="G45" i="4"/>
  <c r="H14" i="4" s="1"/>
  <c r="H28" i="4" l="1"/>
  <c r="H35" i="4"/>
  <c r="H21" i="4"/>
  <c r="H42" i="4"/>
</calcChain>
</file>

<file path=xl/comments1.xml><?xml version="1.0" encoding="utf-8"?>
<comments xmlns="http://schemas.openxmlformats.org/spreadsheetml/2006/main">
  <authors>
    <author/>
  </authors>
  <commentList>
    <comment ref="Q4" authorId="0" shapeId="0">
      <text>
        <r>
          <rPr>
            <b/>
            <sz val="8.5"/>
            <color indexed="63"/>
            <rFont val="Times New Roman"/>
            <family val="1"/>
          </rPr>
          <t xml:space="preserve">Ponto de Função IFPUG: </t>
        </r>
        <r>
          <rPr>
            <sz val="8.5"/>
            <color indexed="63"/>
            <rFont val="Times New Roman"/>
            <family val="1"/>
          </rPr>
          <t>medição baseada nas regras do IFPUG. Não considerada os deflatores nem os itens não mensuráveis. Caso a funcionalidade não tenha sido detalhada, será considerada a estimativa da NESMA.</t>
        </r>
      </text>
    </comment>
    <comment ref="Q5" authorId="0" shapeId="0">
      <text>
        <r>
          <rPr>
            <b/>
            <sz val="8.5"/>
            <color indexed="63"/>
            <rFont val="Times New Roman"/>
            <family val="1"/>
          </rPr>
          <t xml:space="preserve">Ponto de Função Local do EM: </t>
        </r>
        <r>
          <rPr>
            <sz val="8.5"/>
            <color indexed="63"/>
            <rFont val="Times New Roman"/>
            <family val="1"/>
          </rPr>
          <t>medição para remuneração do Escritório de Métricas.Equivalente à medição IFPUG. Porém, considera os itens não mensuráveis previstos em contrato.</t>
        </r>
      </text>
    </comment>
    <comment ref="Q6" authorId="0" shapeId="0">
      <text>
        <r>
          <rPr>
            <b/>
            <sz val="8.5"/>
            <rFont val="Times New Roman"/>
            <family val="1"/>
          </rPr>
          <t xml:space="preserve">Ponto de Função Local da FS: </t>
        </r>
        <r>
          <rPr>
            <sz val="8.5"/>
            <color indexed="81"/>
            <rFont val="Times New Roman"/>
            <family val="1"/>
          </rPr>
          <t>medição para remuneração da Fábrica de Software. Equivalente à medição IFPUG. Porém, considera os deflatores e os itens não mensuráveis previstos em contrato.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K4" authorId="0" shapeId="0">
      <text>
        <r>
          <rPr>
            <b/>
            <sz val="8"/>
            <color indexed="8"/>
            <rFont val="Tahoma"/>
            <family val="2"/>
          </rPr>
          <t xml:space="preserve">Ponto de Função IFPUG:
</t>
        </r>
        <r>
          <rPr>
            <sz val="8"/>
            <color indexed="8"/>
            <rFont val="Tahoma"/>
            <family val="2"/>
          </rPr>
          <t xml:space="preserve">Medição baseada nas regras do IFPUG. Não considerada os deflatores nem os itens não mensuráveis. Caso a funcionalidade não tenha sido detalhada, será considerada a estimativa da NESMA.
</t>
        </r>
      </text>
    </comment>
    <comment ref="K5" authorId="0" shapeId="0">
      <text>
        <r>
          <rPr>
            <b/>
            <sz val="8"/>
            <color indexed="8"/>
            <rFont val="Tahoma"/>
            <family val="2"/>
          </rPr>
          <t xml:space="preserve">Ponto de Função Local do EM:
</t>
        </r>
        <r>
          <rPr>
            <sz val="8"/>
            <color indexed="8"/>
            <rFont val="Tahoma"/>
            <family val="2"/>
          </rPr>
          <t>Medição para remuneração do Escritório de Métricas. Equivalente à medição IFPUG. Porém, considera os itens não mensuráveis previstos em contrato.</t>
        </r>
      </text>
    </comment>
    <comment ref="K6" authorId="0" shapeId="0">
      <text>
        <r>
          <rPr>
            <b/>
            <sz val="8"/>
            <color indexed="8"/>
            <rFont val="Tahoma"/>
            <family val="2"/>
          </rPr>
          <t xml:space="preserve">Ponto de Função Local da FS:
</t>
        </r>
        <r>
          <rPr>
            <sz val="8"/>
            <color indexed="8"/>
            <rFont val="Tahoma"/>
            <family val="2"/>
          </rPr>
          <t xml:space="preserve">Medição para remuneração da Fábrica de Software. Equivalente à medição IFPUG. Porém, considera os deflatores e os itens não mensuráveis previstos em contrato.
</t>
        </r>
      </text>
    </comment>
    <comment ref="A7" authorId="0" shapeId="0">
      <text>
        <r>
          <rPr>
            <b/>
            <sz val="8"/>
            <color indexed="8"/>
            <rFont val="Tahoma"/>
            <family val="2"/>
          </rPr>
          <t xml:space="preserve">Nome da Função:
</t>
        </r>
        <r>
          <rPr>
            <sz val="8"/>
            <color indexed="8"/>
            <rFont val="Tahoma"/>
            <family val="2"/>
          </rPr>
          <t>O processo é a menor unidade de atividade significativa para o usuário?
É auto-contido e deixa o negócio da aplicação em um estado consistente?</t>
        </r>
      </text>
    </comment>
    <comment ref="B7" authorId="0" shapeId="0">
      <text>
        <r>
          <rPr>
            <b/>
            <sz val="8"/>
            <color indexed="8"/>
            <rFont val="Tahoma"/>
            <family val="2"/>
          </rPr>
          <t xml:space="preserve">Tipo de Função: 
</t>
        </r>
        <r>
          <rPr>
            <sz val="8"/>
            <color indexed="8"/>
            <rFont val="Tahoma"/>
            <family val="2"/>
          </rPr>
          <t>ALI, AIE, EE, SE, CE
ou
Itens não mensuráveis</t>
        </r>
      </text>
    </comment>
    <comment ref="C7" authorId="0" shapeId="0">
      <text>
        <r>
          <rPr>
            <b/>
            <sz val="8"/>
            <color indexed="8"/>
            <rFont val="Tahoma"/>
            <family val="2"/>
          </rPr>
          <t xml:space="preserve">Tipo de Manutenção na função:
</t>
        </r>
        <r>
          <rPr>
            <sz val="8"/>
            <color indexed="8"/>
            <rFont val="Tahoma"/>
            <family val="2"/>
          </rPr>
          <t xml:space="preserve">I, A, E 
ou
Itens não mensuráveis
</t>
        </r>
      </text>
    </comment>
    <comment ref="D7" authorId="0" shapeId="0">
      <text>
        <r>
          <rPr>
            <b/>
            <sz val="8"/>
            <color indexed="8"/>
            <rFont val="Tahoma"/>
            <family val="2"/>
          </rPr>
          <t xml:space="preserve">Tipos de Dados (DETs)
</t>
        </r>
      </text>
    </comment>
    <comment ref="E7" authorId="0" shapeId="0">
      <text>
        <r>
          <rPr>
            <b/>
            <sz val="8"/>
            <color indexed="8"/>
            <rFont val="Tahoma"/>
            <family val="2"/>
          </rPr>
          <t xml:space="preserve">Arquivos Referenciados / Tipos de Registro
</t>
        </r>
      </text>
    </comment>
    <comment ref="F7" authorId="0" shapeId="0">
      <text>
        <r>
          <rPr>
            <b/>
            <sz val="8"/>
            <color indexed="8"/>
            <rFont val="Tahoma"/>
            <family val="2"/>
          </rPr>
          <t xml:space="preserve">Grau de complexidade específico atribuído a uma função.
</t>
        </r>
      </text>
    </comment>
    <comment ref="M7" authorId="0" shapeId="0">
      <text>
        <r>
          <rPr>
            <b/>
            <sz val="8"/>
            <color indexed="8"/>
            <rFont val="Tahoma"/>
            <family val="2"/>
          </rPr>
          <t xml:space="preserve">Normalmente utilizado para contagem de baseline, onde o desenvolvimento foi realizado de forma incremental. Isto indica em qual(is) pacote(s) cada funcionalidade foi impactada. Em algumas situações pode ser informado o número do projeto, demanda ou incremento.
</t>
        </r>
      </text>
    </comment>
    <comment ref="N7" authorId="0" shapeId="0">
      <text>
        <r>
          <rPr>
            <b/>
            <sz val="8"/>
            <color indexed="8"/>
            <rFont val="Tahoma"/>
            <family val="2"/>
          </rPr>
          <t xml:space="preserve">Referência ao documento que justifica a contagem da funcionalidade
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B46" authorId="0" shapeId="0">
      <text>
        <r>
          <rPr>
            <b/>
            <sz val="8"/>
            <color indexed="8"/>
            <rFont val="Tahoma"/>
            <family val="2"/>
          </rPr>
          <t xml:space="preserve">Técnica de estimativa do tamanho desenvolvida pela NESMA. Assume que os arquivos lógicos são de complexidade baixa e as transações são de complexidade média. 
</t>
        </r>
      </text>
    </comment>
    <comment ref="B47" authorId="0" shapeId="0">
      <text>
        <r>
          <rPr>
            <b/>
            <sz val="8"/>
            <color indexed="8"/>
            <rFont val="Tahoma"/>
            <family val="2"/>
          </rPr>
          <t xml:space="preserve">Técnica de estimativa do tamanho desenvolvida pela NESMA. É baseada apenas nos arquivos lógicos. Assume que cada ALI tem um peso de 35 PF e cada AIE um peso de 15 PF
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H9" authorId="0" shapeId="0">
      <text>
        <r>
          <rPr>
            <b/>
            <sz val="8"/>
            <color indexed="8"/>
            <rFont val="Tahoma"/>
            <family val="2"/>
          </rPr>
          <t xml:space="preserve">Contribuição fixa em PF independentemente do tipo da funcionalidade
</t>
        </r>
      </text>
    </comment>
    <comment ref="H46" authorId="0" shapeId="0">
      <text>
        <r>
          <rPr>
            <b/>
            <sz val="8"/>
            <color indexed="8"/>
            <rFont val="Tahoma"/>
            <family val="2"/>
          </rPr>
          <t xml:space="preserve">Contribuição fixa em PF para o item não funcional
</t>
        </r>
      </text>
    </comment>
  </commentList>
</comments>
</file>

<file path=xl/sharedStrings.xml><?xml version="1.0" encoding="utf-8"?>
<sst xmlns="http://schemas.openxmlformats.org/spreadsheetml/2006/main" count="625" uniqueCount="310">
  <si>
    <t>Identificação da Contagem</t>
  </si>
  <si>
    <t>Empresa</t>
  </si>
  <si>
    <t>PF IFPUG</t>
  </si>
  <si>
    <t>Aplicação</t>
  </si>
  <si>
    <t>PF Local da FS</t>
  </si>
  <si>
    <t>Tipo de Contagem</t>
  </si>
  <si>
    <t>PF Local do EM</t>
  </si>
  <si>
    <t>Nível de Detalhe</t>
  </si>
  <si>
    <t>Tecnologia</t>
  </si>
  <si>
    <t>Projeto</t>
  </si>
  <si>
    <t>Versão do Guia</t>
  </si>
  <si>
    <t>Responsável</t>
  </si>
  <si>
    <t>Criação</t>
  </si>
  <si>
    <t>Revisor</t>
  </si>
  <si>
    <t>Revisão</t>
  </si>
  <si>
    <t>Propósito da Contagem</t>
  </si>
  <si>
    <t>Escopo da Contagem</t>
  </si>
  <si>
    <t>Documentação Utilizada na Análise</t>
  </si>
  <si>
    <t>Nome da Função</t>
  </si>
  <si>
    <t>Tipo</t>
  </si>
  <si>
    <t>Manutenção</t>
  </si>
  <si>
    <t>TD</t>
  </si>
  <si>
    <t>AR/TR</t>
  </si>
  <si>
    <t>Complex.</t>
  </si>
  <si>
    <t>ctl</t>
  </si>
  <si>
    <t>C</t>
  </si>
  <si>
    <t>ctl2</t>
  </si>
  <si>
    <t>Pacote</t>
  </si>
  <si>
    <t>Origem</t>
  </si>
  <si>
    <t>Observações</t>
  </si>
  <si>
    <t>Itens Não Mensuráveis</t>
  </si>
  <si>
    <t>Tipo de Manutenção na Função</t>
  </si>
  <si>
    <t>Sigla</t>
  </si>
  <si>
    <t>Contribuição em PF Local</t>
  </si>
  <si>
    <t>PF Local FS</t>
  </si>
  <si>
    <t>Contrato</t>
  </si>
  <si>
    <t>Descrição</t>
  </si>
  <si>
    <t>Percentual (%)</t>
  </si>
  <si>
    <t>Fixa (PF)</t>
  </si>
  <si>
    <t>Adicionada</t>
  </si>
  <si>
    <t>Inclusão</t>
  </si>
  <si>
    <t>I</t>
  </si>
  <si>
    <t>Alterada</t>
  </si>
  <si>
    <t>Alteração (sem conhecimento do Fator de Impacto)</t>
  </si>
  <si>
    <t>A</t>
  </si>
  <si>
    <t>Excluída</t>
  </si>
  <si>
    <t>Exclusão</t>
  </si>
  <si>
    <t>E</t>
  </si>
  <si>
    <t>SISP – 4.2 Projeto de Melhoria</t>
  </si>
  <si>
    <t>A50</t>
  </si>
  <si>
    <t>A75</t>
  </si>
  <si>
    <t>A90</t>
  </si>
  <si>
    <t>Migração de Dados</t>
  </si>
  <si>
    <t>SISP – 4.3 Projetos de Migração de Dados</t>
  </si>
  <si>
    <t>PMD</t>
  </si>
  <si>
    <t>Corretiva (sem conhecimento do Fator de Impacto)</t>
  </si>
  <si>
    <t>SISP – 4.4 Manutenção Corretiva</t>
  </si>
  <si>
    <t>COR</t>
  </si>
  <si>
    <t>COR50</t>
  </si>
  <si>
    <t>COR75</t>
  </si>
  <si>
    <t>Corretiva em Garantia</t>
  </si>
  <si>
    <t>GAR</t>
  </si>
  <si>
    <t>Mudança de Plataforma - Linguagem de Programação</t>
  </si>
  <si>
    <t>SISP – 4.5.1 Mudança de Plataforma – Linguagem de Programação</t>
  </si>
  <si>
    <t>MLP</t>
  </si>
  <si>
    <t>SISP – 4.5.2 Mudança de Plataforma – Banco de Dados</t>
  </si>
  <si>
    <t>Atualização de Versão – Linguagem de Programação</t>
  </si>
  <si>
    <t>SISP – 4.6.1 Atualização de Versão – Linguagem de Programação</t>
  </si>
  <si>
    <t>ALP</t>
  </si>
  <si>
    <t>Atualização de Versão – Browser</t>
  </si>
  <si>
    <t>SISP – 4.6.2 Atualização de Versão – Browser</t>
  </si>
  <si>
    <t>AVB</t>
  </si>
  <si>
    <t>Atualização de Versão – Banco de Dados</t>
  </si>
  <si>
    <t>SISP – 4.6.3 Atualização de Versão – Banco de Dados</t>
  </si>
  <si>
    <t>ABD</t>
  </si>
  <si>
    <t>Manutenção Cosmética</t>
  </si>
  <si>
    <t>SISP – 4.7 Manutenção Cosmética</t>
  </si>
  <si>
    <t>COS</t>
  </si>
  <si>
    <t>SISP – 4.8 Adaptação em Funcionalidades sem Alteração de Requisitos Funcionais</t>
  </si>
  <si>
    <t>ARN50</t>
  </si>
  <si>
    <t>ARN75</t>
  </si>
  <si>
    <t>SISP – 4.9.1 Apuração Especial – Base de Dados</t>
  </si>
  <si>
    <t>ADS</t>
  </si>
  <si>
    <t>CPA</t>
  </si>
  <si>
    <t>ADC</t>
  </si>
  <si>
    <t>Apuração Especial – Geração de Relatórios</t>
  </si>
  <si>
    <t>SISP – 4.9.2 Apuração Especial – Geração de Relatórios</t>
  </si>
  <si>
    <t>AGR</t>
  </si>
  <si>
    <t>Apuração Especial – Reexecução</t>
  </si>
  <si>
    <t>SISP – 4.9.3 Apuração Especial – Reexecução</t>
  </si>
  <si>
    <t>AER</t>
  </si>
  <si>
    <t>Atualização de Dados</t>
  </si>
  <si>
    <t>SISP – 4.10 Atualização de Dados</t>
  </si>
  <si>
    <t>ATD</t>
  </si>
  <si>
    <t>Componente Interno Reusável</t>
  </si>
  <si>
    <t>SISP – 4.15 Componente Interno Reusável</t>
  </si>
  <si>
    <t>CIR</t>
  </si>
  <si>
    <t xml:space="preserve">           .</t>
  </si>
  <si>
    <t>ALI</t>
  </si>
  <si>
    <t>AIE</t>
  </si>
  <si>
    <t>EE</t>
  </si>
  <si>
    <t>Quantidade</t>
  </si>
  <si>
    <t>CE</t>
  </si>
  <si>
    <t>SE</t>
  </si>
  <si>
    <t>Páginas Estáticas</t>
  </si>
  <si>
    <t>SISP – 4.11 Desenvolvimento, Manutenção e Publicação de Paginas Estáticas de Intranet, Internet ou Portal</t>
  </si>
  <si>
    <t>PAG</t>
  </si>
  <si>
    <t>Manutenção de Documentação de Sistemas Legados</t>
  </si>
  <si>
    <t>SISP – 4.12 Manutenção de Documentação de Sistemas Legados</t>
  </si>
  <si>
    <t>MSL</t>
  </si>
  <si>
    <t>SISP – 4.13 Verificação de Erros</t>
  </si>
  <si>
    <t>VES</t>
  </si>
  <si>
    <t>VEC</t>
  </si>
  <si>
    <t>Pontos de Função de Teste</t>
  </si>
  <si>
    <t>SISP – 4.14 Pontos de Função de Teste</t>
  </si>
  <si>
    <t>PFT</t>
  </si>
  <si>
    <t>Manutenção Cosmética (atrelada a algo não funcional)</t>
  </si>
  <si>
    <t>COSNF</t>
  </si>
  <si>
    <t>Sumário da Contagem</t>
  </si>
  <si>
    <t>Tipo de Função</t>
  </si>
  <si>
    <t>Complexidade Funcional</t>
  </si>
  <si>
    <t>Total PF IFPUG por Complexidade</t>
  </si>
  <si>
    <t>%</t>
  </si>
  <si>
    <t>Total PF Local FS por tipo de manutenção básica</t>
  </si>
  <si>
    <t>Baixa</t>
  </si>
  <si>
    <t>x 3</t>
  </si>
  <si>
    <t>Média</t>
  </si>
  <si>
    <t>x 4</t>
  </si>
  <si>
    <t>Alta</t>
  </si>
  <si>
    <t>x 6</t>
  </si>
  <si>
    <t>Qtd Total</t>
  </si>
  <si>
    <t>Total</t>
  </si>
  <si>
    <t>x 5</t>
  </si>
  <si>
    <t>x 7</t>
  </si>
  <si>
    <t>x 10</t>
  </si>
  <si>
    <t>x 15</t>
  </si>
  <si>
    <t>Total PF não ajustados (contagem detalhada)</t>
  </si>
  <si>
    <t>Total PF não ajustados (contagem estimativa)</t>
  </si>
  <si>
    <t>Total PF não ajustados (contagem indicativa)</t>
  </si>
  <si>
    <t>Sumário por Deflatores e Itens não mensuráveis</t>
  </si>
  <si>
    <t>Deflatores aplicados a Itens Funcionais</t>
  </si>
  <si>
    <t>Deflator</t>
  </si>
  <si>
    <t>Contrib. Fixa</t>
  </si>
  <si>
    <t>% LOCAL</t>
  </si>
  <si>
    <t>Total IFPUG</t>
  </si>
  <si>
    <t>Itens não Funcionais (Tipo de Função)</t>
  </si>
  <si>
    <t>Corretiva (50%) - Fora da garantia (mesma empresa)</t>
  </si>
  <si>
    <t>Corretiva (75%) - Fora da garantia (outra empresa)</t>
  </si>
  <si>
    <t>Corretiva (75%+15%) - Fora da garantia (outra empresa) + Redocumentação</t>
  </si>
  <si>
    <t>COR90</t>
  </si>
  <si>
    <t>Alteração (50%) de função desenvolvida ou já alterada pela empresa atual</t>
  </si>
  <si>
    <t>Alteração (75%) de função não desenv. e ainda não alterada pela empresa atual</t>
  </si>
  <si>
    <t>Alteração (75%+15%): o mesmo acima + redocumentar a função</t>
  </si>
  <si>
    <t>ARN</t>
  </si>
  <si>
    <t>Adaptação em Funcionalidades sem Alteração de Requisitos Funcionais
(sem conhecimento do Fator de Impacto)</t>
  </si>
  <si>
    <t>Adaptação em Funcionalidades sem Alteração de Requisitos Funcionais (50%)
(em função desenvolvida ou já alterada pela empresa atual)</t>
  </si>
  <si>
    <t>Adaptação em Funcionalidades sem Alteração de Requisitos Funcionais (75%)
(em função não desenvolvida e ainda não alterada pela empresa atual)</t>
  </si>
  <si>
    <t>Planilha de contagem de ponto de função - Versão 2.4</t>
  </si>
  <si>
    <t>Referência</t>
  </si>
  <si>
    <t>Dados de Código</t>
  </si>
  <si>
    <t>DC</t>
  </si>
  <si>
    <t>MBO</t>
  </si>
  <si>
    <t>MBM</t>
  </si>
  <si>
    <t>Verificação de Erros (Com Documentação de Teste existente)</t>
  </si>
  <si>
    <t>Verificação de Erros (Sem Documentação de Teste existente)</t>
  </si>
  <si>
    <t>Atualização de Dados com Consulta Prévia</t>
  </si>
  <si>
    <t>Consulta Prévia sem Atualização</t>
  </si>
  <si>
    <t>Atualização de Dados sem Consulta Prévia</t>
  </si>
  <si>
    <t>Mudança de Plataforma - Banco de Dados (outro paradigma)</t>
  </si>
  <si>
    <t>Mudança de Plataforma - Banco de Dados (mesmo paradigma com alterações)</t>
  </si>
  <si>
    <t>Secretaria de Estado de Planejamento e Gestão de Mato Grosso</t>
  </si>
  <si>
    <t>Jonathas Gomes Marques</t>
  </si>
  <si>
    <t>Java</t>
  </si>
  <si>
    <t>4.3.1</t>
  </si>
  <si>
    <t>Estimativa (NESMA)</t>
  </si>
  <si>
    <t>MT Login</t>
  </si>
  <si>
    <t>HU_41 Gerenciar Prêmio Cadastrar nova Edição</t>
  </si>
  <si>
    <t>CPF - SEAP</t>
  </si>
  <si>
    <t>Edições do Prêmio</t>
  </si>
  <si>
    <t>Edições do Prêmio - Listar</t>
  </si>
  <si>
    <t>Edições do Prêmio - Procurar o CPF no SEAP</t>
  </si>
  <si>
    <t>Edições do Prêmio - Cadastrar Edição</t>
  </si>
  <si>
    <t>Edições do Prêmio - Editar</t>
  </si>
  <si>
    <t>Edições do Prêmio - Visualizar</t>
  </si>
  <si>
    <t xml:space="preserve">HU_42 Gerenciar Prêmio Editar Prêmio de Inovação </t>
  </si>
  <si>
    <t>Edições do Prêmio - Consulta Implícita</t>
  </si>
  <si>
    <t>HU_43 Gerenciar Prêmio Visualizar Editar Prêmio (Fase do Prêmio)</t>
  </si>
  <si>
    <t>Edições do Prêmio - Editar Fase</t>
  </si>
  <si>
    <t>Edições do Prêmio - Adicionar Fase</t>
  </si>
  <si>
    <t>Edições do Prêmio - Excluir Fase</t>
  </si>
  <si>
    <t>Fase</t>
  </si>
  <si>
    <t>Edições do Prêmio - Visualizar Fase</t>
  </si>
  <si>
    <t>Edições do Prêmio - Tipo da Fase (combo-box)</t>
  </si>
  <si>
    <t>Edições do Prêmio - Edição do Prêmio (consulta implícita)</t>
  </si>
  <si>
    <t>Edições do Prêmio - Listar Fase</t>
  </si>
  <si>
    <t>Edições do Prêmio - Listar Categorias</t>
  </si>
  <si>
    <t>Edições do Prêmio - Visualizar Categorias</t>
  </si>
  <si>
    <t>HU_44 Gerenciar Prêmio Visualizar Editar Prêmio (Categorias do Prêmio)</t>
  </si>
  <si>
    <t>Edições do Prêmio - Cadastrar Categorias</t>
  </si>
  <si>
    <t>Edições do Prêmio - Editar Categorias</t>
  </si>
  <si>
    <t>Edições do Prêmio - Excluir Categorias</t>
  </si>
  <si>
    <t>HU_45 Gerenciar Prêmio Visualizar Editar Prêmio (Perguntas do Formulário)</t>
  </si>
  <si>
    <t>Edições do Prêmio - Listar Perguntas</t>
  </si>
  <si>
    <t>Edições do Prêmio - Visualizar Perguntas</t>
  </si>
  <si>
    <t>Edições do Prêmio - Cadastrar Perguntas</t>
  </si>
  <si>
    <t>Edições do Prêmio - Editar Perguntas</t>
  </si>
  <si>
    <t>Edições do Prêmio - Excluir Perguntas</t>
  </si>
  <si>
    <t>Edições do Prêmio - Inscrição (total)</t>
  </si>
  <si>
    <t>HU_07 - Realizar Login</t>
  </si>
  <si>
    <t>HU_01 - Realizar Inscrição Resumo Executivo(Primeira Etapa)</t>
  </si>
  <si>
    <t>Inscrição</t>
  </si>
  <si>
    <t>Inscrição - Consultar Edição</t>
  </si>
  <si>
    <t>Inscrição - Aceitar Permissões</t>
  </si>
  <si>
    <t>Inscrição - Categorias - Consultar Categorias (combo-box)</t>
  </si>
  <si>
    <t>Inscrição - Participantes - Consultar Órgão de Lotação</t>
  </si>
  <si>
    <t>Inscrição - Participantes - Listar Paticipantes</t>
  </si>
  <si>
    <t>Inscrição - Participantes - Excluir Participantes</t>
  </si>
  <si>
    <t>Inscrição - Participantes - Contador de Participantes</t>
  </si>
  <si>
    <t>Inscrição - Participantes - Bloquear de Participantes</t>
  </si>
  <si>
    <t>Inscrição - Participantes - Adicionar de Participantes</t>
  </si>
  <si>
    <t>Inscrição - Participantes - Histórico</t>
  </si>
  <si>
    <t>Inscrição - Participantes - Histórico - Consultar Histórico</t>
  </si>
  <si>
    <t>Inscrição - Participantes - Consultar Unidade de Lotação</t>
  </si>
  <si>
    <t>Inscrição - Participantes - Resumo da Prática Inovadora</t>
  </si>
  <si>
    <t>Inscrição - Participantes - Resumo da Prática Inovadora - Ano (combo-box)</t>
  </si>
  <si>
    <t>Inscrição - Participantes - Resumo da Prática Inovadora - Salvar/Finalizar</t>
  </si>
  <si>
    <t>HU_08 – Consultar Inscrição Resumo Executivo da PPI (Primeira Etapa)</t>
  </si>
  <si>
    <t>Inscrição - Consultar Minhas Inscrições</t>
  </si>
  <si>
    <t>Inscrição - Consultar Dados da Inscrição</t>
  </si>
  <si>
    <t>Inscrição - Consultar Dados da Equipe</t>
  </si>
  <si>
    <t>Inscrição - Consultar Resumo Executivo</t>
  </si>
  <si>
    <t>HU_09 – Alterar Inscrição Resumo Executivo da PPI (Primeira Etapa)</t>
  </si>
  <si>
    <t>Inscrição - Alterar</t>
  </si>
  <si>
    <t>Inscrição - Consultar para Alterar (consulta imnplícita)</t>
  </si>
  <si>
    <t>Inscrição - Atualizar Dados do Usuário</t>
  </si>
  <si>
    <t>Inscrição - Participantes - Alterar Equipe</t>
  </si>
  <si>
    <t>Inscrição - Participantes - Alterar Resumo Executivo</t>
  </si>
  <si>
    <t>HU_10 – Cancelar Inscrição Resumo Executivo da PPI (Primeira Etapa)</t>
  </si>
  <si>
    <t>Inscrição - Cancelar</t>
  </si>
  <si>
    <t>Inscrição - Consultar Dados Recuperados</t>
  </si>
  <si>
    <t>Inscrição - Consultar Implícita de Inscrições</t>
  </si>
  <si>
    <t>HU_11 – Inscrição Resumo Executivo da PPI (Primeira Etapa)</t>
  </si>
  <si>
    <t>Inscrições - Canceladas - Listar</t>
  </si>
  <si>
    <t>Inscrições - Canceladas - Consultar</t>
  </si>
  <si>
    <t>HU_11 – Dados do Usuário - Inscrições Resumo Executivo da PPI (Primeira Etapa)</t>
  </si>
  <si>
    <t>Dados do Usuário - Consultar Dados do Perfil do Candidato (consulta implícita)</t>
  </si>
  <si>
    <t>Dados do Usuário - Atualizar Dados</t>
  </si>
  <si>
    <t>HU_24 - Relatório de Inconformidade</t>
  </si>
  <si>
    <t>Relatório de Inconformidade - Exportar Planilha Notas Diferentes ou Perguntas</t>
  </si>
  <si>
    <t>HU_ 27 - Relatório de Participantes que Não constam no SEAP</t>
  </si>
  <si>
    <t>Sistema de Inovação</t>
  </si>
  <si>
    <r>
      <t xml:space="preserve">Criar a linha de base (baseline) para o produto de software/módulo </t>
    </r>
    <r>
      <rPr>
        <b/>
        <sz val="10"/>
        <color rgb="FF0070C0"/>
        <rFont val="Franklin Gothic Medium"/>
        <family val="2"/>
      </rPr>
      <t>SINOVA</t>
    </r>
    <r>
      <rPr>
        <sz val="10"/>
        <rFont val="Franklin Gothic Medium"/>
        <family val="2"/>
      </rPr>
      <t xml:space="preserve"> afim de propiciar o planejamento, execução e monitoramento do processo de desenvolvimento de software do referido produto.
- Dar suporte à análise de qualidade e produtividade;
- Estimar o custos e recursos requeridos para o desenvolvimento, melhoria e manutenção do software;
- Fornecer um fator de normalização para a comparação de software;
- Determinar o tamanho de um pacote de aplicação adquirido, por meio do dimensionamento funcional de todas as funções incluídas no mesmo;
- Ajudar os usuários a determinar o benefício provido por um pacote de aplicação para a sua organização, por meio do dimensionamento funcional das funções que correspondam especificamente aos seus requisitos.</t>
    </r>
  </si>
  <si>
    <t xml:space="preserve">Sinova.
</t>
  </si>
  <si>
    <t>Relatório de Participantes que Não Constam no SEAP - Exportar Planilha</t>
  </si>
  <si>
    <t>Listar Relatórios</t>
  </si>
  <si>
    <t>HU_ 28 - Relatório de Inscrições Ativas</t>
  </si>
  <si>
    <t>Mudança na lógica e campos diferentes em relação a HU_27.</t>
  </si>
  <si>
    <t>HU_ 29 - Relatório de Inscrições Canceladas</t>
  </si>
  <si>
    <t>HU_30 - Relatório das Práticas Não Implementadas no Interstício Exigido</t>
  </si>
  <si>
    <t>HU_33 - Relatório das Práticas Avaliadas e Não avaliadas</t>
  </si>
  <si>
    <t>Listar - Práticas Avaliadas e Não Avaliadas</t>
  </si>
  <si>
    <t>Listar - Práticas Não Implementadas 2024 e 2025</t>
  </si>
  <si>
    <t>Exportar Planilha - Práticas Avaliadas e Não Avaliadas</t>
  </si>
  <si>
    <t>Exportar Planilha - Práticas Não Implementadas 2024 e 2025</t>
  </si>
  <si>
    <t>Exportar Planilha Inscrições Canceladas</t>
  </si>
  <si>
    <t>Exportar Planilha Inscrições Ativas</t>
  </si>
  <si>
    <t>Listar Inconformidades</t>
  </si>
  <si>
    <t>HU_36 - Relatório das perguntas e respostas por fase</t>
  </si>
  <si>
    <t>Exportar Planilha - Perguntas e Respostas por Fase</t>
  </si>
  <si>
    <t>Listar - Perguntas e Respostas por Fase</t>
  </si>
  <si>
    <t>Listar Inscrições Canceladas</t>
  </si>
  <si>
    <t>HU_02 – Avaliar inscrição (Triagem de Conformidade)</t>
  </si>
  <si>
    <t>Triagem</t>
  </si>
  <si>
    <t>Triagem - Detalhes da Inscrição</t>
  </si>
  <si>
    <t>Triagem - Candidatos - Selecionar Filtros</t>
  </si>
  <si>
    <t>Triagem - Etapa (combo-box)</t>
  </si>
  <si>
    <t>Triagem -  Categoria (combo-box)</t>
  </si>
  <si>
    <t>Triagem - Situação (combo-box)</t>
  </si>
  <si>
    <t>Triagem - Listar</t>
  </si>
  <si>
    <t>Triagem - Exportar PDF/XLS</t>
  </si>
  <si>
    <t>Triagem - Consultar Detalhes da Triagem</t>
  </si>
  <si>
    <t>Triagem - Deferir/Indeferir - Salvar Alterações</t>
  </si>
  <si>
    <t>HU_03 – Recorrer Avaliação (Recurso da Triagem)</t>
  </si>
  <si>
    <t>Recurso</t>
  </si>
  <si>
    <t>Recurso - Enviar Recurso</t>
  </si>
  <si>
    <t>Recurso - Dados da Inscrição (consulta implícita)</t>
  </si>
  <si>
    <t>Recurso - Consultar</t>
  </si>
  <si>
    <t>HU_04 – Avaliar Recurso da Triagem</t>
  </si>
  <si>
    <t>Recurso - Salvar Alterações (Deferido/Indeferido)</t>
  </si>
  <si>
    <t>Recurso - Listar</t>
  </si>
  <si>
    <t>Recurso - Exportar PDF/XLS</t>
  </si>
  <si>
    <t>HU_06 – Avaliar Resumo Executivo da PPI ( Primeira Etapa)</t>
  </si>
  <si>
    <t>Avaliar</t>
  </si>
  <si>
    <t>Avaliar - Enviar Avbaliação em Lote</t>
  </si>
  <si>
    <t>Avaliar - Filtrar</t>
  </si>
  <si>
    <t>Avaliar - Avaliar (incluir/alterar nota)</t>
  </si>
  <si>
    <t>Avaliar - Exportar Dados da Grid (PDF/XLX)</t>
  </si>
  <si>
    <t>Avaliar - Listar</t>
  </si>
  <si>
    <t>Avaliar - Consultar Respostas</t>
  </si>
  <si>
    <t>HU_40 – Distribuir inscrições para os avaliadores</t>
  </si>
  <si>
    <t>Distribuir Práticas</t>
  </si>
  <si>
    <t>Distribuir Práticas - Enviar Práticas</t>
  </si>
  <si>
    <t>Cadastrar Avaliadores</t>
  </si>
  <si>
    <t>Cadastrar Avaliadores - Consultar Mais Detalhes</t>
  </si>
  <si>
    <t>Cadastrar Avaliadores - Visualizar Avaliadores</t>
  </si>
  <si>
    <t>Cadastrar Avaliadores - Substituir Avaliador</t>
  </si>
  <si>
    <t>Cadastrar Avaliadores - Incluir Avaliador</t>
  </si>
  <si>
    <t>Cadastrar Avaliadores - Consultar Informações do Sistema</t>
  </si>
  <si>
    <t>Listar Práticas Públicas Inscritas</t>
  </si>
  <si>
    <t>Cadastrar Avaliadores - Alterar Usuários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</si>
</sst>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* #,##0.00\ ;* \(#,##0.00\);* \-#\ ;@\ "/>
    <numFmt numFmtId="165" formatCode="dd/mm/yy"/>
    <numFmt numFmtId="166" formatCode="0.0000"/>
    <numFmt numFmtId="167" formatCode="0.0%"/>
  </numFmts>
  <fonts count="22" x14ac:knownFonts="1">
    <font>
      <sz val="10"/>
      <name val="Arial"/>
      <family val="2"/>
    </font>
    <font>
      <b/>
      <sz val="15"/>
      <color indexed="56"/>
      <name val="Calibri"/>
      <family val="2"/>
    </font>
    <font>
      <sz val="10"/>
      <name val="Franklin Gothic Medium"/>
      <family val="2"/>
    </font>
    <font>
      <b/>
      <sz val="12"/>
      <name val="Franklin Gothic Medium"/>
      <family val="2"/>
    </font>
    <font>
      <sz val="9"/>
      <color indexed="12"/>
      <name val="Franklin Gothic Medium"/>
      <family val="2"/>
    </font>
    <font>
      <sz val="9"/>
      <name val="Franklin Gothic Medium"/>
      <family val="2"/>
    </font>
    <font>
      <b/>
      <sz val="10"/>
      <name val="Franklin Gothic Medium"/>
      <family val="2"/>
    </font>
    <font>
      <b/>
      <sz val="8.5"/>
      <color indexed="63"/>
      <name val="Times New Roman"/>
      <family val="1"/>
    </font>
    <font>
      <sz val="8.5"/>
      <color indexed="63"/>
      <name val="Times New Roman"/>
      <family val="1"/>
    </font>
    <font>
      <b/>
      <sz val="8.5"/>
      <name val="Times New Roman"/>
      <family val="1"/>
    </font>
    <font>
      <sz val="8"/>
      <name val="Franklin Gothic Medium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"/>
      <color indexed="63"/>
      <name val="Franklin Gothic Medium"/>
      <family val="2"/>
    </font>
    <font>
      <b/>
      <sz val="9"/>
      <name val="Franklin Gothic Medium"/>
      <family val="2"/>
    </font>
    <font>
      <sz val="10"/>
      <name val="Arial"/>
      <family val="2"/>
    </font>
    <font>
      <sz val="8.5"/>
      <color indexed="81"/>
      <name val="Times New Roman"/>
      <family val="1"/>
    </font>
    <font>
      <sz val="9"/>
      <color theme="0"/>
      <name val="Franklin Gothic Medium"/>
      <family val="2"/>
    </font>
    <font>
      <sz val="8"/>
      <color theme="0"/>
      <name val="Franklin Gothic Medium"/>
      <family val="2"/>
    </font>
    <font>
      <b/>
      <sz val="10"/>
      <color rgb="FF0070C0"/>
      <name val="Franklin Gothic Medium"/>
      <family val="2"/>
    </font>
    <font>
      <b/>
      <sz val="8"/>
      <name val="Franklin Gothic Medium"/>
      <family val="2"/>
    </font>
    <font>
      <b/>
      <u/>
      <sz val="8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indexed="13"/>
        <bgColor indexed="34"/>
      </patternFill>
    </fill>
    <fill>
      <patternFill patternType="solid">
        <fgColor indexed="23"/>
        <bgColor indexed="55"/>
      </patternFill>
    </fill>
  </fills>
  <borders count="46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medium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medium">
        <color indexed="8"/>
      </left>
      <right/>
      <top style="hair">
        <color indexed="8"/>
      </top>
      <bottom style="hair">
        <color indexed="8"/>
      </bottom>
      <diagonal/>
    </border>
    <border>
      <left style="medium">
        <color indexed="8"/>
      </left>
      <right/>
      <top style="hair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hair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4">
    <xf numFmtId="0" fontId="0" fillId="0" borderId="0"/>
    <xf numFmtId="9" fontId="15" fillId="0" borderId="0" applyBorder="0" applyAlignment="0" applyProtection="0"/>
    <xf numFmtId="0" fontId="1" fillId="0" borderId="1" applyAlignment="0" applyProtection="0"/>
    <xf numFmtId="164" fontId="15" fillId="0" borderId="0" applyBorder="0" applyAlignment="0" applyProtection="0"/>
  </cellStyleXfs>
  <cellXfs count="178">
    <xf numFmtId="0" fontId="0" fillId="0" borderId="0" xfId="0"/>
    <xf numFmtId="0" fontId="2" fillId="0" borderId="0" xfId="0" applyFont="1"/>
    <xf numFmtId="0" fontId="4" fillId="0" borderId="2" xfId="0" applyFont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10" fillId="0" borderId="4" xfId="0" applyFont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 wrapText="1"/>
    </xf>
    <xf numFmtId="4" fontId="10" fillId="2" borderId="5" xfId="0" applyNumberFormat="1" applyFont="1" applyFill="1" applyBorder="1" applyAlignment="1">
      <alignment horizontal="center" vertical="center"/>
    </xf>
    <xf numFmtId="0" fontId="10" fillId="0" borderId="5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4" fontId="10" fillId="2" borderId="8" xfId="0" applyNumberFormat="1" applyFont="1" applyFill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Font="1" applyFill="1" applyBorder="1"/>
    <xf numFmtId="0" fontId="2" fillId="0" borderId="0" xfId="0" applyFont="1" applyBorder="1" applyAlignment="1">
      <alignment horizont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4" fontId="5" fillId="2" borderId="10" xfId="3" applyNumberFormat="1" applyFont="1" applyFill="1" applyBorder="1" applyAlignment="1" applyProtection="1">
      <alignment horizontal="center"/>
    </xf>
    <xf numFmtId="0" fontId="13" fillId="2" borderId="3" xfId="0" applyFont="1" applyFill="1" applyBorder="1" applyAlignment="1">
      <alignment horizontal="left" vertical="center"/>
    </xf>
    <xf numFmtId="3" fontId="5" fillId="2" borderId="2" xfId="3" applyNumberFormat="1" applyFont="1" applyFill="1" applyBorder="1" applyAlignment="1" applyProtection="1">
      <alignment horizontal="center"/>
    </xf>
    <xf numFmtId="0" fontId="13" fillId="2" borderId="11" xfId="0" applyFont="1" applyFill="1" applyBorder="1" applyAlignment="1">
      <alignment horizontal="center"/>
    </xf>
    <xf numFmtId="0" fontId="4" fillId="0" borderId="12" xfId="0" applyFont="1" applyBorder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3" fontId="5" fillId="2" borderId="12" xfId="3" applyNumberFormat="1" applyFont="1" applyFill="1" applyBorder="1" applyAlignment="1" applyProtection="1">
      <alignment horizontal="center"/>
    </xf>
    <xf numFmtId="4" fontId="5" fillId="2" borderId="13" xfId="3" applyNumberFormat="1" applyFont="1" applyFill="1" applyBorder="1" applyAlignment="1" applyProtection="1">
      <alignment horizontal="center"/>
    </xf>
    <xf numFmtId="167" fontId="5" fillId="0" borderId="0" xfId="1" applyNumberFormat="1" applyFont="1" applyFill="1" applyBorder="1" applyAlignment="1" applyProtection="1"/>
    <xf numFmtId="0" fontId="0" fillId="0" borderId="0" xfId="0" applyBorder="1"/>
    <xf numFmtId="167" fontId="5" fillId="0" borderId="14" xfId="1" applyNumberFormat="1" applyFont="1" applyFill="1" applyBorder="1" applyAlignment="1" applyProtection="1"/>
    <xf numFmtId="0" fontId="5" fillId="0" borderId="15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5" fillId="2" borderId="2" xfId="0" applyNumberFormat="1" applyFont="1" applyFill="1" applyBorder="1" applyAlignment="1">
      <alignment horizontal="center"/>
    </xf>
    <xf numFmtId="2" fontId="5" fillId="2" borderId="2" xfId="0" applyNumberFormat="1" applyFont="1" applyFill="1" applyBorder="1" applyAlignment="1">
      <alignment horizontal="center"/>
    </xf>
    <xf numFmtId="10" fontId="5" fillId="2" borderId="2" xfId="1" applyNumberFormat="1" applyFont="1" applyFill="1" applyBorder="1" applyAlignment="1" applyProtection="1">
      <alignment horizontal="center"/>
    </xf>
    <xf numFmtId="2" fontId="5" fillId="0" borderId="2" xfId="1" applyNumberFormat="1" applyFont="1" applyBorder="1" applyAlignment="1" applyProtection="1">
      <alignment horizontal="center"/>
    </xf>
    <xf numFmtId="2" fontId="14" fillId="3" borderId="2" xfId="1" applyNumberFormat="1" applyFont="1" applyFill="1" applyBorder="1" applyAlignment="1" applyProtection="1">
      <alignment horizontal="center"/>
    </xf>
    <xf numFmtId="0" fontId="0" fillId="0" borderId="16" xfId="0" applyBorder="1"/>
    <xf numFmtId="0" fontId="5" fillId="0" borderId="2" xfId="0" applyFont="1" applyBorder="1" applyAlignment="1">
      <alignment horizontal="center"/>
    </xf>
    <xf numFmtId="0" fontId="0" fillId="0" borderId="17" xfId="0" applyBorder="1"/>
    <xf numFmtId="0" fontId="5" fillId="0" borderId="18" xfId="0" applyFont="1" applyFill="1" applyBorder="1"/>
    <xf numFmtId="0" fontId="5" fillId="0" borderId="19" xfId="0" applyFont="1" applyFill="1" applyBorder="1"/>
    <xf numFmtId="0" fontId="5" fillId="0" borderId="20" xfId="0" applyFont="1" applyFill="1" applyBorder="1"/>
    <xf numFmtId="0" fontId="14" fillId="0" borderId="21" xfId="0" applyFont="1" applyFill="1" applyBorder="1" applyAlignment="1">
      <alignment horizontal="center"/>
    </xf>
    <xf numFmtId="0" fontId="5" fillId="0" borderId="0" xfId="0" applyFont="1" applyFill="1" applyBorder="1"/>
    <xf numFmtId="0" fontId="5" fillId="0" borderId="16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5" fillId="0" borderId="16" xfId="0" applyFont="1" applyFill="1" applyBorder="1"/>
    <xf numFmtId="2" fontId="5" fillId="0" borderId="16" xfId="0" applyNumberFormat="1" applyFont="1" applyFill="1" applyBorder="1" applyAlignment="1">
      <alignment vertical="center"/>
    </xf>
    <xf numFmtId="0" fontId="5" fillId="0" borderId="14" xfId="0" applyFont="1" applyFill="1" applyBorder="1"/>
    <xf numFmtId="0" fontId="5" fillId="0" borderId="21" xfId="0" applyFont="1" applyFill="1" applyBorder="1"/>
    <xf numFmtId="10" fontId="5" fillId="0" borderId="14" xfId="0" applyNumberFormat="1" applyFont="1" applyFill="1" applyBorder="1"/>
    <xf numFmtId="2" fontId="5" fillId="0" borderId="0" xfId="0" applyNumberFormat="1" applyFont="1" applyFill="1" applyBorder="1"/>
    <xf numFmtId="0" fontId="14" fillId="0" borderId="0" xfId="0" applyFont="1" applyFill="1" applyBorder="1"/>
    <xf numFmtId="0" fontId="0" fillId="0" borderId="0" xfId="0" applyFill="1" applyBorder="1"/>
    <xf numFmtId="0" fontId="5" fillId="0" borderId="22" xfId="0" applyFont="1" applyFill="1" applyBorder="1"/>
    <xf numFmtId="0" fontId="5" fillId="0" borderId="23" xfId="0" applyFont="1" applyFill="1" applyBorder="1"/>
    <xf numFmtId="2" fontId="5" fillId="0" borderId="16" xfId="0" applyNumberFormat="1" applyFont="1" applyFill="1" applyBorder="1"/>
    <xf numFmtId="2" fontId="5" fillId="0" borderId="0" xfId="0" applyNumberFormat="1" applyFont="1" applyFill="1" applyBorder="1" applyAlignment="1"/>
    <xf numFmtId="0" fontId="5" fillId="0" borderId="24" xfId="0" applyFont="1" applyFill="1" applyBorder="1"/>
    <xf numFmtId="0" fontId="5" fillId="0" borderId="25" xfId="0" applyFont="1" applyFill="1" applyBorder="1"/>
    <xf numFmtId="0" fontId="5" fillId="0" borderId="26" xfId="0" applyFont="1" applyFill="1" applyBorder="1"/>
    <xf numFmtId="0" fontId="17" fillId="4" borderId="19" xfId="0" applyFont="1" applyFill="1" applyBorder="1" applyAlignment="1">
      <alignment horizontal="left" vertical="center" wrapText="1"/>
    </xf>
    <xf numFmtId="0" fontId="17" fillId="4" borderId="16" xfId="0" applyFont="1" applyFill="1" applyBorder="1" applyAlignment="1">
      <alignment horizontal="left" vertical="center" wrapText="1"/>
    </xf>
    <xf numFmtId="0" fontId="18" fillId="4" borderId="27" xfId="0" applyFont="1" applyFill="1" applyBorder="1" applyAlignment="1">
      <alignment horizontal="left" vertical="center"/>
    </xf>
    <xf numFmtId="0" fontId="18" fillId="4" borderId="28" xfId="0" applyFont="1" applyFill="1" applyBorder="1" applyAlignment="1">
      <alignment horizontal="left" vertical="center"/>
    </xf>
    <xf numFmtId="0" fontId="18" fillId="4" borderId="27" xfId="0" applyFont="1" applyFill="1" applyBorder="1" applyAlignment="1">
      <alignment horizontal="left"/>
    </xf>
    <xf numFmtId="0" fontId="18" fillId="4" borderId="27" xfId="0" applyFont="1" applyFill="1" applyBorder="1" applyAlignment="1">
      <alignment horizontal="center"/>
    </xf>
    <xf numFmtId="0" fontId="18" fillId="4" borderId="29" xfId="0" applyFont="1" applyFill="1" applyBorder="1" applyAlignment="1">
      <alignment horizontal="center"/>
    </xf>
    <xf numFmtId="0" fontId="18" fillId="4" borderId="28" xfId="0" applyFont="1" applyFill="1" applyBorder="1" applyAlignment="1">
      <alignment horizontal="center"/>
    </xf>
    <xf numFmtId="0" fontId="18" fillId="4" borderId="30" xfId="0" applyFont="1" applyFill="1" applyBorder="1" applyAlignment="1">
      <alignment horizontal="center"/>
    </xf>
    <xf numFmtId="0" fontId="5" fillId="0" borderId="21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/>
    </xf>
    <xf numFmtId="164" fontId="5" fillId="0" borderId="0" xfId="3" applyFont="1" applyFill="1" applyBorder="1" applyAlignment="1" applyProtection="1">
      <alignment horizontal="right"/>
    </xf>
    <xf numFmtId="2" fontId="5" fillId="0" borderId="0" xfId="0" applyNumberFormat="1" applyFont="1" applyFill="1" applyBorder="1" applyAlignment="1">
      <alignment horizontal="center"/>
    </xf>
    <xf numFmtId="2" fontId="5" fillId="0" borderId="14" xfId="0" applyNumberFormat="1" applyFont="1" applyFill="1" applyBorder="1" applyAlignment="1"/>
    <xf numFmtId="0" fontId="0" fillId="0" borderId="21" xfId="0" applyFill="1" applyBorder="1"/>
    <xf numFmtId="0" fontId="0" fillId="0" borderId="14" xfId="0" applyFill="1" applyBorder="1"/>
    <xf numFmtId="0" fontId="14" fillId="0" borderId="0" xfId="0" applyFont="1" applyFill="1" applyBorder="1" applyAlignment="1">
      <alignment horizontal="center"/>
    </xf>
    <xf numFmtId="0" fontId="0" fillId="0" borderId="24" xfId="0" applyFill="1" applyBorder="1"/>
    <xf numFmtId="0" fontId="4" fillId="0" borderId="25" xfId="0" applyFont="1" applyFill="1" applyBorder="1" applyAlignment="1">
      <alignment horizontal="center" vertical="center"/>
    </xf>
    <xf numFmtId="0" fontId="0" fillId="0" borderId="25" xfId="0" applyFill="1" applyBorder="1"/>
    <xf numFmtId="0" fontId="4" fillId="0" borderId="25" xfId="0" applyFont="1" applyFill="1" applyBorder="1" applyAlignment="1">
      <alignment horizontal="center"/>
    </xf>
    <xf numFmtId="1" fontId="5" fillId="0" borderId="25" xfId="0" applyNumberFormat="1" applyFont="1" applyFill="1" applyBorder="1" applyAlignment="1">
      <alignment horizontal="center"/>
    </xf>
    <xf numFmtId="2" fontId="5" fillId="0" borderId="25" xfId="0" applyNumberFormat="1" applyFont="1" applyFill="1" applyBorder="1" applyAlignment="1">
      <alignment horizontal="center"/>
    </xf>
    <xf numFmtId="2" fontId="5" fillId="0" borderId="25" xfId="1" applyNumberFormat="1" applyFont="1" applyFill="1" applyBorder="1" applyAlignment="1" applyProtection="1">
      <alignment horizontal="center"/>
    </xf>
    <xf numFmtId="10" fontId="5" fillId="0" borderId="25" xfId="1" applyNumberFormat="1" applyFont="1" applyFill="1" applyBorder="1" applyAlignment="1" applyProtection="1"/>
    <xf numFmtId="0" fontId="0" fillId="0" borderId="26" xfId="0" applyFill="1" applyBorder="1"/>
    <xf numFmtId="10" fontId="0" fillId="0" borderId="0" xfId="0" applyNumberFormat="1" applyFill="1" applyBorder="1"/>
    <xf numFmtId="2" fontId="5" fillId="0" borderId="0" xfId="1" applyNumberFormat="1" applyFont="1" applyFill="1" applyBorder="1" applyAlignment="1" applyProtection="1"/>
    <xf numFmtId="0" fontId="5" fillId="0" borderId="0" xfId="0" applyFont="1" applyFill="1" applyBorder="1" applyAlignment="1">
      <alignment horizontal="center" vertical="center"/>
    </xf>
    <xf numFmtId="0" fontId="14" fillId="0" borderId="0" xfId="0" applyFont="1" applyFill="1" applyBorder="1" applyAlignment="1"/>
    <xf numFmtId="0" fontId="0" fillId="0" borderId="16" xfId="0" applyFill="1" applyBorder="1"/>
    <xf numFmtId="2" fontId="5" fillId="0" borderId="0" xfId="1" applyNumberFormat="1" applyFont="1" applyFill="1" applyBorder="1" applyAlignment="1" applyProtection="1">
      <alignment horizontal="center"/>
    </xf>
    <xf numFmtId="10" fontId="5" fillId="0" borderId="0" xfId="1" applyNumberFormat="1" applyFont="1" applyFill="1" applyBorder="1" applyAlignment="1" applyProtection="1"/>
    <xf numFmtId="0" fontId="4" fillId="0" borderId="2" xfId="0" applyFont="1" applyBorder="1" applyAlignment="1">
      <alignment horizontal="left" vertical="center" wrapText="1"/>
    </xf>
    <xf numFmtId="167" fontId="5" fillId="0" borderId="2" xfId="0" applyNumberFormat="1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4" fontId="5" fillId="2" borderId="2" xfId="3" applyNumberFormat="1" applyFont="1" applyFill="1" applyBorder="1" applyAlignment="1" applyProtection="1">
      <alignment horizontal="center" vertical="center"/>
    </xf>
    <xf numFmtId="4" fontId="5" fillId="2" borderId="10" xfId="3" applyNumberFormat="1" applyFont="1" applyFill="1" applyBorder="1" applyAlignment="1" applyProtection="1">
      <alignment horizontal="center" vertical="center"/>
    </xf>
    <xf numFmtId="1" fontId="5" fillId="2" borderId="2" xfId="0" applyNumberFormat="1" applyFont="1" applyFill="1" applyBorder="1" applyAlignment="1">
      <alignment horizontal="center" vertical="center"/>
    </xf>
    <xf numFmtId="2" fontId="5" fillId="2" borderId="2" xfId="0" applyNumberFormat="1" applyFont="1" applyFill="1" applyBorder="1" applyAlignment="1">
      <alignment horizontal="center" vertical="center"/>
    </xf>
    <xf numFmtId="167" fontId="5" fillId="2" borderId="2" xfId="0" applyNumberFormat="1" applyFont="1" applyFill="1" applyBorder="1" applyAlignment="1">
      <alignment horizontal="center" vertical="center"/>
    </xf>
    <xf numFmtId="2" fontId="5" fillId="2" borderId="2" xfId="1" applyNumberFormat="1" applyFont="1" applyFill="1" applyBorder="1" applyAlignment="1" applyProtection="1">
      <alignment horizontal="center" vertical="center"/>
    </xf>
    <xf numFmtId="10" fontId="5" fillId="2" borderId="2" xfId="1" applyNumberFormat="1" applyFont="1" applyFill="1" applyBorder="1" applyAlignment="1" applyProtection="1">
      <alignment horizontal="center" vertical="center"/>
    </xf>
    <xf numFmtId="0" fontId="5" fillId="2" borderId="31" xfId="0" applyFont="1" applyFill="1" applyBorder="1" applyAlignment="1">
      <alignment vertical="center"/>
    </xf>
    <xf numFmtId="166" fontId="5" fillId="2" borderId="31" xfId="0" applyNumberFormat="1" applyFont="1" applyFill="1" applyBorder="1" applyAlignment="1">
      <alignment vertical="center"/>
    </xf>
    <xf numFmtId="2" fontId="5" fillId="2" borderId="31" xfId="0" applyNumberFormat="1" applyFont="1" applyFill="1" applyBorder="1" applyAlignment="1">
      <alignment vertical="center"/>
    </xf>
    <xf numFmtId="2" fontId="5" fillId="2" borderId="32" xfId="0" applyNumberFormat="1" applyFont="1" applyFill="1" applyBorder="1" applyAlignment="1">
      <alignment vertical="center"/>
    </xf>
    <xf numFmtId="0" fontId="4" fillId="0" borderId="31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4" fillId="0" borderId="32" xfId="0" applyFont="1" applyBorder="1" applyAlignment="1">
      <alignment horizontal="left" vertical="center"/>
    </xf>
    <xf numFmtId="0" fontId="18" fillId="4" borderId="3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/>
    </xf>
    <xf numFmtId="0" fontId="10" fillId="0" borderId="34" xfId="0" applyFont="1" applyFill="1" applyBorder="1" applyAlignment="1">
      <alignment horizontal="left" vertical="center" wrapText="1"/>
    </xf>
    <xf numFmtId="0" fontId="10" fillId="0" borderId="35" xfId="0" applyFont="1" applyFill="1" applyBorder="1" applyAlignment="1">
      <alignment horizontal="left" vertical="center" wrapText="1"/>
    </xf>
    <xf numFmtId="0" fontId="20" fillId="0" borderId="34" xfId="0" applyFont="1" applyFill="1" applyBorder="1" applyAlignment="1">
      <alignment horizontal="left" vertical="center" wrapText="1"/>
    </xf>
    <xf numFmtId="0" fontId="21" fillId="0" borderId="34" xfId="0" applyFont="1" applyFill="1" applyBorder="1" applyAlignment="1">
      <alignment horizontal="left" vertical="center" wrapText="1"/>
    </xf>
    <xf numFmtId="0" fontId="18" fillId="4" borderId="28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0" fillId="0" borderId="6" xfId="0" applyFont="1" applyFill="1" applyBorder="1" applyAlignment="1">
      <alignment horizontal="left" vertical="center" wrapText="1"/>
    </xf>
    <xf numFmtId="0" fontId="10" fillId="0" borderId="5" xfId="0" applyFont="1" applyFill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/>
    </xf>
    <xf numFmtId="0" fontId="5" fillId="0" borderId="31" xfId="0" applyFont="1" applyBorder="1" applyAlignment="1" applyProtection="1">
      <alignment horizontal="left" vertical="center"/>
      <protection locked="0"/>
    </xf>
    <xf numFmtId="0" fontId="4" fillId="0" borderId="2" xfId="0" applyFont="1" applyBorder="1" applyAlignment="1">
      <alignment horizontal="left" vertical="center"/>
    </xf>
    <xf numFmtId="164" fontId="5" fillId="2" borderId="10" xfId="3" applyFont="1" applyFill="1" applyBorder="1" applyAlignment="1" applyProtection="1">
      <alignment horizontal="right" indent="1"/>
    </xf>
    <xf numFmtId="0" fontId="3" fillId="0" borderId="39" xfId="0" applyFont="1" applyBorder="1" applyAlignment="1">
      <alignment horizontal="center" vertical="center"/>
    </xf>
    <xf numFmtId="0" fontId="4" fillId="0" borderId="31" xfId="0" applyFont="1" applyBorder="1" applyAlignment="1" applyProtection="1">
      <alignment horizontal="left" vertical="center"/>
      <protection locked="0"/>
    </xf>
    <xf numFmtId="0" fontId="5" fillId="0" borderId="2" xfId="0" applyFont="1" applyBorder="1" applyAlignment="1" applyProtection="1">
      <alignment horizontal="left"/>
      <protection locked="0"/>
    </xf>
    <xf numFmtId="0" fontId="5" fillId="0" borderId="10" xfId="0" applyFont="1" applyBorder="1" applyAlignment="1" applyProtection="1">
      <alignment horizontal="left" vertical="center"/>
      <protection locked="0"/>
    </xf>
    <xf numFmtId="0" fontId="4" fillId="0" borderId="2" xfId="0" applyFont="1" applyBorder="1" applyAlignment="1">
      <alignment horizontal="left"/>
    </xf>
    <xf numFmtId="165" fontId="5" fillId="0" borderId="10" xfId="0" applyNumberFormat="1" applyFont="1" applyBorder="1" applyAlignment="1" applyProtection="1">
      <alignment horizontal="center"/>
      <protection locked="0"/>
    </xf>
    <xf numFmtId="0" fontId="6" fillId="2" borderId="36" xfId="0" applyFont="1" applyFill="1" applyBorder="1" applyAlignment="1">
      <alignment horizontal="center" vertical="center"/>
    </xf>
    <xf numFmtId="0" fontId="2" fillId="0" borderId="37" xfId="0" quotePrefix="1" applyFont="1" applyBorder="1" applyAlignment="1" applyProtection="1">
      <alignment horizontal="justify" vertical="top" wrapText="1"/>
      <protection locked="0"/>
    </xf>
    <xf numFmtId="0" fontId="2" fillId="0" borderId="37" xfId="0" applyFont="1" applyBorder="1" applyAlignment="1" applyProtection="1">
      <alignment horizontal="justify" vertical="top" wrapText="1"/>
      <protection locked="0"/>
    </xf>
    <xf numFmtId="0" fontId="2" fillId="0" borderId="38" xfId="0" quotePrefix="1" applyFont="1" applyBorder="1" applyAlignment="1" applyProtection="1">
      <alignment horizontal="justify" vertical="top" wrapText="1"/>
      <protection locked="0"/>
    </xf>
    <xf numFmtId="0" fontId="2" fillId="0" borderId="38" xfId="0" applyFont="1" applyBorder="1" applyAlignment="1" applyProtection="1">
      <alignment horizontal="justify" vertical="top" wrapText="1"/>
      <protection locked="0"/>
    </xf>
    <xf numFmtId="0" fontId="5" fillId="2" borderId="40" xfId="0" applyFont="1" applyFill="1" applyBorder="1" applyAlignment="1">
      <alignment horizontal="left" vertical="center"/>
    </xf>
    <xf numFmtId="0" fontId="5" fillId="2" borderId="19" xfId="0" applyFont="1" applyFill="1" applyBorder="1" applyAlignment="1">
      <alignment horizontal="left" vertical="center"/>
    </xf>
    <xf numFmtId="0" fontId="5" fillId="2" borderId="41" xfId="0" applyFont="1" applyFill="1" applyBorder="1" applyAlignment="1">
      <alignment horizontal="left" vertical="center"/>
    </xf>
    <xf numFmtId="0" fontId="5" fillId="2" borderId="10" xfId="0" applyFont="1" applyFill="1" applyBorder="1" applyAlignment="1">
      <alignment horizontal="left" vertical="center"/>
    </xf>
    <xf numFmtId="0" fontId="3" fillId="0" borderId="42" xfId="0" applyFont="1" applyBorder="1" applyAlignment="1">
      <alignment horizontal="center" vertical="center"/>
    </xf>
    <xf numFmtId="2" fontId="5" fillId="2" borderId="10" xfId="0" applyNumberFormat="1" applyFont="1" applyFill="1" applyBorder="1" applyAlignment="1">
      <alignment horizontal="left" vertical="center"/>
    </xf>
    <xf numFmtId="0" fontId="5" fillId="2" borderId="31" xfId="0" applyFont="1" applyFill="1" applyBorder="1" applyAlignment="1">
      <alignment horizontal="left" vertical="center"/>
    </xf>
    <xf numFmtId="0" fontId="5" fillId="2" borderId="17" xfId="0" applyFont="1" applyFill="1" applyBorder="1" applyAlignment="1">
      <alignment horizontal="left" vertical="center"/>
    </xf>
    <xf numFmtId="0" fontId="5" fillId="2" borderId="3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0" borderId="31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center" wrapText="1"/>
    </xf>
    <xf numFmtId="0" fontId="4" fillId="0" borderId="3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2" fontId="13" fillId="0" borderId="2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2" fontId="13" fillId="0" borderId="12" xfId="0" applyNumberFormat="1" applyFont="1" applyBorder="1" applyAlignment="1">
      <alignment horizontal="center" vertical="center"/>
    </xf>
    <xf numFmtId="0" fontId="17" fillId="4" borderId="17" xfId="0" applyFont="1" applyFill="1" applyBorder="1" applyAlignment="1">
      <alignment horizontal="center" vertical="center" wrapText="1"/>
    </xf>
    <xf numFmtId="0" fontId="17" fillId="4" borderId="44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/>
    </xf>
    <xf numFmtId="0" fontId="17" fillId="4" borderId="43" xfId="0" applyFont="1" applyFill="1" applyBorder="1" applyAlignment="1">
      <alignment horizontal="center" vertical="center" wrapText="1"/>
    </xf>
    <xf numFmtId="0" fontId="17" fillId="4" borderId="17" xfId="0" applyFont="1" applyFill="1" applyBorder="1" applyAlignment="1">
      <alignment horizontal="center" vertical="center"/>
    </xf>
    <xf numFmtId="0" fontId="5" fillId="2" borderId="43" xfId="0" applyFont="1" applyFill="1" applyBorder="1" applyAlignment="1">
      <alignment horizontal="left" vertical="center"/>
    </xf>
    <xf numFmtId="0" fontId="14" fillId="0" borderId="0" xfId="0" applyFont="1" applyFill="1" applyBorder="1" applyAlignment="1">
      <alignment horizontal="center"/>
    </xf>
    <xf numFmtId="0" fontId="14" fillId="0" borderId="0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/>
    </xf>
  </cellXfs>
  <cellStyles count="4">
    <cellStyle name="Normal" xfId="0" builtinId="0"/>
    <cellStyle name="Porcentagem" xfId="1" builtinId="5"/>
    <cellStyle name="TableStyleLight1" xfId="2"/>
    <cellStyle name="Vírgula" xfId="3" builtinId="3"/>
  </cellStyles>
  <dxfs count="285"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C0504D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4F81BD"/>
      <rgbColor rgb="004BACC6"/>
      <rgbColor rgb="009BBB59"/>
      <rgbColor rgb="00FFCC00"/>
      <rgbColor rgb="00FF9900"/>
      <rgbColor rgb="00FF6600"/>
      <rgbColor rgb="008064A2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333333"/>
                </a:solidFill>
                <a:latin typeface="Arial"/>
                <a:ea typeface="Arial"/>
                <a:cs typeface="Arial"/>
              </a:defRPr>
            </a:pPr>
            <a:r>
              <a:rPr lang="pt-BR"/>
              <a:t>% por Tipo de Função</a:t>
            </a:r>
          </a:p>
        </c:rich>
      </c:tx>
      <c:layout>
        <c:manualLayout>
          <c:xMode val="edge"/>
          <c:yMode val="edge"/>
          <c:x val="0.25274802188188017"/>
          <c:y val="0.7734375"/>
        </c:manualLayout>
      </c:layout>
      <c:overlay val="0"/>
      <c:spPr>
        <a:noFill/>
        <a:ln w="25400">
          <a:noFill/>
        </a:ln>
      </c:spPr>
    </c:title>
    <c:autoTitleDeleted val="0"/>
    <c:view3D>
      <c:rotX val="80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31868245865691769"/>
          <c:y val="0.125"/>
          <c:w val="0.27472625746286011"/>
          <c:h val="0.59375"/>
        </c:manualLayout>
      </c:layout>
      <c:pie3DChart>
        <c:varyColors val="1"/>
        <c:ser>
          <c:idx val="0"/>
          <c:order val="0"/>
          <c:spPr>
            <a:solidFill>
              <a:srgbClr val="4F81BD"/>
            </a:solidFill>
            <a:ln w="3175">
              <a:solidFill>
                <a:srgbClr val="333333"/>
              </a:solidFill>
              <a:prstDash val="solid"/>
            </a:ln>
          </c:spPr>
          <c:dPt>
            <c:idx val="0"/>
            <c:bubble3D val="0"/>
          </c:dPt>
          <c:dPt>
            <c:idx val="1"/>
            <c:bubble3D val="0"/>
            <c:spPr>
              <a:solidFill>
                <a:srgbClr val="C0504D"/>
              </a:solidFill>
              <a:ln w="3175">
                <a:solidFill>
                  <a:srgbClr val="333333"/>
                </a:solidFill>
                <a:prstDash val="solid"/>
              </a:ln>
            </c:spPr>
          </c:dPt>
          <c:dPt>
            <c:idx val="2"/>
            <c:bubble3D val="0"/>
            <c:spPr>
              <a:solidFill>
                <a:srgbClr val="9BBB59"/>
              </a:solidFill>
              <a:ln w="3175">
                <a:solidFill>
                  <a:srgbClr val="333333"/>
                </a:solidFill>
                <a:prstDash val="solid"/>
              </a:ln>
            </c:spPr>
          </c:dPt>
          <c:dPt>
            <c:idx val="3"/>
            <c:bubble3D val="0"/>
            <c:spPr>
              <a:solidFill>
                <a:srgbClr val="8064A2"/>
              </a:solidFill>
              <a:ln w="3175">
                <a:solidFill>
                  <a:srgbClr val="333333"/>
                </a:solidFill>
                <a:prstDash val="solid"/>
              </a:ln>
            </c:spPr>
          </c:dPt>
          <c:dPt>
            <c:idx val="4"/>
            <c:bubble3D val="0"/>
            <c:spPr>
              <a:solidFill>
                <a:srgbClr val="4BACC6"/>
              </a:solidFill>
              <a:ln w="3175">
                <a:solidFill>
                  <a:srgbClr val="333333"/>
                </a:solidFill>
                <a:prstDash val="solid"/>
              </a:ln>
            </c:spPr>
          </c:dPt>
          <c:dLbls>
            <c:dLbl>
              <c:idx val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>
                <c:manualLayout>
                  <c:x val="0.13421014680857202"/>
                  <c:y val="-8.1079838342833402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('Sumário 1'!$B$10,'Sumário 1'!$B$17,'Sumário 1'!$B$24,'Sumário 1'!$B$31,'Sumário 1'!$B$38)</c:f>
              <c:strCache>
                <c:ptCount val="5"/>
                <c:pt idx="0">
                  <c:v>EE</c:v>
                </c:pt>
                <c:pt idx="1">
                  <c:v>SE</c:v>
                </c:pt>
                <c:pt idx="2">
                  <c:v>CE</c:v>
                </c:pt>
                <c:pt idx="3">
                  <c:v>ALI</c:v>
                </c:pt>
                <c:pt idx="4">
                  <c:v>AIE</c:v>
                </c:pt>
              </c:strCache>
            </c:strRef>
          </c:cat>
          <c:val>
            <c:numRef>
              <c:f>('Sumário 1'!$H$14,'Sumário 1'!$H$21,'Sumário 1'!$H$28,'Sumário 1'!$H$35,'Sumário 1'!$H$42)</c:f>
              <c:numCache>
                <c:formatCode>0.0%</c:formatCode>
                <c:ptCount val="5"/>
                <c:pt idx="0">
                  <c:v>0.25751072961373389</c:v>
                </c:pt>
                <c:pt idx="1">
                  <c:v>0.12875536480686695</c:v>
                </c:pt>
                <c:pt idx="2">
                  <c:v>0.47210300429184548</c:v>
                </c:pt>
                <c:pt idx="3">
                  <c:v>0.12017167381974249</c:v>
                </c:pt>
                <c:pt idx="4">
                  <c:v>2.1459227467811159E-2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863270937286686"/>
          <c:y val="7.2928008040161377E-2"/>
          <c:w val="0.14652053108746022"/>
          <c:h val="0.9140625"/>
        </c:manualLayout>
      </c:layout>
      <c:overlay val="0"/>
      <c:spPr>
        <a:solidFill>
          <a:srgbClr val="FFFFFF"/>
        </a:solidFill>
        <a:ln w="3175">
          <a:solidFill>
            <a:srgbClr val="333333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pt-BR"/>
        </a:p>
      </c:txPr>
    </c:legend>
    <c:plotVisOnly val="1"/>
    <c:dispBlanksAs val="zero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9" l="0.78740157499999996" r="0.78740157499999996" t="0.984251969" header="0.51180555555555551" footer="0.51180555555555551"/>
    <c:pageSetup firstPageNumber="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28575</xdr:colOff>
      <xdr:row>0</xdr:row>
      <xdr:rowOff>133935</xdr:rowOff>
    </xdr:from>
    <xdr:to>
      <xdr:col>2</xdr:col>
      <xdr:colOff>324763</xdr:colOff>
      <xdr:row>2</xdr:row>
      <xdr:rowOff>104774</xdr:rowOff>
    </xdr:to>
    <xdr:pic>
      <xdr:nvPicPr>
        <xdr:cNvPr id="1296" name="Figura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8575" y="133935"/>
          <a:ext cx="1172488" cy="29468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22</xdr:col>
      <xdr:colOff>0</xdr:colOff>
      <xdr:row>44</xdr:row>
      <xdr:rowOff>161925</xdr:rowOff>
    </xdr:to>
    <xdr:sp macro="" textlink="">
      <xdr:nvSpPr>
        <xdr:cNvPr id="1297" name="shapetype_202" hidden="1"/>
        <xdr:cNvSpPr txBox="1">
          <a:spLocks noChangeArrowheads="1"/>
        </xdr:cNvSpPr>
      </xdr:nvSpPr>
      <xdr:spPr bwMode="auto">
        <a:xfrm>
          <a:off x="0" y="0"/>
          <a:ext cx="9105900" cy="7362825"/>
        </a:xfrm>
        <a:prstGeom prst="rect">
          <a:avLst/>
        </a:prstGeom>
        <a:solidFill>
          <a:srgbClr val="FFFFFF"/>
        </a:solidFill>
        <a:ln w="936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22</xdr:col>
      <xdr:colOff>0</xdr:colOff>
      <xdr:row>44</xdr:row>
      <xdr:rowOff>161925</xdr:rowOff>
    </xdr:to>
    <xdr:sp macro="" textlink="">
      <xdr:nvSpPr>
        <xdr:cNvPr id="1298" name="shapetype_202" hidden="1"/>
        <xdr:cNvSpPr txBox="1">
          <a:spLocks noChangeArrowheads="1"/>
        </xdr:cNvSpPr>
      </xdr:nvSpPr>
      <xdr:spPr bwMode="auto">
        <a:xfrm>
          <a:off x="0" y="0"/>
          <a:ext cx="9105900" cy="7362825"/>
        </a:xfrm>
        <a:prstGeom prst="rect">
          <a:avLst/>
        </a:prstGeom>
        <a:solidFill>
          <a:srgbClr val="FFFFFF"/>
        </a:solidFill>
        <a:ln w="936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22</xdr:col>
      <xdr:colOff>0</xdr:colOff>
      <xdr:row>44</xdr:row>
      <xdr:rowOff>161925</xdr:rowOff>
    </xdr:to>
    <xdr:sp macro="" textlink="">
      <xdr:nvSpPr>
        <xdr:cNvPr id="1299" name="shapetype_202" hidden="1"/>
        <xdr:cNvSpPr txBox="1">
          <a:spLocks noChangeArrowheads="1"/>
        </xdr:cNvSpPr>
      </xdr:nvSpPr>
      <xdr:spPr bwMode="auto">
        <a:xfrm>
          <a:off x="0" y="0"/>
          <a:ext cx="9105900" cy="7362825"/>
        </a:xfrm>
        <a:prstGeom prst="rect">
          <a:avLst/>
        </a:prstGeom>
        <a:solidFill>
          <a:srgbClr val="FFFFFF"/>
        </a:solidFill>
        <a:ln w="936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28575</xdr:colOff>
      <xdr:row>0</xdr:row>
      <xdr:rowOff>133935</xdr:rowOff>
    </xdr:from>
    <xdr:to>
      <xdr:col>0</xdr:col>
      <xdr:colOff>1201063</xdr:colOff>
      <xdr:row>2</xdr:row>
      <xdr:rowOff>85724</xdr:rowOff>
    </xdr:to>
    <xdr:pic>
      <xdr:nvPicPr>
        <xdr:cNvPr id="66585" name="Figura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8575" y="133935"/>
          <a:ext cx="1172488" cy="29468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28575</xdr:colOff>
      <xdr:row>0</xdr:row>
      <xdr:rowOff>85725</xdr:rowOff>
    </xdr:from>
    <xdr:to>
      <xdr:col>1</xdr:col>
      <xdr:colOff>429538</xdr:colOff>
      <xdr:row>0</xdr:row>
      <xdr:rowOff>380414</xdr:rowOff>
    </xdr:to>
    <xdr:pic>
      <xdr:nvPicPr>
        <xdr:cNvPr id="3" name="Figura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8575" y="85725"/>
          <a:ext cx="1172488" cy="29468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</xdr:colOff>
      <xdr:row>43</xdr:row>
      <xdr:rowOff>28575</xdr:rowOff>
    </xdr:from>
    <xdr:to>
      <xdr:col>11</xdr:col>
      <xdr:colOff>342900</xdr:colOff>
      <xdr:row>50</xdr:row>
      <xdr:rowOff>142875</xdr:rowOff>
    </xdr:to>
    <xdr:graphicFrame macro="">
      <xdr:nvGraphicFramePr>
        <xdr:cNvPr id="4233" name="Grá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76200</xdr:colOff>
      <xdr:row>0</xdr:row>
      <xdr:rowOff>123825</xdr:rowOff>
    </xdr:from>
    <xdr:to>
      <xdr:col>2</xdr:col>
      <xdr:colOff>505738</xdr:colOff>
      <xdr:row>2</xdr:row>
      <xdr:rowOff>94664</xdr:rowOff>
    </xdr:to>
    <xdr:pic>
      <xdr:nvPicPr>
        <xdr:cNvPr id="4" name="Figura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6200" y="123825"/>
          <a:ext cx="1172488" cy="29468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152400</xdr:colOff>
      <xdr:row>0</xdr:row>
      <xdr:rowOff>114300</xdr:rowOff>
    </xdr:from>
    <xdr:to>
      <xdr:col>1</xdr:col>
      <xdr:colOff>1115338</xdr:colOff>
      <xdr:row>2</xdr:row>
      <xdr:rowOff>85139</xdr:rowOff>
    </xdr:to>
    <xdr:pic>
      <xdr:nvPicPr>
        <xdr:cNvPr id="3" name="Figura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52400" y="114300"/>
          <a:ext cx="1172488" cy="29468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1"/>
  <dimension ref="A1:V45"/>
  <sheetViews>
    <sheetView showGridLines="0" zoomScale="120" zoomScaleNormal="120" zoomScaleSheetLayoutView="100" workbookViewId="0">
      <pane ySplit="3" topLeftCell="A4" activePane="bottomLeft" state="frozen"/>
      <selection activeCell="B11" sqref="B11"/>
      <selection pane="bottomLeft" activeCell="A22" sqref="A22:V45"/>
    </sheetView>
  </sheetViews>
  <sheetFormatPr defaultRowHeight="13.5" x14ac:dyDescent="0.25"/>
  <cols>
    <col min="1" max="1" width="10.42578125" style="1" customWidth="1"/>
    <col min="2" max="2" width="2.7109375" style="1" customWidth="1"/>
    <col min="3" max="3" width="8.5703125" style="1" customWidth="1"/>
    <col min="4" max="4" width="4.5703125" style="1" customWidth="1"/>
    <col min="5" max="5" width="4" style="1" customWidth="1"/>
    <col min="6" max="6" width="4.5703125" style="1" customWidth="1"/>
    <col min="7" max="12" width="6" style="1" customWidth="1"/>
    <col min="13" max="13" width="18.42578125" style="1" customWidth="1"/>
    <col min="14" max="14" width="8.28515625" style="1" customWidth="1"/>
    <col min="15" max="15" width="11.5703125" style="1" customWidth="1"/>
    <col min="16" max="16" width="5.85546875" style="1" customWidth="1"/>
    <col min="17" max="18" width="2.7109375" style="1" customWidth="1"/>
    <col min="19" max="19" width="8" style="1" customWidth="1"/>
    <col min="20" max="22" width="2.7109375" style="1" customWidth="1"/>
  </cols>
  <sheetData>
    <row r="1" spans="1:22" ht="12.75" x14ac:dyDescent="0.2">
      <c r="A1" s="138" t="s">
        <v>0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</row>
    <row r="2" spans="1:22" ht="12.75" x14ac:dyDescent="0.2">
      <c r="A2" s="138"/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</row>
    <row r="3" spans="1:22" ht="12.75" x14ac:dyDescent="0.2">
      <c r="A3" s="138"/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</row>
    <row r="4" spans="1:22" x14ac:dyDescent="0.25">
      <c r="A4" s="134" t="s">
        <v>1</v>
      </c>
      <c r="B4" s="134"/>
      <c r="C4" s="134"/>
      <c r="D4" s="134"/>
      <c r="E4" s="134"/>
      <c r="F4" s="135" t="s">
        <v>170</v>
      </c>
      <c r="G4" s="135"/>
      <c r="H4" s="135"/>
      <c r="I4" s="135"/>
      <c r="J4" s="135"/>
      <c r="K4" s="135"/>
      <c r="L4" s="135"/>
      <c r="M4" s="135"/>
      <c r="N4" s="135"/>
      <c r="O4" s="139" t="s">
        <v>2</v>
      </c>
      <c r="P4" s="139"/>
      <c r="Q4" s="137">
        <f>Funções!L4</f>
        <v>466</v>
      </c>
      <c r="R4" s="137"/>
      <c r="S4" s="137"/>
      <c r="T4" s="137"/>
      <c r="U4" s="137"/>
      <c r="V4" s="137"/>
    </row>
    <row r="5" spans="1:22" x14ac:dyDescent="0.25">
      <c r="A5" s="134" t="s">
        <v>3</v>
      </c>
      <c r="B5" s="134"/>
      <c r="C5" s="134"/>
      <c r="D5" s="134"/>
      <c r="E5" s="134"/>
      <c r="F5" s="135" t="s">
        <v>250</v>
      </c>
      <c r="G5" s="135"/>
      <c r="H5" s="135"/>
      <c r="I5" s="135"/>
      <c r="J5" s="135"/>
      <c r="K5" s="135"/>
      <c r="L5" s="135"/>
      <c r="M5" s="135"/>
      <c r="N5" s="135"/>
      <c r="O5" s="136" t="s">
        <v>6</v>
      </c>
      <c r="P5" s="136"/>
      <c r="Q5" s="137">
        <f>Funções!L5</f>
        <v>466</v>
      </c>
      <c r="R5" s="137"/>
      <c r="S5" s="137"/>
      <c r="T5" s="137"/>
      <c r="U5" s="137"/>
      <c r="V5" s="137"/>
    </row>
    <row r="6" spans="1:22" x14ac:dyDescent="0.25">
      <c r="A6" s="134" t="s">
        <v>5</v>
      </c>
      <c r="B6" s="134"/>
      <c r="C6" s="134"/>
      <c r="D6" s="134"/>
      <c r="E6" s="134"/>
      <c r="F6" s="140" t="s">
        <v>3</v>
      </c>
      <c r="G6" s="140"/>
      <c r="H6" s="140"/>
      <c r="I6" s="140"/>
      <c r="J6" s="140"/>
      <c r="K6" s="140"/>
      <c r="L6" s="140"/>
      <c r="M6" s="140"/>
      <c r="N6" s="140"/>
      <c r="O6" s="136" t="s">
        <v>4</v>
      </c>
      <c r="P6" s="136"/>
      <c r="Q6" s="137">
        <f>Funções!L6</f>
        <v>466</v>
      </c>
      <c r="R6" s="137"/>
      <c r="S6" s="137"/>
      <c r="T6" s="137"/>
      <c r="U6" s="137"/>
      <c r="V6" s="137"/>
    </row>
    <row r="7" spans="1:22" ht="12.75" x14ac:dyDescent="0.2">
      <c r="A7" s="134" t="s">
        <v>7</v>
      </c>
      <c r="B7" s="134"/>
      <c r="C7" s="134"/>
      <c r="D7" s="134"/>
      <c r="E7" s="134"/>
      <c r="F7" s="135" t="s">
        <v>174</v>
      </c>
      <c r="G7" s="135"/>
      <c r="H7" s="135"/>
      <c r="I7" s="135"/>
      <c r="J7" s="135"/>
      <c r="K7" s="135"/>
      <c r="L7" s="135"/>
      <c r="M7" s="135"/>
      <c r="N7" s="135"/>
      <c r="O7" s="136" t="s">
        <v>8</v>
      </c>
      <c r="P7" s="136"/>
      <c r="Q7" s="136"/>
      <c r="R7" s="141" t="s">
        <v>172</v>
      </c>
      <c r="S7" s="141"/>
      <c r="T7" s="141"/>
      <c r="U7" s="141"/>
      <c r="V7" s="141"/>
    </row>
    <row r="8" spans="1:22" ht="12.75" x14ac:dyDescent="0.2">
      <c r="A8" s="134" t="s">
        <v>9</v>
      </c>
      <c r="B8" s="134"/>
      <c r="C8" s="134"/>
      <c r="D8" s="134"/>
      <c r="E8" s="134"/>
      <c r="F8" s="135" t="s">
        <v>250</v>
      </c>
      <c r="G8" s="135"/>
      <c r="H8" s="135"/>
      <c r="I8" s="135"/>
      <c r="J8" s="135"/>
      <c r="K8" s="135"/>
      <c r="L8" s="135"/>
      <c r="M8" s="135"/>
      <c r="N8" s="135"/>
      <c r="O8" s="136" t="s">
        <v>10</v>
      </c>
      <c r="P8" s="136"/>
      <c r="Q8" s="136"/>
      <c r="R8" s="141" t="s">
        <v>173</v>
      </c>
      <c r="S8" s="141"/>
      <c r="T8" s="141"/>
      <c r="U8" s="141"/>
      <c r="V8" s="141"/>
    </row>
    <row r="9" spans="1:22" x14ac:dyDescent="0.25">
      <c r="A9" s="134" t="s">
        <v>11</v>
      </c>
      <c r="B9" s="134"/>
      <c r="C9" s="134"/>
      <c r="D9" s="134"/>
      <c r="E9" s="134"/>
      <c r="F9" s="140" t="s">
        <v>171</v>
      </c>
      <c r="G9" s="140"/>
      <c r="H9" s="140"/>
      <c r="I9" s="140"/>
      <c r="J9" s="140"/>
      <c r="K9" s="140"/>
      <c r="L9" s="140"/>
      <c r="M9" s="140"/>
      <c r="N9" s="140"/>
      <c r="O9" s="142" t="s">
        <v>12</v>
      </c>
      <c r="P9" s="142"/>
      <c r="Q9" s="142"/>
      <c r="R9" s="143">
        <v>46001</v>
      </c>
      <c r="S9" s="143"/>
      <c r="T9" s="143"/>
      <c r="U9" s="143"/>
      <c r="V9" s="143"/>
    </row>
    <row r="10" spans="1:22" x14ac:dyDescent="0.25">
      <c r="A10" s="134" t="s">
        <v>13</v>
      </c>
      <c r="B10" s="134"/>
      <c r="C10" s="134"/>
      <c r="D10" s="134"/>
      <c r="E10" s="134"/>
      <c r="F10" s="140"/>
      <c r="G10" s="140"/>
      <c r="H10" s="140"/>
      <c r="I10" s="140"/>
      <c r="J10" s="140"/>
      <c r="K10" s="140"/>
      <c r="L10" s="140"/>
      <c r="M10" s="140"/>
      <c r="N10" s="140"/>
      <c r="O10" s="142" t="s">
        <v>14</v>
      </c>
      <c r="P10" s="142"/>
      <c r="Q10" s="142"/>
      <c r="R10" s="143"/>
      <c r="S10" s="143"/>
      <c r="T10" s="143"/>
      <c r="U10" s="143"/>
      <c r="V10" s="143"/>
    </row>
    <row r="11" spans="1:22" x14ac:dyDescent="0.2">
      <c r="A11" s="144" t="s">
        <v>15</v>
      </c>
      <c r="B11" s="144"/>
      <c r="C11" s="144"/>
      <c r="D11" s="144"/>
      <c r="E11" s="144"/>
      <c r="F11" s="144"/>
      <c r="G11" s="144"/>
      <c r="H11" s="144"/>
      <c r="I11" s="144"/>
      <c r="J11" s="144"/>
      <c r="K11" s="144"/>
      <c r="L11" s="144"/>
      <c r="M11" s="144"/>
      <c r="N11" s="144"/>
      <c r="O11" s="144"/>
      <c r="P11" s="144"/>
      <c r="Q11" s="144"/>
      <c r="R11" s="144"/>
      <c r="S11" s="144"/>
      <c r="T11" s="144"/>
      <c r="U11" s="144"/>
      <c r="V11" s="144"/>
    </row>
    <row r="12" spans="1:22" ht="12.75" x14ac:dyDescent="0.2">
      <c r="A12" s="146" t="s">
        <v>251</v>
      </c>
      <c r="B12" s="146"/>
      <c r="C12" s="146"/>
      <c r="D12" s="146"/>
      <c r="E12" s="146"/>
      <c r="F12" s="146"/>
      <c r="G12" s="146"/>
      <c r="H12" s="146"/>
      <c r="I12" s="146"/>
      <c r="J12" s="146"/>
      <c r="K12" s="146"/>
      <c r="L12" s="146"/>
      <c r="M12" s="146"/>
      <c r="N12" s="146"/>
      <c r="O12" s="146"/>
      <c r="P12" s="146"/>
      <c r="Q12" s="146"/>
      <c r="R12" s="146"/>
      <c r="S12" s="146"/>
      <c r="T12" s="146"/>
      <c r="U12" s="146"/>
      <c r="V12" s="146"/>
    </row>
    <row r="13" spans="1:22" ht="12.75" x14ac:dyDescent="0.2">
      <c r="A13" s="146"/>
      <c r="B13" s="146"/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</row>
    <row r="14" spans="1:22" ht="12.75" x14ac:dyDescent="0.2">
      <c r="A14" s="146"/>
      <c r="B14" s="146"/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6"/>
      <c r="O14" s="146"/>
      <c r="P14" s="146"/>
      <c r="Q14" s="146"/>
      <c r="R14" s="146"/>
      <c r="S14" s="146"/>
      <c r="T14" s="146"/>
      <c r="U14" s="146"/>
      <c r="V14" s="146"/>
    </row>
    <row r="15" spans="1:22" ht="90.75" customHeight="1" x14ac:dyDescent="0.2">
      <c r="A15" s="146"/>
      <c r="B15" s="146"/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6"/>
      <c r="O15" s="146"/>
      <c r="P15" s="146"/>
      <c r="Q15" s="146"/>
      <c r="R15" s="146"/>
      <c r="S15" s="146"/>
      <c r="T15" s="146"/>
      <c r="U15" s="146"/>
      <c r="V15" s="146"/>
    </row>
    <row r="16" spans="1:22" x14ac:dyDescent="0.2">
      <c r="A16" s="144" t="s">
        <v>16</v>
      </c>
      <c r="B16" s="144"/>
      <c r="C16" s="144"/>
      <c r="D16" s="144"/>
      <c r="E16" s="144"/>
      <c r="F16" s="144"/>
      <c r="G16" s="144"/>
      <c r="H16" s="144"/>
      <c r="I16" s="144"/>
      <c r="J16" s="144"/>
      <c r="K16" s="144"/>
      <c r="L16" s="144"/>
      <c r="M16" s="144"/>
      <c r="N16" s="144"/>
      <c r="O16" s="144"/>
      <c r="P16" s="144"/>
      <c r="Q16" s="144"/>
      <c r="R16" s="144"/>
      <c r="S16" s="144"/>
      <c r="T16" s="144"/>
      <c r="U16" s="144"/>
      <c r="V16" s="144"/>
    </row>
    <row r="17" spans="1:22" ht="12.75" x14ac:dyDescent="0.2">
      <c r="A17" s="145" t="s">
        <v>252</v>
      </c>
      <c r="B17" s="146"/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6"/>
      <c r="O17" s="146"/>
      <c r="P17" s="146"/>
      <c r="Q17" s="146"/>
      <c r="R17" s="146"/>
      <c r="S17" s="146"/>
      <c r="T17" s="146"/>
      <c r="U17" s="146"/>
      <c r="V17" s="146"/>
    </row>
    <row r="18" spans="1:22" ht="12.75" x14ac:dyDescent="0.2">
      <c r="A18" s="146"/>
      <c r="B18" s="146"/>
      <c r="C18" s="146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</row>
    <row r="19" spans="1:22" ht="13.5" customHeight="1" x14ac:dyDescent="0.2">
      <c r="A19" s="146"/>
      <c r="B19" s="146"/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46"/>
      <c r="S19" s="146"/>
      <c r="T19" s="146"/>
      <c r="U19" s="146"/>
      <c r="V19" s="146"/>
    </row>
    <row r="20" spans="1:22" ht="19.5" customHeight="1" x14ac:dyDescent="0.2">
      <c r="A20" s="146"/>
      <c r="B20" s="146"/>
      <c r="C20" s="146"/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</row>
    <row r="21" spans="1:22" x14ac:dyDescent="0.2">
      <c r="A21" s="144" t="s">
        <v>17</v>
      </c>
      <c r="B21" s="144"/>
      <c r="C21" s="144"/>
      <c r="D21" s="144"/>
      <c r="E21" s="144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44"/>
      <c r="R21" s="144"/>
      <c r="S21" s="144"/>
      <c r="T21" s="144"/>
      <c r="U21" s="144"/>
      <c r="V21" s="144"/>
    </row>
    <row r="22" spans="1:22" ht="12.75" x14ac:dyDescent="0.2">
      <c r="A22" s="147"/>
      <c r="B22" s="148"/>
      <c r="C22" s="148"/>
      <c r="D22" s="148"/>
      <c r="E22" s="148"/>
      <c r="F22" s="148"/>
      <c r="G22" s="148"/>
      <c r="H22" s="148"/>
      <c r="I22" s="148"/>
      <c r="J22" s="148"/>
      <c r="K22" s="148"/>
      <c r="L22" s="148"/>
      <c r="M22" s="148"/>
      <c r="N22" s="148"/>
      <c r="O22" s="148"/>
      <c r="P22" s="148"/>
      <c r="Q22" s="148"/>
      <c r="R22" s="148"/>
      <c r="S22" s="148"/>
      <c r="T22" s="148"/>
      <c r="U22" s="148"/>
      <c r="V22" s="148"/>
    </row>
    <row r="23" spans="1:22" ht="12.75" x14ac:dyDescent="0.2">
      <c r="A23" s="148"/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8"/>
      <c r="R23" s="148"/>
      <c r="S23" s="148"/>
      <c r="T23" s="148"/>
      <c r="U23" s="148"/>
      <c r="V23" s="148"/>
    </row>
    <row r="24" spans="1:22" ht="12.75" x14ac:dyDescent="0.2">
      <c r="A24" s="148"/>
      <c r="B24" s="148"/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8"/>
      <c r="N24" s="148"/>
      <c r="O24" s="148"/>
      <c r="P24" s="148"/>
      <c r="Q24" s="148"/>
      <c r="R24" s="148"/>
      <c r="S24" s="148"/>
      <c r="T24" s="148"/>
      <c r="U24" s="148"/>
      <c r="V24" s="148"/>
    </row>
    <row r="25" spans="1:22" ht="12.75" x14ac:dyDescent="0.2">
      <c r="A25" s="148"/>
      <c r="B25" s="148"/>
      <c r="C25" s="148"/>
      <c r="D25" s="148"/>
      <c r="E25" s="148"/>
      <c r="F25" s="148"/>
      <c r="G25" s="148"/>
      <c r="H25" s="148"/>
      <c r="I25" s="148"/>
      <c r="J25" s="148"/>
      <c r="K25" s="148"/>
      <c r="L25" s="148"/>
      <c r="M25" s="148"/>
      <c r="N25" s="148"/>
      <c r="O25" s="148"/>
      <c r="P25" s="148"/>
      <c r="Q25" s="148"/>
      <c r="R25" s="148"/>
      <c r="S25" s="148"/>
      <c r="T25" s="148"/>
      <c r="U25" s="148"/>
      <c r="V25" s="148"/>
    </row>
    <row r="26" spans="1:22" ht="12.75" x14ac:dyDescent="0.2">
      <c r="A26" s="148"/>
      <c r="B26" s="148"/>
      <c r="C26" s="148"/>
      <c r="D26" s="148"/>
      <c r="E26" s="148"/>
      <c r="F26" s="148"/>
      <c r="G26" s="148"/>
      <c r="H26" s="148"/>
      <c r="I26" s="148"/>
      <c r="J26" s="148"/>
      <c r="K26" s="148"/>
      <c r="L26" s="148"/>
      <c r="M26" s="148"/>
      <c r="N26" s="148"/>
      <c r="O26" s="148"/>
      <c r="P26" s="148"/>
      <c r="Q26" s="148"/>
      <c r="R26" s="148"/>
      <c r="S26" s="148"/>
      <c r="T26" s="148"/>
      <c r="U26" s="148"/>
      <c r="V26" s="148"/>
    </row>
    <row r="27" spans="1:22" ht="12.75" x14ac:dyDescent="0.2">
      <c r="A27" s="148"/>
      <c r="B27" s="148"/>
      <c r="C27" s="148"/>
      <c r="D27" s="148"/>
      <c r="E27" s="148"/>
      <c r="F27" s="148"/>
      <c r="G27" s="148"/>
      <c r="H27" s="148"/>
      <c r="I27" s="148"/>
      <c r="J27" s="148"/>
      <c r="K27" s="148"/>
      <c r="L27" s="148"/>
      <c r="M27" s="148"/>
      <c r="N27" s="148"/>
      <c r="O27" s="148"/>
      <c r="P27" s="148"/>
      <c r="Q27" s="148"/>
      <c r="R27" s="148"/>
      <c r="S27" s="148"/>
      <c r="T27" s="148"/>
      <c r="U27" s="148"/>
      <c r="V27" s="148"/>
    </row>
    <row r="28" spans="1:22" ht="12.75" x14ac:dyDescent="0.2">
      <c r="A28" s="148"/>
      <c r="B28" s="148"/>
      <c r="C28" s="148"/>
      <c r="D28" s="148"/>
      <c r="E28" s="148"/>
      <c r="F28" s="148"/>
      <c r="G28" s="148"/>
      <c r="H28" s="148"/>
      <c r="I28" s="148"/>
      <c r="J28" s="148"/>
      <c r="K28" s="148"/>
      <c r="L28" s="148"/>
      <c r="M28" s="148"/>
      <c r="N28" s="148"/>
      <c r="O28" s="148"/>
      <c r="P28" s="148"/>
      <c r="Q28" s="148"/>
      <c r="R28" s="148"/>
      <c r="S28" s="148"/>
      <c r="T28" s="148"/>
      <c r="U28" s="148"/>
      <c r="V28" s="148"/>
    </row>
    <row r="29" spans="1:22" ht="12.75" x14ac:dyDescent="0.2">
      <c r="A29" s="148"/>
      <c r="B29" s="148"/>
      <c r="C29" s="148"/>
      <c r="D29" s="148"/>
      <c r="E29" s="148"/>
      <c r="F29" s="148"/>
      <c r="G29" s="148"/>
      <c r="H29" s="148"/>
      <c r="I29" s="148"/>
      <c r="J29" s="148"/>
      <c r="K29" s="148"/>
      <c r="L29" s="148"/>
      <c r="M29" s="148"/>
      <c r="N29" s="148"/>
      <c r="O29" s="148"/>
      <c r="P29" s="148"/>
      <c r="Q29" s="148"/>
      <c r="R29" s="148"/>
      <c r="S29" s="148"/>
      <c r="T29" s="148"/>
      <c r="U29" s="148"/>
      <c r="V29" s="148"/>
    </row>
    <row r="30" spans="1:22" ht="12.75" x14ac:dyDescent="0.2">
      <c r="A30" s="148"/>
      <c r="B30" s="148"/>
      <c r="C30" s="148"/>
      <c r="D30" s="148"/>
      <c r="E30" s="148"/>
      <c r="F30" s="148"/>
      <c r="G30" s="148"/>
      <c r="H30" s="148"/>
      <c r="I30" s="148"/>
      <c r="J30" s="148"/>
      <c r="K30" s="148"/>
      <c r="L30" s="148"/>
      <c r="M30" s="148"/>
      <c r="N30" s="148"/>
      <c r="O30" s="148"/>
      <c r="P30" s="148"/>
      <c r="Q30" s="148"/>
      <c r="R30" s="148"/>
      <c r="S30" s="148"/>
      <c r="T30" s="148"/>
      <c r="U30" s="148"/>
      <c r="V30" s="148"/>
    </row>
    <row r="31" spans="1:22" ht="12.75" x14ac:dyDescent="0.2">
      <c r="A31" s="148"/>
      <c r="B31" s="148"/>
      <c r="C31" s="148"/>
      <c r="D31" s="148"/>
      <c r="E31" s="148"/>
      <c r="F31" s="148"/>
      <c r="G31" s="148"/>
      <c r="H31" s="148"/>
      <c r="I31" s="148"/>
      <c r="J31" s="148"/>
      <c r="K31" s="148"/>
      <c r="L31" s="148"/>
      <c r="M31" s="148"/>
      <c r="N31" s="148"/>
      <c r="O31" s="148"/>
      <c r="P31" s="148"/>
      <c r="Q31" s="148"/>
      <c r="R31" s="148"/>
      <c r="S31" s="148"/>
      <c r="T31" s="148"/>
      <c r="U31" s="148"/>
      <c r="V31" s="148"/>
    </row>
    <row r="32" spans="1:22" ht="12.75" x14ac:dyDescent="0.2">
      <c r="A32" s="148"/>
      <c r="B32" s="148"/>
      <c r="C32" s="148"/>
      <c r="D32" s="148"/>
      <c r="E32" s="148"/>
      <c r="F32" s="148"/>
      <c r="G32" s="148"/>
      <c r="H32" s="148"/>
      <c r="I32" s="148"/>
      <c r="J32" s="148"/>
      <c r="K32" s="148"/>
      <c r="L32" s="148"/>
      <c r="M32" s="148"/>
      <c r="N32" s="148"/>
      <c r="O32" s="148"/>
      <c r="P32" s="148"/>
      <c r="Q32" s="148"/>
      <c r="R32" s="148"/>
      <c r="S32" s="148"/>
      <c r="T32" s="148"/>
      <c r="U32" s="148"/>
      <c r="V32" s="148"/>
    </row>
    <row r="33" spans="1:22" ht="12.75" x14ac:dyDescent="0.2">
      <c r="A33" s="148"/>
      <c r="B33" s="148"/>
      <c r="C33" s="148"/>
      <c r="D33" s="148"/>
      <c r="E33" s="148"/>
      <c r="F33" s="148"/>
      <c r="G33" s="148"/>
      <c r="H33" s="148"/>
      <c r="I33" s="148"/>
      <c r="J33" s="148"/>
      <c r="K33" s="148"/>
      <c r="L33" s="148"/>
      <c r="M33" s="148"/>
      <c r="N33" s="148"/>
      <c r="O33" s="148"/>
      <c r="P33" s="148"/>
      <c r="Q33" s="148"/>
      <c r="R33" s="148"/>
      <c r="S33" s="148"/>
      <c r="T33" s="148"/>
      <c r="U33" s="148"/>
      <c r="V33" s="148"/>
    </row>
    <row r="34" spans="1:22" ht="12.75" x14ac:dyDescent="0.2">
      <c r="A34" s="148"/>
      <c r="B34" s="148"/>
      <c r="C34" s="148"/>
      <c r="D34" s="148"/>
      <c r="E34" s="148"/>
      <c r="F34" s="148"/>
      <c r="G34" s="148"/>
      <c r="H34" s="148"/>
      <c r="I34" s="148"/>
      <c r="J34" s="148"/>
      <c r="K34" s="148"/>
      <c r="L34" s="148"/>
      <c r="M34" s="148"/>
      <c r="N34" s="148"/>
      <c r="O34" s="148"/>
      <c r="P34" s="148"/>
      <c r="Q34" s="148"/>
      <c r="R34" s="148"/>
      <c r="S34" s="148"/>
      <c r="T34" s="148"/>
      <c r="U34" s="148"/>
      <c r="V34" s="148"/>
    </row>
    <row r="35" spans="1:22" ht="12.75" x14ac:dyDescent="0.2">
      <c r="A35" s="148"/>
      <c r="B35" s="148"/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8"/>
      <c r="N35" s="148"/>
      <c r="O35" s="148"/>
      <c r="P35" s="148"/>
      <c r="Q35" s="148"/>
      <c r="R35" s="148"/>
      <c r="S35" s="148"/>
      <c r="T35" s="148"/>
      <c r="U35" s="148"/>
      <c r="V35" s="148"/>
    </row>
    <row r="36" spans="1:22" ht="12.75" x14ac:dyDescent="0.2">
      <c r="A36" s="148"/>
      <c r="B36" s="148"/>
      <c r="C36" s="148"/>
      <c r="D36" s="148"/>
      <c r="E36" s="148"/>
      <c r="F36" s="148"/>
      <c r="G36" s="148"/>
      <c r="H36" s="148"/>
      <c r="I36" s="148"/>
      <c r="J36" s="148"/>
      <c r="K36" s="148"/>
      <c r="L36" s="148"/>
      <c r="M36" s="148"/>
      <c r="N36" s="148"/>
      <c r="O36" s="148"/>
      <c r="P36" s="148"/>
      <c r="Q36" s="148"/>
      <c r="R36" s="148"/>
      <c r="S36" s="148"/>
      <c r="T36" s="148"/>
      <c r="U36" s="148"/>
      <c r="V36" s="148"/>
    </row>
    <row r="37" spans="1:22" ht="12.75" x14ac:dyDescent="0.2">
      <c r="A37" s="148"/>
      <c r="B37" s="148"/>
      <c r="C37" s="148"/>
      <c r="D37" s="148"/>
      <c r="E37" s="148"/>
      <c r="F37" s="148"/>
      <c r="G37" s="148"/>
      <c r="H37" s="148"/>
      <c r="I37" s="148"/>
      <c r="J37" s="148"/>
      <c r="K37" s="148"/>
      <c r="L37" s="148"/>
      <c r="M37" s="148"/>
      <c r="N37" s="148"/>
      <c r="O37" s="148"/>
      <c r="P37" s="148"/>
      <c r="Q37" s="148"/>
      <c r="R37" s="148"/>
      <c r="S37" s="148"/>
      <c r="T37" s="148"/>
      <c r="U37" s="148"/>
      <c r="V37" s="148"/>
    </row>
    <row r="38" spans="1:22" ht="12.75" x14ac:dyDescent="0.2">
      <c r="A38" s="148"/>
      <c r="B38" s="148"/>
      <c r="C38" s="148"/>
      <c r="D38" s="148"/>
      <c r="E38" s="148"/>
      <c r="F38" s="148"/>
      <c r="G38" s="148"/>
      <c r="H38" s="148"/>
      <c r="I38" s="148"/>
      <c r="J38" s="148"/>
      <c r="K38" s="148"/>
      <c r="L38" s="148"/>
      <c r="M38" s="148"/>
      <c r="N38" s="148"/>
      <c r="O38" s="148"/>
      <c r="P38" s="148"/>
      <c r="Q38" s="148"/>
      <c r="R38" s="148"/>
      <c r="S38" s="148"/>
      <c r="T38" s="148"/>
      <c r="U38" s="148"/>
      <c r="V38" s="148"/>
    </row>
    <row r="39" spans="1:22" ht="12.75" x14ac:dyDescent="0.2">
      <c r="A39" s="148"/>
      <c r="B39" s="148"/>
      <c r="C39" s="148"/>
      <c r="D39" s="148"/>
      <c r="E39" s="148"/>
      <c r="F39" s="148"/>
      <c r="G39" s="148"/>
      <c r="H39" s="148"/>
      <c r="I39" s="148"/>
      <c r="J39" s="148"/>
      <c r="K39" s="148"/>
      <c r="L39" s="148"/>
      <c r="M39" s="148"/>
      <c r="N39" s="148"/>
      <c r="O39" s="148"/>
      <c r="P39" s="148"/>
      <c r="Q39" s="148"/>
      <c r="R39" s="148"/>
      <c r="S39" s="148"/>
      <c r="T39" s="148"/>
      <c r="U39" s="148"/>
      <c r="V39" s="148"/>
    </row>
    <row r="40" spans="1:22" ht="12.75" x14ac:dyDescent="0.2">
      <c r="A40" s="148"/>
      <c r="B40" s="148"/>
      <c r="C40" s="148"/>
      <c r="D40" s="148"/>
      <c r="E40" s="148"/>
      <c r="F40" s="148"/>
      <c r="G40" s="148"/>
      <c r="H40" s="148"/>
      <c r="I40" s="148"/>
      <c r="J40" s="148"/>
      <c r="K40" s="148"/>
      <c r="L40" s="148"/>
      <c r="M40" s="148"/>
      <c r="N40" s="148"/>
      <c r="O40" s="148"/>
      <c r="P40" s="148"/>
      <c r="Q40" s="148"/>
      <c r="R40" s="148"/>
      <c r="S40" s="148"/>
      <c r="T40" s="148"/>
      <c r="U40" s="148"/>
      <c r="V40" s="148"/>
    </row>
    <row r="41" spans="1:22" ht="12.75" x14ac:dyDescent="0.2">
      <c r="A41" s="148"/>
      <c r="B41" s="148"/>
      <c r="C41" s="148"/>
      <c r="D41" s="148"/>
      <c r="E41" s="148"/>
      <c r="F41" s="148"/>
      <c r="G41" s="148"/>
      <c r="H41" s="148"/>
      <c r="I41" s="148"/>
      <c r="J41" s="148"/>
      <c r="K41" s="148"/>
      <c r="L41" s="148"/>
      <c r="M41" s="148"/>
      <c r="N41" s="148"/>
      <c r="O41" s="148"/>
      <c r="P41" s="148"/>
      <c r="Q41" s="148"/>
      <c r="R41" s="148"/>
      <c r="S41" s="148"/>
      <c r="T41" s="148"/>
      <c r="U41" s="148"/>
      <c r="V41" s="148"/>
    </row>
    <row r="42" spans="1:22" ht="12.75" x14ac:dyDescent="0.2">
      <c r="A42" s="148"/>
      <c r="B42" s="148"/>
      <c r="C42" s="148"/>
      <c r="D42" s="148"/>
      <c r="E42" s="148"/>
      <c r="F42" s="148"/>
      <c r="G42" s="148"/>
      <c r="H42" s="148"/>
      <c r="I42" s="148"/>
      <c r="J42" s="148"/>
      <c r="K42" s="148"/>
      <c r="L42" s="148"/>
      <c r="M42" s="148"/>
      <c r="N42" s="148"/>
      <c r="O42" s="148"/>
      <c r="P42" s="148"/>
      <c r="Q42" s="148"/>
      <c r="R42" s="148"/>
      <c r="S42" s="148"/>
      <c r="T42" s="148"/>
      <c r="U42" s="148"/>
      <c r="V42" s="148"/>
    </row>
    <row r="43" spans="1:22" ht="12.75" x14ac:dyDescent="0.2">
      <c r="A43" s="148"/>
      <c r="B43" s="148"/>
      <c r="C43" s="148"/>
      <c r="D43" s="148"/>
      <c r="E43" s="148"/>
      <c r="F43" s="148"/>
      <c r="G43" s="148"/>
      <c r="H43" s="148"/>
      <c r="I43" s="148"/>
      <c r="J43" s="148"/>
      <c r="K43" s="148"/>
      <c r="L43" s="148"/>
      <c r="M43" s="148"/>
      <c r="N43" s="148"/>
      <c r="O43" s="148"/>
      <c r="P43" s="148"/>
      <c r="Q43" s="148"/>
      <c r="R43" s="148"/>
      <c r="S43" s="148"/>
      <c r="T43" s="148"/>
      <c r="U43" s="148"/>
      <c r="V43" s="148"/>
    </row>
    <row r="44" spans="1:22" ht="12.75" x14ac:dyDescent="0.2">
      <c r="A44" s="148"/>
      <c r="B44" s="148"/>
      <c r="C44" s="148"/>
      <c r="D44" s="148"/>
      <c r="E44" s="148"/>
      <c r="F44" s="148"/>
      <c r="G44" s="148"/>
      <c r="H44" s="148"/>
      <c r="I44" s="148"/>
      <c r="J44" s="148"/>
      <c r="K44" s="148"/>
      <c r="L44" s="148"/>
      <c r="M44" s="148"/>
      <c r="N44" s="148"/>
      <c r="O44" s="148"/>
      <c r="P44" s="148"/>
      <c r="Q44" s="148"/>
      <c r="R44" s="148"/>
      <c r="S44" s="148"/>
      <c r="T44" s="148"/>
      <c r="U44" s="148"/>
      <c r="V44" s="148"/>
    </row>
    <row r="45" spans="1:22" ht="58.5" customHeight="1" x14ac:dyDescent="0.2">
      <c r="A45" s="148"/>
      <c r="B45" s="148"/>
      <c r="C45" s="148"/>
      <c r="D45" s="148"/>
      <c r="E45" s="148"/>
      <c r="F45" s="148"/>
      <c r="G45" s="148"/>
      <c r="H45" s="148"/>
      <c r="I45" s="148"/>
      <c r="J45" s="148"/>
      <c r="K45" s="148"/>
      <c r="L45" s="148"/>
      <c r="M45" s="148"/>
      <c r="N45" s="148"/>
      <c r="O45" s="148"/>
      <c r="P45" s="148"/>
      <c r="Q45" s="148"/>
      <c r="R45" s="148"/>
      <c r="S45" s="148"/>
      <c r="T45" s="148"/>
      <c r="U45" s="148"/>
      <c r="V45" s="148"/>
    </row>
  </sheetData>
  <sheetProtection selectLockedCells="1" selectUnlockedCells="1"/>
  <mergeCells count="35">
    <mergeCell ref="A16:V16"/>
    <mergeCell ref="A17:V20"/>
    <mergeCell ref="A21:V21"/>
    <mergeCell ref="A22:V45"/>
    <mergeCell ref="A10:E10"/>
    <mergeCell ref="F10:N10"/>
    <mergeCell ref="O10:Q10"/>
    <mergeCell ref="R10:V10"/>
    <mergeCell ref="A11:V11"/>
    <mergeCell ref="A12:V15"/>
    <mergeCell ref="A8:E8"/>
    <mergeCell ref="F8:N8"/>
    <mergeCell ref="O8:Q8"/>
    <mergeCell ref="R8:V8"/>
    <mergeCell ref="A9:E9"/>
    <mergeCell ref="F9:N9"/>
    <mergeCell ref="O9:Q9"/>
    <mergeCell ref="R9:V9"/>
    <mergeCell ref="A6:E6"/>
    <mergeCell ref="F6:N6"/>
    <mergeCell ref="O6:P6"/>
    <mergeCell ref="Q6:V6"/>
    <mergeCell ref="A7:E7"/>
    <mergeCell ref="F7:N7"/>
    <mergeCell ref="O7:Q7"/>
    <mergeCell ref="R7:V7"/>
    <mergeCell ref="A5:E5"/>
    <mergeCell ref="F5:N5"/>
    <mergeCell ref="O5:P5"/>
    <mergeCell ref="Q5:V5"/>
    <mergeCell ref="A1:V3"/>
    <mergeCell ref="A4:E4"/>
    <mergeCell ref="F4:N4"/>
    <mergeCell ref="O4:P4"/>
    <mergeCell ref="Q4:V4"/>
  </mergeCells>
  <dataValidations count="3">
    <dataValidation type="list" operator="equal" allowBlank="1" showErrorMessage="1" sqref="F6">
      <formula1>"Aplicação,Projeto de Desenvolvimento,Projeto de Melhoria"</formula1>
      <formula2>0</formula2>
    </dataValidation>
    <dataValidation type="list" operator="equal" allowBlank="1" showErrorMessage="1" sqref="G6:N7">
      <formula1>"Aplicação,Estimativa,Projeto de Desenvolvimento,Projeto de Melhoria"</formula1>
      <formula2>0</formula2>
    </dataValidation>
    <dataValidation type="list" operator="equal" allowBlank="1" showErrorMessage="1" promptTitle="Método de COntagem" prompt="Detalhada (IFPUG)_x000a_Estimativa (NESMA)_x000a_Indicativa (NESMA)" sqref="F7">
      <formula1>"Detalhada (IFPUG),Estimativa (NESMA),Indicativa (NESMA)"</formula1>
      <formula2>0</formula2>
    </dataValidation>
  </dataValidations>
  <pageMargins left="0.78749999999999998" right="0.78749999999999998" top="0.78749999999999998" bottom="0.78749999999999998" header="0.51180555555555551" footer="0.51180555555555551"/>
  <pageSetup paperSize="9" scale="59" firstPageNumber="0" orientation="portrait" horizontalDpi="300" verticalDpi="300" r:id="rId1"/>
  <headerFooter alignWithMargins="0">
    <oddFooter>&amp;R&amp;"Tahoma,Normal"&amp;8&amp;F - &amp;A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2">
    <pageSetUpPr fitToPage="1"/>
  </sheetPr>
  <dimension ref="A1:O806"/>
  <sheetViews>
    <sheetView showGridLines="0" tabSelected="1" zoomScale="130" zoomScaleNormal="130" zoomScaleSheetLayoutView="100" workbookViewId="0">
      <pane ySplit="7" topLeftCell="A154" activePane="bottomLeft" state="frozen"/>
      <selection activeCell="B11" sqref="B11"/>
      <selection pane="bottomLeft" activeCell="A176" sqref="A176"/>
    </sheetView>
  </sheetViews>
  <sheetFormatPr defaultRowHeight="12.75" x14ac:dyDescent="0.2"/>
  <cols>
    <col min="1" max="1" width="58.5703125" customWidth="1"/>
    <col min="2" max="2" width="5" customWidth="1"/>
    <col min="3" max="3" width="10.42578125" customWidth="1"/>
    <col min="4" max="4" width="3.7109375" customWidth="1"/>
    <col min="5" max="5" width="6.28515625" customWidth="1"/>
    <col min="6" max="6" width="8" customWidth="1"/>
    <col min="7" max="7" width="4" hidden="1" customWidth="1"/>
    <col min="8" max="8" width="12" customWidth="1"/>
    <col min="9" max="9" width="2" hidden="1" customWidth="1"/>
    <col min="10" max="10" width="3.7109375" hidden="1" customWidth="1"/>
    <col min="11" max="11" width="12.5703125" customWidth="1"/>
    <col min="12" max="12" width="12" customWidth="1"/>
    <col min="13" max="13" width="6.85546875" customWidth="1"/>
    <col min="14" max="14" width="7.42578125" style="131" customWidth="1"/>
    <col min="15" max="15" width="37.42578125" customWidth="1"/>
  </cols>
  <sheetData>
    <row r="1" spans="1:15" ht="13.5" thickBot="1" x14ac:dyDescent="0.25">
      <c r="A1" s="153" t="s">
        <v>157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</row>
    <row r="2" spans="1:15" ht="13.5" thickBot="1" x14ac:dyDescent="0.25">
      <c r="A2" s="153"/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</row>
    <row r="3" spans="1:15" x14ac:dyDescent="0.2">
      <c r="A3" s="153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x14ac:dyDescent="0.2">
      <c r="A4" s="3" t="str">
        <f>Contagem!A5&amp;" : "&amp;Contagem!F5</f>
        <v>Aplicação : Sistema de Inovação</v>
      </c>
      <c r="B4" s="155" t="str">
        <f>Contagem!A8&amp;" : "&amp;Contagem!F8</f>
        <v>Projeto : Sistema de Inovação</v>
      </c>
      <c r="C4" s="156"/>
      <c r="D4" s="156"/>
      <c r="E4" s="156"/>
      <c r="F4" s="156"/>
      <c r="G4" s="156"/>
      <c r="H4" s="156"/>
      <c r="I4" s="156"/>
      <c r="J4" s="157"/>
      <c r="K4" s="113" t="s">
        <v>2</v>
      </c>
      <c r="L4" s="116">
        <f>SUM(H8:H806)</f>
        <v>466</v>
      </c>
      <c r="M4" s="152"/>
      <c r="N4" s="152"/>
      <c r="O4" s="152"/>
    </row>
    <row r="5" spans="1:15" x14ac:dyDescent="0.2">
      <c r="A5" s="3" t="str">
        <f>Contagem!A9&amp;" : "&amp;Contagem!F9</f>
        <v>Responsável : Jonathas Gomes Marques</v>
      </c>
      <c r="B5" s="155" t="str">
        <f>Contagem!A10&amp;" : "&amp;Contagem!F10</f>
        <v xml:space="preserve">Revisor : </v>
      </c>
      <c r="C5" s="156"/>
      <c r="D5" s="156"/>
      <c r="E5" s="156"/>
      <c r="F5" s="156"/>
      <c r="G5" s="156"/>
      <c r="H5" s="156"/>
      <c r="I5" s="156"/>
      <c r="J5" s="157"/>
      <c r="K5" s="115" t="s">
        <v>6</v>
      </c>
      <c r="L5" s="116">
        <f>SUM(K8:K806)</f>
        <v>466</v>
      </c>
      <c r="M5" s="154"/>
      <c r="N5" s="154"/>
      <c r="O5" s="154"/>
    </row>
    <row r="6" spans="1:15" x14ac:dyDescent="0.2">
      <c r="A6" s="121" t="str">
        <f>Contagem!A4&amp;" : "&amp;Contagem!F4</f>
        <v>Empresa : Secretaria de Estado de Planejamento e Gestão de Mato Grosso</v>
      </c>
      <c r="B6" s="149" t="str">
        <f>"Tipo da Contagem : "&amp;Contagem!F6</f>
        <v>Tipo da Contagem : Aplicação</v>
      </c>
      <c r="C6" s="150"/>
      <c r="D6" s="150"/>
      <c r="E6" s="150"/>
      <c r="F6" s="150"/>
      <c r="G6" s="150"/>
      <c r="H6" s="150"/>
      <c r="I6" s="150"/>
      <c r="J6" s="151"/>
      <c r="K6" s="114" t="s">
        <v>4</v>
      </c>
      <c r="L6" s="116">
        <f>SUM(L8:L806)</f>
        <v>466</v>
      </c>
      <c r="M6" s="152"/>
      <c r="N6" s="152"/>
      <c r="O6" s="152"/>
    </row>
    <row r="7" spans="1:15" ht="13.5" customHeight="1" x14ac:dyDescent="0.25">
      <c r="A7" s="120" t="s">
        <v>18</v>
      </c>
      <c r="B7" s="71" t="s">
        <v>19</v>
      </c>
      <c r="C7" s="72" t="s">
        <v>20</v>
      </c>
      <c r="D7" s="73" t="s">
        <v>21</v>
      </c>
      <c r="E7" s="73" t="s">
        <v>22</v>
      </c>
      <c r="F7" s="73" t="s">
        <v>23</v>
      </c>
      <c r="G7" s="74" t="s">
        <v>24</v>
      </c>
      <c r="H7" s="74" t="s">
        <v>2</v>
      </c>
      <c r="I7" s="125" t="s">
        <v>25</v>
      </c>
      <c r="J7" s="125" t="s">
        <v>26</v>
      </c>
      <c r="K7" s="74" t="s">
        <v>6</v>
      </c>
      <c r="L7" s="75" t="s">
        <v>4</v>
      </c>
      <c r="M7" s="76" t="s">
        <v>27</v>
      </c>
      <c r="N7" s="130" t="s">
        <v>158</v>
      </c>
      <c r="O7" s="77" t="s">
        <v>29</v>
      </c>
    </row>
    <row r="8" spans="1:15" x14ac:dyDescent="0.2">
      <c r="A8" s="126"/>
      <c r="B8" s="4"/>
      <c r="C8" s="4"/>
      <c r="D8" s="7"/>
      <c r="E8" s="7"/>
      <c r="F8" s="8" t="str">
        <f t="shared" ref="F8:F205" si="0">IF(ISBLANK(B8),"",IF(I8="L","Baixa",IF(I8="A","Média",IF(I8="","","Alta"))))</f>
        <v/>
      </c>
      <c r="G8" s="7" t="str">
        <f t="shared" ref="G8:G205" si="1">CONCATENATE(B8,I8)</f>
        <v/>
      </c>
      <c r="H8" s="5" t="str">
        <f t="shared" ref="H8:H205" si="2">IF(ISBLANK(B8),"",IF(B8="ALI",IF(I8="L",7,IF(I8="A",10,15)),IF(B8="AIE",IF(I8="L",5,IF(I8="A",7,10)),IF(B8="SE",IF(I8="L",4,IF(I8="A",5,7)),IF(OR(B8="EE",B8="CE"),IF(I8="L",3,IF(I8="A",4,6)),0)))))</f>
        <v/>
      </c>
      <c r="I8" s="122" t="str">
        <f t="shared" ref="I8:I205" si="3">IF(OR(ISBLANK(D8),ISBLANK(E8)),IF(OR(B8="ALI",B8="AIE"),"L",IF(OR(B8="EE",B8="SE",B8="CE"),"A","")),IF(B8="EE",IF(E8&gt;=3,IF(D8&gt;=5,"H","A"),IF(E8&gt;=2,IF(D8&gt;=16,"H",IF(D8&lt;=4,"L","A")),IF(D8&lt;=15,"L","A"))),IF(OR(B8="SE",B8="CE"),IF(E8&gt;=4,IF(D8&gt;=6,"H","A"),IF(E8&gt;=2,IF(D8&gt;=20,"H",IF(D8&lt;=5,"L","A")),IF(D8&lt;=19,"L","A"))),IF(OR(B8="ALI",B8="AIE"),IF(E8&gt;=6,IF(D8&gt;=20,"H","A"),IF(E8&gt;=2,IF(D8&gt;=51,"H",IF(D8&lt;=19,"L","A")),IF(D8&lt;=50,"L","A"))),""))))</f>
        <v/>
      </c>
      <c r="J8" s="7" t="str">
        <f t="shared" ref="J8:J205" si="4">CONCATENATE(B8,C8)</f>
        <v/>
      </c>
      <c r="K8" s="9" t="str">
        <f t="shared" ref="K8:K214" si="5">IF(OR(H8="",H8=0),L8,H8)</f>
        <v/>
      </c>
      <c r="L8" s="9" t="str">
        <f>IF(NOT(ISERROR(VLOOKUP(B8,Deflatores!G$42:H$64,2,FALSE))),VLOOKUP(B8,Deflatores!G$42:H$64,2,FALSE),IF(OR(ISBLANK(C8),ISBLANK(B8)),"",VLOOKUP(C8,Deflatores!G$4:H$38,2,FALSE)*H8+VLOOKUP(C8,Deflatores!G$4:I$38,3,FALSE)))</f>
        <v/>
      </c>
      <c r="M8" s="10"/>
      <c r="N8" s="10"/>
      <c r="O8" s="6"/>
    </row>
    <row r="9" spans="1:15" ht="15.75" customHeight="1" x14ac:dyDescent="0.2">
      <c r="A9" s="128" t="s">
        <v>208</v>
      </c>
      <c r="B9" s="4"/>
      <c r="C9" s="4"/>
      <c r="D9" s="7"/>
      <c r="E9" s="7"/>
      <c r="F9" s="8" t="str">
        <f t="shared" si="0"/>
        <v/>
      </c>
      <c r="G9" s="7" t="str">
        <f t="shared" si="1"/>
        <v/>
      </c>
      <c r="H9" s="5" t="str">
        <f t="shared" si="2"/>
        <v/>
      </c>
      <c r="I9" s="122" t="str">
        <f t="shared" si="3"/>
        <v/>
      </c>
      <c r="J9" s="7" t="str">
        <f t="shared" si="4"/>
        <v/>
      </c>
      <c r="K9" s="9" t="str">
        <f t="shared" si="5"/>
        <v/>
      </c>
      <c r="L9" s="9" t="str">
        <f>IF(NOT(ISERROR(VLOOKUP(B9,Deflatores!G$42:H$64,2,FALSE))),VLOOKUP(B9,Deflatores!G$42:H$64,2,FALSE),IF(OR(ISBLANK(C9),ISBLANK(B9)),"",VLOOKUP(C9,Deflatores!G$4:H$38,2,FALSE)*H9+VLOOKUP(C9,Deflatores!G$4:I$38,3,FALSE)))</f>
        <v/>
      </c>
      <c r="M9" s="10"/>
      <c r="N9" s="10"/>
      <c r="O9" s="6"/>
    </row>
    <row r="10" spans="1:15" x14ac:dyDescent="0.2">
      <c r="A10" s="126" t="s">
        <v>175</v>
      </c>
      <c r="B10" s="4" t="s">
        <v>99</v>
      </c>
      <c r="C10" s="4" t="s">
        <v>41</v>
      </c>
      <c r="D10" s="7"/>
      <c r="E10" s="7"/>
      <c r="F10" s="8" t="str">
        <f t="shared" si="0"/>
        <v>Baixa</v>
      </c>
      <c r="G10" s="7" t="str">
        <f t="shared" si="1"/>
        <v>AIEL</v>
      </c>
      <c r="H10" s="5">
        <f t="shared" si="2"/>
        <v>5</v>
      </c>
      <c r="I10" s="122" t="str">
        <f t="shared" si="3"/>
        <v>L</v>
      </c>
      <c r="J10" s="7" t="str">
        <f t="shared" si="4"/>
        <v>AIEI</v>
      </c>
      <c r="K10" s="9">
        <f t="shared" si="5"/>
        <v>5</v>
      </c>
      <c r="L10" s="9">
        <f>IF(NOT(ISERROR(VLOOKUP(B10,Deflatores!G$42:H$64,2,FALSE))),VLOOKUP(B10,Deflatores!G$42:H$64,2,FALSE),IF(OR(ISBLANK(C10),ISBLANK(B10)),"",VLOOKUP(C10,Deflatores!G$4:H$38,2,FALSE)*H10+VLOOKUP(C10,Deflatores!G$4:I$38,3,FALSE)))</f>
        <v>5</v>
      </c>
      <c r="M10" s="10"/>
      <c r="N10" s="10"/>
      <c r="O10" s="6"/>
    </row>
    <row r="11" spans="1:15" x14ac:dyDescent="0.2">
      <c r="A11" s="126"/>
      <c r="B11" s="4"/>
      <c r="C11" s="4"/>
      <c r="D11" s="7"/>
      <c r="E11" s="7"/>
      <c r="F11" s="8" t="str">
        <f t="shared" si="0"/>
        <v/>
      </c>
      <c r="G11" s="7" t="str">
        <f t="shared" si="1"/>
        <v/>
      </c>
      <c r="H11" s="5" t="str">
        <f t="shared" si="2"/>
        <v/>
      </c>
      <c r="I11" s="122" t="str">
        <f t="shared" si="3"/>
        <v/>
      </c>
      <c r="J11" s="7" t="str">
        <f t="shared" si="4"/>
        <v/>
      </c>
      <c r="K11" s="9" t="str">
        <f t="shared" si="5"/>
        <v/>
      </c>
      <c r="L11" s="9" t="str">
        <f>IF(NOT(ISERROR(VLOOKUP(B11,Deflatores!G$42:H$64,2,FALSE))),VLOOKUP(B11,Deflatores!G$42:H$64,2,FALSE),IF(OR(ISBLANK(C11),ISBLANK(B11)),"",VLOOKUP(C11,Deflatores!G$4:H$38,2,FALSE)*H11+VLOOKUP(C11,Deflatores!G$4:I$38,3,FALSE)))</f>
        <v/>
      </c>
      <c r="M11" s="10"/>
      <c r="N11" s="10"/>
      <c r="O11" s="6"/>
    </row>
    <row r="12" spans="1:15" x14ac:dyDescent="0.2">
      <c r="A12" s="128" t="s">
        <v>176</v>
      </c>
      <c r="B12" s="4"/>
      <c r="C12" s="4"/>
      <c r="D12" s="7"/>
      <c r="E12" s="7"/>
      <c r="F12" s="8" t="str">
        <f t="shared" ref="F12:F13" si="6">IF(ISBLANK(B12),"",IF(I12="L","Baixa",IF(I12="A","Média",IF(I12="","","Alta"))))</f>
        <v/>
      </c>
      <c r="G12" s="7" t="str">
        <f t="shared" ref="G12:G13" si="7">CONCATENATE(B12,I12)</f>
        <v/>
      </c>
      <c r="H12" s="5" t="str">
        <f t="shared" ref="H12:H13" si="8">IF(ISBLANK(B12),"",IF(B12="ALI",IF(I12="L",7,IF(I12="A",10,15)),IF(B12="AIE",IF(I12="L",5,IF(I12="A",7,10)),IF(B12="SE",IF(I12="L",4,IF(I12="A",5,7)),IF(OR(B12="EE",B12="CE"),IF(I12="L",3,IF(I12="A",4,6)),0)))))</f>
        <v/>
      </c>
      <c r="I12" s="122" t="str">
        <f t="shared" ref="I12:I13" si="9">IF(OR(ISBLANK(D12),ISBLANK(E12)),IF(OR(B12="ALI",B12="AIE"),"L",IF(OR(B12="EE",B12="SE",B12="CE"),"A","")),IF(B12="EE",IF(E12&gt;=3,IF(D12&gt;=5,"H","A"),IF(E12&gt;=2,IF(D12&gt;=16,"H",IF(D12&lt;=4,"L","A")),IF(D12&lt;=15,"L","A"))),IF(OR(B12="SE",B12="CE"),IF(E12&gt;=4,IF(D12&gt;=6,"H","A"),IF(E12&gt;=2,IF(D12&gt;=20,"H",IF(D12&lt;=5,"L","A")),IF(D12&lt;=19,"L","A"))),IF(OR(B12="ALI",B12="AIE"),IF(E12&gt;=6,IF(D12&gt;=20,"H","A"),IF(E12&gt;=2,IF(D12&gt;=51,"H",IF(D12&lt;=19,"L","A")),IF(D12&lt;=50,"L","A"))),""))))</f>
        <v/>
      </c>
      <c r="J12" s="7" t="str">
        <f t="shared" ref="J12:J13" si="10">CONCATENATE(B12,C12)</f>
        <v/>
      </c>
      <c r="K12" s="9" t="str">
        <f t="shared" ref="K12:K13" si="11">IF(OR(H12="",H12=0),L12,H12)</f>
        <v/>
      </c>
      <c r="L12" s="9" t="str">
        <f>IF(NOT(ISERROR(VLOOKUP(B12,Deflatores!G$42:H$64,2,FALSE))),VLOOKUP(B12,Deflatores!G$42:H$64,2,FALSE),IF(OR(ISBLANK(C12),ISBLANK(B12)),"",VLOOKUP(C12,Deflatores!G$4:H$38,2,FALSE)*H12+VLOOKUP(C12,Deflatores!G$4:I$38,3,FALSE)))</f>
        <v/>
      </c>
      <c r="M12" s="10"/>
      <c r="N12" s="10"/>
      <c r="O12" s="6"/>
    </row>
    <row r="13" spans="1:15" x14ac:dyDescent="0.2">
      <c r="A13" s="126" t="s">
        <v>178</v>
      </c>
      <c r="B13" s="4" t="s">
        <v>98</v>
      </c>
      <c r="C13" s="4" t="s">
        <v>41</v>
      </c>
      <c r="D13" s="7"/>
      <c r="E13" s="7"/>
      <c r="F13" s="8" t="str">
        <f t="shared" si="6"/>
        <v>Baixa</v>
      </c>
      <c r="G13" s="7" t="str">
        <f t="shared" si="7"/>
        <v>ALIL</v>
      </c>
      <c r="H13" s="5">
        <f t="shared" si="8"/>
        <v>7</v>
      </c>
      <c r="I13" s="122" t="str">
        <f t="shared" si="9"/>
        <v>L</v>
      </c>
      <c r="J13" s="7" t="str">
        <f t="shared" si="10"/>
        <v>ALII</v>
      </c>
      <c r="K13" s="9">
        <f t="shared" si="11"/>
        <v>7</v>
      </c>
      <c r="L13" s="9">
        <f>IF(NOT(ISERROR(VLOOKUP(B13,Deflatores!G$42:H$64,2,FALSE))),VLOOKUP(B13,Deflatores!G$42:H$64,2,FALSE),IF(OR(ISBLANK(C13),ISBLANK(B13)),"",VLOOKUP(C13,Deflatores!G$4:H$38,2,FALSE)*H13+VLOOKUP(C13,Deflatores!G$4:I$38,3,FALSE)))</f>
        <v>7</v>
      </c>
      <c r="M13" s="10"/>
      <c r="N13" s="10"/>
      <c r="O13" s="6"/>
    </row>
    <row r="14" spans="1:15" x14ac:dyDescent="0.2">
      <c r="A14" s="126" t="s">
        <v>179</v>
      </c>
      <c r="B14" s="4" t="s">
        <v>100</v>
      </c>
      <c r="C14" s="4" t="s">
        <v>41</v>
      </c>
      <c r="D14" s="7"/>
      <c r="E14" s="7"/>
      <c r="F14" s="8" t="str">
        <f t="shared" ref="F14:F46" si="12">IF(ISBLANK(B14),"",IF(I14="L","Baixa",IF(I14="A","Média",IF(I14="","","Alta"))))</f>
        <v>Média</v>
      </c>
      <c r="G14" s="7" t="str">
        <f t="shared" ref="G14:G46" si="13">CONCATENATE(B14,I14)</f>
        <v>EEA</v>
      </c>
      <c r="H14" s="5">
        <f t="shared" ref="H14:H46" si="14">IF(ISBLANK(B14),"",IF(B14="ALI",IF(I14="L",7,IF(I14="A",10,15)),IF(B14="AIE",IF(I14="L",5,IF(I14="A",7,10)),IF(B14="SE",IF(I14="L",4,IF(I14="A",5,7)),IF(OR(B14="EE",B14="CE"),IF(I14="L",3,IF(I14="A",4,6)),0)))))</f>
        <v>4</v>
      </c>
      <c r="I14" s="122" t="str">
        <f t="shared" ref="I14:I46" si="15">IF(OR(ISBLANK(D14),ISBLANK(E14)),IF(OR(B14="ALI",B14="AIE"),"L",IF(OR(B14="EE",B14="SE",B14="CE"),"A","")),IF(B14="EE",IF(E14&gt;=3,IF(D14&gt;=5,"H","A"),IF(E14&gt;=2,IF(D14&gt;=16,"H",IF(D14&lt;=4,"L","A")),IF(D14&lt;=15,"L","A"))),IF(OR(B14="SE",B14="CE"),IF(E14&gt;=4,IF(D14&gt;=6,"H","A"),IF(E14&gt;=2,IF(D14&gt;=20,"H",IF(D14&lt;=5,"L","A")),IF(D14&lt;=19,"L","A"))),IF(OR(B14="ALI",B14="AIE"),IF(E14&gt;=6,IF(D14&gt;=20,"H","A"),IF(E14&gt;=2,IF(D14&gt;=51,"H",IF(D14&lt;=19,"L","A")),IF(D14&lt;=50,"L","A"))),""))))</f>
        <v>A</v>
      </c>
      <c r="J14" s="7" t="str">
        <f t="shared" ref="J14:J46" si="16">CONCATENATE(B14,C14)</f>
        <v>EEI</v>
      </c>
      <c r="K14" s="9">
        <f t="shared" ref="K14:K46" si="17">IF(OR(H14="",H14=0),L14,H14)</f>
        <v>4</v>
      </c>
      <c r="L14" s="9">
        <f>IF(NOT(ISERROR(VLOOKUP(B14,Deflatores!G$42:H$64,2,FALSE))),VLOOKUP(B14,Deflatores!G$42:H$64,2,FALSE),IF(OR(ISBLANK(C14),ISBLANK(B14)),"",VLOOKUP(C14,Deflatores!G$4:H$38,2,FALSE)*H14+VLOOKUP(C14,Deflatores!G$4:I$38,3,FALSE)))</f>
        <v>4</v>
      </c>
      <c r="M14" s="10"/>
      <c r="N14" s="10"/>
      <c r="O14" s="6"/>
    </row>
    <row r="15" spans="1:15" x14ac:dyDescent="0.2">
      <c r="A15" s="126" t="s">
        <v>180</v>
      </c>
      <c r="B15" s="4" t="s">
        <v>102</v>
      </c>
      <c r="C15" s="4" t="s">
        <v>41</v>
      </c>
      <c r="D15" s="7"/>
      <c r="E15" s="7"/>
      <c r="F15" s="8" t="str">
        <f t="shared" si="12"/>
        <v>Média</v>
      </c>
      <c r="G15" s="7" t="str">
        <f t="shared" si="13"/>
        <v>CEA</v>
      </c>
      <c r="H15" s="5">
        <f t="shared" si="14"/>
        <v>4</v>
      </c>
      <c r="I15" s="122" t="str">
        <f t="shared" si="15"/>
        <v>A</v>
      </c>
      <c r="J15" s="7" t="str">
        <f t="shared" si="16"/>
        <v>CEI</v>
      </c>
      <c r="K15" s="9">
        <f t="shared" si="17"/>
        <v>4</v>
      </c>
      <c r="L15" s="9">
        <f>IF(NOT(ISERROR(VLOOKUP(B15,Deflatores!G$42:H$64,2,FALSE))),VLOOKUP(B15,Deflatores!G$42:H$64,2,FALSE),IF(OR(ISBLANK(C15),ISBLANK(B15)),"",VLOOKUP(C15,Deflatores!G$4:H$38,2,FALSE)*H15+VLOOKUP(C15,Deflatores!G$4:I$38,3,FALSE)))</f>
        <v>4</v>
      </c>
      <c r="M15" s="10"/>
      <c r="N15" s="10"/>
      <c r="O15" s="6"/>
    </row>
    <row r="16" spans="1:15" x14ac:dyDescent="0.2">
      <c r="A16" s="126" t="s">
        <v>181</v>
      </c>
      <c r="B16" s="4" t="s">
        <v>102</v>
      </c>
      <c r="C16" s="4" t="s">
        <v>41</v>
      </c>
      <c r="D16" s="7"/>
      <c r="E16" s="7"/>
      <c r="F16" s="8" t="str">
        <f t="shared" ref="F16" si="18">IF(ISBLANK(B16),"",IF(I16="L","Baixa",IF(I16="A","Média",IF(I16="","","Alta"))))</f>
        <v>Média</v>
      </c>
      <c r="G16" s="7" t="str">
        <f t="shared" ref="G16" si="19">CONCATENATE(B16,I16)</f>
        <v>CEA</v>
      </c>
      <c r="H16" s="5">
        <f t="shared" ref="H16" si="20">IF(ISBLANK(B16),"",IF(B16="ALI",IF(I16="L",7,IF(I16="A",10,15)),IF(B16="AIE",IF(I16="L",5,IF(I16="A",7,10)),IF(B16="SE",IF(I16="L",4,IF(I16="A",5,7)),IF(OR(B16="EE",B16="CE"),IF(I16="L",3,IF(I16="A",4,6)),0)))))</f>
        <v>4</v>
      </c>
      <c r="I16" s="122" t="str">
        <f t="shared" ref="I16" si="21">IF(OR(ISBLANK(D16),ISBLANK(E16)),IF(OR(B16="ALI",B16="AIE"),"L",IF(OR(B16="EE",B16="SE",B16="CE"),"A","")),IF(B16="EE",IF(E16&gt;=3,IF(D16&gt;=5,"H","A"),IF(E16&gt;=2,IF(D16&gt;=16,"H",IF(D16&lt;=4,"L","A")),IF(D16&lt;=15,"L","A"))),IF(OR(B16="SE",B16="CE"),IF(E16&gt;=4,IF(D16&gt;=6,"H","A"),IF(E16&gt;=2,IF(D16&gt;=20,"H",IF(D16&lt;=5,"L","A")),IF(D16&lt;=19,"L","A"))),IF(OR(B16="ALI",B16="AIE"),IF(E16&gt;=6,IF(D16&gt;=20,"H","A"),IF(E16&gt;=2,IF(D16&gt;=51,"H",IF(D16&lt;=19,"L","A")),IF(D16&lt;=50,"L","A"))),""))))</f>
        <v>A</v>
      </c>
      <c r="J16" s="7" t="str">
        <f t="shared" ref="J16" si="22">CONCATENATE(B16,C16)</f>
        <v>CEI</v>
      </c>
      <c r="K16" s="9">
        <f t="shared" ref="K16" si="23">IF(OR(H16="",H16=0),L16,H16)</f>
        <v>4</v>
      </c>
      <c r="L16" s="9">
        <f>IF(NOT(ISERROR(VLOOKUP(B16,Deflatores!G$42:H$64,2,FALSE))),VLOOKUP(B16,Deflatores!G$42:H$64,2,FALSE),IF(OR(ISBLANK(C16),ISBLANK(B16)),"",VLOOKUP(C16,Deflatores!G$4:H$38,2,FALSE)*H16+VLOOKUP(C16,Deflatores!G$4:I$38,3,FALSE)))</f>
        <v>4</v>
      </c>
      <c r="M16" s="10"/>
      <c r="N16" s="10"/>
      <c r="O16" s="6"/>
    </row>
    <row r="17" spans="1:15" x14ac:dyDescent="0.2">
      <c r="A17" s="126" t="s">
        <v>177</v>
      </c>
      <c r="B17" s="4" t="s">
        <v>99</v>
      </c>
      <c r="C17" s="4" t="s">
        <v>41</v>
      </c>
      <c r="D17" s="7"/>
      <c r="E17" s="7"/>
      <c r="F17" s="8" t="str">
        <f t="shared" ref="F17" si="24">IF(ISBLANK(B17),"",IF(I17="L","Baixa",IF(I17="A","Média",IF(I17="","","Alta"))))</f>
        <v>Baixa</v>
      </c>
      <c r="G17" s="7" t="str">
        <f t="shared" ref="G17" si="25">CONCATENATE(B17,I17)</f>
        <v>AIEL</v>
      </c>
      <c r="H17" s="5">
        <f t="shared" ref="H17" si="26">IF(ISBLANK(B17),"",IF(B17="ALI",IF(I17="L",7,IF(I17="A",10,15)),IF(B17="AIE",IF(I17="L",5,IF(I17="A",7,10)),IF(B17="SE",IF(I17="L",4,IF(I17="A",5,7)),IF(OR(B17="EE",B17="CE"),IF(I17="L",3,IF(I17="A",4,6)),0)))))</f>
        <v>5</v>
      </c>
      <c r="I17" s="122" t="str">
        <f t="shared" ref="I17" si="27">IF(OR(ISBLANK(D17),ISBLANK(E17)),IF(OR(B17="ALI",B17="AIE"),"L",IF(OR(B17="EE",B17="SE",B17="CE"),"A","")),IF(B17="EE",IF(E17&gt;=3,IF(D17&gt;=5,"H","A"),IF(E17&gt;=2,IF(D17&gt;=16,"H",IF(D17&lt;=4,"L","A")),IF(D17&lt;=15,"L","A"))),IF(OR(B17="SE",B17="CE"),IF(E17&gt;=4,IF(D17&gt;=6,"H","A"),IF(E17&gt;=2,IF(D17&gt;=20,"H",IF(D17&lt;=5,"L","A")),IF(D17&lt;=19,"L","A"))),IF(OR(B17="ALI",B17="AIE"),IF(E17&gt;=6,IF(D17&gt;=20,"H","A"),IF(E17&gt;=2,IF(D17&gt;=51,"H",IF(D17&lt;=19,"L","A")),IF(D17&lt;=50,"L","A"))),""))))</f>
        <v>L</v>
      </c>
      <c r="J17" s="7" t="str">
        <f t="shared" ref="J17" si="28">CONCATENATE(B17,C17)</f>
        <v>AIEI</v>
      </c>
      <c r="K17" s="9">
        <f t="shared" ref="K17" si="29">IF(OR(H17="",H17=0),L17,H17)</f>
        <v>5</v>
      </c>
      <c r="L17" s="9">
        <f>IF(NOT(ISERROR(VLOOKUP(B17,Deflatores!G$42:H$64,2,FALSE))),VLOOKUP(B17,Deflatores!G$42:H$64,2,FALSE),IF(OR(ISBLANK(C17),ISBLANK(B17)),"",VLOOKUP(C17,Deflatores!G$4:H$38,2,FALSE)*H17+VLOOKUP(C17,Deflatores!G$4:I$38,3,FALSE)))</f>
        <v>5</v>
      </c>
      <c r="M17" s="10"/>
      <c r="N17" s="10"/>
      <c r="O17" s="6"/>
    </row>
    <row r="18" spans="1:15" x14ac:dyDescent="0.2">
      <c r="A18" s="126"/>
      <c r="B18" s="4"/>
      <c r="C18" s="4"/>
      <c r="D18" s="7"/>
      <c r="E18" s="7"/>
      <c r="F18" s="8" t="str">
        <f t="shared" ref="F18" si="30">IF(ISBLANK(B18),"",IF(I18="L","Baixa",IF(I18="A","Média",IF(I18="","","Alta"))))</f>
        <v/>
      </c>
      <c r="G18" s="7" t="str">
        <f t="shared" ref="G18" si="31">CONCATENATE(B18,I18)</f>
        <v/>
      </c>
      <c r="H18" s="5" t="str">
        <f t="shared" ref="H18" si="32">IF(ISBLANK(B18),"",IF(B18="ALI",IF(I18="L",7,IF(I18="A",10,15)),IF(B18="AIE",IF(I18="L",5,IF(I18="A",7,10)),IF(B18="SE",IF(I18="L",4,IF(I18="A",5,7)),IF(OR(B18="EE",B18="CE"),IF(I18="L",3,IF(I18="A",4,6)),0)))))</f>
        <v/>
      </c>
      <c r="I18" s="122" t="str">
        <f t="shared" ref="I18" si="33">IF(OR(ISBLANK(D18),ISBLANK(E18)),IF(OR(B18="ALI",B18="AIE"),"L",IF(OR(B18="EE",B18="SE",B18="CE"),"A","")),IF(B18="EE",IF(E18&gt;=3,IF(D18&gt;=5,"H","A"),IF(E18&gt;=2,IF(D18&gt;=16,"H",IF(D18&lt;=4,"L","A")),IF(D18&lt;=15,"L","A"))),IF(OR(B18="SE",B18="CE"),IF(E18&gt;=4,IF(D18&gt;=6,"H","A"),IF(E18&gt;=2,IF(D18&gt;=20,"H",IF(D18&lt;=5,"L","A")),IF(D18&lt;=19,"L","A"))),IF(OR(B18="ALI",B18="AIE"),IF(E18&gt;=6,IF(D18&gt;=20,"H","A"),IF(E18&gt;=2,IF(D18&gt;=51,"H",IF(D18&lt;=19,"L","A")),IF(D18&lt;=50,"L","A"))),""))))</f>
        <v/>
      </c>
      <c r="J18" s="7" t="str">
        <f t="shared" ref="J18" si="34">CONCATENATE(B18,C18)</f>
        <v/>
      </c>
      <c r="K18" s="9" t="str">
        <f t="shared" ref="K18" si="35">IF(OR(H18="",H18=0),L18,H18)</f>
        <v/>
      </c>
      <c r="L18" s="9" t="str">
        <f>IF(NOT(ISERROR(VLOOKUP(B18,Deflatores!G$42:H$64,2,FALSE))),VLOOKUP(B18,Deflatores!G$42:H$64,2,FALSE),IF(OR(ISBLANK(C18),ISBLANK(B18)),"",VLOOKUP(C18,Deflatores!G$4:H$38,2,FALSE)*H18+VLOOKUP(C18,Deflatores!G$4:I$38,3,FALSE)))</f>
        <v/>
      </c>
      <c r="M18" s="10"/>
      <c r="N18" s="10"/>
      <c r="O18" s="6"/>
    </row>
    <row r="19" spans="1:15" x14ac:dyDescent="0.2">
      <c r="A19" s="126"/>
      <c r="B19" s="4"/>
      <c r="C19" s="4"/>
      <c r="D19" s="7"/>
      <c r="E19" s="7"/>
      <c r="F19" s="8" t="str">
        <f t="shared" ref="F19" si="36">IF(ISBLANK(B19),"",IF(I19="L","Baixa",IF(I19="A","Média",IF(I19="","","Alta"))))</f>
        <v/>
      </c>
      <c r="G19" s="7" t="str">
        <f t="shared" ref="G19" si="37">CONCATENATE(B19,I19)</f>
        <v/>
      </c>
      <c r="H19" s="5" t="str">
        <f t="shared" ref="H19" si="38">IF(ISBLANK(B19),"",IF(B19="ALI",IF(I19="L",7,IF(I19="A",10,15)),IF(B19="AIE",IF(I19="L",5,IF(I19="A",7,10)),IF(B19="SE",IF(I19="L",4,IF(I19="A",5,7)),IF(OR(B19="EE",B19="CE"),IF(I19="L",3,IF(I19="A",4,6)),0)))))</f>
        <v/>
      </c>
      <c r="I19" s="122" t="str">
        <f t="shared" ref="I19" si="39">IF(OR(ISBLANK(D19),ISBLANK(E19)),IF(OR(B19="ALI",B19="AIE"),"L",IF(OR(B19="EE",B19="SE",B19="CE"),"A","")),IF(B19="EE",IF(E19&gt;=3,IF(D19&gt;=5,"H","A"),IF(E19&gt;=2,IF(D19&gt;=16,"H",IF(D19&lt;=4,"L","A")),IF(D19&lt;=15,"L","A"))),IF(OR(B19="SE",B19="CE"),IF(E19&gt;=4,IF(D19&gt;=6,"H","A"),IF(E19&gt;=2,IF(D19&gt;=20,"H",IF(D19&lt;=5,"L","A")),IF(D19&lt;=19,"L","A"))),IF(OR(B19="ALI",B19="AIE"),IF(E19&gt;=6,IF(D19&gt;=20,"H","A"),IF(E19&gt;=2,IF(D19&gt;=51,"H",IF(D19&lt;=19,"L","A")),IF(D19&lt;=50,"L","A"))),""))))</f>
        <v/>
      </c>
      <c r="J19" s="7" t="str">
        <f t="shared" ref="J19" si="40">CONCATENATE(B19,C19)</f>
        <v/>
      </c>
      <c r="K19" s="9" t="str">
        <f t="shared" ref="K19" si="41">IF(OR(H19="",H19=0),L19,H19)</f>
        <v/>
      </c>
      <c r="L19" s="9" t="str">
        <f>IF(NOT(ISERROR(VLOOKUP(B19,Deflatores!G$42:H$64,2,FALSE))),VLOOKUP(B19,Deflatores!G$42:H$64,2,FALSE),IF(OR(ISBLANK(C19),ISBLANK(B19)),"",VLOOKUP(C19,Deflatores!G$4:H$38,2,FALSE)*H19+VLOOKUP(C19,Deflatores!G$4:I$38,3,FALSE)))</f>
        <v/>
      </c>
      <c r="M19" s="10"/>
      <c r="N19" s="10"/>
      <c r="O19" s="6"/>
    </row>
    <row r="20" spans="1:15" x14ac:dyDescent="0.2">
      <c r="A20" s="126"/>
      <c r="B20" s="4"/>
      <c r="C20" s="4"/>
      <c r="D20" s="7"/>
      <c r="E20" s="7"/>
      <c r="F20" s="8" t="str">
        <f t="shared" si="12"/>
        <v/>
      </c>
      <c r="G20" s="7" t="str">
        <f t="shared" si="13"/>
        <v/>
      </c>
      <c r="H20" s="5" t="str">
        <f t="shared" si="14"/>
        <v/>
      </c>
      <c r="I20" s="122" t="str">
        <f t="shared" si="15"/>
        <v/>
      </c>
      <c r="J20" s="7" t="str">
        <f t="shared" si="16"/>
        <v/>
      </c>
      <c r="K20" s="9" t="str">
        <f t="shared" si="17"/>
        <v/>
      </c>
      <c r="L20" s="9" t="str">
        <f>IF(NOT(ISERROR(VLOOKUP(B20,Deflatores!G$42:H$64,2,FALSE))),VLOOKUP(B20,Deflatores!G$42:H$64,2,FALSE),IF(OR(ISBLANK(C20),ISBLANK(B20)),"",VLOOKUP(C20,Deflatores!G$4:H$38,2,FALSE)*H20+VLOOKUP(C20,Deflatores!G$4:I$38,3,FALSE)))</f>
        <v/>
      </c>
      <c r="M20" s="10"/>
      <c r="N20" s="10"/>
      <c r="O20" s="6"/>
    </row>
    <row r="21" spans="1:15" x14ac:dyDescent="0.2">
      <c r="A21" s="128" t="s">
        <v>184</v>
      </c>
      <c r="B21" s="4"/>
      <c r="C21" s="4"/>
      <c r="D21" s="7"/>
      <c r="E21" s="7"/>
      <c r="F21" s="8" t="str">
        <f t="shared" si="12"/>
        <v/>
      </c>
      <c r="G21" s="7" t="str">
        <f t="shared" si="13"/>
        <v/>
      </c>
      <c r="H21" s="5" t="str">
        <f t="shared" si="14"/>
        <v/>
      </c>
      <c r="I21" s="122" t="str">
        <f t="shared" si="15"/>
        <v/>
      </c>
      <c r="J21" s="7" t="str">
        <f t="shared" si="16"/>
        <v/>
      </c>
      <c r="K21" s="9" t="str">
        <f t="shared" si="17"/>
        <v/>
      </c>
      <c r="L21" s="9" t="str">
        <f>IF(NOT(ISERROR(VLOOKUP(B21,Deflatores!G$42:H$64,2,FALSE))),VLOOKUP(B21,Deflatores!G$42:H$64,2,FALSE),IF(OR(ISBLANK(C21),ISBLANK(B21)),"",VLOOKUP(C21,Deflatores!G$4:H$38,2,FALSE)*H21+VLOOKUP(C21,Deflatores!G$4:I$38,3,FALSE)))</f>
        <v/>
      </c>
      <c r="M21" s="10"/>
      <c r="N21" s="10"/>
      <c r="O21" s="6"/>
    </row>
    <row r="22" spans="1:15" x14ac:dyDescent="0.2">
      <c r="A22" s="126" t="s">
        <v>182</v>
      </c>
      <c r="B22" s="4" t="s">
        <v>100</v>
      </c>
      <c r="C22" s="4" t="s">
        <v>41</v>
      </c>
      <c r="D22" s="7"/>
      <c r="E22" s="7"/>
      <c r="F22" s="8" t="str">
        <f t="shared" ref="F22:F24" si="42">IF(ISBLANK(B22),"",IF(I22="L","Baixa",IF(I22="A","Média",IF(I22="","","Alta"))))</f>
        <v>Média</v>
      </c>
      <c r="G22" s="7" t="str">
        <f t="shared" ref="G22:G24" si="43">CONCATENATE(B22,I22)</f>
        <v>EEA</v>
      </c>
      <c r="H22" s="5">
        <f t="shared" ref="H22:H24" si="44">IF(ISBLANK(B22),"",IF(B22="ALI",IF(I22="L",7,IF(I22="A",10,15)),IF(B22="AIE",IF(I22="L",5,IF(I22="A",7,10)),IF(B22="SE",IF(I22="L",4,IF(I22="A",5,7)),IF(OR(B22="EE",B22="CE"),IF(I22="L",3,IF(I22="A",4,6)),0)))))</f>
        <v>4</v>
      </c>
      <c r="I22" s="122" t="str">
        <f t="shared" ref="I22:I24" si="45">IF(OR(ISBLANK(D22),ISBLANK(E22)),IF(OR(B22="ALI",B22="AIE"),"L",IF(OR(B22="EE",B22="SE",B22="CE"),"A","")),IF(B22="EE",IF(E22&gt;=3,IF(D22&gt;=5,"H","A"),IF(E22&gt;=2,IF(D22&gt;=16,"H",IF(D22&lt;=4,"L","A")),IF(D22&lt;=15,"L","A"))),IF(OR(B22="SE",B22="CE"),IF(E22&gt;=4,IF(D22&gt;=6,"H","A"),IF(E22&gt;=2,IF(D22&gt;=20,"H",IF(D22&lt;=5,"L","A")),IF(D22&lt;=19,"L","A"))),IF(OR(B22="ALI",B22="AIE"),IF(E22&gt;=6,IF(D22&gt;=20,"H","A"),IF(E22&gt;=2,IF(D22&gt;=51,"H",IF(D22&lt;=19,"L","A")),IF(D22&lt;=50,"L","A"))),""))))</f>
        <v>A</v>
      </c>
      <c r="J22" s="7" t="str">
        <f t="shared" ref="J22:J24" si="46">CONCATENATE(B22,C22)</f>
        <v>EEI</v>
      </c>
      <c r="K22" s="9">
        <f t="shared" ref="K22:K24" si="47">IF(OR(H22="",H22=0),L22,H22)</f>
        <v>4</v>
      </c>
      <c r="L22" s="9">
        <f>IF(NOT(ISERROR(VLOOKUP(B22,Deflatores!G$42:H$64,2,FALSE))),VLOOKUP(B22,Deflatores!G$42:H$64,2,FALSE),IF(OR(ISBLANK(C22),ISBLANK(B22)),"",VLOOKUP(C22,Deflatores!G$4:H$38,2,FALSE)*H22+VLOOKUP(C22,Deflatores!G$4:I$38,3,FALSE)))</f>
        <v>4</v>
      </c>
      <c r="M22" s="10"/>
      <c r="N22" s="10"/>
      <c r="O22" s="6"/>
    </row>
    <row r="23" spans="1:15" x14ac:dyDescent="0.2">
      <c r="A23" s="126" t="s">
        <v>185</v>
      </c>
      <c r="B23" s="4" t="s">
        <v>102</v>
      </c>
      <c r="C23" s="4" t="s">
        <v>41</v>
      </c>
      <c r="D23" s="7"/>
      <c r="E23" s="7"/>
      <c r="F23" s="8" t="str">
        <f t="shared" ref="F23" si="48">IF(ISBLANK(B23),"",IF(I23="L","Baixa",IF(I23="A","Média",IF(I23="","","Alta"))))</f>
        <v>Média</v>
      </c>
      <c r="G23" s="7" t="str">
        <f t="shared" ref="G23" si="49">CONCATENATE(B23,I23)</f>
        <v>CEA</v>
      </c>
      <c r="H23" s="5">
        <f t="shared" ref="H23" si="50">IF(ISBLANK(B23),"",IF(B23="ALI",IF(I23="L",7,IF(I23="A",10,15)),IF(B23="AIE",IF(I23="L",5,IF(I23="A",7,10)),IF(B23="SE",IF(I23="L",4,IF(I23="A",5,7)),IF(OR(B23="EE",B23="CE"),IF(I23="L",3,IF(I23="A",4,6)),0)))))</f>
        <v>4</v>
      </c>
      <c r="I23" s="122" t="str">
        <f t="shared" ref="I23" si="51">IF(OR(ISBLANK(D23),ISBLANK(E23)),IF(OR(B23="ALI",B23="AIE"),"L",IF(OR(B23="EE",B23="SE",B23="CE"),"A","")),IF(B23="EE",IF(E23&gt;=3,IF(D23&gt;=5,"H","A"),IF(E23&gt;=2,IF(D23&gt;=16,"H",IF(D23&lt;=4,"L","A")),IF(D23&lt;=15,"L","A"))),IF(OR(B23="SE",B23="CE"),IF(E23&gt;=4,IF(D23&gt;=6,"H","A"),IF(E23&gt;=2,IF(D23&gt;=20,"H",IF(D23&lt;=5,"L","A")),IF(D23&lt;=19,"L","A"))),IF(OR(B23="ALI",B23="AIE"),IF(E23&gt;=6,IF(D23&gt;=20,"H","A"),IF(E23&gt;=2,IF(D23&gt;=51,"H",IF(D23&lt;=19,"L","A")),IF(D23&lt;=50,"L","A"))),""))))</f>
        <v>A</v>
      </c>
      <c r="J23" s="7" t="str">
        <f t="shared" ref="J23" si="52">CONCATENATE(B23,C23)</f>
        <v>CEI</v>
      </c>
      <c r="K23" s="9">
        <f t="shared" ref="K23" si="53">IF(OR(H23="",H23=0),L23,H23)</f>
        <v>4</v>
      </c>
      <c r="L23" s="9">
        <f>IF(NOT(ISERROR(VLOOKUP(B23,Deflatores!G$42:H$64,2,FALSE))),VLOOKUP(B23,Deflatores!G$42:H$64,2,FALSE),IF(OR(ISBLANK(C23),ISBLANK(B23)),"",VLOOKUP(C23,Deflatores!G$4:H$38,2,FALSE)*H23+VLOOKUP(C23,Deflatores!G$4:I$38,3,FALSE)))</f>
        <v>4</v>
      </c>
      <c r="M23" s="10"/>
      <c r="N23" s="10"/>
      <c r="O23" s="6"/>
    </row>
    <row r="24" spans="1:15" x14ac:dyDescent="0.2">
      <c r="A24" s="126" t="s">
        <v>179</v>
      </c>
      <c r="B24" s="4" t="s">
        <v>102</v>
      </c>
      <c r="C24" s="4" t="s">
        <v>41</v>
      </c>
      <c r="D24" s="7"/>
      <c r="E24" s="7"/>
      <c r="F24" s="8" t="str">
        <f t="shared" si="42"/>
        <v>Média</v>
      </c>
      <c r="G24" s="7" t="str">
        <f t="shared" si="43"/>
        <v>CEA</v>
      </c>
      <c r="H24" s="5">
        <f t="shared" si="44"/>
        <v>4</v>
      </c>
      <c r="I24" s="122" t="str">
        <f t="shared" si="45"/>
        <v>A</v>
      </c>
      <c r="J24" s="7" t="str">
        <f t="shared" si="46"/>
        <v>CEI</v>
      </c>
      <c r="K24" s="9">
        <f t="shared" si="47"/>
        <v>4</v>
      </c>
      <c r="L24" s="9">
        <f>IF(NOT(ISERROR(VLOOKUP(B24,Deflatores!G$42:H$64,2,FALSE))),VLOOKUP(B24,Deflatores!G$42:H$64,2,FALSE),IF(OR(ISBLANK(C24),ISBLANK(B24)),"",VLOOKUP(C24,Deflatores!G$4:H$38,2,FALSE)*H24+VLOOKUP(C24,Deflatores!G$4:I$38,3,FALSE)))</f>
        <v>4</v>
      </c>
      <c r="M24" s="10"/>
      <c r="N24" s="10"/>
      <c r="O24" s="6"/>
    </row>
    <row r="25" spans="1:15" x14ac:dyDescent="0.2">
      <c r="A25" s="126"/>
      <c r="B25" s="4"/>
      <c r="C25" s="4"/>
      <c r="D25" s="7"/>
      <c r="E25" s="7"/>
      <c r="F25" s="8" t="str">
        <f t="shared" ref="F25" si="54">IF(ISBLANK(B25),"",IF(I25="L","Baixa",IF(I25="A","Média",IF(I25="","","Alta"))))</f>
        <v/>
      </c>
      <c r="G25" s="7" t="str">
        <f t="shared" ref="G25" si="55">CONCATENATE(B25,I25)</f>
        <v/>
      </c>
      <c r="H25" s="5" t="str">
        <f t="shared" ref="H25" si="56">IF(ISBLANK(B25),"",IF(B25="ALI",IF(I25="L",7,IF(I25="A",10,15)),IF(B25="AIE",IF(I25="L",5,IF(I25="A",7,10)),IF(B25="SE",IF(I25="L",4,IF(I25="A",5,7)),IF(OR(B25="EE",B25="CE"),IF(I25="L",3,IF(I25="A",4,6)),0)))))</f>
        <v/>
      </c>
      <c r="I25" s="122" t="str">
        <f t="shared" ref="I25" si="57">IF(OR(ISBLANK(D25),ISBLANK(E25)),IF(OR(B25="ALI",B25="AIE"),"L",IF(OR(B25="EE",B25="SE",B25="CE"),"A","")),IF(B25="EE",IF(E25&gt;=3,IF(D25&gt;=5,"H","A"),IF(E25&gt;=2,IF(D25&gt;=16,"H",IF(D25&lt;=4,"L","A")),IF(D25&lt;=15,"L","A"))),IF(OR(B25="SE",B25="CE"),IF(E25&gt;=4,IF(D25&gt;=6,"H","A"),IF(E25&gt;=2,IF(D25&gt;=20,"H",IF(D25&lt;=5,"L","A")),IF(D25&lt;=19,"L","A"))),IF(OR(B25="ALI",B25="AIE"),IF(E25&gt;=6,IF(D25&gt;=20,"H","A"),IF(E25&gt;=2,IF(D25&gt;=51,"H",IF(D25&lt;=19,"L","A")),IF(D25&lt;=50,"L","A"))),""))))</f>
        <v/>
      </c>
      <c r="J25" s="7" t="str">
        <f t="shared" ref="J25" si="58">CONCATENATE(B25,C25)</f>
        <v/>
      </c>
      <c r="K25" s="9" t="str">
        <f t="shared" ref="K25" si="59">IF(OR(H25="",H25=0),L25,H25)</f>
        <v/>
      </c>
      <c r="L25" s="9" t="str">
        <f>IF(NOT(ISERROR(VLOOKUP(B25,Deflatores!G$42:H$64,2,FALSE))),VLOOKUP(B25,Deflatores!G$42:H$64,2,FALSE),IF(OR(ISBLANK(C25),ISBLANK(B25)),"",VLOOKUP(C25,Deflatores!G$4:H$38,2,FALSE)*H25+VLOOKUP(C25,Deflatores!G$4:I$38,3,FALSE)))</f>
        <v/>
      </c>
      <c r="M25" s="10"/>
      <c r="N25" s="10"/>
      <c r="O25" s="6"/>
    </row>
    <row r="26" spans="1:15" x14ac:dyDescent="0.2">
      <c r="A26" s="126"/>
      <c r="B26" s="4"/>
      <c r="C26" s="4"/>
      <c r="D26" s="7"/>
      <c r="E26" s="7"/>
      <c r="F26" s="8" t="str">
        <f t="shared" si="12"/>
        <v/>
      </c>
      <c r="G26" s="7" t="str">
        <f t="shared" si="13"/>
        <v/>
      </c>
      <c r="H26" s="5" t="str">
        <f t="shared" si="14"/>
        <v/>
      </c>
      <c r="I26" s="122" t="str">
        <f t="shared" si="15"/>
        <v/>
      </c>
      <c r="J26" s="7" t="str">
        <f t="shared" si="16"/>
        <v/>
      </c>
      <c r="K26" s="9" t="str">
        <f t="shared" si="17"/>
        <v/>
      </c>
      <c r="L26" s="9" t="str">
        <f>IF(NOT(ISERROR(VLOOKUP(B26,Deflatores!G$42:H$64,2,FALSE))),VLOOKUP(B26,Deflatores!G$42:H$64,2,FALSE),IF(OR(ISBLANK(C26),ISBLANK(B26)),"",VLOOKUP(C26,Deflatores!G$4:H$38,2,FALSE)*H26+VLOOKUP(C26,Deflatores!G$4:I$38,3,FALSE)))</f>
        <v/>
      </c>
      <c r="M26" s="10"/>
      <c r="N26" s="10"/>
      <c r="O26" s="6"/>
    </row>
    <row r="27" spans="1:15" x14ac:dyDescent="0.2">
      <c r="A27" s="126"/>
      <c r="B27" s="4"/>
      <c r="C27" s="4"/>
      <c r="D27" s="7"/>
      <c r="E27" s="7"/>
      <c r="F27" s="8" t="str">
        <f t="shared" ref="F27:F28" si="60">IF(ISBLANK(B27),"",IF(I27="L","Baixa",IF(I27="A","Média",IF(I27="","","Alta"))))</f>
        <v/>
      </c>
      <c r="G27" s="7" t="str">
        <f t="shared" ref="G27:G28" si="61">CONCATENATE(B27,I27)</f>
        <v/>
      </c>
      <c r="H27" s="5" t="str">
        <f t="shared" ref="H27:H28" si="62">IF(ISBLANK(B27),"",IF(B27="ALI",IF(I27="L",7,IF(I27="A",10,15)),IF(B27="AIE",IF(I27="L",5,IF(I27="A",7,10)),IF(B27="SE",IF(I27="L",4,IF(I27="A",5,7)),IF(OR(B27="EE",B27="CE"),IF(I27="L",3,IF(I27="A",4,6)),0)))))</f>
        <v/>
      </c>
      <c r="I27" s="122" t="str">
        <f t="shared" ref="I27:I28" si="63">IF(OR(ISBLANK(D27),ISBLANK(E27)),IF(OR(B27="ALI",B27="AIE"),"L",IF(OR(B27="EE",B27="SE",B27="CE"),"A","")),IF(B27="EE",IF(E27&gt;=3,IF(D27&gt;=5,"H","A"),IF(E27&gt;=2,IF(D27&gt;=16,"H",IF(D27&lt;=4,"L","A")),IF(D27&lt;=15,"L","A"))),IF(OR(B27="SE",B27="CE"),IF(E27&gt;=4,IF(D27&gt;=6,"H","A"),IF(E27&gt;=2,IF(D27&gt;=20,"H",IF(D27&lt;=5,"L","A")),IF(D27&lt;=19,"L","A"))),IF(OR(B27="ALI",B27="AIE"),IF(E27&gt;=6,IF(D27&gt;=20,"H","A"),IF(E27&gt;=2,IF(D27&gt;=51,"H",IF(D27&lt;=19,"L","A")),IF(D27&lt;=50,"L","A"))),""))))</f>
        <v/>
      </c>
      <c r="J27" s="7" t="str">
        <f t="shared" ref="J27:J28" si="64">CONCATENATE(B27,C27)</f>
        <v/>
      </c>
      <c r="K27" s="9" t="str">
        <f t="shared" ref="K27:K28" si="65">IF(OR(H27="",H27=0),L27,H27)</f>
        <v/>
      </c>
      <c r="L27" s="9" t="str">
        <f>IF(NOT(ISERROR(VLOOKUP(B27,Deflatores!G$42:H$64,2,FALSE))),VLOOKUP(B27,Deflatores!G$42:H$64,2,FALSE),IF(OR(ISBLANK(C27),ISBLANK(B27)),"",VLOOKUP(C27,Deflatores!G$4:H$38,2,FALSE)*H27+VLOOKUP(C27,Deflatores!G$4:I$38,3,FALSE)))</f>
        <v/>
      </c>
      <c r="M27" s="10"/>
      <c r="N27" s="10"/>
      <c r="O27" s="6"/>
    </row>
    <row r="28" spans="1:15" x14ac:dyDescent="0.2">
      <c r="A28" s="128" t="s">
        <v>186</v>
      </c>
      <c r="B28" s="4"/>
      <c r="C28" s="4"/>
      <c r="D28" s="7"/>
      <c r="E28" s="7"/>
      <c r="F28" s="8" t="str">
        <f t="shared" si="60"/>
        <v/>
      </c>
      <c r="G28" s="7" t="str">
        <f t="shared" si="61"/>
        <v/>
      </c>
      <c r="H28" s="5" t="str">
        <f t="shared" si="62"/>
        <v/>
      </c>
      <c r="I28" s="122" t="str">
        <f t="shared" si="63"/>
        <v/>
      </c>
      <c r="J28" s="7" t="str">
        <f t="shared" si="64"/>
        <v/>
      </c>
      <c r="K28" s="9" t="str">
        <f t="shared" si="65"/>
        <v/>
      </c>
      <c r="L28" s="9" t="str">
        <f>IF(NOT(ISERROR(VLOOKUP(B28,Deflatores!G$42:H$64,2,FALSE))),VLOOKUP(B28,Deflatores!G$42:H$64,2,FALSE),IF(OR(ISBLANK(C28),ISBLANK(B28)),"",VLOOKUP(C28,Deflatores!G$4:H$38,2,FALSE)*H28+VLOOKUP(C28,Deflatores!G$4:I$38,3,FALSE)))</f>
        <v/>
      </c>
      <c r="M28" s="10"/>
      <c r="N28" s="10"/>
      <c r="O28" s="6"/>
    </row>
    <row r="29" spans="1:15" x14ac:dyDescent="0.2">
      <c r="A29" s="126" t="s">
        <v>183</v>
      </c>
      <c r="B29" s="4" t="s">
        <v>102</v>
      </c>
      <c r="C29" s="4" t="s">
        <v>41</v>
      </c>
      <c r="D29" s="7"/>
      <c r="E29" s="7"/>
      <c r="F29" s="8" t="str">
        <f t="shared" si="12"/>
        <v>Média</v>
      </c>
      <c r="G29" s="7" t="str">
        <f t="shared" si="13"/>
        <v>CEA</v>
      </c>
      <c r="H29" s="5">
        <f t="shared" si="14"/>
        <v>4</v>
      </c>
      <c r="I29" s="122" t="str">
        <f t="shared" si="15"/>
        <v>A</v>
      </c>
      <c r="J29" s="7" t="str">
        <f t="shared" si="16"/>
        <v>CEI</v>
      </c>
      <c r="K29" s="9">
        <f t="shared" si="17"/>
        <v>4</v>
      </c>
      <c r="L29" s="9">
        <f>IF(NOT(ISERROR(VLOOKUP(B29,Deflatores!G$42:H$64,2,FALSE))),VLOOKUP(B29,Deflatores!G$42:H$64,2,FALSE),IF(OR(ISBLANK(C29),ISBLANK(B29)),"",VLOOKUP(C29,Deflatores!G$4:H$38,2,FALSE)*H29+VLOOKUP(C29,Deflatores!G$4:I$38,3,FALSE)))</f>
        <v>4</v>
      </c>
      <c r="M29" s="10"/>
      <c r="N29" s="10"/>
      <c r="O29" s="6"/>
    </row>
    <row r="30" spans="1:15" x14ac:dyDescent="0.2">
      <c r="A30" s="128" t="s">
        <v>190</v>
      </c>
      <c r="B30" s="4"/>
      <c r="C30" s="4"/>
      <c r="D30" s="7"/>
      <c r="E30" s="7"/>
      <c r="F30" s="8" t="str">
        <f t="shared" ref="F30" si="66">IF(ISBLANK(B30),"",IF(I30="L","Baixa",IF(I30="A","Média",IF(I30="","","Alta"))))</f>
        <v/>
      </c>
      <c r="G30" s="7" t="str">
        <f t="shared" ref="G30" si="67">CONCATENATE(B30,I30)</f>
        <v/>
      </c>
      <c r="H30" s="5" t="str">
        <f t="shared" ref="H30" si="68">IF(ISBLANK(B30),"",IF(B30="ALI",IF(I30="L",7,IF(I30="A",10,15)),IF(B30="AIE",IF(I30="L",5,IF(I30="A",7,10)),IF(B30="SE",IF(I30="L",4,IF(I30="A",5,7)),IF(OR(B30="EE",B30="CE"),IF(I30="L",3,IF(I30="A",4,6)),0)))))</f>
        <v/>
      </c>
      <c r="I30" s="122" t="str">
        <f t="shared" ref="I30" si="69">IF(OR(ISBLANK(D30),ISBLANK(E30)),IF(OR(B30="ALI",B30="AIE"),"L",IF(OR(B30="EE",B30="SE",B30="CE"),"A","")),IF(B30="EE",IF(E30&gt;=3,IF(D30&gt;=5,"H","A"),IF(E30&gt;=2,IF(D30&gt;=16,"H",IF(D30&lt;=4,"L","A")),IF(D30&lt;=15,"L","A"))),IF(OR(B30="SE",B30="CE"),IF(E30&gt;=4,IF(D30&gt;=6,"H","A"),IF(E30&gt;=2,IF(D30&gt;=20,"H",IF(D30&lt;=5,"L","A")),IF(D30&lt;=19,"L","A"))),IF(OR(B30="ALI",B30="AIE"),IF(E30&gt;=6,IF(D30&gt;=20,"H","A"),IF(E30&gt;=2,IF(D30&gt;=51,"H",IF(D30&lt;=19,"L","A")),IF(D30&lt;=50,"L","A"))),""))))</f>
        <v/>
      </c>
      <c r="J30" s="7" t="str">
        <f t="shared" ref="J30" si="70">CONCATENATE(B30,C30)</f>
        <v/>
      </c>
      <c r="K30" s="9" t="str">
        <f t="shared" ref="K30" si="71">IF(OR(H30="",H30=0),L30,H30)</f>
        <v/>
      </c>
      <c r="L30" s="9" t="str">
        <f>IF(NOT(ISERROR(VLOOKUP(B30,Deflatores!G$42:H$64,2,FALSE))),VLOOKUP(B30,Deflatores!G$42:H$64,2,FALSE),IF(OR(ISBLANK(C30),ISBLANK(B30)),"",VLOOKUP(C30,Deflatores!G$4:H$38,2,FALSE)*H30+VLOOKUP(C30,Deflatores!G$4:I$38,3,FALSE)))</f>
        <v/>
      </c>
      <c r="M30" s="10"/>
      <c r="N30" s="10"/>
      <c r="O30" s="6"/>
    </row>
    <row r="31" spans="1:15" x14ac:dyDescent="0.2">
      <c r="A31" s="126" t="s">
        <v>190</v>
      </c>
      <c r="B31" s="4" t="s">
        <v>98</v>
      </c>
      <c r="C31" s="4" t="s">
        <v>41</v>
      </c>
      <c r="D31" s="7"/>
      <c r="E31" s="7"/>
      <c r="F31" s="8" t="str">
        <f t="shared" si="12"/>
        <v>Baixa</v>
      </c>
      <c r="G31" s="7" t="str">
        <f t="shared" si="13"/>
        <v>ALIL</v>
      </c>
      <c r="H31" s="5">
        <f t="shared" si="14"/>
        <v>7</v>
      </c>
      <c r="I31" s="122" t="str">
        <f t="shared" si="15"/>
        <v>L</v>
      </c>
      <c r="J31" s="7" t="str">
        <f t="shared" si="16"/>
        <v>ALII</v>
      </c>
      <c r="K31" s="9">
        <f t="shared" si="17"/>
        <v>7</v>
      </c>
      <c r="L31" s="9">
        <f>IF(NOT(ISERROR(VLOOKUP(B31,Deflatores!G$42:H$64,2,FALSE))),VLOOKUP(B31,Deflatores!G$42:H$64,2,FALSE),IF(OR(ISBLANK(C31),ISBLANK(B31)),"",VLOOKUP(C31,Deflatores!G$4:H$38,2,FALSE)*H31+VLOOKUP(C31,Deflatores!G$4:I$38,3,FALSE)))</f>
        <v>7</v>
      </c>
      <c r="M31" s="10"/>
      <c r="N31" s="10"/>
      <c r="O31" s="6"/>
    </row>
    <row r="32" spans="1:15" x14ac:dyDescent="0.2">
      <c r="A32" s="126" t="s">
        <v>187</v>
      </c>
      <c r="B32" s="4" t="s">
        <v>100</v>
      </c>
      <c r="C32" s="4" t="s">
        <v>41</v>
      </c>
      <c r="D32" s="7"/>
      <c r="E32" s="7"/>
      <c r="F32" s="8" t="str">
        <f t="shared" ref="F32" si="72">IF(ISBLANK(B32),"",IF(I32="L","Baixa",IF(I32="A","Média",IF(I32="","","Alta"))))</f>
        <v>Média</v>
      </c>
      <c r="G32" s="7" t="str">
        <f t="shared" ref="G32" si="73">CONCATENATE(B32,I32)</f>
        <v>EEA</v>
      </c>
      <c r="H32" s="5">
        <f t="shared" ref="H32" si="74">IF(ISBLANK(B32),"",IF(B32="ALI",IF(I32="L",7,IF(I32="A",10,15)),IF(B32="AIE",IF(I32="L",5,IF(I32="A",7,10)),IF(B32="SE",IF(I32="L",4,IF(I32="A",5,7)),IF(OR(B32="EE",B32="CE"),IF(I32="L",3,IF(I32="A",4,6)),0)))))</f>
        <v>4</v>
      </c>
      <c r="I32" s="122" t="str">
        <f t="shared" ref="I32" si="75">IF(OR(ISBLANK(D32),ISBLANK(E32)),IF(OR(B32="ALI",B32="AIE"),"L",IF(OR(B32="EE",B32="SE",B32="CE"),"A","")),IF(B32="EE",IF(E32&gt;=3,IF(D32&gt;=5,"H","A"),IF(E32&gt;=2,IF(D32&gt;=16,"H",IF(D32&lt;=4,"L","A")),IF(D32&lt;=15,"L","A"))),IF(OR(B32="SE",B32="CE"),IF(E32&gt;=4,IF(D32&gt;=6,"H","A"),IF(E32&gt;=2,IF(D32&gt;=20,"H",IF(D32&lt;=5,"L","A")),IF(D32&lt;=19,"L","A"))),IF(OR(B32="ALI",B32="AIE"),IF(E32&gt;=6,IF(D32&gt;=20,"H","A"),IF(E32&gt;=2,IF(D32&gt;=51,"H",IF(D32&lt;=19,"L","A")),IF(D32&lt;=50,"L","A"))),""))))</f>
        <v>A</v>
      </c>
      <c r="J32" s="7" t="str">
        <f t="shared" ref="J32" si="76">CONCATENATE(B32,C32)</f>
        <v>EEI</v>
      </c>
      <c r="K32" s="9">
        <f t="shared" ref="K32" si="77">IF(OR(H32="",H32=0),L32,H32)</f>
        <v>4</v>
      </c>
      <c r="L32" s="9">
        <f>IF(NOT(ISERROR(VLOOKUP(B32,Deflatores!G$42:H$64,2,FALSE))),VLOOKUP(B32,Deflatores!G$42:H$64,2,FALSE),IF(OR(ISBLANK(C32),ISBLANK(B32)),"",VLOOKUP(C32,Deflatores!G$4:H$38,2,FALSE)*H32+VLOOKUP(C32,Deflatores!G$4:I$38,3,FALSE)))</f>
        <v>4</v>
      </c>
      <c r="M32" s="10"/>
      <c r="N32" s="10"/>
      <c r="O32" s="6"/>
    </row>
    <row r="33" spans="1:15" x14ac:dyDescent="0.2">
      <c r="A33" s="126" t="s">
        <v>189</v>
      </c>
      <c r="B33" s="4" t="s">
        <v>100</v>
      </c>
      <c r="C33" s="4" t="s">
        <v>41</v>
      </c>
      <c r="D33" s="7"/>
      <c r="E33" s="7"/>
      <c r="F33" s="8" t="str">
        <f t="shared" si="12"/>
        <v>Média</v>
      </c>
      <c r="G33" s="7" t="str">
        <f t="shared" si="13"/>
        <v>EEA</v>
      </c>
      <c r="H33" s="5">
        <f t="shared" si="14"/>
        <v>4</v>
      </c>
      <c r="I33" s="122" t="str">
        <f t="shared" si="15"/>
        <v>A</v>
      </c>
      <c r="J33" s="7" t="str">
        <f t="shared" si="16"/>
        <v>EEI</v>
      </c>
      <c r="K33" s="9">
        <f t="shared" si="17"/>
        <v>4</v>
      </c>
      <c r="L33" s="9">
        <f>IF(NOT(ISERROR(VLOOKUP(B33,Deflatores!G$42:H$64,2,FALSE))),VLOOKUP(B33,Deflatores!G$42:H$64,2,FALSE),IF(OR(ISBLANK(C33),ISBLANK(B33)),"",VLOOKUP(C33,Deflatores!G$4:H$38,2,FALSE)*H33+VLOOKUP(C33,Deflatores!G$4:I$38,3,FALSE)))</f>
        <v>4</v>
      </c>
      <c r="M33" s="10"/>
      <c r="N33" s="10"/>
      <c r="O33" s="6"/>
    </row>
    <row r="34" spans="1:15" x14ac:dyDescent="0.2">
      <c r="A34" s="126" t="s">
        <v>188</v>
      </c>
      <c r="B34" s="4" t="s">
        <v>100</v>
      </c>
      <c r="C34" s="4" t="s">
        <v>41</v>
      </c>
      <c r="D34" s="7"/>
      <c r="E34" s="7"/>
      <c r="F34" s="8" t="str">
        <f t="shared" ref="F34:F39" si="78">IF(ISBLANK(B34),"",IF(I34="L","Baixa",IF(I34="A","Média",IF(I34="","","Alta"))))</f>
        <v>Média</v>
      </c>
      <c r="G34" s="7" t="str">
        <f t="shared" ref="G34:G39" si="79">CONCATENATE(B34,I34)</f>
        <v>EEA</v>
      </c>
      <c r="H34" s="5">
        <f t="shared" ref="H34:H39" si="80">IF(ISBLANK(B34),"",IF(B34="ALI",IF(I34="L",7,IF(I34="A",10,15)),IF(B34="AIE",IF(I34="L",5,IF(I34="A",7,10)),IF(B34="SE",IF(I34="L",4,IF(I34="A",5,7)),IF(OR(B34="EE",B34="CE"),IF(I34="L",3,IF(I34="A",4,6)),0)))))</f>
        <v>4</v>
      </c>
      <c r="I34" s="122" t="str">
        <f t="shared" ref="I34:I39" si="81">IF(OR(ISBLANK(D34),ISBLANK(E34)),IF(OR(B34="ALI",B34="AIE"),"L",IF(OR(B34="EE",B34="SE",B34="CE"),"A","")),IF(B34="EE",IF(E34&gt;=3,IF(D34&gt;=5,"H","A"),IF(E34&gt;=2,IF(D34&gt;=16,"H",IF(D34&lt;=4,"L","A")),IF(D34&lt;=15,"L","A"))),IF(OR(B34="SE",B34="CE"),IF(E34&gt;=4,IF(D34&gt;=6,"H","A"),IF(E34&gt;=2,IF(D34&gt;=20,"H",IF(D34&lt;=5,"L","A")),IF(D34&lt;=19,"L","A"))),IF(OR(B34="ALI",B34="AIE"),IF(E34&gt;=6,IF(D34&gt;=20,"H","A"),IF(E34&gt;=2,IF(D34&gt;=51,"H",IF(D34&lt;=19,"L","A")),IF(D34&lt;=50,"L","A"))),""))))</f>
        <v>A</v>
      </c>
      <c r="J34" s="7" t="str">
        <f t="shared" ref="J34:J39" si="82">CONCATENATE(B34,C34)</f>
        <v>EEI</v>
      </c>
      <c r="K34" s="9">
        <f t="shared" ref="K34:K39" si="83">IF(OR(H34="",H34=0),L34,H34)</f>
        <v>4</v>
      </c>
      <c r="L34" s="9">
        <f>IF(NOT(ISERROR(VLOOKUP(B34,Deflatores!G$42:H$64,2,FALSE))),VLOOKUP(B34,Deflatores!G$42:H$64,2,FALSE),IF(OR(ISBLANK(C34),ISBLANK(B34)),"",VLOOKUP(C34,Deflatores!G$4:H$38,2,FALSE)*H34+VLOOKUP(C34,Deflatores!G$4:I$38,3,FALSE)))</f>
        <v>4</v>
      </c>
      <c r="M34" s="10"/>
      <c r="N34" s="10"/>
      <c r="O34" s="6"/>
    </row>
    <row r="35" spans="1:15" x14ac:dyDescent="0.2">
      <c r="A35" s="126" t="s">
        <v>191</v>
      </c>
      <c r="B35" s="4" t="s">
        <v>102</v>
      </c>
      <c r="C35" s="4" t="s">
        <v>41</v>
      </c>
      <c r="D35" s="7"/>
      <c r="E35" s="7"/>
      <c r="F35" s="8" t="str">
        <f t="shared" ref="F35:F36" si="84">IF(ISBLANK(B35),"",IF(I35="L","Baixa",IF(I35="A","Média",IF(I35="","","Alta"))))</f>
        <v>Média</v>
      </c>
      <c r="G35" s="7" t="str">
        <f t="shared" ref="G35:G36" si="85">CONCATENATE(B35,I35)</f>
        <v>CEA</v>
      </c>
      <c r="H35" s="5">
        <f t="shared" ref="H35:H36" si="86">IF(ISBLANK(B35),"",IF(B35="ALI",IF(I35="L",7,IF(I35="A",10,15)),IF(B35="AIE",IF(I35="L",5,IF(I35="A",7,10)),IF(B35="SE",IF(I35="L",4,IF(I35="A",5,7)),IF(OR(B35="EE",B35="CE"),IF(I35="L",3,IF(I35="A",4,6)),0)))))</f>
        <v>4</v>
      </c>
      <c r="I35" s="122" t="str">
        <f t="shared" ref="I35:I36" si="87">IF(OR(ISBLANK(D35),ISBLANK(E35)),IF(OR(B35="ALI",B35="AIE"),"L",IF(OR(B35="EE",B35="SE",B35="CE"),"A","")),IF(B35="EE",IF(E35&gt;=3,IF(D35&gt;=5,"H","A"),IF(E35&gt;=2,IF(D35&gt;=16,"H",IF(D35&lt;=4,"L","A")),IF(D35&lt;=15,"L","A"))),IF(OR(B35="SE",B35="CE"),IF(E35&gt;=4,IF(D35&gt;=6,"H","A"),IF(E35&gt;=2,IF(D35&gt;=20,"H",IF(D35&lt;=5,"L","A")),IF(D35&lt;=19,"L","A"))),IF(OR(B35="ALI",B35="AIE"),IF(E35&gt;=6,IF(D35&gt;=20,"H","A"),IF(E35&gt;=2,IF(D35&gt;=51,"H",IF(D35&lt;=19,"L","A")),IF(D35&lt;=50,"L","A"))),""))))</f>
        <v>A</v>
      </c>
      <c r="J35" s="7" t="str">
        <f t="shared" ref="J35:J36" si="88">CONCATENATE(B35,C35)</f>
        <v>CEI</v>
      </c>
      <c r="K35" s="9">
        <f t="shared" ref="K35:K36" si="89">IF(OR(H35="",H35=0),L35,H35)</f>
        <v>4</v>
      </c>
      <c r="L35" s="9">
        <f>IF(NOT(ISERROR(VLOOKUP(B35,Deflatores!G$42:H$64,2,FALSE))),VLOOKUP(B35,Deflatores!G$42:H$64,2,FALSE),IF(OR(ISBLANK(C35),ISBLANK(B35)),"",VLOOKUP(C35,Deflatores!G$4:H$38,2,FALSE)*H35+VLOOKUP(C35,Deflatores!G$4:I$38,3,FALSE)))</f>
        <v>4</v>
      </c>
      <c r="M35" s="10"/>
      <c r="N35" s="10"/>
      <c r="O35" s="6"/>
    </row>
    <row r="36" spans="1:15" x14ac:dyDescent="0.2">
      <c r="A36" s="126" t="s">
        <v>192</v>
      </c>
      <c r="B36" s="4" t="s">
        <v>102</v>
      </c>
      <c r="C36" s="4" t="s">
        <v>41</v>
      </c>
      <c r="D36" s="7"/>
      <c r="E36" s="7"/>
      <c r="F36" s="8" t="str">
        <f t="shared" si="84"/>
        <v>Média</v>
      </c>
      <c r="G36" s="7" t="str">
        <f t="shared" si="85"/>
        <v>CEA</v>
      </c>
      <c r="H36" s="5">
        <f t="shared" si="86"/>
        <v>4</v>
      </c>
      <c r="I36" s="122" t="str">
        <f t="shared" si="87"/>
        <v>A</v>
      </c>
      <c r="J36" s="7" t="str">
        <f t="shared" si="88"/>
        <v>CEI</v>
      </c>
      <c r="K36" s="9">
        <f t="shared" si="89"/>
        <v>4</v>
      </c>
      <c r="L36" s="9">
        <f>IF(NOT(ISERROR(VLOOKUP(B36,Deflatores!G$42:H$64,2,FALSE))),VLOOKUP(B36,Deflatores!G$42:H$64,2,FALSE),IF(OR(ISBLANK(C36),ISBLANK(B36)),"",VLOOKUP(C36,Deflatores!G$4:H$38,2,FALSE)*H36+VLOOKUP(C36,Deflatores!G$4:I$38,3,FALSE)))</f>
        <v>4</v>
      </c>
      <c r="M36" s="10"/>
      <c r="N36" s="10"/>
      <c r="O36" s="6"/>
    </row>
    <row r="37" spans="1:15" x14ac:dyDescent="0.2">
      <c r="A37" s="126" t="s">
        <v>193</v>
      </c>
      <c r="B37" s="4" t="s">
        <v>102</v>
      </c>
      <c r="C37" s="4" t="s">
        <v>41</v>
      </c>
      <c r="D37" s="7"/>
      <c r="E37" s="7"/>
      <c r="F37" s="8" t="str">
        <f t="shared" si="78"/>
        <v>Média</v>
      </c>
      <c r="G37" s="7" t="str">
        <f t="shared" si="79"/>
        <v>CEA</v>
      </c>
      <c r="H37" s="5">
        <f t="shared" si="80"/>
        <v>4</v>
      </c>
      <c r="I37" s="122" t="str">
        <f t="shared" si="81"/>
        <v>A</v>
      </c>
      <c r="J37" s="7" t="str">
        <f t="shared" si="82"/>
        <v>CEI</v>
      </c>
      <c r="K37" s="9">
        <f t="shared" si="83"/>
        <v>4</v>
      </c>
      <c r="L37" s="9">
        <f>IF(NOT(ISERROR(VLOOKUP(B37,Deflatores!G$42:H$64,2,FALSE))),VLOOKUP(B37,Deflatores!G$42:H$64,2,FALSE),IF(OR(ISBLANK(C37),ISBLANK(B37)),"",VLOOKUP(C37,Deflatores!G$4:H$38,2,FALSE)*H37+VLOOKUP(C37,Deflatores!G$4:I$38,3,FALSE)))</f>
        <v>4</v>
      </c>
      <c r="M37" s="10"/>
      <c r="N37" s="10"/>
      <c r="O37" s="6"/>
    </row>
    <row r="38" spans="1:15" x14ac:dyDescent="0.2">
      <c r="A38" s="126" t="s">
        <v>194</v>
      </c>
      <c r="B38" s="4" t="s">
        <v>102</v>
      </c>
      <c r="C38" s="4" t="s">
        <v>41</v>
      </c>
      <c r="D38" s="7"/>
      <c r="E38" s="7"/>
      <c r="F38" s="8" t="str">
        <f t="shared" ref="F38" si="90">IF(ISBLANK(B38),"",IF(I38="L","Baixa",IF(I38="A","Média",IF(I38="","","Alta"))))</f>
        <v>Média</v>
      </c>
      <c r="G38" s="7" t="str">
        <f t="shared" ref="G38" si="91">CONCATENATE(B38,I38)</f>
        <v>CEA</v>
      </c>
      <c r="H38" s="5">
        <f t="shared" ref="H38" si="92">IF(ISBLANK(B38),"",IF(B38="ALI",IF(I38="L",7,IF(I38="A",10,15)),IF(B38="AIE",IF(I38="L",5,IF(I38="A",7,10)),IF(B38="SE",IF(I38="L",4,IF(I38="A",5,7)),IF(OR(B38="EE",B38="CE"),IF(I38="L",3,IF(I38="A",4,6)),0)))))</f>
        <v>4</v>
      </c>
      <c r="I38" s="122" t="str">
        <f t="shared" ref="I38" si="93">IF(OR(ISBLANK(D38),ISBLANK(E38)),IF(OR(B38="ALI",B38="AIE"),"L",IF(OR(B38="EE",B38="SE",B38="CE"),"A","")),IF(B38="EE",IF(E38&gt;=3,IF(D38&gt;=5,"H","A"),IF(E38&gt;=2,IF(D38&gt;=16,"H",IF(D38&lt;=4,"L","A")),IF(D38&lt;=15,"L","A"))),IF(OR(B38="SE",B38="CE"),IF(E38&gt;=4,IF(D38&gt;=6,"H","A"),IF(E38&gt;=2,IF(D38&gt;=20,"H",IF(D38&lt;=5,"L","A")),IF(D38&lt;=19,"L","A"))),IF(OR(B38="ALI",B38="AIE"),IF(E38&gt;=6,IF(D38&gt;=20,"H","A"),IF(E38&gt;=2,IF(D38&gt;=51,"H",IF(D38&lt;=19,"L","A")),IF(D38&lt;=50,"L","A"))),""))))</f>
        <v>A</v>
      </c>
      <c r="J38" s="7" t="str">
        <f t="shared" ref="J38" si="94">CONCATENATE(B38,C38)</f>
        <v>CEI</v>
      </c>
      <c r="K38" s="9">
        <f t="shared" ref="K38" si="95">IF(OR(H38="",H38=0),L38,H38)</f>
        <v>4</v>
      </c>
      <c r="L38" s="9">
        <f>IF(NOT(ISERROR(VLOOKUP(B38,Deflatores!G$42:H$64,2,FALSE))),VLOOKUP(B38,Deflatores!G$42:H$64,2,FALSE),IF(OR(ISBLANK(C38),ISBLANK(B38)),"",VLOOKUP(C38,Deflatores!G$4:H$38,2,FALSE)*H38+VLOOKUP(C38,Deflatores!G$4:I$38,3,FALSE)))</f>
        <v>4</v>
      </c>
      <c r="M38" s="10"/>
      <c r="N38" s="10"/>
      <c r="O38" s="6"/>
    </row>
    <row r="39" spans="1:15" x14ac:dyDescent="0.2">
      <c r="A39" s="126"/>
      <c r="B39" s="4"/>
      <c r="C39" s="4"/>
      <c r="D39" s="7"/>
      <c r="E39" s="7"/>
      <c r="F39" s="8" t="str">
        <f t="shared" si="78"/>
        <v/>
      </c>
      <c r="G39" s="7" t="str">
        <f t="shared" si="79"/>
        <v/>
      </c>
      <c r="H39" s="5" t="str">
        <f t="shared" si="80"/>
        <v/>
      </c>
      <c r="I39" s="122" t="str">
        <f t="shared" si="81"/>
        <v/>
      </c>
      <c r="J39" s="7" t="str">
        <f t="shared" si="82"/>
        <v/>
      </c>
      <c r="K39" s="9" t="str">
        <f t="shared" si="83"/>
        <v/>
      </c>
      <c r="L39" s="9" t="str">
        <f>IF(NOT(ISERROR(VLOOKUP(B39,Deflatores!G$42:H$64,2,FALSE))),VLOOKUP(B39,Deflatores!G$42:H$64,2,FALSE),IF(OR(ISBLANK(C39),ISBLANK(B39)),"",VLOOKUP(C39,Deflatores!G$4:H$38,2,FALSE)*H39+VLOOKUP(C39,Deflatores!G$4:I$38,3,FALSE)))</f>
        <v/>
      </c>
      <c r="M39" s="10"/>
      <c r="N39" s="10"/>
      <c r="O39" s="6"/>
    </row>
    <row r="40" spans="1:15" ht="14.25" customHeight="1" x14ac:dyDescent="0.2">
      <c r="A40" s="128" t="s">
        <v>197</v>
      </c>
      <c r="B40" s="4"/>
      <c r="C40" s="4"/>
      <c r="D40" s="7"/>
      <c r="E40" s="7"/>
      <c r="F40" s="8" t="str">
        <f t="shared" ref="F40:F42" si="96">IF(ISBLANK(B40),"",IF(I40="L","Baixa",IF(I40="A","Média",IF(I40="","","Alta"))))</f>
        <v/>
      </c>
      <c r="G40" s="7" t="str">
        <f t="shared" ref="G40:G42" si="97">CONCATENATE(B40,I40)</f>
        <v/>
      </c>
      <c r="H40" s="5" t="str">
        <f t="shared" ref="H40:H42" si="98">IF(ISBLANK(B40),"",IF(B40="ALI",IF(I40="L",7,IF(I40="A",10,15)),IF(B40="AIE",IF(I40="L",5,IF(I40="A",7,10)),IF(B40="SE",IF(I40="L",4,IF(I40="A",5,7)),IF(OR(B40="EE",B40="CE"),IF(I40="L",3,IF(I40="A",4,6)),0)))))</f>
        <v/>
      </c>
      <c r="I40" s="122" t="str">
        <f t="shared" ref="I40:I42" si="99">IF(OR(ISBLANK(D40),ISBLANK(E40)),IF(OR(B40="ALI",B40="AIE"),"L",IF(OR(B40="EE",B40="SE",B40="CE"),"A","")),IF(B40="EE",IF(E40&gt;=3,IF(D40&gt;=5,"H","A"),IF(E40&gt;=2,IF(D40&gt;=16,"H",IF(D40&lt;=4,"L","A")),IF(D40&lt;=15,"L","A"))),IF(OR(B40="SE",B40="CE"),IF(E40&gt;=4,IF(D40&gt;=6,"H","A"),IF(E40&gt;=2,IF(D40&gt;=20,"H",IF(D40&lt;=5,"L","A")),IF(D40&lt;=19,"L","A"))),IF(OR(B40="ALI",B40="AIE"),IF(E40&gt;=6,IF(D40&gt;=20,"H","A"),IF(E40&gt;=2,IF(D40&gt;=51,"H",IF(D40&lt;=19,"L","A")),IF(D40&lt;=50,"L","A"))),""))))</f>
        <v/>
      </c>
      <c r="J40" s="7" t="str">
        <f t="shared" ref="J40:J42" si="100">CONCATENATE(B40,C40)</f>
        <v/>
      </c>
      <c r="K40" s="9" t="str">
        <f t="shared" ref="K40:K42" si="101">IF(OR(H40="",H40=0),L40,H40)</f>
        <v/>
      </c>
      <c r="L40" s="9" t="str">
        <f>IF(NOT(ISERROR(VLOOKUP(B40,Deflatores!G$42:H$64,2,FALSE))),VLOOKUP(B40,Deflatores!G$42:H$64,2,FALSE),IF(OR(ISBLANK(C40),ISBLANK(B40)),"",VLOOKUP(C40,Deflatores!G$4:H$38,2,FALSE)*H40+VLOOKUP(C40,Deflatores!G$4:I$38,3,FALSE)))</f>
        <v/>
      </c>
      <c r="M40" s="10"/>
      <c r="N40" s="10"/>
      <c r="O40" s="6"/>
    </row>
    <row r="41" spans="1:15" x14ac:dyDescent="0.2">
      <c r="A41" s="126" t="s">
        <v>195</v>
      </c>
      <c r="B41" s="4" t="s">
        <v>102</v>
      </c>
      <c r="C41" s="4" t="s">
        <v>41</v>
      </c>
      <c r="D41" s="7"/>
      <c r="E41" s="7"/>
      <c r="F41" s="8" t="str">
        <f t="shared" ref="F41" si="102">IF(ISBLANK(B41),"",IF(I41="L","Baixa",IF(I41="A","Média",IF(I41="","","Alta"))))</f>
        <v>Média</v>
      </c>
      <c r="G41" s="7" t="str">
        <f t="shared" ref="G41" si="103">CONCATENATE(B41,I41)</f>
        <v>CEA</v>
      </c>
      <c r="H41" s="5">
        <f t="shared" ref="H41" si="104">IF(ISBLANK(B41),"",IF(B41="ALI",IF(I41="L",7,IF(I41="A",10,15)),IF(B41="AIE",IF(I41="L",5,IF(I41="A",7,10)),IF(B41="SE",IF(I41="L",4,IF(I41="A",5,7)),IF(OR(B41="EE",B41="CE"),IF(I41="L",3,IF(I41="A",4,6)),0)))))</f>
        <v>4</v>
      </c>
      <c r="I41" s="122" t="str">
        <f t="shared" ref="I41" si="105">IF(OR(ISBLANK(D41),ISBLANK(E41)),IF(OR(B41="ALI",B41="AIE"),"L",IF(OR(B41="EE",B41="SE",B41="CE"),"A","")),IF(B41="EE",IF(E41&gt;=3,IF(D41&gt;=5,"H","A"),IF(E41&gt;=2,IF(D41&gt;=16,"H",IF(D41&lt;=4,"L","A")),IF(D41&lt;=15,"L","A"))),IF(OR(B41="SE",B41="CE"),IF(E41&gt;=4,IF(D41&gt;=6,"H","A"),IF(E41&gt;=2,IF(D41&gt;=20,"H",IF(D41&lt;=5,"L","A")),IF(D41&lt;=19,"L","A"))),IF(OR(B41="ALI",B41="AIE"),IF(E41&gt;=6,IF(D41&gt;=20,"H","A"),IF(E41&gt;=2,IF(D41&gt;=51,"H",IF(D41&lt;=19,"L","A")),IF(D41&lt;=50,"L","A"))),""))))</f>
        <v>A</v>
      </c>
      <c r="J41" s="7" t="str">
        <f t="shared" ref="J41" si="106">CONCATENATE(B41,C41)</f>
        <v>CEI</v>
      </c>
      <c r="K41" s="9">
        <f t="shared" ref="K41" si="107">IF(OR(H41="",H41=0),L41,H41)</f>
        <v>4</v>
      </c>
      <c r="L41" s="9">
        <f>IF(NOT(ISERROR(VLOOKUP(B41,Deflatores!G$42:H$64,2,FALSE))),VLOOKUP(B41,Deflatores!G$42:H$64,2,FALSE),IF(OR(ISBLANK(C41),ISBLANK(B41)),"",VLOOKUP(C41,Deflatores!G$4:H$38,2,FALSE)*H41+VLOOKUP(C41,Deflatores!G$4:I$38,3,FALSE)))</f>
        <v>4</v>
      </c>
      <c r="M41" s="10"/>
      <c r="N41" s="10"/>
      <c r="O41" s="6"/>
    </row>
    <row r="42" spans="1:15" x14ac:dyDescent="0.2">
      <c r="A42" s="126" t="s">
        <v>196</v>
      </c>
      <c r="B42" s="4" t="s">
        <v>102</v>
      </c>
      <c r="C42" s="4" t="s">
        <v>41</v>
      </c>
      <c r="D42" s="7"/>
      <c r="E42" s="7"/>
      <c r="F42" s="8" t="str">
        <f t="shared" si="96"/>
        <v>Média</v>
      </c>
      <c r="G42" s="7" t="str">
        <f t="shared" si="97"/>
        <v>CEA</v>
      </c>
      <c r="H42" s="5">
        <f t="shared" si="98"/>
        <v>4</v>
      </c>
      <c r="I42" s="122" t="str">
        <f t="shared" si="99"/>
        <v>A</v>
      </c>
      <c r="J42" s="7" t="str">
        <f t="shared" si="100"/>
        <v>CEI</v>
      </c>
      <c r="K42" s="9">
        <f t="shared" si="101"/>
        <v>4</v>
      </c>
      <c r="L42" s="9">
        <f>IF(NOT(ISERROR(VLOOKUP(B42,Deflatores!G$42:H$64,2,FALSE))),VLOOKUP(B42,Deflatores!G$42:H$64,2,FALSE),IF(OR(ISBLANK(C42),ISBLANK(B42)),"",VLOOKUP(C42,Deflatores!G$4:H$38,2,FALSE)*H42+VLOOKUP(C42,Deflatores!G$4:I$38,3,FALSE)))</f>
        <v>4</v>
      </c>
      <c r="M42" s="10"/>
      <c r="N42" s="10"/>
      <c r="O42" s="6"/>
    </row>
    <row r="43" spans="1:15" x14ac:dyDescent="0.2">
      <c r="A43" s="126" t="s">
        <v>198</v>
      </c>
      <c r="B43" s="4" t="s">
        <v>100</v>
      </c>
      <c r="C43" s="4" t="s">
        <v>41</v>
      </c>
      <c r="D43" s="7"/>
      <c r="E43" s="7"/>
      <c r="F43" s="8" t="str">
        <f t="shared" ref="F43" si="108">IF(ISBLANK(B43),"",IF(I43="L","Baixa",IF(I43="A","Média",IF(I43="","","Alta"))))</f>
        <v>Média</v>
      </c>
      <c r="G43" s="7" t="str">
        <f t="shared" ref="G43" si="109">CONCATENATE(B43,I43)</f>
        <v>EEA</v>
      </c>
      <c r="H43" s="5">
        <f t="shared" ref="H43" si="110">IF(ISBLANK(B43),"",IF(B43="ALI",IF(I43="L",7,IF(I43="A",10,15)),IF(B43="AIE",IF(I43="L",5,IF(I43="A",7,10)),IF(B43="SE",IF(I43="L",4,IF(I43="A",5,7)),IF(OR(B43="EE",B43="CE"),IF(I43="L",3,IF(I43="A",4,6)),0)))))</f>
        <v>4</v>
      </c>
      <c r="I43" s="122" t="str">
        <f t="shared" ref="I43" si="111">IF(OR(ISBLANK(D43),ISBLANK(E43)),IF(OR(B43="ALI",B43="AIE"),"L",IF(OR(B43="EE",B43="SE",B43="CE"),"A","")),IF(B43="EE",IF(E43&gt;=3,IF(D43&gt;=5,"H","A"),IF(E43&gt;=2,IF(D43&gt;=16,"H",IF(D43&lt;=4,"L","A")),IF(D43&lt;=15,"L","A"))),IF(OR(B43="SE",B43="CE"),IF(E43&gt;=4,IF(D43&gt;=6,"H","A"),IF(E43&gt;=2,IF(D43&gt;=20,"H",IF(D43&lt;=5,"L","A")),IF(D43&lt;=19,"L","A"))),IF(OR(B43="ALI",B43="AIE"),IF(E43&gt;=6,IF(D43&gt;=20,"H","A"),IF(E43&gt;=2,IF(D43&gt;=51,"H",IF(D43&lt;=19,"L","A")),IF(D43&lt;=50,"L","A"))),""))))</f>
        <v>A</v>
      </c>
      <c r="J43" s="7" t="str">
        <f t="shared" ref="J43" si="112">CONCATENATE(B43,C43)</f>
        <v>EEI</v>
      </c>
      <c r="K43" s="9">
        <f t="shared" ref="K43" si="113">IF(OR(H43="",H43=0),L43,H43)</f>
        <v>4</v>
      </c>
      <c r="L43" s="9">
        <f>IF(NOT(ISERROR(VLOOKUP(B43,Deflatores!G$42:H$64,2,FALSE))),VLOOKUP(B43,Deflatores!G$42:H$64,2,FALSE),IF(OR(ISBLANK(C43),ISBLANK(B43)),"",VLOOKUP(C43,Deflatores!G$4:H$38,2,FALSE)*H43+VLOOKUP(C43,Deflatores!G$4:I$38,3,FALSE)))</f>
        <v>4</v>
      </c>
      <c r="M43" s="10"/>
      <c r="N43" s="10"/>
      <c r="O43" s="6"/>
    </row>
    <row r="44" spans="1:15" x14ac:dyDescent="0.2">
      <c r="A44" s="126" t="s">
        <v>199</v>
      </c>
      <c r="B44" s="4" t="s">
        <v>100</v>
      </c>
      <c r="C44" s="4" t="s">
        <v>41</v>
      </c>
      <c r="D44" s="7"/>
      <c r="E44" s="7"/>
      <c r="F44" s="8" t="str">
        <f t="shared" si="12"/>
        <v>Média</v>
      </c>
      <c r="G44" s="7" t="str">
        <f t="shared" si="13"/>
        <v>EEA</v>
      </c>
      <c r="H44" s="5">
        <f t="shared" si="14"/>
        <v>4</v>
      </c>
      <c r="I44" s="122" t="str">
        <f t="shared" si="15"/>
        <v>A</v>
      </c>
      <c r="J44" s="7" t="str">
        <f t="shared" si="16"/>
        <v>EEI</v>
      </c>
      <c r="K44" s="9">
        <f t="shared" si="17"/>
        <v>4</v>
      </c>
      <c r="L44" s="9">
        <f>IF(NOT(ISERROR(VLOOKUP(B44,Deflatores!G$42:H$64,2,FALSE))),VLOOKUP(B44,Deflatores!G$42:H$64,2,FALSE),IF(OR(ISBLANK(C44),ISBLANK(B44)),"",VLOOKUP(C44,Deflatores!G$4:H$38,2,FALSE)*H44+VLOOKUP(C44,Deflatores!G$4:I$38,3,FALSE)))</f>
        <v>4</v>
      </c>
      <c r="M44" s="10"/>
      <c r="N44" s="10"/>
      <c r="O44" s="6"/>
    </row>
    <row r="45" spans="1:15" x14ac:dyDescent="0.2">
      <c r="A45" s="126" t="s">
        <v>200</v>
      </c>
      <c r="B45" s="4" t="s">
        <v>100</v>
      </c>
      <c r="C45" s="4" t="s">
        <v>41</v>
      </c>
      <c r="D45" s="7"/>
      <c r="E45" s="7"/>
      <c r="F45" s="8" t="str">
        <f t="shared" ref="F45" si="114">IF(ISBLANK(B45),"",IF(I45="L","Baixa",IF(I45="A","Média",IF(I45="","","Alta"))))</f>
        <v>Média</v>
      </c>
      <c r="G45" s="7" t="str">
        <f t="shared" ref="G45" si="115">CONCATENATE(B45,I45)</f>
        <v>EEA</v>
      </c>
      <c r="H45" s="5">
        <f t="shared" ref="H45" si="116">IF(ISBLANK(B45),"",IF(B45="ALI",IF(I45="L",7,IF(I45="A",10,15)),IF(B45="AIE",IF(I45="L",5,IF(I45="A",7,10)),IF(B45="SE",IF(I45="L",4,IF(I45="A",5,7)),IF(OR(B45="EE",B45="CE"),IF(I45="L",3,IF(I45="A",4,6)),0)))))</f>
        <v>4</v>
      </c>
      <c r="I45" s="122" t="str">
        <f t="shared" ref="I45" si="117">IF(OR(ISBLANK(D45),ISBLANK(E45)),IF(OR(B45="ALI",B45="AIE"),"L",IF(OR(B45="EE",B45="SE",B45="CE"),"A","")),IF(B45="EE",IF(E45&gt;=3,IF(D45&gt;=5,"H","A"),IF(E45&gt;=2,IF(D45&gt;=16,"H",IF(D45&lt;=4,"L","A")),IF(D45&lt;=15,"L","A"))),IF(OR(B45="SE",B45="CE"),IF(E45&gt;=4,IF(D45&gt;=6,"H","A"),IF(E45&gt;=2,IF(D45&gt;=20,"H",IF(D45&lt;=5,"L","A")),IF(D45&lt;=19,"L","A"))),IF(OR(B45="ALI",B45="AIE"),IF(E45&gt;=6,IF(D45&gt;=20,"H","A"),IF(E45&gt;=2,IF(D45&gt;=51,"H",IF(D45&lt;=19,"L","A")),IF(D45&lt;=50,"L","A"))),""))))</f>
        <v>A</v>
      </c>
      <c r="J45" s="7" t="str">
        <f t="shared" ref="J45" si="118">CONCATENATE(B45,C45)</f>
        <v>EEI</v>
      </c>
      <c r="K45" s="9">
        <f t="shared" ref="K45" si="119">IF(OR(H45="",H45=0),L45,H45)</f>
        <v>4</v>
      </c>
      <c r="L45" s="9">
        <f>IF(NOT(ISERROR(VLOOKUP(B45,Deflatores!G$42:H$64,2,FALSE))),VLOOKUP(B45,Deflatores!G$42:H$64,2,FALSE),IF(OR(ISBLANK(C45),ISBLANK(B45)),"",VLOOKUP(C45,Deflatores!G$4:H$38,2,FALSE)*H45+VLOOKUP(C45,Deflatores!G$4:I$38,3,FALSE)))</f>
        <v>4</v>
      </c>
      <c r="M45" s="10"/>
      <c r="N45" s="10"/>
      <c r="O45" s="6"/>
    </row>
    <row r="46" spans="1:15" x14ac:dyDescent="0.2">
      <c r="A46" s="126"/>
      <c r="B46" s="4"/>
      <c r="C46" s="4"/>
      <c r="D46" s="7"/>
      <c r="E46" s="7"/>
      <c r="F46" s="8" t="str">
        <f t="shared" si="12"/>
        <v/>
      </c>
      <c r="G46" s="7" t="str">
        <f t="shared" si="13"/>
        <v/>
      </c>
      <c r="H46" s="5" t="str">
        <f t="shared" si="14"/>
        <v/>
      </c>
      <c r="I46" s="122" t="str">
        <f t="shared" si="15"/>
        <v/>
      </c>
      <c r="J46" s="7" t="str">
        <f t="shared" si="16"/>
        <v/>
      </c>
      <c r="K46" s="9" t="str">
        <f t="shared" si="17"/>
        <v/>
      </c>
      <c r="L46" s="9" t="str">
        <f>IF(NOT(ISERROR(VLOOKUP(B46,Deflatores!G$42:H$64,2,FALSE))),VLOOKUP(B46,Deflatores!G$42:H$64,2,FALSE),IF(OR(ISBLANK(C46),ISBLANK(B46)),"",VLOOKUP(C46,Deflatores!G$4:H$38,2,FALSE)*H46+VLOOKUP(C46,Deflatores!G$4:I$38,3,FALSE)))</f>
        <v/>
      </c>
      <c r="M46" s="10"/>
      <c r="N46" s="10"/>
      <c r="O46" s="6"/>
    </row>
    <row r="47" spans="1:15" ht="25.5" x14ac:dyDescent="0.2">
      <c r="A47" s="128" t="s">
        <v>201</v>
      </c>
      <c r="B47" s="4"/>
      <c r="C47" s="4"/>
      <c r="D47" s="7"/>
      <c r="E47" s="7"/>
      <c r="F47" s="8" t="str">
        <f t="shared" ref="F47" si="120">IF(ISBLANK(B47),"",IF(I47="L","Baixa",IF(I47="A","Média",IF(I47="","","Alta"))))</f>
        <v/>
      </c>
      <c r="G47" s="7" t="str">
        <f t="shared" ref="G47" si="121">CONCATENATE(B47,I47)</f>
        <v/>
      </c>
      <c r="H47" s="5" t="str">
        <f t="shared" ref="H47" si="122">IF(ISBLANK(B47),"",IF(B47="ALI",IF(I47="L",7,IF(I47="A",10,15)),IF(B47="AIE",IF(I47="L",5,IF(I47="A",7,10)),IF(B47="SE",IF(I47="L",4,IF(I47="A",5,7)),IF(OR(B47="EE",B47="CE"),IF(I47="L",3,IF(I47="A",4,6)),0)))))</f>
        <v/>
      </c>
      <c r="I47" s="122" t="str">
        <f t="shared" ref="I47" si="123">IF(OR(ISBLANK(D47),ISBLANK(E47)),IF(OR(B47="ALI",B47="AIE"),"L",IF(OR(B47="EE",B47="SE",B47="CE"),"A","")),IF(B47="EE",IF(E47&gt;=3,IF(D47&gt;=5,"H","A"),IF(E47&gt;=2,IF(D47&gt;=16,"H",IF(D47&lt;=4,"L","A")),IF(D47&lt;=15,"L","A"))),IF(OR(B47="SE",B47="CE"),IF(E47&gt;=4,IF(D47&gt;=6,"H","A"),IF(E47&gt;=2,IF(D47&gt;=20,"H",IF(D47&lt;=5,"L","A")),IF(D47&lt;=19,"L","A"))),IF(OR(B47="ALI",B47="AIE"),IF(E47&gt;=6,IF(D47&gt;=20,"H","A"),IF(E47&gt;=2,IF(D47&gt;=51,"H",IF(D47&lt;=19,"L","A")),IF(D47&lt;=50,"L","A"))),""))))</f>
        <v/>
      </c>
      <c r="J47" s="7" t="str">
        <f t="shared" ref="J47" si="124">CONCATENATE(B47,C47)</f>
        <v/>
      </c>
      <c r="K47" s="9" t="str">
        <f t="shared" ref="K47" si="125">IF(OR(H47="",H47=0),L47,H47)</f>
        <v/>
      </c>
      <c r="L47" s="9" t="str">
        <f>IF(NOT(ISERROR(VLOOKUP(B47,Deflatores!G$42:H$64,2,FALSE))),VLOOKUP(B47,Deflatores!G$42:H$64,2,FALSE),IF(OR(ISBLANK(C47),ISBLANK(B47)),"",VLOOKUP(C47,Deflatores!G$4:H$38,2,FALSE)*H47+VLOOKUP(C47,Deflatores!G$4:I$38,3,FALSE)))</f>
        <v/>
      </c>
      <c r="M47" s="10"/>
      <c r="N47" s="10"/>
      <c r="O47" s="6"/>
    </row>
    <row r="48" spans="1:15" x14ac:dyDescent="0.2">
      <c r="A48" s="126" t="s">
        <v>202</v>
      </c>
      <c r="B48" s="4" t="s">
        <v>102</v>
      </c>
      <c r="C48" s="4" t="s">
        <v>41</v>
      </c>
      <c r="D48" s="7"/>
      <c r="E48" s="7"/>
      <c r="F48" s="8" t="str">
        <f t="shared" si="0"/>
        <v>Média</v>
      </c>
      <c r="G48" s="7" t="str">
        <f t="shared" si="1"/>
        <v>CEA</v>
      </c>
      <c r="H48" s="5">
        <f t="shared" si="2"/>
        <v>4</v>
      </c>
      <c r="I48" s="122" t="str">
        <f t="shared" si="3"/>
        <v>A</v>
      </c>
      <c r="J48" s="7" t="str">
        <f t="shared" si="4"/>
        <v>CEI</v>
      </c>
      <c r="K48" s="9">
        <f t="shared" si="5"/>
        <v>4</v>
      </c>
      <c r="L48" s="9">
        <f>IF(NOT(ISERROR(VLOOKUP(B48,Deflatores!G$42:H$64,2,FALSE))),VLOOKUP(B48,Deflatores!G$42:H$64,2,FALSE),IF(OR(ISBLANK(C48),ISBLANK(B48)),"",VLOOKUP(C48,Deflatores!G$4:H$38,2,FALSE)*H48+VLOOKUP(C48,Deflatores!G$4:I$38,3,FALSE)))</f>
        <v>4</v>
      </c>
      <c r="M48" s="10"/>
      <c r="N48" s="10"/>
      <c r="O48" s="6"/>
    </row>
    <row r="49" spans="1:15" x14ac:dyDescent="0.2">
      <c r="A49" s="126" t="s">
        <v>203</v>
      </c>
      <c r="B49" s="4" t="s">
        <v>102</v>
      </c>
      <c r="C49" s="4" t="s">
        <v>41</v>
      </c>
      <c r="D49" s="7"/>
      <c r="E49" s="7"/>
      <c r="F49" s="8" t="str">
        <f t="shared" ref="F49:F56" si="126">IF(ISBLANK(B49),"",IF(I49="L","Baixa",IF(I49="A","Média",IF(I49="","","Alta"))))</f>
        <v>Média</v>
      </c>
      <c r="G49" s="7" t="str">
        <f t="shared" ref="G49:G56" si="127">CONCATENATE(B49,I49)</f>
        <v>CEA</v>
      </c>
      <c r="H49" s="5">
        <f t="shared" ref="H49:H56" si="128">IF(ISBLANK(B49),"",IF(B49="ALI",IF(I49="L",7,IF(I49="A",10,15)),IF(B49="AIE",IF(I49="L",5,IF(I49="A",7,10)),IF(B49="SE",IF(I49="L",4,IF(I49="A",5,7)),IF(OR(B49="EE",B49="CE"),IF(I49="L",3,IF(I49="A",4,6)),0)))))</f>
        <v>4</v>
      </c>
      <c r="I49" s="122" t="str">
        <f t="shared" ref="I49:I56" si="129">IF(OR(ISBLANK(D49),ISBLANK(E49)),IF(OR(B49="ALI",B49="AIE"),"L",IF(OR(B49="EE",B49="SE",B49="CE"),"A","")),IF(B49="EE",IF(E49&gt;=3,IF(D49&gt;=5,"H","A"),IF(E49&gt;=2,IF(D49&gt;=16,"H",IF(D49&lt;=4,"L","A")),IF(D49&lt;=15,"L","A"))),IF(OR(B49="SE",B49="CE"),IF(E49&gt;=4,IF(D49&gt;=6,"H","A"),IF(E49&gt;=2,IF(D49&gt;=20,"H",IF(D49&lt;=5,"L","A")),IF(D49&lt;=19,"L","A"))),IF(OR(B49="ALI",B49="AIE"),IF(E49&gt;=6,IF(D49&gt;=20,"H","A"),IF(E49&gt;=2,IF(D49&gt;=51,"H",IF(D49&lt;=19,"L","A")),IF(D49&lt;=50,"L","A"))),""))))</f>
        <v>A</v>
      </c>
      <c r="J49" s="7" t="str">
        <f t="shared" ref="J49:J56" si="130">CONCATENATE(B49,C49)</f>
        <v>CEI</v>
      </c>
      <c r="K49" s="9">
        <f t="shared" ref="K49:K56" si="131">IF(OR(H49="",H49=0),L49,H49)</f>
        <v>4</v>
      </c>
      <c r="L49" s="9">
        <f>IF(NOT(ISERROR(VLOOKUP(B49,Deflatores!G$42:H$64,2,FALSE))),VLOOKUP(B49,Deflatores!G$42:H$64,2,FALSE),IF(OR(ISBLANK(C49),ISBLANK(B49)),"",VLOOKUP(C49,Deflatores!G$4:H$38,2,FALSE)*H49+VLOOKUP(C49,Deflatores!G$4:I$38,3,FALSE)))</f>
        <v>4</v>
      </c>
      <c r="M49" s="10"/>
      <c r="N49" s="10"/>
      <c r="O49" s="6"/>
    </row>
    <row r="50" spans="1:15" x14ac:dyDescent="0.2">
      <c r="A50" s="126" t="s">
        <v>204</v>
      </c>
      <c r="B50" s="4" t="s">
        <v>100</v>
      </c>
      <c r="C50" s="4" t="s">
        <v>41</v>
      </c>
      <c r="D50" s="7"/>
      <c r="E50" s="7"/>
      <c r="F50" s="8" t="str">
        <f t="shared" si="126"/>
        <v>Média</v>
      </c>
      <c r="G50" s="7" t="str">
        <f t="shared" si="127"/>
        <v>EEA</v>
      </c>
      <c r="H50" s="5">
        <f t="shared" si="128"/>
        <v>4</v>
      </c>
      <c r="I50" s="122" t="str">
        <f t="shared" si="129"/>
        <v>A</v>
      </c>
      <c r="J50" s="7" t="str">
        <f t="shared" si="130"/>
        <v>EEI</v>
      </c>
      <c r="K50" s="9">
        <f t="shared" si="131"/>
        <v>4</v>
      </c>
      <c r="L50" s="9">
        <f>IF(NOT(ISERROR(VLOOKUP(B50,Deflatores!G$42:H$64,2,FALSE))),VLOOKUP(B50,Deflatores!G$42:H$64,2,FALSE),IF(OR(ISBLANK(C50),ISBLANK(B50)),"",VLOOKUP(C50,Deflatores!G$4:H$38,2,FALSE)*H50+VLOOKUP(C50,Deflatores!G$4:I$38,3,FALSE)))</f>
        <v>4</v>
      </c>
      <c r="M50" s="10"/>
      <c r="N50" s="10"/>
      <c r="O50" s="6"/>
    </row>
    <row r="51" spans="1:15" x14ac:dyDescent="0.2">
      <c r="A51" s="126" t="s">
        <v>205</v>
      </c>
      <c r="B51" s="4" t="s">
        <v>100</v>
      </c>
      <c r="C51" s="4" t="s">
        <v>41</v>
      </c>
      <c r="D51" s="7"/>
      <c r="E51" s="7"/>
      <c r="F51" s="8" t="str">
        <f t="shared" ref="F51" si="132">IF(ISBLANK(B51),"",IF(I51="L","Baixa",IF(I51="A","Média",IF(I51="","","Alta"))))</f>
        <v>Média</v>
      </c>
      <c r="G51" s="7" t="str">
        <f t="shared" ref="G51" si="133">CONCATENATE(B51,I51)</f>
        <v>EEA</v>
      </c>
      <c r="H51" s="5">
        <f t="shared" ref="H51" si="134">IF(ISBLANK(B51),"",IF(B51="ALI",IF(I51="L",7,IF(I51="A",10,15)),IF(B51="AIE",IF(I51="L",5,IF(I51="A",7,10)),IF(B51="SE",IF(I51="L",4,IF(I51="A",5,7)),IF(OR(B51="EE",B51="CE"),IF(I51="L",3,IF(I51="A",4,6)),0)))))</f>
        <v>4</v>
      </c>
      <c r="I51" s="122" t="str">
        <f t="shared" ref="I51" si="135">IF(OR(ISBLANK(D51),ISBLANK(E51)),IF(OR(B51="ALI",B51="AIE"),"L",IF(OR(B51="EE",B51="SE",B51="CE"),"A","")),IF(B51="EE",IF(E51&gt;=3,IF(D51&gt;=5,"H","A"),IF(E51&gt;=2,IF(D51&gt;=16,"H",IF(D51&lt;=4,"L","A")),IF(D51&lt;=15,"L","A"))),IF(OR(B51="SE",B51="CE"),IF(E51&gt;=4,IF(D51&gt;=6,"H","A"),IF(E51&gt;=2,IF(D51&gt;=20,"H",IF(D51&lt;=5,"L","A")),IF(D51&lt;=19,"L","A"))),IF(OR(B51="ALI",B51="AIE"),IF(E51&gt;=6,IF(D51&gt;=20,"H","A"),IF(E51&gt;=2,IF(D51&gt;=51,"H",IF(D51&lt;=19,"L","A")),IF(D51&lt;=50,"L","A"))),""))))</f>
        <v>A</v>
      </c>
      <c r="J51" s="7" t="str">
        <f t="shared" ref="J51" si="136">CONCATENATE(B51,C51)</f>
        <v>EEI</v>
      </c>
      <c r="K51" s="9">
        <f t="shared" ref="K51" si="137">IF(OR(H51="",H51=0),L51,H51)</f>
        <v>4</v>
      </c>
      <c r="L51" s="9">
        <f>IF(NOT(ISERROR(VLOOKUP(B51,Deflatores!G$42:H$64,2,FALSE))),VLOOKUP(B51,Deflatores!G$42:H$64,2,FALSE),IF(OR(ISBLANK(C51),ISBLANK(B51)),"",VLOOKUP(C51,Deflatores!G$4:H$38,2,FALSE)*H51+VLOOKUP(C51,Deflatores!G$4:I$38,3,FALSE)))</f>
        <v>4</v>
      </c>
      <c r="M51" s="10"/>
      <c r="N51" s="10"/>
      <c r="O51" s="6"/>
    </row>
    <row r="52" spans="1:15" x14ac:dyDescent="0.2">
      <c r="A52" s="126" t="s">
        <v>206</v>
      </c>
      <c r="B52" s="4" t="s">
        <v>100</v>
      </c>
      <c r="C52" s="4" t="s">
        <v>41</v>
      </c>
      <c r="D52" s="7"/>
      <c r="E52" s="7"/>
      <c r="F52" s="8" t="str">
        <f t="shared" si="126"/>
        <v>Média</v>
      </c>
      <c r="G52" s="7" t="str">
        <f t="shared" si="127"/>
        <v>EEA</v>
      </c>
      <c r="H52" s="5">
        <f t="shared" si="128"/>
        <v>4</v>
      </c>
      <c r="I52" s="122" t="str">
        <f t="shared" si="129"/>
        <v>A</v>
      </c>
      <c r="J52" s="7" t="str">
        <f t="shared" si="130"/>
        <v>EEI</v>
      </c>
      <c r="K52" s="9">
        <f t="shared" si="131"/>
        <v>4</v>
      </c>
      <c r="L52" s="9">
        <f>IF(NOT(ISERROR(VLOOKUP(B52,Deflatores!G$42:H$64,2,FALSE))),VLOOKUP(B52,Deflatores!G$42:H$64,2,FALSE),IF(OR(ISBLANK(C52),ISBLANK(B52)),"",VLOOKUP(C52,Deflatores!G$4:H$38,2,FALSE)*H52+VLOOKUP(C52,Deflatores!G$4:I$38,3,FALSE)))</f>
        <v>4</v>
      </c>
      <c r="M52" s="10"/>
      <c r="N52" s="10"/>
      <c r="O52" s="6"/>
    </row>
    <row r="53" spans="1:15" ht="13.5" customHeight="1" x14ac:dyDescent="0.2">
      <c r="A53" s="126" t="s">
        <v>207</v>
      </c>
      <c r="B53" s="4" t="s">
        <v>103</v>
      </c>
      <c r="C53" s="4" t="s">
        <v>41</v>
      </c>
      <c r="D53" s="7"/>
      <c r="E53" s="7"/>
      <c r="F53" s="8" t="str">
        <f t="shared" si="126"/>
        <v>Média</v>
      </c>
      <c r="G53" s="7" t="str">
        <f t="shared" si="127"/>
        <v>SEA</v>
      </c>
      <c r="H53" s="5">
        <f t="shared" si="128"/>
        <v>5</v>
      </c>
      <c r="I53" s="122" t="str">
        <f t="shared" si="129"/>
        <v>A</v>
      </c>
      <c r="J53" s="7" t="str">
        <f t="shared" si="130"/>
        <v>SEI</v>
      </c>
      <c r="K53" s="9">
        <f t="shared" si="131"/>
        <v>5</v>
      </c>
      <c r="L53" s="9">
        <f>IF(NOT(ISERROR(VLOOKUP(B53,Deflatores!G$42:H$64,2,FALSE))),VLOOKUP(B53,Deflatores!G$42:H$64,2,FALSE),IF(OR(ISBLANK(C53),ISBLANK(B53)),"",VLOOKUP(C53,Deflatores!G$4:H$38,2,FALSE)*H53+VLOOKUP(C53,Deflatores!G$4:I$38,3,FALSE)))</f>
        <v>5</v>
      </c>
      <c r="M53" s="10"/>
      <c r="N53" s="10"/>
      <c r="O53" s="6"/>
    </row>
    <row r="54" spans="1:15" x14ac:dyDescent="0.2">
      <c r="A54" s="126"/>
      <c r="B54" s="4"/>
      <c r="C54" s="4"/>
      <c r="D54" s="7"/>
      <c r="E54" s="7"/>
      <c r="F54" s="8" t="str">
        <f t="shared" si="126"/>
        <v/>
      </c>
      <c r="G54" s="7" t="str">
        <f t="shared" si="127"/>
        <v/>
      </c>
      <c r="H54" s="5" t="str">
        <f t="shared" si="128"/>
        <v/>
      </c>
      <c r="I54" s="122" t="str">
        <f t="shared" si="129"/>
        <v/>
      </c>
      <c r="J54" s="7" t="str">
        <f t="shared" si="130"/>
        <v/>
      </c>
      <c r="K54" s="9" t="str">
        <f t="shared" si="131"/>
        <v/>
      </c>
      <c r="L54" s="9" t="str">
        <f>IF(NOT(ISERROR(VLOOKUP(B54,Deflatores!G$42:H$64,2,FALSE))),VLOOKUP(B54,Deflatores!G$42:H$64,2,FALSE),IF(OR(ISBLANK(C54),ISBLANK(B54)),"",VLOOKUP(C54,Deflatores!G$4:H$38,2,FALSE)*H54+VLOOKUP(C54,Deflatores!G$4:I$38,3,FALSE)))</f>
        <v/>
      </c>
      <c r="M54" s="10"/>
      <c r="N54" s="10"/>
      <c r="O54" s="6"/>
    </row>
    <row r="55" spans="1:15" ht="14.25" customHeight="1" x14ac:dyDescent="0.2">
      <c r="A55" s="128" t="s">
        <v>209</v>
      </c>
      <c r="B55" s="4"/>
      <c r="C55" s="4"/>
      <c r="D55" s="7"/>
      <c r="E55" s="7"/>
      <c r="F55" s="8" t="str">
        <f t="shared" si="126"/>
        <v/>
      </c>
      <c r="G55" s="7" t="str">
        <f t="shared" si="127"/>
        <v/>
      </c>
      <c r="H55" s="5" t="str">
        <f t="shared" si="128"/>
        <v/>
      </c>
      <c r="I55" s="122" t="str">
        <f t="shared" si="129"/>
        <v/>
      </c>
      <c r="J55" s="7" t="str">
        <f t="shared" si="130"/>
        <v/>
      </c>
      <c r="K55" s="9" t="str">
        <f t="shared" si="131"/>
        <v/>
      </c>
      <c r="L55" s="9" t="str">
        <f>IF(NOT(ISERROR(VLOOKUP(B55,Deflatores!G$42:H$64,2,FALSE))),VLOOKUP(B55,Deflatores!G$42:H$64,2,FALSE),IF(OR(ISBLANK(C55),ISBLANK(B55)),"",VLOOKUP(C55,Deflatores!G$4:H$38,2,FALSE)*H55+VLOOKUP(C55,Deflatores!G$4:I$38,3,FALSE)))</f>
        <v/>
      </c>
      <c r="M55" s="10"/>
      <c r="N55" s="10"/>
      <c r="O55" s="6"/>
    </row>
    <row r="56" spans="1:15" x14ac:dyDescent="0.2">
      <c r="A56" s="126" t="s">
        <v>210</v>
      </c>
      <c r="B56" s="4"/>
      <c r="C56" s="4"/>
      <c r="D56" s="7"/>
      <c r="E56" s="7"/>
      <c r="F56" s="8" t="str">
        <f t="shared" si="126"/>
        <v/>
      </c>
      <c r="G56" s="7" t="str">
        <f t="shared" si="127"/>
        <v/>
      </c>
      <c r="H56" s="5" t="str">
        <f t="shared" si="128"/>
        <v/>
      </c>
      <c r="I56" s="122" t="str">
        <f t="shared" si="129"/>
        <v/>
      </c>
      <c r="J56" s="7" t="str">
        <f t="shared" si="130"/>
        <v/>
      </c>
      <c r="K56" s="9" t="str">
        <f t="shared" si="131"/>
        <v/>
      </c>
      <c r="L56" s="9" t="str">
        <f>IF(NOT(ISERROR(VLOOKUP(B56,Deflatores!G$42:H$64,2,FALSE))),VLOOKUP(B56,Deflatores!G$42:H$64,2,FALSE),IF(OR(ISBLANK(C56),ISBLANK(B56)),"",VLOOKUP(C56,Deflatores!G$4:H$38,2,FALSE)*H56+VLOOKUP(C56,Deflatores!G$4:I$38,3,FALSE)))</f>
        <v/>
      </c>
      <c r="M56" s="10"/>
      <c r="N56" s="10"/>
      <c r="O56" s="6"/>
    </row>
    <row r="57" spans="1:15" x14ac:dyDescent="0.2">
      <c r="A57" s="126" t="s">
        <v>210</v>
      </c>
      <c r="B57" s="4" t="s">
        <v>98</v>
      </c>
      <c r="C57" s="4" t="s">
        <v>41</v>
      </c>
      <c r="D57" s="7"/>
      <c r="E57" s="7"/>
      <c r="F57" s="8" t="str">
        <f t="shared" ref="F57" si="138">IF(ISBLANK(B57),"",IF(I57="L","Baixa",IF(I57="A","Média",IF(I57="","","Alta"))))</f>
        <v>Baixa</v>
      </c>
      <c r="G57" s="7" t="str">
        <f t="shared" ref="G57" si="139">CONCATENATE(B57,I57)</f>
        <v>ALIL</v>
      </c>
      <c r="H57" s="5">
        <f t="shared" ref="H57" si="140">IF(ISBLANK(B57),"",IF(B57="ALI",IF(I57="L",7,IF(I57="A",10,15)),IF(B57="AIE",IF(I57="L",5,IF(I57="A",7,10)),IF(B57="SE",IF(I57="L",4,IF(I57="A",5,7)),IF(OR(B57="EE",B57="CE"),IF(I57="L",3,IF(I57="A",4,6)),0)))))</f>
        <v>7</v>
      </c>
      <c r="I57" s="122" t="str">
        <f t="shared" ref="I57" si="141">IF(OR(ISBLANK(D57),ISBLANK(E57)),IF(OR(B57="ALI",B57="AIE"),"L",IF(OR(B57="EE",B57="SE",B57="CE"),"A","")),IF(B57="EE",IF(E57&gt;=3,IF(D57&gt;=5,"H","A"),IF(E57&gt;=2,IF(D57&gt;=16,"H",IF(D57&lt;=4,"L","A")),IF(D57&lt;=15,"L","A"))),IF(OR(B57="SE",B57="CE"),IF(E57&gt;=4,IF(D57&gt;=6,"H","A"),IF(E57&gt;=2,IF(D57&gt;=20,"H",IF(D57&lt;=5,"L","A")),IF(D57&lt;=19,"L","A"))),IF(OR(B57="ALI",B57="AIE"),IF(E57&gt;=6,IF(D57&gt;=20,"H","A"),IF(E57&gt;=2,IF(D57&gt;=51,"H",IF(D57&lt;=19,"L","A")),IF(D57&lt;=50,"L","A"))),""))))</f>
        <v>L</v>
      </c>
      <c r="J57" s="7" t="str">
        <f t="shared" ref="J57" si="142">CONCATENATE(B57,C57)</f>
        <v>ALII</v>
      </c>
      <c r="K57" s="9">
        <f t="shared" ref="K57" si="143">IF(OR(H57="",H57=0),L57,H57)</f>
        <v>7</v>
      </c>
      <c r="L57" s="9">
        <f>IF(NOT(ISERROR(VLOOKUP(B57,Deflatores!G$42:H$64,2,FALSE))),VLOOKUP(B57,Deflatores!G$42:H$64,2,FALSE),IF(OR(ISBLANK(C57),ISBLANK(B57)),"",VLOOKUP(C57,Deflatores!G$4:H$38,2,FALSE)*H57+VLOOKUP(C57,Deflatores!G$4:I$38,3,FALSE)))</f>
        <v>7</v>
      </c>
      <c r="M57" s="10"/>
      <c r="N57" s="10"/>
      <c r="O57" s="6"/>
    </row>
    <row r="58" spans="1:15" x14ac:dyDescent="0.2">
      <c r="A58" s="126" t="s">
        <v>211</v>
      </c>
      <c r="B58" s="4" t="s">
        <v>102</v>
      </c>
      <c r="C58" s="4" t="s">
        <v>41</v>
      </c>
      <c r="D58" s="7"/>
      <c r="E58" s="7"/>
      <c r="F58" s="8" t="str">
        <f t="shared" ref="F58" si="144">IF(ISBLANK(B58),"",IF(I58="L","Baixa",IF(I58="A","Média",IF(I58="","","Alta"))))</f>
        <v>Média</v>
      </c>
      <c r="G58" s="7" t="str">
        <f t="shared" ref="G58" si="145">CONCATENATE(B58,I58)</f>
        <v>CEA</v>
      </c>
      <c r="H58" s="5">
        <f t="shared" ref="H58" si="146">IF(ISBLANK(B58),"",IF(B58="ALI",IF(I58="L",7,IF(I58="A",10,15)),IF(B58="AIE",IF(I58="L",5,IF(I58="A",7,10)),IF(B58="SE",IF(I58="L",4,IF(I58="A",5,7)),IF(OR(B58="EE",B58="CE"),IF(I58="L",3,IF(I58="A",4,6)),0)))))</f>
        <v>4</v>
      </c>
      <c r="I58" s="122" t="str">
        <f t="shared" ref="I58" si="147">IF(OR(ISBLANK(D58),ISBLANK(E58)),IF(OR(B58="ALI",B58="AIE"),"L",IF(OR(B58="EE",B58="SE",B58="CE"),"A","")),IF(B58="EE",IF(E58&gt;=3,IF(D58&gt;=5,"H","A"),IF(E58&gt;=2,IF(D58&gt;=16,"H",IF(D58&lt;=4,"L","A")),IF(D58&lt;=15,"L","A"))),IF(OR(B58="SE",B58="CE"),IF(E58&gt;=4,IF(D58&gt;=6,"H","A"),IF(E58&gt;=2,IF(D58&gt;=20,"H",IF(D58&lt;=5,"L","A")),IF(D58&lt;=19,"L","A"))),IF(OR(B58="ALI",B58="AIE"),IF(E58&gt;=6,IF(D58&gt;=20,"H","A"),IF(E58&gt;=2,IF(D58&gt;=51,"H",IF(D58&lt;=19,"L","A")),IF(D58&lt;=50,"L","A"))),""))))</f>
        <v>A</v>
      </c>
      <c r="J58" s="7" t="str">
        <f t="shared" ref="J58" si="148">CONCATENATE(B58,C58)</f>
        <v>CEI</v>
      </c>
      <c r="K58" s="9">
        <f t="shared" ref="K58" si="149">IF(OR(H58="",H58=0),L58,H58)</f>
        <v>4</v>
      </c>
      <c r="L58" s="9">
        <f>IF(NOT(ISERROR(VLOOKUP(B58,Deflatores!G$42:H$64,2,FALSE))),VLOOKUP(B58,Deflatores!G$42:H$64,2,FALSE),IF(OR(ISBLANK(C58),ISBLANK(B58)),"",VLOOKUP(C58,Deflatores!G$4:H$38,2,FALSE)*H58+VLOOKUP(C58,Deflatores!G$4:I$38,3,FALSE)))</f>
        <v>4</v>
      </c>
      <c r="M58" s="10"/>
      <c r="N58" s="10"/>
      <c r="O58" s="6"/>
    </row>
    <row r="59" spans="1:15" x14ac:dyDescent="0.2">
      <c r="A59" s="126" t="s">
        <v>212</v>
      </c>
      <c r="B59" s="4" t="s">
        <v>100</v>
      </c>
      <c r="C59" s="4" t="s">
        <v>41</v>
      </c>
      <c r="D59" s="7"/>
      <c r="E59" s="7"/>
      <c r="F59" s="8" t="str">
        <f t="shared" ref="F59" si="150">IF(ISBLANK(B59),"",IF(I59="L","Baixa",IF(I59="A","Média",IF(I59="","","Alta"))))</f>
        <v>Média</v>
      </c>
      <c r="G59" s="7" t="str">
        <f t="shared" ref="G59" si="151">CONCATENATE(B59,I59)</f>
        <v>EEA</v>
      </c>
      <c r="H59" s="5">
        <f t="shared" ref="H59" si="152">IF(ISBLANK(B59),"",IF(B59="ALI",IF(I59="L",7,IF(I59="A",10,15)),IF(B59="AIE",IF(I59="L",5,IF(I59="A",7,10)),IF(B59="SE",IF(I59="L",4,IF(I59="A",5,7)),IF(OR(B59="EE",B59="CE"),IF(I59="L",3,IF(I59="A",4,6)),0)))))</f>
        <v>4</v>
      </c>
      <c r="I59" s="122" t="str">
        <f t="shared" ref="I59" si="153">IF(OR(ISBLANK(D59),ISBLANK(E59)),IF(OR(B59="ALI",B59="AIE"),"L",IF(OR(B59="EE",B59="SE",B59="CE"),"A","")),IF(B59="EE",IF(E59&gt;=3,IF(D59&gt;=5,"H","A"),IF(E59&gt;=2,IF(D59&gt;=16,"H",IF(D59&lt;=4,"L","A")),IF(D59&lt;=15,"L","A"))),IF(OR(B59="SE",B59="CE"),IF(E59&gt;=4,IF(D59&gt;=6,"H","A"),IF(E59&gt;=2,IF(D59&gt;=20,"H",IF(D59&lt;=5,"L","A")),IF(D59&lt;=19,"L","A"))),IF(OR(B59="ALI",B59="AIE"),IF(E59&gt;=6,IF(D59&gt;=20,"H","A"),IF(E59&gt;=2,IF(D59&gt;=51,"H",IF(D59&lt;=19,"L","A")),IF(D59&lt;=50,"L","A"))),""))))</f>
        <v>A</v>
      </c>
      <c r="J59" s="7" t="str">
        <f t="shared" ref="J59" si="154">CONCATENATE(B59,C59)</f>
        <v>EEI</v>
      </c>
      <c r="K59" s="9">
        <f t="shared" ref="K59" si="155">IF(OR(H59="",H59=0),L59,H59)</f>
        <v>4</v>
      </c>
      <c r="L59" s="9">
        <f>IF(NOT(ISERROR(VLOOKUP(B59,Deflatores!G$42:H$64,2,FALSE))),VLOOKUP(B59,Deflatores!G$42:H$64,2,FALSE),IF(OR(ISBLANK(C59),ISBLANK(B59)),"",VLOOKUP(C59,Deflatores!G$4:H$38,2,FALSE)*H59+VLOOKUP(C59,Deflatores!G$4:I$38,3,FALSE)))</f>
        <v>4</v>
      </c>
      <c r="M59" s="10"/>
      <c r="N59" s="10"/>
      <c r="O59" s="6"/>
    </row>
    <row r="60" spans="1:15" x14ac:dyDescent="0.2">
      <c r="A60" s="126" t="s">
        <v>213</v>
      </c>
      <c r="B60" s="4" t="s">
        <v>102</v>
      </c>
      <c r="C60" s="4" t="s">
        <v>41</v>
      </c>
      <c r="D60" s="7"/>
      <c r="E60" s="7"/>
      <c r="F60" s="8" t="str">
        <f t="shared" ref="F60:F61" si="156">IF(ISBLANK(B60),"",IF(I60="L","Baixa",IF(I60="A","Média",IF(I60="","","Alta"))))</f>
        <v>Média</v>
      </c>
      <c r="G60" s="7" t="str">
        <f t="shared" ref="G60:G61" si="157">CONCATENATE(B60,I60)</f>
        <v>CEA</v>
      </c>
      <c r="H60" s="5">
        <f t="shared" ref="H60:H61" si="158">IF(ISBLANK(B60),"",IF(B60="ALI",IF(I60="L",7,IF(I60="A",10,15)),IF(B60="AIE",IF(I60="L",5,IF(I60="A",7,10)),IF(B60="SE",IF(I60="L",4,IF(I60="A",5,7)),IF(OR(B60="EE",B60="CE"),IF(I60="L",3,IF(I60="A",4,6)),0)))))</f>
        <v>4</v>
      </c>
      <c r="I60" s="122" t="str">
        <f t="shared" ref="I60:I61" si="159">IF(OR(ISBLANK(D60),ISBLANK(E60)),IF(OR(B60="ALI",B60="AIE"),"L",IF(OR(B60="EE",B60="SE",B60="CE"),"A","")),IF(B60="EE",IF(E60&gt;=3,IF(D60&gt;=5,"H","A"),IF(E60&gt;=2,IF(D60&gt;=16,"H",IF(D60&lt;=4,"L","A")),IF(D60&lt;=15,"L","A"))),IF(OR(B60="SE",B60="CE"),IF(E60&gt;=4,IF(D60&gt;=6,"H","A"),IF(E60&gt;=2,IF(D60&gt;=20,"H",IF(D60&lt;=5,"L","A")),IF(D60&lt;=19,"L","A"))),IF(OR(B60="ALI",B60="AIE"),IF(E60&gt;=6,IF(D60&gt;=20,"H","A"),IF(E60&gt;=2,IF(D60&gt;=51,"H",IF(D60&lt;=19,"L","A")),IF(D60&lt;=50,"L","A"))),""))))</f>
        <v>A</v>
      </c>
      <c r="J60" s="7" t="str">
        <f t="shared" ref="J60:J61" si="160">CONCATENATE(B60,C60)</f>
        <v>CEI</v>
      </c>
      <c r="K60" s="9">
        <f t="shared" ref="K60:K61" si="161">IF(OR(H60="",H60=0),L60,H60)</f>
        <v>4</v>
      </c>
      <c r="L60" s="9">
        <f>IF(NOT(ISERROR(VLOOKUP(B60,Deflatores!G$42:H$64,2,FALSE))),VLOOKUP(B60,Deflatores!G$42:H$64,2,FALSE),IF(OR(ISBLANK(C60),ISBLANK(B60)),"",VLOOKUP(C60,Deflatores!G$4:H$38,2,FALSE)*H60+VLOOKUP(C60,Deflatores!G$4:I$38,3,FALSE)))</f>
        <v>4</v>
      </c>
      <c r="M60" s="10"/>
      <c r="N60" s="10"/>
      <c r="O60" s="6"/>
    </row>
    <row r="61" spans="1:15" x14ac:dyDescent="0.2">
      <c r="A61" s="126" t="s">
        <v>214</v>
      </c>
      <c r="B61" s="4" t="s">
        <v>102</v>
      </c>
      <c r="C61" s="4" t="s">
        <v>41</v>
      </c>
      <c r="D61" s="7"/>
      <c r="E61" s="7"/>
      <c r="F61" s="8" t="str">
        <f t="shared" si="156"/>
        <v>Média</v>
      </c>
      <c r="G61" s="7" t="str">
        <f t="shared" si="157"/>
        <v>CEA</v>
      </c>
      <c r="H61" s="5">
        <f t="shared" si="158"/>
        <v>4</v>
      </c>
      <c r="I61" s="122" t="str">
        <f t="shared" si="159"/>
        <v>A</v>
      </c>
      <c r="J61" s="7" t="str">
        <f t="shared" si="160"/>
        <v>CEI</v>
      </c>
      <c r="K61" s="9">
        <f t="shared" si="161"/>
        <v>4</v>
      </c>
      <c r="L61" s="9">
        <f>IF(NOT(ISERROR(VLOOKUP(B61,Deflatores!G$42:H$64,2,FALSE))),VLOOKUP(B61,Deflatores!G$42:H$64,2,FALSE),IF(OR(ISBLANK(C61),ISBLANK(B61)),"",VLOOKUP(C61,Deflatores!G$4:H$38,2,FALSE)*H61+VLOOKUP(C61,Deflatores!G$4:I$38,3,FALSE)))</f>
        <v>4</v>
      </c>
      <c r="M61" s="10"/>
      <c r="N61" s="10"/>
      <c r="O61" s="6"/>
    </row>
    <row r="62" spans="1:15" x14ac:dyDescent="0.2">
      <c r="A62" s="126" t="s">
        <v>215</v>
      </c>
      <c r="B62" s="4" t="s">
        <v>102</v>
      </c>
      <c r="C62" s="4" t="s">
        <v>41</v>
      </c>
      <c r="D62" s="7"/>
      <c r="E62" s="7"/>
      <c r="F62" s="8" t="str">
        <f t="shared" si="0"/>
        <v>Média</v>
      </c>
      <c r="G62" s="7" t="str">
        <f t="shared" si="1"/>
        <v>CEA</v>
      </c>
      <c r="H62" s="5">
        <f t="shared" si="2"/>
        <v>4</v>
      </c>
      <c r="I62" s="122" t="str">
        <f t="shared" si="3"/>
        <v>A</v>
      </c>
      <c r="J62" s="7" t="str">
        <f t="shared" si="4"/>
        <v>CEI</v>
      </c>
      <c r="K62" s="9">
        <f t="shared" si="5"/>
        <v>4</v>
      </c>
      <c r="L62" s="9">
        <f>IF(NOT(ISERROR(VLOOKUP(B62,Deflatores!G$42:H$64,2,FALSE))),VLOOKUP(B62,Deflatores!G$42:H$64,2,FALSE),IF(OR(ISBLANK(C62),ISBLANK(B62)),"",VLOOKUP(C62,Deflatores!G$4:H$38,2,FALSE)*H62+VLOOKUP(C62,Deflatores!G$4:I$38,3,FALSE)))</f>
        <v>4</v>
      </c>
      <c r="M62" s="10"/>
      <c r="N62" s="10"/>
      <c r="O62" s="6"/>
    </row>
    <row r="63" spans="1:15" x14ac:dyDescent="0.2">
      <c r="A63" s="126"/>
      <c r="B63" s="4"/>
      <c r="C63" s="4"/>
      <c r="D63" s="7"/>
      <c r="E63" s="7"/>
      <c r="F63" s="8" t="str">
        <f t="shared" si="0"/>
        <v/>
      </c>
      <c r="G63" s="7" t="str">
        <f t="shared" si="1"/>
        <v/>
      </c>
      <c r="H63" s="5" t="str">
        <f t="shared" si="2"/>
        <v/>
      </c>
      <c r="I63" s="122" t="str">
        <f t="shared" si="3"/>
        <v/>
      </c>
      <c r="J63" s="7" t="str">
        <f t="shared" si="4"/>
        <v/>
      </c>
      <c r="K63" s="9" t="str">
        <f t="shared" si="5"/>
        <v/>
      </c>
      <c r="L63" s="9" t="str">
        <f>IF(NOT(ISERROR(VLOOKUP(B63,Deflatores!G$42:H$64,2,FALSE))),VLOOKUP(B63,Deflatores!G$42:H$64,2,FALSE),IF(OR(ISBLANK(C63),ISBLANK(B63)),"",VLOOKUP(C63,Deflatores!G$4:H$38,2,FALSE)*H63+VLOOKUP(C63,Deflatores!G$4:I$38,3,FALSE)))</f>
        <v/>
      </c>
      <c r="M63" s="10"/>
      <c r="N63" s="10"/>
      <c r="O63" s="6"/>
    </row>
    <row r="64" spans="1:15" x14ac:dyDescent="0.2">
      <c r="A64" s="126" t="s">
        <v>216</v>
      </c>
      <c r="B64" s="4" t="s">
        <v>100</v>
      </c>
      <c r="C64" s="4" t="s">
        <v>41</v>
      </c>
      <c r="D64" s="7"/>
      <c r="E64" s="7"/>
      <c r="F64" s="8" t="str">
        <f t="shared" ref="F64:F65" si="162">IF(ISBLANK(B64),"",IF(I64="L","Baixa",IF(I64="A","Média",IF(I64="","","Alta"))))</f>
        <v>Média</v>
      </c>
      <c r="G64" s="7" t="str">
        <f t="shared" ref="G64:G65" si="163">CONCATENATE(B64,I64)</f>
        <v>EEA</v>
      </c>
      <c r="H64" s="5">
        <f t="shared" ref="H64:H65" si="164">IF(ISBLANK(B64),"",IF(B64="ALI",IF(I64="L",7,IF(I64="A",10,15)),IF(B64="AIE",IF(I64="L",5,IF(I64="A",7,10)),IF(B64="SE",IF(I64="L",4,IF(I64="A",5,7)),IF(OR(B64="EE",B64="CE"),IF(I64="L",3,IF(I64="A",4,6)),0)))))</f>
        <v>4</v>
      </c>
      <c r="I64" s="122" t="str">
        <f t="shared" ref="I64:I65" si="165">IF(OR(ISBLANK(D64),ISBLANK(E64)),IF(OR(B64="ALI",B64="AIE"),"L",IF(OR(B64="EE",B64="SE",B64="CE"),"A","")),IF(B64="EE",IF(E64&gt;=3,IF(D64&gt;=5,"H","A"),IF(E64&gt;=2,IF(D64&gt;=16,"H",IF(D64&lt;=4,"L","A")),IF(D64&lt;=15,"L","A"))),IF(OR(B64="SE",B64="CE"),IF(E64&gt;=4,IF(D64&gt;=6,"H","A"),IF(E64&gt;=2,IF(D64&gt;=20,"H",IF(D64&lt;=5,"L","A")),IF(D64&lt;=19,"L","A"))),IF(OR(B64="ALI",B64="AIE"),IF(E64&gt;=6,IF(D64&gt;=20,"H","A"),IF(E64&gt;=2,IF(D64&gt;=51,"H",IF(D64&lt;=19,"L","A")),IF(D64&lt;=50,"L","A"))),""))))</f>
        <v>A</v>
      </c>
      <c r="J64" s="7" t="str">
        <f t="shared" ref="J64:J65" si="166">CONCATENATE(B64,C64)</f>
        <v>EEI</v>
      </c>
      <c r="K64" s="9">
        <f t="shared" ref="K64:K65" si="167">IF(OR(H64="",H64=0),L64,H64)</f>
        <v>4</v>
      </c>
      <c r="L64" s="9">
        <f>IF(NOT(ISERROR(VLOOKUP(B64,Deflatores!G$42:H$64,2,FALSE))),VLOOKUP(B64,Deflatores!G$42:H$64,2,FALSE),IF(OR(ISBLANK(C64),ISBLANK(B64)),"",VLOOKUP(C64,Deflatores!G$4:H$38,2,FALSE)*H64+VLOOKUP(C64,Deflatores!G$4:I$38,3,FALSE)))</f>
        <v>4</v>
      </c>
      <c r="M64" s="10"/>
      <c r="N64" s="10"/>
      <c r="O64" s="6"/>
    </row>
    <row r="65" spans="1:15" x14ac:dyDescent="0.2">
      <c r="A65" s="126" t="s">
        <v>217</v>
      </c>
      <c r="B65" s="4" t="s">
        <v>103</v>
      </c>
      <c r="C65" s="4" t="s">
        <v>41</v>
      </c>
      <c r="D65" s="7"/>
      <c r="E65" s="7"/>
      <c r="F65" s="8" t="str">
        <f t="shared" si="162"/>
        <v>Média</v>
      </c>
      <c r="G65" s="7" t="str">
        <f t="shared" si="163"/>
        <v>SEA</v>
      </c>
      <c r="H65" s="5">
        <f t="shared" si="164"/>
        <v>5</v>
      </c>
      <c r="I65" s="122" t="str">
        <f t="shared" si="165"/>
        <v>A</v>
      </c>
      <c r="J65" s="7" t="str">
        <f t="shared" si="166"/>
        <v>SEI</v>
      </c>
      <c r="K65" s="9">
        <f t="shared" si="167"/>
        <v>5</v>
      </c>
      <c r="L65" s="9">
        <f>IF(NOT(ISERROR(VLOOKUP(B65,Deflatores!G$42:H$64,2,FALSE))),VLOOKUP(B65,Deflatores!G$42:H$64,2,FALSE),IF(OR(ISBLANK(C65),ISBLANK(B65)),"",VLOOKUP(C65,Deflatores!G$4:H$38,2,FALSE)*H65+VLOOKUP(C65,Deflatores!G$4:I$38,3,FALSE)))</f>
        <v>5</v>
      </c>
      <c r="M65" s="10"/>
      <c r="N65" s="10"/>
      <c r="O65" s="6"/>
    </row>
    <row r="66" spans="1:15" x14ac:dyDescent="0.2">
      <c r="A66" s="126" t="s">
        <v>218</v>
      </c>
      <c r="B66" s="4" t="s">
        <v>100</v>
      </c>
      <c r="C66" s="4" t="s">
        <v>41</v>
      </c>
      <c r="D66" s="7"/>
      <c r="E66" s="7"/>
      <c r="F66" s="8" t="str">
        <f t="shared" ref="F66" si="168">IF(ISBLANK(B66),"",IF(I66="L","Baixa",IF(I66="A","Média",IF(I66="","","Alta"))))</f>
        <v>Média</v>
      </c>
      <c r="G66" s="7" t="str">
        <f t="shared" ref="G66" si="169">CONCATENATE(B66,I66)</f>
        <v>EEA</v>
      </c>
      <c r="H66" s="5">
        <f t="shared" ref="H66" si="170">IF(ISBLANK(B66),"",IF(B66="ALI",IF(I66="L",7,IF(I66="A",10,15)),IF(B66="AIE",IF(I66="L",5,IF(I66="A",7,10)),IF(B66="SE",IF(I66="L",4,IF(I66="A",5,7)),IF(OR(B66="EE",B66="CE"),IF(I66="L",3,IF(I66="A",4,6)),0)))))</f>
        <v>4</v>
      </c>
      <c r="I66" s="122" t="str">
        <f t="shared" ref="I66" si="171">IF(OR(ISBLANK(D66),ISBLANK(E66)),IF(OR(B66="ALI",B66="AIE"),"L",IF(OR(B66="EE",B66="SE",B66="CE"),"A","")),IF(B66="EE",IF(E66&gt;=3,IF(D66&gt;=5,"H","A"),IF(E66&gt;=2,IF(D66&gt;=16,"H",IF(D66&lt;=4,"L","A")),IF(D66&lt;=15,"L","A"))),IF(OR(B66="SE",B66="CE"),IF(E66&gt;=4,IF(D66&gt;=6,"H","A"),IF(E66&gt;=2,IF(D66&gt;=20,"H",IF(D66&lt;=5,"L","A")),IF(D66&lt;=19,"L","A"))),IF(OR(B66="ALI",B66="AIE"),IF(E66&gt;=6,IF(D66&gt;=20,"H","A"),IF(E66&gt;=2,IF(D66&gt;=51,"H",IF(D66&lt;=19,"L","A")),IF(D66&lt;=50,"L","A"))),""))))</f>
        <v>A</v>
      </c>
      <c r="J66" s="7" t="str">
        <f t="shared" ref="J66" si="172">CONCATENATE(B66,C66)</f>
        <v>EEI</v>
      </c>
      <c r="K66" s="9">
        <f t="shared" ref="K66" si="173">IF(OR(H66="",H66=0),L66,H66)</f>
        <v>4</v>
      </c>
      <c r="L66" s="9">
        <f>IF(NOT(ISERROR(VLOOKUP(B66,Deflatores!G$42:H$64,2,FALSE))),VLOOKUP(B66,Deflatores!G$42:H$64,2,FALSE),IF(OR(ISBLANK(C66),ISBLANK(B66)),"",VLOOKUP(C66,Deflatores!G$4:H$38,2,FALSE)*H66+VLOOKUP(C66,Deflatores!G$4:I$38,3,FALSE)))</f>
        <v>4</v>
      </c>
      <c r="M66" s="10"/>
      <c r="N66" s="10"/>
      <c r="O66" s="6"/>
    </row>
    <row r="67" spans="1:15" x14ac:dyDescent="0.2">
      <c r="A67" s="126" t="s">
        <v>219</v>
      </c>
      <c r="B67" s="4" t="s">
        <v>100</v>
      </c>
      <c r="C67" s="4" t="s">
        <v>41</v>
      </c>
      <c r="D67" s="7"/>
      <c r="E67" s="7"/>
      <c r="F67" s="8" t="str">
        <f t="shared" si="0"/>
        <v>Média</v>
      </c>
      <c r="G67" s="7" t="str">
        <f t="shared" si="1"/>
        <v>EEA</v>
      </c>
      <c r="H67" s="5">
        <f t="shared" si="2"/>
        <v>4</v>
      </c>
      <c r="I67" s="122" t="str">
        <f t="shared" si="3"/>
        <v>A</v>
      </c>
      <c r="J67" s="7" t="str">
        <f t="shared" si="4"/>
        <v>EEI</v>
      </c>
      <c r="K67" s="9">
        <f t="shared" si="5"/>
        <v>4</v>
      </c>
      <c r="L67" s="9">
        <f>IF(NOT(ISERROR(VLOOKUP(B67,Deflatores!G$42:H$64,2,FALSE))),VLOOKUP(B67,Deflatores!G$42:H$64,2,FALSE),IF(OR(ISBLANK(C67),ISBLANK(B67)),"",VLOOKUP(C67,Deflatores!G$4:H$38,2,FALSE)*H67+VLOOKUP(C67,Deflatores!G$4:I$38,3,FALSE)))</f>
        <v>4</v>
      </c>
      <c r="M67" s="10"/>
      <c r="N67" s="10"/>
      <c r="O67" s="6"/>
    </row>
    <row r="68" spans="1:15" x14ac:dyDescent="0.2">
      <c r="A68" s="128" t="s">
        <v>220</v>
      </c>
      <c r="B68" s="4" t="s">
        <v>98</v>
      </c>
      <c r="C68" s="4" t="s">
        <v>41</v>
      </c>
      <c r="D68" s="7"/>
      <c r="E68" s="7"/>
      <c r="F68" s="8" t="str">
        <f t="shared" si="0"/>
        <v>Baixa</v>
      </c>
      <c r="G68" s="7" t="str">
        <f t="shared" si="1"/>
        <v>ALIL</v>
      </c>
      <c r="H68" s="5">
        <f t="shared" si="2"/>
        <v>7</v>
      </c>
      <c r="I68" s="122" t="str">
        <f t="shared" si="3"/>
        <v>L</v>
      </c>
      <c r="J68" s="7" t="str">
        <f t="shared" si="4"/>
        <v>ALII</v>
      </c>
      <c r="K68" s="9">
        <f t="shared" si="5"/>
        <v>7</v>
      </c>
      <c r="L68" s="9">
        <f>IF(NOT(ISERROR(VLOOKUP(B68,Deflatores!G$42:H$64,2,FALSE))),VLOOKUP(B68,Deflatores!G$42:H$64,2,FALSE),IF(OR(ISBLANK(C68),ISBLANK(B68)),"",VLOOKUP(C68,Deflatores!G$4:H$38,2,FALSE)*H68+VLOOKUP(C68,Deflatores!G$4:I$38,3,FALSE)))</f>
        <v>7</v>
      </c>
      <c r="M68" s="133"/>
      <c r="N68" s="10"/>
      <c r="O68" s="6"/>
    </row>
    <row r="69" spans="1:15" x14ac:dyDescent="0.2">
      <c r="A69" s="126" t="s">
        <v>221</v>
      </c>
      <c r="B69" s="4" t="s">
        <v>102</v>
      </c>
      <c r="C69" s="4" t="s">
        <v>41</v>
      </c>
      <c r="D69" s="7"/>
      <c r="E69" s="7"/>
      <c r="F69" s="8" t="str">
        <f t="shared" ref="F69" si="174">IF(ISBLANK(B69),"",IF(I69="L","Baixa",IF(I69="A","Média",IF(I69="","","Alta"))))</f>
        <v>Média</v>
      </c>
      <c r="G69" s="7" t="str">
        <f t="shared" ref="G69" si="175">CONCATENATE(B69,I69)</f>
        <v>CEA</v>
      </c>
      <c r="H69" s="5">
        <f t="shared" ref="H69" si="176">IF(ISBLANK(B69),"",IF(B69="ALI",IF(I69="L",7,IF(I69="A",10,15)),IF(B69="AIE",IF(I69="L",5,IF(I69="A",7,10)),IF(B69="SE",IF(I69="L",4,IF(I69="A",5,7)),IF(OR(B69="EE",B69="CE"),IF(I69="L",3,IF(I69="A",4,6)),0)))))</f>
        <v>4</v>
      </c>
      <c r="I69" s="122" t="str">
        <f t="shared" ref="I69" si="177">IF(OR(ISBLANK(D69),ISBLANK(E69)),IF(OR(B69="ALI",B69="AIE"),"L",IF(OR(B69="EE",B69="SE",B69="CE"),"A","")),IF(B69="EE",IF(E69&gt;=3,IF(D69&gt;=5,"H","A"),IF(E69&gt;=2,IF(D69&gt;=16,"H",IF(D69&lt;=4,"L","A")),IF(D69&lt;=15,"L","A"))),IF(OR(B69="SE",B69="CE"),IF(E69&gt;=4,IF(D69&gt;=6,"H","A"),IF(E69&gt;=2,IF(D69&gt;=20,"H",IF(D69&lt;=5,"L","A")),IF(D69&lt;=19,"L","A"))),IF(OR(B69="ALI",B69="AIE"),IF(E69&gt;=6,IF(D69&gt;=20,"H","A"),IF(E69&gt;=2,IF(D69&gt;=51,"H",IF(D69&lt;=19,"L","A")),IF(D69&lt;=50,"L","A"))),""))))</f>
        <v>A</v>
      </c>
      <c r="J69" s="7" t="str">
        <f t="shared" ref="J69" si="178">CONCATENATE(B69,C69)</f>
        <v>CEI</v>
      </c>
      <c r="K69" s="9">
        <f t="shared" ref="K69" si="179">IF(OR(H69="",H69=0),L69,H69)</f>
        <v>4</v>
      </c>
      <c r="L69" s="9">
        <f>IF(NOT(ISERROR(VLOOKUP(B69,Deflatores!G$42:H$64,2,FALSE))),VLOOKUP(B69,Deflatores!G$42:H$64,2,FALSE),IF(OR(ISBLANK(C69),ISBLANK(B69)),"",VLOOKUP(C69,Deflatores!G$4:H$38,2,FALSE)*H69+VLOOKUP(C69,Deflatores!G$4:I$38,3,FALSE)))</f>
        <v>4</v>
      </c>
      <c r="M69" s="133"/>
      <c r="N69" s="10"/>
      <c r="O69" s="6"/>
    </row>
    <row r="70" spans="1:15" x14ac:dyDescent="0.2">
      <c r="A70" s="126" t="s">
        <v>222</v>
      </c>
      <c r="B70" s="4" t="s">
        <v>102</v>
      </c>
      <c r="C70" s="4" t="s">
        <v>41</v>
      </c>
      <c r="D70" s="7"/>
      <c r="E70" s="7"/>
      <c r="F70" s="8" t="str">
        <f t="shared" ref="F70" si="180">IF(ISBLANK(B70),"",IF(I70="L","Baixa",IF(I70="A","Média",IF(I70="","","Alta"))))</f>
        <v>Média</v>
      </c>
      <c r="G70" s="7" t="str">
        <f t="shared" ref="G70" si="181">CONCATENATE(B70,I70)</f>
        <v>CEA</v>
      </c>
      <c r="H70" s="5">
        <f t="shared" ref="H70" si="182">IF(ISBLANK(B70),"",IF(B70="ALI",IF(I70="L",7,IF(I70="A",10,15)),IF(B70="AIE",IF(I70="L",5,IF(I70="A",7,10)),IF(B70="SE",IF(I70="L",4,IF(I70="A",5,7)),IF(OR(B70="EE",B70="CE"),IF(I70="L",3,IF(I70="A",4,6)),0)))))</f>
        <v>4</v>
      </c>
      <c r="I70" s="122" t="str">
        <f t="shared" ref="I70" si="183">IF(OR(ISBLANK(D70),ISBLANK(E70)),IF(OR(B70="ALI",B70="AIE"),"L",IF(OR(B70="EE",B70="SE",B70="CE"),"A","")),IF(B70="EE",IF(E70&gt;=3,IF(D70&gt;=5,"H","A"),IF(E70&gt;=2,IF(D70&gt;=16,"H",IF(D70&lt;=4,"L","A")),IF(D70&lt;=15,"L","A"))),IF(OR(B70="SE",B70="CE"),IF(E70&gt;=4,IF(D70&gt;=6,"H","A"),IF(E70&gt;=2,IF(D70&gt;=20,"H",IF(D70&lt;=5,"L","A")),IF(D70&lt;=19,"L","A"))),IF(OR(B70="ALI",B70="AIE"),IF(E70&gt;=6,IF(D70&gt;=20,"H","A"),IF(E70&gt;=2,IF(D70&gt;=51,"H",IF(D70&lt;=19,"L","A")),IF(D70&lt;=50,"L","A"))),""))))</f>
        <v>A</v>
      </c>
      <c r="J70" s="7" t="str">
        <f t="shared" ref="J70" si="184">CONCATENATE(B70,C70)</f>
        <v>CEI</v>
      </c>
      <c r="K70" s="9">
        <f t="shared" ref="K70" si="185">IF(OR(H70="",H70=0),L70,H70)</f>
        <v>4</v>
      </c>
      <c r="L70" s="9">
        <f>IF(NOT(ISERROR(VLOOKUP(B70,Deflatores!G$42:H$64,2,FALSE))),VLOOKUP(B70,Deflatores!G$42:H$64,2,FALSE),IF(OR(ISBLANK(C70),ISBLANK(B70)),"",VLOOKUP(C70,Deflatores!G$4:H$38,2,FALSE)*H70+VLOOKUP(C70,Deflatores!G$4:I$38,3,FALSE)))</f>
        <v>4</v>
      </c>
      <c r="M70" s="133"/>
      <c r="N70" s="10"/>
      <c r="O70" s="6"/>
    </row>
    <row r="71" spans="1:15" x14ac:dyDescent="0.2">
      <c r="A71" s="128" t="s">
        <v>223</v>
      </c>
      <c r="B71" s="4"/>
      <c r="C71" s="4"/>
      <c r="D71" s="7"/>
      <c r="E71" s="7"/>
      <c r="F71" s="8" t="str">
        <f t="shared" si="0"/>
        <v/>
      </c>
      <c r="G71" s="7" t="str">
        <f t="shared" si="1"/>
        <v/>
      </c>
      <c r="H71" s="5" t="str">
        <f t="shared" si="2"/>
        <v/>
      </c>
      <c r="I71" s="122" t="str">
        <f t="shared" si="3"/>
        <v/>
      </c>
      <c r="J71" s="7" t="str">
        <f t="shared" si="4"/>
        <v/>
      </c>
      <c r="K71" s="9" t="str">
        <f t="shared" si="5"/>
        <v/>
      </c>
      <c r="L71" s="9" t="str">
        <f>IF(NOT(ISERROR(VLOOKUP(B71,Deflatores!G$42:H$64,2,FALSE))),VLOOKUP(B71,Deflatores!G$42:H$64,2,FALSE),IF(OR(ISBLANK(C71),ISBLANK(B71)),"",VLOOKUP(C71,Deflatores!G$4:H$38,2,FALSE)*H71+VLOOKUP(C71,Deflatores!G$4:I$38,3,FALSE)))</f>
        <v/>
      </c>
      <c r="M71" s="133"/>
      <c r="N71" s="10"/>
      <c r="O71" s="6"/>
    </row>
    <row r="72" spans="1:15" x14ac:dyDescent="0.2">
      <c r="A72" s="126" t="s">
        <v>224</v>
      </c>
      <c r="B72" s="4" t="s">
        <v>102</v>
      </c>
      <c r="C72" s="4" t="s">
        <v>41</v>
      </c>
      <c r="D72" s="7"/>
      <c r="E72" s="7"/>
      <c r="F72" s="8" t="str">
        <f t="shared" ref="F72:F74" si="186">IF(ISBLANK(B72),"",IF(I72="L","Baixa",IF(I72="A","Média",IF(I72="","","Alta"))))</f>
        <v>Média</v>
      </c>
      <c r="G72" s="7" t="str">
        <f t="shared" ref="G72:G74" si="187">CONCATENATE(B72,I72)</f>
        <v>CEA</v>
      </c>
      <c r="H72" s="5">
        <f t="shared" ref="H72:H74" si="188">IF(ISBLANK(B72),"",IF(B72="ALI",IF(I72="L",7,IF(I72="A",10,15)),IF(B72="AIE",IF(I72="L",5,IF(I72="A",7,10)),IF(B72="SE",IF(I72="L",4,IF(I72="A",5,7)),IF(OR(B72="EE",B72="CE"),IF(I72="L",3,IF(I72="A",4,6)),0)))))</f>
        <v>4</v>
      </c>
      <c r="I72" s="122" t="str">
        <f t="shared" ref="I72:I74" si="189">IF(OR(ISBLANK(D72),ISBLANK(E72)),IF(OR(B72="ALI",B72="AIE"),"L",IF(OR(B72="EE",B72="SE",B72="CE"),"A","")),IF(B72="EE",IF(E72&gt;=3,IF(D72&gt;=5,"H","A"),IF(E72&gt;=2,IF(D72&gt;=16,"H",IF(D72&lt;=4,"L","A")),IF(D72&lt;=15,"L","A"))),IF(OR(B72="SE",B72="CE"),IF(E72&gt;=4,IF(D72&gt;=6,"H","A"),IF(E72&gt;=2,IF(D72&gt;=20,"H",IF(D72&lt;=5,"L","A")),IF(D72&lt;=19,"L","A"))),IF(OR(B72="ALI",B72="AIE"),IF(E72&gt;=6,IF(D72&gt;=20,"H","A"),IF(E72&gt;=2,IF(D72&gt;=51,"H",IF(D72&lt;=19,"L","A")),IF(D72&lt;=50,"L","A"))),""))))</f>
        <v>A</v>
      </c>
      <c r="J72" s="7" t="str">
        <f t="shared" ref="J72:J74" si="190">CONCATENATE(B72,C72)</f>
        <v>CEI</v>
      </c>
      <c r="K72" s="9">
        <f t="shared" ref="K72:K74" si="191">IF(OR(H72="",H72=0),L72,H72)</f>
        <v>4</v>
      </c>
      <c r="L72" s="9">
        <f>IF(NOT(ISERROR(VLOOKUP(B72,Deflatores!G$42:H$64,2,FALSE))),VLOOKUP(B72,Deflatores!G$42:H$64,2,FALSE),IF(OR(ISBLANK(C72),ISBLANK(B72)),"",VLOOKUP(C72,Deflatores!G$4:H$38,2,FALSE)*H72+VLOOKUP(C72,Deflatores!G$4:I$38,3,FALSE)))</f>
        <v>4</v>
      </c>
      <c r="M72" s="133"/>
      <c r="N72" s="10"/>
      <c r="O72" s="6"/>
    </row>
    <row r="73" spans="1:15" x14ac:dyDescent="0.2">
      <c r="A73" s="126" t="s">
        <v>225</v>
      </c>
      <c r="B73" s="4" t="s">
        <v>100</v>
      </c>
      <c r="C73" s="4" t="s">
        <v>41</v>
      </c>
      <c r="D73" s="7"/>
      <c r="E73" s="7"/>
      <c r="F73" s="8" t="str">
        <f t="shared" ref="F73" si="192">IF(ISBLANK(B73),"",IF(I73="L","Baixa",IF(I73="A","Média",IF(I73="","","Alta"))))</f>
        <v>Média</v>
      </c>
      <c r="G73" s="7" t="str">
        <f t="shared" ref="G73" si="193">CONCATENATE(B73,I73)</f>
        <v>EEA</v>
      </c>
      <c r="H73" s="5">
        <f t="shared" ref="H73" si="194">IF(ISBLANK(B73),"",IF(B73="ALI",IF(I73="L",7,IF(I73="A",10,15)),IF(B73="AIE",IF(I73="L",5,IF(I73="A",7,10)),IF(B73="SE",IF(I73="L",4,IF(I73="A",5,7)),IF(OR(B73="EE",B73="CE"),IF(I73="L",3,IF(I73="A",4,6)),0)))))</f>
        <v>4</v>
      </c>
      <c r="I73" s="122" t="str">
        <f t="shared" ref="I73" si="195">IF(OR(ISBLANK(D73),ISBLANK(E73)),IF(OR(B73="ALI",B73="AIE"),"L",IF(OR(B73="EE",B73="SE",B73="CE"),"A","")),IF(B73="EE",IF(E73&gt;=3,IF(D73&gt;=5,"H","A"),IF(E73&gt;=2,IF(D73&gt;=16,"H",IF(D73&lt;=4,"L","A")),IF(D73&lt;=15,"L","A"))),IF(OR(B73="SE",B73="CE"),IF(E73&gt;=4,IF(D73&gt;=6,"H","A"),IF(E73&gt;=2,IF(D73&gt;=20,"H",IF(D73&lt;=5,"L","A")),IF(D73&lt;=19,"L","A"))),IF(OR(B73="ALI",B73="AIE"),IF(E73&gt;=6,IF(D73&gt;=20,"H","A"),IF(E73&gt;=2,IF(D73&gt;=51,"H",IF(D73&lt;=19,"L","A")),IF(D73&lt;=50,"L","A"))),""))))</f>
        <v>A</v>
      </c>
      <c r="J73" s="7" t="str">
        <f t="shared" ref="J73" si="196">CONCATENATE(B73,C73)</f>
        <v>EEI</v>
      </c>
      <c r="K73" s="9">
        <f t="shared" ref="K73" si="197">IF(OR(H73="",H73=0),L73,H73)</f>
        <v>4</v>
      </c>
      <c r="L73" s="9">
        <f>IF(NOT(ISERROR(VLOOKUP(B73,Deflatores!G$42:H$64,2,FALSE))),VLOOKUP(B73,Deflatores!G$42:H$64,2,FALSE),IF(OR(ISBLANK(C73),ISBLANK(B73)),"",VLOOKUP(C73,Deflatores!G$4:H$38,2,FALSE)*H73+VLOOKUP(C73,Deflatores!G$4:I$38,3,FALSE)))</f>
        <v>4</v>
      </c>
      <c r="M73" s="133"/>
      <c r="N73" s="10"/>
      <c r="O73" s="6"/>
    </row>
    <row r="74" spans="1:15" x14ac:dyDescent="0.2">
      <c r="A74" s="126"/>
      <c r="B74" s="4"/>
      <c r="C74" s="4"/>
      <c r="D74" s="7"/>
      <c r="E74" s="7"/>
      <c r="F74" s="8" t="str">
        <f t="shared" si="186"/>
        <v/>
      </c>
      <c r="G74" s="7" t="str">
        <f t="shared" si="187"/>
        <v/>
      </c>
      <c r="H74" s="5" t="str">
        <f t="shared" si="188"/>
        <v/>
      </c>
      <c r="I74" s="122" t="str">
        <f t="shared" si="189"/>
        <v/>
      </c>
      <c r="J74" s="7" t="str">
        <f t="shared" si="190"/>
        <v/>
      </c>
      <c r="K74" s="9" t="str">
        <f t="shared" si="191"/>
        <v/>
      </c>
      <c r="L74" s="9" t="str">
        <f>IF(NOT(ISERROR(VLOOKUP(B74,Deflatores!G$42:H$64,2,FALSE))),VLOOKUP(B74,Deflatores!G$42:H$64,2,FALSE),IF(OR(ISBLANK(C74),ISBLANK(B74)),"",VLOOKUP(C74,Deflatores!G$4:H$38,2,FALSE)*H74+VLOOKUP(C74,Deflatores!G$4:I$38,3,FALSE)))</f>
        <v/>
      </c>
      <c r="M74" s="133"/>
      <c r="N74" s="10"/>
      <c r="O74" s="6"/>
    </row>
    <row r="75" spans="1:15" ht="16.5" customHeight="1" x14ac:dyDescent="0.2">
      <c r="A75" s="128" t="s">
        <v>226</v>
      </c>
      <c r="B75" s="4"/>
      <c r="C75" s="4"/>
      <c r="D75" s="7"/>
      <c r="E75" s="7"/>
      <c r="F75" s="8" t="str">
        <f t="shared" ref="F75:F85" si="198">IF(ISBLANK(B75),"",IF(I75="L","Baixa",IF(I75="A","Média",IF(I75="","","Alta"))))</f>
        <v/>
      </c>
      <c r="G75" s="7" t="str">
        <f t="shared" ref="G75:G85" si="199">CONCATENATE(B75,I75)</f>
        <v/>
      </c>
      <c r="H75" s="5" t="str">
        <f t="shared" ref="H75:H85" si="200">IF(ISBLANK(B75),"",IF(B75="ALI",IF(I75="L",7,IF(I75="A",10,15)),IF(B75="AIE",IF(I75="L",5,IF(I75="A",7,10)),IF(B75="SE",IF(I75="L",4,IF(I75="A",5,7)),IF(OR(B75="EE",B75="CE"),IF(I75="L",3,IF(I75="A",4,6)),0)))))</f>
        <v/>
      </c>
      <c r="I75" s="122" t="str">
        <f t="shared" ref="I75:I85" si="201">IF(OR(ISBLANK(D75),ISBLANK(E75)),IF(OR(B75="ALI",B75="AIE"),"L",IF(OR(B75="EE",B75="SE",B75="CE"),"A","")),IF(B75="EE",IF(E75&gt;=3,IF(D75&gt;=5,"H","A"),IF(E75&gt;=2,IF(D75&gt;=16,"H",IF(D75&lt;=4,"L","A")),IF(D75&lt;=15,"L","A"))),IF(OR(B75="SE",B75="CE"),IF(E75&gt;=4,IF(D75&gt;=6,"H","A"),IF(E75&gt;=2,IF(D75&gt;=20,"H",IF(D75&lt;=5,"L","A")),IF(D75&lt;=19,"L","A"))),IF(OR(B75="ALI",B75="AIE"),IF(E75&gt;=6,IF(D75&gt;=20,"H","A"),IF(E75&gt;=2,IF(D75&gt;=51,"H",IF(D75&lt;=19,"L","A")),IF(D75&lt;=50,"L","A"))),""))))</f>
        <v/>
      </c>
      <c r="J75" s="7" t="str">
        <f t="shared" ref="J75:J85" si="202">CONCATENATE(B75,C75)</f>
        <v/>
      </c>
      <c r="K75" s="9" t="str">
        <f t="shared" ref="K75:K85" si="203">IF(OR(H75="",H75=0),L75,H75)</f>
        <v/>
      </c>
      <c r="L75" s="9" t="str">
        <f>IF(NOT(ISERROR(VLOOKUP(B75,Deflatores!G$42:H$64,2,FALSE))),VLOOKUP(B75,Deflatores!G$42:H$64,2,FALSE),IF(OR(ISBLANK(C75),ISBLANK(B75)),"",VLOOKUP(C75,Deflatores!G$4:H$38,2,FALSE)*H75+VLOOKUP(C75,Deflatores!G$4:I$38,3,FALSE)))</f>
        <v/>
      </c>
      <c r="M75" s="133"/>
      <c r="N75" s="10"/>
      <c r="O75" s="6"/>
    </row>
    <row r="76" spans="1:15" x14ac:dyDescent="0.2">
      <c r="A76" s="126" t="s">
        <v>227</v>
      </c>
      <c r="B76" s="4" t="s">
        <v>102</v>
      </c>
      <c r="C76" s="4" t="s">
        <v>41</v>
      </c>
      <c r="D76" s="7"/>
      <c r="E76" s="7"/>
      <c r="F76" s="8" t="str">
        <f t="shared" ref="F76" si="204">IF(ISBLANK(B76),"",IF(I76="L","Baixa",IF(I76="A","Média",IF(I76="","","Alta"))))</f>
        <v>Média</v>
      </c>
      <c r="G76" s="7" t="str">
        <f t="shared" ref="G76" si="205">CONCATENATE(B76,I76)</f>
        <v>CEA</v>
      </c>
      <c r="H76" s="5">
        <f t="shared" ref="H76" si="206">IF(ISBLANK(B76),"",IF(B76="ALI",IF(I76="L",7,IF(I76="A",10,15)),IF(B76="AIE",IF(I76="L",5,IF(I76="A",7,10)),IF(B76="SE",IF(I76="L",4,IF(I76="A",5,7)),IF(OR(B76="EE",B76="CE"),IF(I76="L",3,IF(I76="A",4,6)),0)))))</f>
        <v>4</v>
      </c>
      <c r="I76" s="122" t="str">
        <f t="shared" ref="I76" si="207">IF(OR(ISBLANK(D76),ISBLANK(E76)),IF(OR(B76="ALI",B76="AIE"),"L",IF(OR(B76="EE",B76="SE",B76="CE"),"A","")),IF(B76="EE",IF(E76&gt;=3,IF(D76&gt;=5,"H","A"),IF(E76&gt;=2,IF(D76&gt;=16,"H",IF(D76&lt;=4,"L","A")),IF(D76&lt;=15,"L","A"))),IF(OR(B76="SE",B76="CE"),IF(E76&gt;=4,IF(D76&gt;=6,"H","A"),IF(E76&gt;=2,IF(D76&gt;=20,"H",IF(D76&lt;=5,"L","A")),IF(D76&lt;=19,"L","A"))),IF(OR(B76="ALI",B76="AIE"),IF(E76&gt;=6,IF(D76&gt;=20,"H","A"),IF(E76&gt;=2,IF(D76&gt;=51,"H",IF(D76&lt;=19,"L","A")),IF(D76&lt;=50,"L","A"))),""))))</f>
        <v>A</v>
      </c>
      <c r="J76" s="7" t="str">
        <f t="shared" ref="J76" si="208">CONCATENATE(B76,C76)</f>
        <v>CEI</v>
      </c>
      <c r="K76" s="9">
        <f t="shared" ref="K76" si="209">IF(OR(H76="",H76=0),L76,H76)</f>
        <v>4</v>
      </c>
      <c r="L76" s="9">
        <f>IF(NOT(ISERROR(VLOOKUP(B76,Deflatores!G$42:H$64,2,FALSE))),VLOOKUP(B76,Deflatores!G$42:H$64,2,FALSE),IF(OR(ISBLANK(C76),ISBLANK(B76)),"",VLOOKUP(C76,Deflatores!G$4:H$38,2,FALSE)*H76+VLOOKUP(C76,Deflatores!G$4:I$38,3,FALSE)))</f>
        <v>4</v>
      </c>
      <c r="M76" s="133"/>
      <c r="N76" s="10"/>
      <c r="O76" s="6"/>
    </row>
    <row r="77" spans="1:15" x14ac:dyDescent="0.2">
      <c r="A77" s="126" t="s">
        <v>228</v>
      </c>
      <c r="B77" s="4" t="s">
        <v>102</v>
      </c>
      <c r="C77" s="4" t="s">
        <v>41</v>
      </c>
      <c r="D77" s="7"/>
      <c r="E77" s="7"/>
      <c r="F77" s="8" t="str">
        <f t="shared" si="198"/>
        <v>Média</v>
      </c>
      <c r="G77" s="7" t="str">
        <f t="shared" si="199"/>
        <v>CEA</v>
      </c>
      <c r="H77" s="5">
        <f t="shared" si="200"/>
        <v>4</v>
      </c>
      <c r="I77" s="122" t="str">
        <f t="shared" si="201"/>
        <v>A</v>
      </c>
      <c r="J77" s="7" t="str">
        <f t="shared" si="202"/>
        <v>CEI</v>
      </c>
      <c r="K77" s="9">
        <f t="shared" si="203"/>
        <v>4</v>
      </c>
      <c r="L77" s="9">
        <f>IF(NOT(ISERROR(VLOOKUP(B77,Deflatores!G$42:H$64,2,FALSE))),VLOOKUP(B77,Deflatores!G$42:H$64,2,FALSE),IF(OR(ISBLANK(C77),ISBLANK(B77)),"",VLOOKUP(C77,Deflatores!G$4:H$38,2,FALSE)*H77+VLOOKUP(C77,Deflatores!G$4:I$38,3,FALSE)))</f>
        <v>4</v>
      </c>
      <c r="M77" s="133"/>
      <c r="N77" s="10"/>
      <c r="O77" s="6"/>
    </row>
    <row r="78" spans="1:15" x14ac:dyDescent="0.2">
      <c r="A78" s="126" t="s">
        <v>229</v>
      </c>
      <c r="B78" s="4" t="s">
        <v>102</v>
      </c>
      <c r="C78" s="4" t="s">
        <v>41</v>
      </c>
      <c r="D78" s="7"/>
      <c r="E78" s="7"/>
      <c r="F78" s="8" t="str">
        <f t="shared" ref="F78" si="210">IF(ISBLANK(B78),"",IF(I78="L","Baixa",IF(I78="A","Média",IF(I78="","","Alta"))))</f>
        <v>Média</v>
      </c>
      <c r="G78" s="7" t="str">
        <f t="shared" ref="G78" si="211">CONCATENATE(B78,I78)</f>
        <v>CEA</v>
      </c>
      <c r="H78" s="5">
        <f t="shared" ref="H78" si="212">IF(ISBLANK(B78),"",IF(B78="ALI",IF(I78="L",7,IF(I78="A",10,15)),IF(B78="AIE",IF(I78="L",5,IF(I78="A",7,10)),IF(B78="SE",IF(I78="L",4,IF(I78="A",5,7)),IF(OR(B78="EE",B78="CE"),IF(I78="L",3,IF(I78="A",4,6)),0)))))</f>
        <v>4</v>
      </c>
      <c r="I78" s="122" t="str">
        <f t="shared" ref="I78" si="213">IF(OR(ISBLANK(D78),ISBLANK(E78)),IF(OR(B78="ALI",B78="AIE"),"L",IF(OR(B78="EE",B78="SE",B78="CE"),"A","")),IF(B78="EE",IF(E78&gt;=3,IF(D78&gt;=5,"H","A"),IF(E78&gt;=2,IF(D78&gt;=16,"H",IF(D78&lt;=4,"L","A")),IF(D78&lt;=15,"L","A"))),IF(OR(B78="SE",B78="CE"),IF(E78&gt;=4,IF(D78&gt;=6,"H","A"),IF(E78&gt;=2,IF(D78&gt;=20,"H",IF(D78&lt;=5,"L","A")),IF(D78&lt;=19,"L","A"))),IF(OR(B78="ALI",B78="AIE"),IF(E78&gt;=6,IF(D78&gt;=20,"H","A"),IF(E78&gt;=2,IF(D78&gt;=51,"H",IF(D78&lt;=19,"L","A")),IF(D78&lt;=50,"L","A"))),""))))</f>
        <v>A</v>
      </c>
      <c r="J78" s="7" t="str">
        <f t="shared" ref="J78" si="214">CONCATENATE(B78,C78)</f>
        <v>CEI</v>
      </c>
      <c r="K78" s="9">
        <f t="shared" ref="K78" si="215">IF(OR(H78="",H78=0),L78,H78)</f>
        <v>4</v>
      </c>
      <c r="L78" s="9">
        <f>IF(NOT(ISERROR(VLOOKUP(B78,Deflatores!G$42:H$64,2,FALSE))),VLOOKUP(B78,Deflatores!G$42:H$64,2,FALSE),IF(OR(ISBLANK(C78),ISBLANK(B78)),"",VLOOKUP(C78,Deflatores!G$4:H$38,2,FALSE)*H78+VLOOKUP(C78,Deflatores!G$4:I$38,3,FALSE)))</f>
        <v>4</v>
      </c>
      <c r="M78" s="133"/>
      <c r="N78" s="10"/>
      <c r="O78" s="6"/>
    </row>
    <row r="79" spans="1:15" x14ac:dyDescent="0.2">
      <c r="A79" s="126" t="s">
        <v>230</v>
      </c>
      <c r="B79" s="4" t="s">
        <v>102</v>
      </c>
      <c r="C79" s="4" t="s">
        <v>41</v>
      </c>
      <c r="D79" s="7"/>
      <c r="E79" s="7"/>
      <c r="F79" s="8" t="str">
        <f t="shared" si="198"/>
        <v>Média</v>
      </c>
      <c r="G79" s="7" t="str">
        <f t="shared" si="199"/>
        <v>CEA</v>
      </c>
      <c r="H79" s="5">
        <f t="shared" si="200"/>
        <v>4</v>
      </c>
      <c r="I79" s="122" t="str">
        <f t="shared" si="201"/>
        <v>A</v>
      </c>
      <c r="J79" s="7" t="str">
        <f t="shared" si="202"/>
        <v>CEI</v>
      </c>
      <c r="K79" s="9">
        <f t="shared" si="203"/>
        <v>4</v>
      </c>
      <c r="L79" s="9">
        <f>IF(NOT(ISERROR(VLOOKUP(B79,Deflatores!G$42:H$64,2,FALSE))),VLOOKUP(B79,Deflatores!G$42:H$64,2,FALSE),IF(OR(ISBLANK(C79),ISBLANK(B79)),"",VLOOKUP(C79,Deflatores!G$4:H$38,2,FALSE)*H79+VLOOKUP(C79,Deflatores!G$4:I$38,3,FALSE)))</f>
        <v>4</v>
      </c>
      <c r="M79" s="133"/>
      <c r="N79" s="10"/>
      <c r="O79" s="6"/>
    </row>
    <row r="80" spans="1:15" x14ac:dyDescent="0.2">
      <c r="A80" s="126"/>
      <c r="B80" s="4"/>
      <c r="C80" s="4"/>
      <c r="D80" s="7"/>
      <c r="E80" s="7"/>
      <c r="F80" s="8" t="str">
        <f t="shared" si="198"/>
        <v/>
      </c>
      <c r="G80" s="7" t="str">
        <f t="shared" si="199"/>
        <v/>
      </c>
      <c r="H80" s="5" t="str">
        <f t="shared" si="200"/>
        <v/>
      </c>
      <c r="I80" s="122" t="str">
        <f t="shared" si="201"/>
        <v/>
      </c>
      <c r="J80" s="7" t="str">
        <f t="shared" si="202"/>
        <v/>
      </c>
      <c r="K80" s="9" t="str">
        <f t="shared" si="203"/>
        <v/>
      </c>
      <c r="L80" s="9" t="str">
        <f>IF(NOT(ISERROR(VLOOKUP(B80,Deflatores!G$42:H$64,2,FALSE))),VLOOKUP(B80,Deflatores!G$42:H$64,2,FALSE),IF(OR(ISBLANK(C80),ISBLANK(B80)),"",VLOOKUP(C80,Deflatores!G$4:H$38,2,FALSE)*H80+VLOOKUP(C80,Deflatores!G$4:I$38,3,FALSE)))</f>
        <v/>
      </c>
      <c r="M80" s="10"/>
      <c r="N80" s="10"/>
      <c r="O80" s="6"/>
    </row>
    <row r="81" spans="1:15" x14ac:dyDescent="0.2">
      <c r="A81" s="128"/>
      <c r="B81" s="4"/>
      <c r="C81" s="4"/>
      <c r="D81" s="7"/>
      <c r="E81" s="7"/>
      <c r="F81" s="8" t="str">
        <f t="shared" si="198"/>
        <v/>
      </c>
      <c r="G81" s="7" t="str">
        <f t="shared" si="199"/>
        <v/>
      </c>
      <c r="H81" s="5" t="str">
        <f t="shared" si="200"/>
        <v/>
      </c>
      <c r="I81" s="122" t="str">
        <f t="shared" si="201"/>
        <v/>
      </c>
      <c r="J81" s="7" t="str">
        <f t="shared" si="202"/>
        <v/>
      </c>
      <c r="K81" s="9" t="str">
        <f t="shared" si="203"/>
        <v/>
      </c>
      <c r="L81" s="9" t="str">
        <f>IF(NOT(ISERROR(VLOOKUP(B81,Deflatores!G$42:H$64,2,FALSE))),VLOOKUP(B81,Deflatores!G$42:H$64,2,FALSE),IF(OR(ISBLANK(C81),ISBLANK(B81)),"",VLOOKUP(C81,Deflatores!G$4:H$38,2,FALSE)*H81+VLOOKUP(C81,Deflatores!G$4:I$38,3,FALSE)))</f>
        <v/>
      </c>
      <c r="M81" s="10"/>
      <c r="N81" s="10"/>
      <c r="O81" s="6"/>
    </row>
    <row r="82" spans="1:15" ht="15" customHeight="1" x14ac:dyDescent="0.2">
      <c r="A82" s="128" t="s">
        <v>231</v>
      </c>
      <c r="B82" s="4"/>
      <c r="C82" s="4"/>
      <c r="D82" s="7"/>
      <c r="E82" s="7"/>
      <c r="F82" s="8" t="str">
        <f t="shared" ref="F82" si="216">IF(ISBLANK(B82),"",IF(I82="L","Baixa",IF(I82="A","Média",IF(I82="","","Alta"))))</f>
        <v/>
      </c>
      <c r="G82" s="7" t="str">
        <f t="shared" ref="G82" si="217">CONCATENATE(B82,I82)</f>
        <v/>
      </c>
      <c r="H82" s="5" t="str">
        <f t="shared" ref="H82" si="218">IF(ISBLANK(B82),"",IF(B82="ALI",IF(I82="L",7,IF(I82="A",10,15)),IF(B82="AIE",IF(I82="L",5,IF(I82="A",7,10)),IF(B82="SE",IF(I82="L",4,IF(I82="A",5,7)),IF(OR(B82="EE",B82="CE"),IF(I82="L",3,IF(I82="A",4,6)),0)))))</f>
        <v/>
      </c>
      <c r="I82" s="122" t="str">
        <f t="shared" ref="I82" si="219">IF(OR(ISBLANK(D82),ISBLANK(E82)),IF(OR(B82="ALI",B82="AIE"),"L",IF(OR(B82="EE",B82="SE",B82="CE"),"A","")),IF(B82="EE",IF(E82&gt;=3,IF(D82&gt;=5,"H","A"),IF(E82&gt;=2,IF(D82&gt;=16,"H",IF(D82&lt;=4,"L","A")),IF(D82&lt;=15,"L","A"))),IF(OR(B82="SE",B82="CE"),IF(E82&gt;=4,IF(D82&gt;=6,"H","A"),IF(E82&gt;=2,IF(D82&gt;=20,"H",IF(D82&lt;=5,"L","A")),IF(D82&lt;=19,"L","A"))),IF(OR(B82="ALI",B82="AIE"),IF(E82&gt;=6,IF(D82&gt;=20,"H","A"),IF(E82&gt;=2,IF(D82&gt;=51,"H",IF(D82&lt;=19,"L","A")),IF(D82&lt;=50,"L","A"))),""))))</f>
        <v/>
      </c>
      <c r="J82" s="7" t="str">
        <f t="shared" ref="J82" si="220">CONCATENATE(B82,C82)</f>
        <v/>
      </c>
      <c r="K82" s="9" t="str">
        <f t="shared" ref="K82" si="221">IF(OR(H82="",H82=0),L82,H82)</f>
        <v/>
      </c>
      <c r="L82" s="9" t="str">
        <f>IF(NOT(ISERROR(VLOOKUP(B82,Deflatores!G$42:H$64,2,FALSE))),VLOOKUP(B82,Deflatores!G$42:H$64,2,FALSE),IF(OR(ISBLANK(C82),ISBLANK(B82)),"",VLOOKUP(C82,Deflatores!G$4:H$38,2,FALSE)*H82+VLOOKUP(C82,Deflatores!G$4:I$38,3,FALSE)))</f>
        <v/>
      </c>
      <c r="M82" s="10"/>
      <c r="N82" s="10"/>
      <c r="O82" s="6"/>
    </row>
    <row r="83" spans="1:15" x14ac:dyDescent="0.2">
      <c r="A83" s="126" t="s">
        <v>232</v>
      </c>
      <c r="B83" s="4" t="s">
        <v>100</v>
      </c>
      <c r="C83" s="4" t="s">
        <v>41</v>
      </c>
      <c r="D83" s="7"/>
      <c r="E83" s="7"/>
      <c r="F83" s="8" t="str">
        <f t="shared" si="198"/>
        <v>Média</v>
      </c>
      <c r="G83" s="7" t="str">
        <f t="shared" si="199"/>
        <v>EEA</v>
      </c>
      <c r="H83" s="5">
        <f t="shared" si="200"/>
        <v>4</v>
      </c>
      <c r="I83" s="122" t="str">
        <f t="shared" si="201"/>
        <v>A</v>
      </c>
      <c r="J83" s="7" t="str">
        <f t="shared" si="202"/>
        <v>EEI</v>
      </c>
      <c r="K83" s="9">
        <f t="shared" si="203"/>
        <v>4</v>
      </c>
      <c r="L83" s="9">
        <f>IF(NOT(ISERROR(VLOOKUP(B83,Deflatores!G$42:H$64,2,FALSE))),VLOOKUP(B83,Deflatores!G$42:H$64,2,FALSE),IF(OR(ISBLANK(C83),ISBLANK(B83)),"",VLOOKUP(C83,Deflatores!G$4:H$38,2,FALSE)*H83+VLOOKUP(C83,Deflatores!G$4:I$38,3,FALSE)))</f>
        <v>4</v>
      </c>
      <c r="M83" s="133"/>
      <c r="N83" s="10"/>
      <c r="O83" s="6"/>
    </row>
    <row r="84" spans="1:15" x14ac:dyDescent="0.2">
      <c r="A84" s="126" t="s">
        <v>233</v>
      </c>
      <c r="B84" s="4" t="s">
        <v>102</v>
      </c>
      <c r="C84" s="4" t="s">
        <v>41</v>
      </c>
      <c r="D84" s="7"/>
      <c r="E84" s="7"/>
      <c r="F84" s="8" t="str">
        <f t="shared" si="198"/>
        <v>Média</v>
      </c>
      <c r="G84" s="7" t="str">
        <f t="shared" si="199"/>
        <v>CEA</v>
      </c>
      <c r="H84" s="5">
        <f t="shared" si="200"/>
        <v>4</v>
      </c>
      <c r="I84" s="122" t="str">
        <f t="shared" si="201"/>
        <v>A</v>
      </c>
      <c r="J84" s="7" t="str">
        <f t="shared" si="202"/>
        <v>CEI</v>
      </c>
      <c r="K84" s="9">
        <f t="shared" si="203"/>
        <v>4</v>
      </c>
      <c r="L84" s="9">
        <f>IF(NOT(ISERROR(VLOOKUP(B84,Deflatores!G$42:H$64,2,FALSE))),VLOOKUP(B84,Deflatores!G$42:H$64,2,FALSE),IF(OR(ISBLANK(C84),ISBLANK(B84)),"",VLOOKUP(C84,Deflatores!G$4:H$38,2,FALSE)*H84+VLOOKUP(C84,Deflatores!G$4:I$38,3,FALSE)))</f>
        <v>4</v>
      </c>
      <c r="M84" s="133"/>
      <c r="N84" s="10"/>
      <c r="O84" s="6"/>
    </row>
    <row r="85" spans="1:15" x14ac:dyDescent="0.2">
      <c r="A85" s="126" t="s">
        <v>234</v>
      </c>
      <c r="B85" s="4" t="s">
        <v>100</v>
      </c>
      <c r="C85" s="4" t="s">
        <v>41</v>
      </c>
      <c r="D85" s="7"/>
      <c r="E85" s="7"/>
      <c r="F85" s="8" t="str">
        <f t="shared" si="198"/>
        <v>Média</v>
      </c>
      <c r="G85" s="7" t="str">
        <f t="shared" si="199"/>
        <v>EEA</v>
      </c>
      <c r="H85" s="5">
        <f t="shared" si="200"/>
        <v>4</v>
      </c>
      <c r="I85" s="122" t="str">
        <f t="shared" si="201"/>
        <v>A</v>
      </c>
      <c r="J85" s="7" t="str">
        <f t="shared" si="202"/>
        <v>EEI</v>
      </c>
      <c r="K85" s="9">
        <f t="shared" si="203"/>
        <v>4</v>
      </c>
      <c r="L85" s="9">
        <f>IF(NOT(ISERROR(VLOOKUP(B85,Deflatores!G$42:H$64,2,FALSE))),VLOOKUP(B85,Deflatores!G$42:H$64,2,FALSE),IF(OR(ISBLANK(C85),ISBLANK(B85)),"",VLOOKUP(C85,Deflatores!G$4:H$38,2,FALSE)*H85+VLOOKUP(C85,Deflatores!G$4:I$38,3,FALSE)))</f>
        <v>4</v>
      </c>
      <c r="M85" s="133"/>
      <c r="N85" s="10"/>
      <c r="O85" s="6"/>
    </row>
    <row r="86" spans="1:15" x14ac:dyDescent="0.2">
      <c r="A86" s="126" t="s">
        <v>235</v>
      </c>
      <c r="B86" s="4" t="s">
        <v>100</v>
      </c>
      <c r="C86" s="4" t="s">
        <v>41</v>
      </c>
      <c r="D86" s="7"/>
      <c r="E86" s="7"/>
      <c r="F86" s="8" t="str">
        <f t="shared" si="0"/>
        <v>Média</v>
      </c>
      <c r="G86" s="7" t="str">
        <f t="shared" si="1"/>
        <v>EEA</v>
      </c>
      <c r="H86" s="5">
        <f t="shared" si="2"/>
        <v>4</v>
      </c>
      <c r="I86" s="122" t="str">
        <f t="shared" si="3"/>
        <v>A</v>
      </c>
      <c r="J86" s="7" t="str">
        <f t="shared" si="4"/>
        <v>EEI</v>
      </c>
      <c r="K86" s="9">
        <f t="shared" si="5"/>
        <v>4</v>
      </c>
      <c r="L86" s="9">
        <f>IF(NOT(ISERROR(VLOOKUP(B86,Deflatores!G$42:H$64,2,FALSE))),VLOOKUP(B86,Deflatores!G$42:H$64,2,FALSE),IF(OR(ISBLANK(C86),ISBLANK(B86)),"",VLOOKUP(C86,Deflatores!G$4:H$38,2,FALSE)*H86+VLOOKUP(C86,Deflatores!G$4:I$38,3,FALSE)))</f>
        <v>4</v>
      </c>
      <c r="M86" s="133"/>
      <c r="N86" s="10"/>
      <c r="O86" s="6"/>
    </row>
    <row r="87" spans="1:15" x14ac:dyDescent="0.2">
      <c r="A87" s="126" t="s">
        <v>236</v>
      </c>
      <c r="B87" s="4" t="s">
        <v>100</v>
      </c>
      <c r="C87" s="4" t="s">
        <v>41</v>
      </c>
      <c r="D87" s="7"/>
      <c r="E87" s="7"/>
      <c r="F87" s="8" t="str">
        <f t="shared" si="0"/>
        <v>Média</v>
      </c>
      <c r="G87" s="7" t="str">
        <f t="shared" si="1"/>
        <v>EEA</v>
      </c>
      <c r="H87" s="5">
        <f t="shared" si="2"/>
        <v>4</v>
      </c>
      <c r="I87" s="122" t="str">
        <f t="shared" si="3"/>
        <v>A</v>
      </c>
      <c r="J87" s="7" t="str">
        <f t="shared" si="4"/>
        <v>EEI</v>
      </c>
      <c r="K87" s="9">
        <f t="shared" si="5"/>
        <v>4</v>
      </c>
      <c r="L87" s="9">
        <f>IF(NOT(ISERROR(VLOOKUP(B87,Deflatores!G$42:H$64,2,FALSE))),VLOOKUP(B87,Deflatores!G$42:H$64,2,FALSE),IF(OR(ISBLANK(C87),ISBLANK(B87)),"",VLOOKUP(C87,Deflatores!G$4:H$38,2,FALSE)*H87+VLOOKUP(C87,Deflatores!G$4:I$38,3,FALSE)))</f>
        <v>4</v>
      </c>
      <c r="M87" s="133"/>
      <c r="N87" s="10"/>
      <c r="O87" s="6"/>
    </row>
    <row r="88" spans="1:15" ht="13.5" customHeight="1" x14ac:dyDescent="0.2">
      <c r="A88" s="126"/>
      <c r="B88" s="4"/>
      <c r="C88" s="4"/>
      <c r="D88" s="7"/>
      <c r="E88" s="7"/>
      <c r="F88" s="8" t="str">
        <f t="shared" ref="F88:F89" si="222">IF(ISBLANK(B88),"",IF(I88="L","Baixa",IF(I88="A","Média",IF(I88="","","Alta"))))</f>
        <v/>
      </c>
      <c r="G88" s="7" t="str">
        <f t="shared" ref="G88:G89" si="223">CONCATENATE(B88,I88)</f>
        <v/>
      </c>
      <c r="H88" s="5" t="str">
        <f t="shared" ref="H88:H89" si="224">IF(ISBLANK(B88),"",IF(B88="ALI",IF(I88="L",7,IF(I88="A",10,15)),IF(B88="AIE",IF(I88="L",5,IF(I88="A",7,10)),IF(B88="SE",IF(I88="L",4,IF(I88="A",5,7)),IF(OR(B88="EE",B88="CE"),IF(I88="L",3,IF(I88="A",4,6)),0)))))</f>
        <v/>
      </c>
      <c r="I88" s="122" t="str">
        <f t="shared" ref="I88:I89" si="225">IF(OR(ISBLANK(D88),ISBLANK(E88)),IF(OR(B88="ALI",B88="AIE"),"L",IF(OR(B88="EE",B88="SE",B88="CE"),"A","")),IF(B88="EE",IF(E88&gt;=3,IF(D88&gt;=5,"H","A"),IF(E88&gt;=2,IF(D88&gt;=16,"H",IF(D88&lt;=4,"L","A")),IF(D88&lt;=15,"L","A"))),IF(OR(B88="SE",B88="CE"),IF(E88&gt;=4,IF(D88&gt;=6,"H","A"),IF(E88&gt;=2,IF(D88&gt;=20,"H",IF(D88&lt;=5,"L","A")),IF(D88&lt;=19,"L","A"))),IF(OR(B88="ALI",B88="AIE"),IF(E88&gt;=6,IF(D88&gt;=20,"H","A"),IF(E88&gt;=2,IF(D88&gt;=51,"H",IF(D88&lt;=19,"L","A")),IF(D88&lt;=50,"L","A"))),""))))</f>
        <v/>
      </c>
      <c r="J88" s="7" t="str">
        <f t="shared" ref="J88:J89" si="226">CONCATENATE(B88,C88)</f>
        <v/>
      </c>
      <c r="K88" s="9" t="str">
        <f t="shared" ref="K88:K89" si="227">IF(OR(H88="",H88=0),L88,H88)</f>
        <v/>
      </c>
      <c r="L88" s="9" t="str">
        <f>IF(NOT(ISERROR(VLOOKUP(B88,Deflatores!G$42:H$64,2,FALSE))),VLOOKUP(B88,Deflatores!G$42:H$64,2,FALSE),IF(OR(ISBLANK(C88),ISBLANK(B88)),"",VLOOKUP(C88,Deflatores!G$4:H$38,2,FALSE)*H88+VLOOKUP(C88,Deflatores!G$4:I$38,3,FALSE)))</f>
        <v/>
      </c>
      <c r="M88" s="133"/>
      <c r="N88" s="10"/>
      <c r="O88" s="6"/>
    </row>
    <row r="89" spans="1:15" ht="15.75" customHeight="1" x14ac:dyDescent="0.2">
      <c r="A89" s="128" t="s">
        <v>237</v>
      </c>
      <c r="B89" s="4"/>
      <c r="C89" s="4"/>
      <c r="D89" s="7"/>
      <c r="E89" s="7"/>
      <c r="F89" s="8" t="str">
        <f t="shared" si="222"/>
        <v/>
      </c>
      <c r="G89" s="7" t="str">
        <f t="shared" si="223"/>
        <v/>
      </c>
      <c r="H89" s="5" t="str">
        <f t="shared" si="224"/>
        <v/>
      </c>
      <c r="I89" s="122" t="str">
        <f t="shared" si="225"/>
        <v/>
      </c>
      <c r="J89" s="7" t="str">
        <f t="shared" si="226"/>
        <v/>
      </c>
      <c r="K89" s="9" t="str">
        <f t="shared" si="227"/>
        <v/>
      </c>
      <c r="L89" s="9" t="str">
        <f>IF(NOT(ISERROR(VLOOKUP(B89,Deflatores!G$42:H$64,2,FALSE))),VLOOKUP(B89,Deflatores!G$42:H$64,2,FALSE),IF(OR(ISBLANK(C89),ISBLANK(B89)),"",VLOOKUP(C89,Deflatores!G$4:H$38,2,FALSE)*H89+VLOOKUP(C89,Deflatores!G$4:I$38,3,FALSE)))</f>
        <v/>
      </c>
      <c r="M89" s="133"/>
      <c r="N89" s="10"/>
      <c r="O89" s="6"/>
    </row>
    <row r="90" spans="1:15" x14ac:dyDescent="0.2">
      <c r="A90" s="126" t="s">
        <v>238</v>
      </c>
      <c r="B90" s="4" t="s">
        <v>100</v>
      </c>
      <c r="C90" s="4" t="s">
        <v>41</v>
      </c>
      <c r="D90" s="7"/>
      <c r="E90" s="7"/>
      <c r="F90" s="8" t="str">
        <f t="shared" ref="F90" si="228">IF(ISBLANK(B90),"",IF(I90="L","Baixa",IF(I90="A","Média",IF(I90="","","Alta"))))</f>
        <v>Média</v>
      </c>
      <c r="G90" s="7" t="str">
        <f t="shared" ref="G90" si="229">CONCATENATE(B90,I90)</f>
        <v>EEA</v>
      </c>
      <c r="H90" s="5">
        <f t="shared" ref="H90" si="230">IF(ISBLANK(B90),"",IF(B90="ALI",IF(I90="L",7,IF(I90="A",10,15)),IF(B90="AIE",IF(I90="L",5,IF(I90="A",7,10)),IF(B90="SE",IF(I90="L",4,IF(I90="A",5,7)),IF(OR(B90="EE",B90="CE"),IF(I90="L",3,IF(I90="A",4,6)),0)))))</f>
        <v>4</v>
      </c>
      <c r="I90" s="122" t="str">
        <f t="shared" ref="I90" si="231">IF(OR(ISBLANK(D90),ISBLANK(E90)),IF(OR(B90="ALI",B90="AIE"),"L",IF(OR(B90="EE",B90="SE",B90="CE"),"A","")),IF(B90="EE",IF(E90&gt;=3,IF(D90&gt;=5,"H","A"),IF(E90&gt;=2,IF(D90&gt;=16,"H",IF(D90&lt;=4,"L","A")),IF(D90&lt;=15,"L","A"))),IF(OR(B90="SE",B90="CE"),IF(E90&gt;=4,IF(D90&gt;=6,"H","A"),IF(E90&gt;=2,IF(D90&gt;=20,"H",IF(D90&lt;=5,"L","A")),IF(D90&lt;=19,"L","A"))),IF(OR(B90="ALI",B90="AIE"),IF(E90&gt;=6,IF(D90&gt;=20,"H","A"),IF(E90&gt;=2,IF(D90&gt;=51,"H",IF(D90&lt;=19,"L","A")),IF(D90&lt;=50,"L","A"))),""))))</f>
        <v>A</v>
      </c>
      <c r="J90" s="7" t="str">
        <f t="shared" ref="J90" si="232">CONCATENATE(B90,C90)</f>
        <v>EEI</v>
      </c>
      <c r="K90" s="9">
        <f t="shared" ref="K90" si="233">IF(OR(H90="",H90=0),L90,H90)</f>
        <v>4</v>
      </c>
      <c r="L90" s="9">
        <f>IF(NOT(ISERROR(VLOOKUP(B90,Deflatores!G$42:H$64,2,FALSE))),VLOOKUP(B90,Deflatores!G$42:H$64,2,FALSE),IF(OR(ISBLANK(C90),ISBLANK(B90)),"",VLOOKUP(C90,Deflatores!G$4:H$38,2,FALSE)*H90+VLOOKUP(C90,Deflatores!G$4:I$38,3,FALSE)))</f>
        <v>4</v>
      </c>
      <c r="M90" s="133"/>
      <c r="N90" s="10"/>
      <c r="O90" s="6"/>
    </row>
    <row r="91" spans="1:15" x14ac:dyDescent="0.2">
      <c r="A91" s="126" t="s">
        <v>239</v>
      </c>
      <c r="B91" s="4" t="s">
        <v>102</v>
      </c>
      <c r="C91" s="4" t="s">
        <v>41</v>
      </c>
      <c r="D91" s="7"/>
      <c r="E91" s="7"/>
      <c r="F91" s="8" t="str">
        <f t="shared" si="0"/>
        <v>Média</v>
      </c>
      <c r="G91" s="7" t="str">
        <f t="shared" si="1"/>
        <v>CEA</v>
      </c>
      <c r="H91" s="5">
        <f t="shared" si="2"/>
        <v>4</v>
      </c>
      <c r="I91" s="122" t="str">
        <f t="shared" si="3"/>
        <v>A</v>
      </c>
      <c r="J91" s="7" t="str">
        <f t="shared" si="4"/>
        <v>CEI</v>
      </c>
      <c r="K91" s="9">
        <f t="shared" si="5"/>
        <v>4</v>
      </c>
      <c r="L91" s="9">
        <f>IF(NOT(ISERROR(VLOOKUP(B91,Deflatores!G$42:H$64,2,FALSE))),VLOOKUP(B91,Deflatores!G$42:H$64,2,FALSE),IF(OR(ISBLANK(C91),ISBLANK(B91)),"",VLOOKUP(C91,Deflatores!G$4:H$38,2,FALSE)*H91+VLOOKUP(C91,Deflatores!G$4:I$38,3,FALSE)))</f>
        <v>4</v>
      </c>
      <c r="M91" s="133"/>
      <c r="N91" s="10"/>
      <c r="O91" s="6"/>
    </row>
    <row r="92" spans="1:15" x14ac:dyDescent="0.2">
      <c r="A92" s="126" t="s">
        <v>240</v>
      </c>
      <c r="B92" s="4" t="s">
        <v>102</v>
      </c>
      <c r="C92" s="4" t="s">
        <v>41</v>
      </c>
      <c r="D92" s="7"/>
      <c r="E92" s="7"/>
      <c r="F92" s="8" t="str">
        <f t="shared" si="0"/>
        <v>Média</v>
      </c>
      <c r="G92" s="7" t="str">
        <f t="shared" si="1"/>
        <v>CEA</v>
      </c>
      <c r="H92" s="5">
        <f t="shared" si="2"/>
        <v>4</v>
      </c>
      <c r="I92" s="122" t="str">
        <f t="shared" si="3"/>
        <v>A</v>
      </c>
      <c r="J92" s="7" t="str">
        <f t="shared" si="4"/>
        <v>CEI</v>
      </c>
      <c r="K92" s="9">
        <f t="shared" si="5"/>
        <v>4</v>
      </c>
      <c r="L92" s="9">
        <f>IF(NOT(ISERROR(VLOOKUP(B92,Deflatores!G$42:H$64,2,FALSE))),VLOOKUP(B92,Deflatores!G$42:H$64,2,FALSE),IF(OR(ISBLANK(C92),ISBLANK(B92)),"",VLOOKUP(C92,Deflatores!G$4:H$38,2,FALSE)*H92+VLOOKUP(C92,Deflatores!G$4:I$38,3,FALSE)))</f>
        <v>4</v>
      </c>
      <c r="M92" s="10"/>
      <c r="N92" s="10"/>
      <c r="O92" s="6"/>
    </row>
    <row r="93" spans="1:15" x14ac:dyDescent="0.2">
      <c r="A93" s="126"/>
      <c r="B93" s="4"/>
      <c r="C93" s="4"/>
      <c r="D93" s="7"/>
      <c r="E93" s="7"/>
      <c r="F93" s="8" t="str">
        <f t="shared" si="0"/>
        <v/>
      </c>
      <c r="G93" s="7" t="str">
        <f t="shared" si="1"/>
        <v/>
      </c>
      <c r="H93" s="5" t="str">
        <f t="shared" si="2"/>
        <v/>
      </c>
      <c r="I93" s="122" t="str">
        <f t="shared" si="3"/>
        <v/>
      </c>
      <c r="J93" s="7" t="str">
        <f t="shared" si="4"/>
        <v/>
      </c>
      <c r="K93" s="9" t="str">
        <f t="shared" si="5"/>
        <v/>
      </c>
      <c r="L93" s="9" t="str">
        <f>IF(NOT(ISERROR(VLOOKUP(B93,Deflatores!G$42:H$64,2,FALSE))),VLOOKUP(B93,Deflatores!G$42:H$64,2,FALSE),IF(OR(ISBLANK(C93),ISBLANK(B93)),"",VLOOKUP(C93,Deflatores!G$4:H$38,2,FALSE)*H93+VLOOKUP(C93,Deflatores!G$4:I$38,3,FALSE)))</f>
        <v/>
      </c>
      <c r="M93" s="10"/>
      <c r="N93" s="10"/>
      <c r="O93" s="6"/>
    </row>
    <row r="94" spans="1:15" x14ac:dyDescent="0.2">
      <c r="A94" s="128" t="s">
        <v>241</v>
      </c>
      <c r="B94" s="4"/>
      <c r="C94" s="4"/>
      <c r="D94" s="7"/>
      <c r="E94" s="7"/>
      <c r="F94" s="8" t="str">
        <f t="shared" ref="F94" si="234">IF(ISBLANK(B94),"",IF(I94="L","Baixa",IF(I94="A","Média",IF(I94="","","Alta"))))</f>
        <v/>
      </c>
      <c r="G94" s="7" t="str">
        <f t="shared" ref="G94" si="235">CONCATENATE(B94,I94)</f>
        <v/>
      </c>
      <c r="H94" s="5" t="str">
        <f t="shared" ref="H94" si="236">IF(ISBLANK(B94),"",IF(B94="ALI",IF(I94="L",7,IF(I94="A",10,15)),IF(B94="AIE",IF(I94="L",5,IF(I94="A",7,10)),IF(B94="SE",IF(I94="L",4,IF(I94="A",5,7)),IF(OR(B94="EE",B94="CE"),IF(I94="L",3,IF(I94="A",4,6)),0)))))</f>
        <v/>
      </c>
      <c r="I94" s="122" t="str">
        <f t="shared" ref="I94" si="237">IF(OR(ISBLANK(D94),ISBLANK(E94)),IF(OR(B94="ALI",B94="AIE"),"L",IF(OR(B94="EE",B94="SE",B94="CE"),"A","")),IF(B94="EE",IF(E94&gt;=3,IF(D94&gt;=5,"H","A"),IF(E94&gt;=2,IF(D94&gt;=16,"H",IF(D94&lt;=4,"L","A")),IF(D94&lt;=15,"L","A"))),IF(OR(B94="SE",B94="CE"),IF(E94&gt;=4,IF(D94&gt;=6,"H","A"),IF(E94&gt;=2,IF(D94&gt;=20,"H",IF(D94&lt;=5,"L","A")),IF(D94&lt;=19,"L","A"))),IF(OR(B94="ALI",B94="AIE"),IF(E94&gt;=6,IF(D94&gt;=20,"H","A"),IF(E94&gt;=2,IF(D94&gt;=51,"H",IF(D94&lt;=19,"L","A")),IF(D94&lt;=50,"L","A"))),""))))</f>
        <v/>
      </c>
      <c r="J94" s="7" t="str">
        <f t="shared" ref="J94" si="238">CONCATENATE(B94,C94)</f>
        <v/>
      </c>
      <c r="K94" s="9" t="str">
        <f t="shared" ref="K94" si="239">IF(OR(H94="",H94=0),L94,H94)</f>
        <v/>
      </c>
      <c r="L94" s="9" t="str">
        <f>IF(NOT(ISERROR(VLOOKUP(B94,Deflatores!G$42:H$64,2,FALSE))),VLOOKUP(B94,Deflatores!G$42:H$64,2,FALSE),IF(OR(ISBLANK(C94),ISBLANK(B94)),"",VLOOKUP(C94,Deflatores!G$4:H$38,2,FALSE)*H94+VLOOKUP(C94,Deflatores!G$4:I$38,3,FALSE)))</f>
        <v/>
      </c>
      <c r="M94" s="10"/>
      <c r="N94" s="10"/>
      <c r="O94" s="6"/>
    </row>
    <row r="95" spans="1:15" x14ac:dyDescent="0.2">
      <c r="A95" s="126" t="s">
        <v>242</v>
      </c>
      <c r="B95" s="4" t="s">
        <v>102</v>
      </c>
      <c r="C95" s="4" t="s">
        <v>41</v>
      </c>
      <c r="D95" s="7"/>
      <c r="E95" s="7"/>
      <c r="F95" s="8" t="str">
        <f t="shared" si="0"/>
        <v>Média</v>
      </c>
      <c r="G95" s="7" t="str">
        <f t="shared" si="1"/>
        <v>CEA</v>
      </c>
      <c r="H95" s="5">
        <f t="shared" si="2"/>
        <v>4</v>
      </c>
      <c r="I95" s="122" t="str">
        <f t="shared" si="3"/>
        <v>A</v>
      </c>
      <c r="J95" s="7" t="str">
        <f t="shared" si="4"/>
        <v>CEI</v>
      </c>
      <c r="K95" s="9">
        <f t="shared" si="5"/>
        <v>4</v>
      </c>
      <c r="L95" s="9">
        <f>IF(NOT(ISERROR(VLOOKUP(B95,Deflatores!G$42:H$64,2,FALSE))),VLOOKUP(B95,Deflatores!G$42:H$64,2,FALSE),IF(OR(ISBLANK(C95),ISBLANK(B95)),"",VLOOKUP(C95,Deflatores!G$4:H$38,2,FALSE)*H95+VLOOKUP(C95,Deflatores!G$4:I$38,3,FALSE)))</f>
        <v>4</v>
      </c>
      <c r="M95" s="10"/>
      <c r="N95" s="10"/>
      <c r="O95" s="6"/>
    </row>
    <row r="96" spans="1:15" x14ac:dyDescent="0.2">
      <c r="A96" s="126" t="s">
        <v>243</v>
      </c>
      <c r="B96" s="4" t="s">
        <v>102</v>
      </c>
      <c r="C96" s="4" t="s">
        <v>41</v>
      </c>
      <c r="D96" s="7"/>
      <c r="E96" s="7"/>
      <c r="F96" s="8" t="str">
        <f>IF(ISBLANK(B96),"",IF(I96="L","Baixa",IF(I96="A","Média",IF(I96="","","Alta"))))</f>
        <v>Média</v>
      </c>
      <c r="G96" s="7" t="str">
        <f>CONCATENATE(B96,I96)</f>
        <v>CEA</v>
      </c>
      <c r="H96" s="5">
        <f>IF(ISBLANK(B96),"",IF(B96="ALI",IF(I96="L",7,IF(I96="A",10,15)),IF(B96="AIE",IF(I96="L",5,IF(I96="A",7,10)),IF(B96="SE",IF(I96="L",4,IF(I96="A",5,7)),IF(OR(B96="EE",B96="CE"),IF(I96="L",3,IF(I96="A",4,6)),0)))))</f>
        <v>4</v>
      </c>
      <c r="I96" s="122" t="str">
        <f>IF(OR(ISBLANK(D96),ISBLANK(E96)),IF(OR(B96="ALI",B96="AIE"),"L",IF(OR(B96="EE",B96="SE",B96="CE"),"A","")),IF(B96="EE",IF(E96&gt;=3,IF(D96&gt;=5,"H","A"),IF(E96&gt;=2,IF(D96&gt;=16,"H",IF(D96&lt;=4,"L","A")),IF(D96&lt;=15,"L","A"))),IF(OR(B96="SE",B96="CE"),IF(E96&gt;=4,IF(D96&gt;=6,"H","A"),IF(E96&gt;=2,IF(D96&gt;=20,"H",IF(D96&lt;=5,"L","A")),IF(D96&lt;=19,"L","A"))),IF(OR(B96="ALI",B96="AIE"),IF(E96&gt;=6,IF(D96&gt;=20,"H","A"),IF(E96&gt;=2,IF(D96&gt;=51,"H",IF(D96&lt;=19,"L","A")),IF(D96&lt;=50,"L","A"))),""))))</f>
        <v>A</v>
      </c>
      <c r="J96" s="7" t="str">
        <f>CONCATENATE(B96,C96)</f>
        <v>CEI</v>
      </c>
      <c r="K96" s="9">
        <f>IF(OR(H96="",H96=0),L96,H96)</f>
        <v>4</v>
      </c>
      <c r="L96" s="9">
        <f>IF(NOT(ISERROR(VLOOKUP(B96,Deflatores!G$42:H$64,2,FALSE))),VLOOKUP(B96,Deflatores!G$42:H$64,2,FALSE),IF(OR(ISBLANK(C96),ISBLANK(B96)),"",VLOOKUP(C96,Deflatores!G$4:H$38,2,FALSE)*H96+VLOOKUP(C96,Deflatores!G$4:I$38,3,FALSE)))</f>
        <v>4</v>
      </c>
      <c r="M96" s="133"/>
      <c r="N96" s="10"/>
      <c r="O96" s="6"/>
    </row>
    <row r="97" spans="1:15" x14ac:dyDescent="0.2">
      <c r="A97" s="128"/>
      <c r="B97" s="4"/>
      <c r="C97" s="4"/>
      <c r="D97" s="7"/>
      <c r="E97" s="7"/>
      <c r="F97" s="8" t="str">
        <f>IF(ISBLANK(B97),"",IF(I97="L","Baixa",IF(I97="A","Média",IF(I97="","","Alta"))))</f>
        <v/>
      </c>
      <c r="G97" s="7" t="str">
        <f>CONCATENATE(B97,I97)</f>
        <v/>
      </c>
      <c r="H97" s="5" t="str">
        <f>IF(ISBLANK(B97),"",IF(B97="ALI",IF(I97="L",7,IF(I97="A",10,15)),IF(B97="AIE",IF(I97="L",5,IF(I97="A",7,10)),IF(B97="SE",IF(I97="L",4,IF(I97="A",5,7)),IF(OR(B97="EE",B97="CE"),IF(I97="L",3,IF(I97="A",4,6)),0)))))</f>
        <v/>
      </c>
      <c r="I97" s="122" t="str">
        <f>IF(OR(ISBLANK(D97),ISBLANK(E97)),IF(OR(B97="ALI",B97="AIE"),"L",IF(OR(B97="EE",B97="SE",B97="CE"),"A","")),IF(B97="EE",IF(E97&gt;=3,IF(D97&gt;=5,"H","A"),IF(E97&gt;=2,IF(D97&gt;=16,"H",IF(D97&lt;=4,"L","A")),IF(D97&lt;=15,"L","A"))),IF(OR(B97="SE",B97="CE"),IF(E97&gt;=4,IF(D97&gt;=6,"H","A"),IF(E97&gt;=2,IF(D97&gt;=20,"H",IF(D97&lt;=5,"L","A")),IF(D97&lt;=19,"L","A"))),IF(OR(B97="ALI",B97="AIE"),IF(E97&gt;=6,IF(D97&gt;=20,"H","A"),IF(E97&gt;=2,IF(D97&gt;=51,"H",IF(D97&lt;=19,"L","A")),IF(D97&lt;=50,"L","A"))),""))))</f>
        <v/>
      </c>
      <c r="J97" s="7" t="str">
        <f>CONCATENATE(B97,C97)</f>
        <v/>
      </c>
      <c r="K97" s="9" t="str">
        <f>IF(OR(H97="",H97=0),L97,H97)</f>
        <v/>
      </c>
      <c r="L97" s="9" t="str">
        <f>IF(NOT(ISERROR(VLOOKUP(B97,Deflatores!G$42:H$64,2,FALSE))),VLOOKUP(B97,Deflatores!G$42:H$64,2,FALSE),IF(OR(ISBLANK(C97),ISBLANK(B97)),"",VLOOKUP(C97,Deflatores!G$4:H$38,2,FALSE)*H97+VLOOKUP(C97,Deflatores!G$4:I$38,3,FALSE)))</f>
        <v/>
      </c>
      <c r="M97" s="133"/>
      <c r="N97" s="10"/>
      <c r="O97" s="6"/>
    </row>
    <row r="98" spans="1:15" ht="25.5" x14ac:dyDescent="0.2">
      <c r="A98" s="128" t="s">
        <v>244</v>
      </c>
      <c r="B98" s="4"/>
      <c r="C98" s="4"/>
      <c r="D98" s="7"/>
      <c r="E98" s="7"/>
      <c r="F98" s="8" t="str">
        <f>IF(ISBLANK(B98),"",IF(I98="L","Baixa",IF(I98="A","Média",IF(I98="","","Alta"))))</f>
        <v/>
      </c>
      <c r="G98" s="7" t="str">
        <f>CONCATENATE(B98,I98)</f>
        <v/>
      </c>
      <c r="H98" s="5" t="str">
        <f>IF(ISBLANK(B98),"",IF(B98="ALI",IF(I98="L",7,IF(I98="A",10,15)),IF(B98="AIE",IF(I98="L",5,IF(I98="A",7,10)),IF(B98="SE",IF(I98="L",4,IF(I98="A",5,7)),IF(OR(B98="EE",B98="CE"),IF(I98="L",3,IF(I98="A",4,6)),0)))))</f>
        <v/>
      </c>
      <c r="I98" s="122" t="str">
        <f>IF(OR(ISBLANK(D98),ISBLANK(E98)),IF(OR(B98="ALI",B98="AIE"),"L",IF(OR(B98="EE",B98="SE",B98="CE"),"A","")),IF(B98="EE",IF(E98&gt;=3,IF(D98&gt;=5,"H","A"),IF(E98&gt;=2,IF(D98&gt;=16,"H",IF(D98&lt;=4,"L","A")),IF(D98&lt;=15,"L","A"))),IF(OR(B98="SE",B98="CE"),IF(E98&gt;=4,IF(D98&gt;=6,"H","A"),IF(E98&gt;=2,IF(D98&gt;=20,"H",IF(D98&lt;=5,"L","A")),IF(D98&lt;=19,"L","A"))),IF(OR(B98="ALI",B98="AIE"),IF(E98&gt;=6,IF(D98&gt;=20,"H","A"),IF(E98&gt;=2,IF(D98&gt;=51,"H",IF(D98&lt;=19,"L","A")),IF(D98&lt;=50,"L","A"))),""))))</f>
        <v/>
      </c>
      <c r="J98" s="7" t="str">
        <f>CONCATENATE(B98,C98)</f>
        <v/>
      </c>
      <c r="K98" s="9" t="str">
        <f>IF(OR(H98="",H98=0),L98,H98)</f>
        <v/>
      </c>
      <c r="L98" s="9" t="str">
        <f>IF(NOT(ISERROR(VLOOKUP(B98,Deflatores!G$42:H$64,2,FALSE))),VLOOKUP(B98,Deflatores!G$42:H$64,2,FALSE),IF(OR(ISBLANK(C98),ISBLANK(B98)),"",VLOOKUP(C98,Deflatores!G$4:H$38,2,FALSE)*H98+VLOOKUP(C98,Deflatores!G$4:I$38,3,FALSE)))</f>
        <v/>
      </c>
      <c r="M98" s="133"/>
      <c r="N98" s="10"/>
      <c r="O98" s="6"/>
    </row>
    <row r="99" spans="1:15" x14ac:dyDescent="0.2">
      <c r="A99" s="126" t="s">
        <v>245</v>
      </c>
      <c r="B99" s="4" t="s">
        <v>102</v>
      </c>
      <c r="C99" s="4" t="s">
        <v>41</v>
      </c>
      <c r="D99" s="7"/>
      <c r="E99" s="7"/>
      <c r="F99" s="8" t="str">
        <f>IF(ISBLANK(B99),"",IF(I99="L","Baixa",IF(I99="A","Média",IF(I99="","","Alta"))))</f>
        <v>Média</v>
      </c>
      <c r="G99" s="7" t="str">
        <f>CONCATENATE(B99,I99)</f>
        <v>CEA</v>
      </c>
      <c r="H99" s="5">
        <f>IF(ISBLANK(B99),"",IF(B99="ALI",IF(I99="L",7,IF(I99="A",10,15)),IF(B99="AIE",IF(I99="L",5,IF(I99="A",7,10)),IF(B99="SE",IF(I99="L",4,IF(I99="A",5,7)),IF(OR(B99="EE",B99="CE"),IF(I99="L",3,IF(I99="A",4,6)),0)))))</f>
        <v>4</v>
      </c>
      <c r="I99" s="122" t="str">
        <f>IF(OR(ISBLANK(D99),ISBLANK(E99)),IF(OR(B99="ALI",B99="AIE"),"L",IF(OR(B99="EE",B99="SE",B99="CE"),"A","")),IF(B99="EE",IF(E99&gt;=3,IF(D99&gt;=5,"H","A"),IF(E99&gt;=2,IF(D99&gt;=16,"H",IF(D99&lt;=4,"L","A")),IF(D99&lt;=15,"L","A"))),IF(OR(B99="SE",B99="CE"),IF(E99&gt;=4,IF(D99&gt;=6,"H","A"),IF(E99&gt;=2,IF(D99&gt;=20,"H",IF(D99&lt;=5,"L","A")),IF(D99&lt;=19,"L","A"))),IF(OR(B99="ALI",B99="AIE"),IF(E99&gt;=6,IF(D99&gt;=20,"H","A"),IF(E99&gt;=2,IF(D99&gt;=51,"H",IF(D99&lt;=19,"L","A")),IF(D99&lt;=50,"L","A"))),""))))</f>
        <v>A</v>
      </c>
      <c r="J99" s="7" t="str">
        <f>CONCATENATE(B99,C99)</f>
        <v>CEI</v>
      </c>
      <c r="K99" s="9">
        <f>IF(OR(H99="",H99=0),L99,H99)</f>
        <v>4</v>
      </c>
      <c r="L99" s="9">
        <f>IF(NOT(ISERROR(VLOOKUP(B99,Deflatores!G$42:H$64,2,FALSE))),VLOOKUP(B99,Deflatores!G$42:H$64,2,FALSE),IF(OR(ISBLANK(C99),ISBLANK(B99)),"",VLOOKUP(C99,Deflatores!G$4:H$38,2,FALSE)*H99+VLOOKUP(C99,Deflatores!G$4:I$38,3,FALSE)))</f>
        <v>4</v>
      </c>
      <c r="M99" s="133"/>
      <c r="N99" s="10"/>
      <c r="O99" s="6"/>
    </row>
    <row r="100" spans="1:15" x14ac:dyDescent="0.2">
      <c r="A100" s="126" t="s">
        <v>246</v>
      </c>
      <c r="B100" s="4" t="s">
        <v>100</v>
      </c>
      <c r="C100" s="4" t="s">
        <v>41</v>
      </c>
      <c r="D100" s="7"/>
      <c r="E100" s="7"/>
      <c r="F100" s="8" t="str">
        <f t="shared" si="0"/>
        <v>Média</v>
      </c>
      <c r="G100" s="7" t="str">
        <f t="shared" si="1"/>
        <v>EEA</v>
      </c>
      <c r="H100" s="5">
        <f t="shared" si="2"/>
        <v>4</v>
      </c>
      <c r="I100" s="122" t="str">
        <f t="shared" si="3"/>
        <v>A</v>
      </c>
      <c r="J100" s="7" t="str">
        <f t="shared" si="4"/>
        <v>EEI</v>
      </c>
      <c r="K100" s="9">
        <f t="shared" si="5"/>
        <v>4</v>
      </c>
      <c r="L100" s="9">
        <f>IF(NOT(ISERROR(VLOOKUP(B100,Deflatores!G$42:H$64,2,FALSE))),VLOOKUP(B100,Deflatores!G$42:H$64,2,FALSE),IF(OR(ISBLANK(C100),ISBLANK(B100)),"",VLOOKUP(C100,Deflatores!G$4:H$38,2,FALSE)*H100+VLOOKUP(C100,Deflatores!G$4:I$38,3,FALSE)))</f>
        <v>4</v>
      </c>
      <c r="M100" s="133"/>
      <c r="N100" s="10"/>
      <c r="O100" s="6"/>
    </row>
    <row r="101" spans="1:15" x14ac:dyDescent="0.2">
      <c r="A101" s="126"/>
      <c r="B101" s="4"/>
      <c r="C101" s="4"/>
      <c r="D101" s="7"/>
      <c r="E101" s="7"/>
      <c r="F101" s="8" t="str">
        <f t="shared" ref="F101:F103" si="240">IF(ISBLANK(B101),"",IF(I101="L","Baixa",IF(I101="A","Média",IF(I101="","","Alta"))))</f>
        <v/>
      </c>
      <c r="G101" s="7" t="str">
        <f t="shared" ref="G101:G103" si="241">CONCATENATE(B101,I101)</f>
        <v/>
      </c>
      <c r="H101" s="5" t="str">
        <f t="shared" ref="H101:H103" si="242">IF(ISBLANK(B101),"",IF(B101="ALI",IF(I101="L",7,IF(I101="A",10,15)),IF(B101="AIE",IF(I101="L",5,IF(I101="A",7,10)),IF(B101="SE",IF(I101="L",4,IF(I101="A",5,7)),IF(OR(B101="EE",B101="CE"),IF(I101="L",3,IF(I101="A",4,6)),0)))))</f>
        <v/>
      </c>
      <c r="I101" s="122" t="str">
        <f t="shared" ref="I101:I103" si="243">IF(OR(ISBLANK(D101),ISBLANK(E101)),IF(OR(B101="ALI",B101="AIE"),"L",IF(OR(B101="EE",B101="SE",B101="CE"),"A","")),IF(B101="EE",IF(E101&gt;=3,IF(D101&gt;=5,"H","A"),IF(E101&gt;=2,IF(D101&gt;=16,"H",IF(D101&lt;=4,"L","A")),IF(D101&lt;=15,"L","A"))),IF(OR(B101="SE",B101="CE"),IF(E101&gt;=4,IF(D101&gt;=6,"H","A"),IF(E101&gt;=2,IF(D101&gt;=20,"H",IF(D101&lt;=5,"L","A")),IF(D101&lt;=19,"L","A"))),IF(OR(B101="ALI",B101="AIE"),IF(E101&gt;=6,IF(D101&gt;=20,"H","A"),IF(E101&gt;=2,IF(D101&gt;=51,"H",IF(D101&lt;=19,"L","A")),IF(D101&lt;=50,"L","A"))),""))))</f>
        <v/>
      </c>
      <c r="J101" s="7" t="str">
        <f t="shared" ref="J101:J103" si="244">CONCATENATE(B101,C101)</f>
        <v/>
      </c>
      <c r="K101" s="9" t="str">
        <f t="shared" ref="K101:K103" si="245">IF(OR(H101="",H101=0),L101,H101)</f>
        <v/>
      </c>
      <c r="L101" s="9" t="str">
        <f>IF(NOT(ISERROR(VLOOKUP(B101,Deflatores!G$42:H$64,2,FALSE))),VLOOKUP(B101,Deflatores!G$42:H$64,2,FALSE),IF(OR(ISBLANK(C101),ISBLANK(B101)),"",VLOOKUP(C101,Deflatores!G$4:H$38,2,FALSE)*H101+VLOOKUP(C101,Deflatores!G$4:I$38,3,FALSE)))</f>
        <v/>
      </c>
      <c r="M101" s="133"/>
      <c r="N101" s="10"/>
      <c r="O101" s="6"/>
    </row>
    <row r="102" spans="1:15" x14ac:dyDescent="0.2">
      <c r="A102" s="128" t="s">
        <v>247</v>
      </c>
      <c r="B102" s="4"/>
      <c r="C102" s="4"/>
      <c r="D102" s="7"/>
      <c r="E102" s="7"/>
      <c r="F102" s="8" t="str">
        <f t="shared" si="240"/>
        <v/>
      </c>
      <c r="G102" s="7" t="str">
        <f t="shared" si="241"/>
        <v/>
      </c>
      <c r="H102" s="5" t="str">
        <f t="shared" si="242"/>
        <v/>
      </c>
      <c r="I102" s="122" t="str">
        <f t="shared" si="243"/>
        <v/>
      </c>
      <c r="J102" s="7" t="str">
        <f t="shared" si="244"/>
        <v/>
      </c>
      <c r="K102" s="9" t="str">
        <f t="shared" si="245"/>
        <v/>
      </c>
      <c r="L102" s="9" t="str">
        <f>IF(NOT(ISERROR(VLOOKUP(B102,Deflatores!G$42:H$64,2,FALSE))),VLOOKUP(B102,Deflatores!G$42:H$64,2,FALSE),IF(OR(ISBLANK(C102),ISBLANK(B102)),"",VLOOKUP(C102,Deflatores!G$4:H$38,2,FALSE)*H102+VLOOKUP(C102,Deflatores!G$4:I$38,3,FALSE)))</f>
        <v/>
      </c>
      <c r="M102" s="133"/>
      <c r="N102" s="10"/>
      <c r="O102" s="6"/>
    </row>
    <row r="103" spans="1:15" x14ac:dyDescent="0.2">
      <c r="A103" s="126" t="s">
        <v>248</v>
      </c>
      <c r="B103" s="4" t="s">
        <v>103</v>
      </c>
      <c r="C103" s="4" t="s">
        <v>41</v>
      </c>
      <c r="D103" s="7"/>
      <c r="E103" s="7"/>
      <c r="F103" s="8" t="str">
        <f t="shared" si="240"/>
        <v>Média</v>
      </c>
      <c r="G103" s="7" t="str">
        <f t="shared" si="241"/>
        <v>SEA</v>
      </c>
      <c r="H103" s="5">
        <f t="shared" si="242"/>
        <v>5</v>
      </c>
      <c r="I103" s="122" t="str">
        <f t="shared" si="243"/>
        <v>A</v>
      </c>
      <c r="J103" s="7" t="str">
        <f t="shared" si="244"/>
        <v>SEI</v>
      </c>
      <c r="K103" s="9">
        <f t="shared" si="245"/>
        <v>5</v>
      </c>
      <c r="L103" s="9">
        <f>IF(NOT(ISERROR(VLOOKUP(B103,Deflatores!G$42:H$64,2,FALSE))),VLOOKUP(B103,Deflatores!G$42:H$64,2,FALSE),IF(OR(ISBLANK(C103),ISBLANK(B103)),"",VLOOKUP(C103,Deflatores!G$4:H$38,2,FALSE)*H103+VLOOKUP(C103,Deflatores!G$4:I$38,3,FALSE)))</f>
        <v>5</v>
      </c>
      <c r="M103" s="133"/>
      <c r="N103" s="10"/>
      <c r="O103" s="6"/>
    </row>
    <row r="104" spans="1:15" x14ac:dyDescent="0.2">
      <c r="A104" s="126" t="s">
        <v>266</v>
      </c>
      <c r="B104" s="4" t="s">
        <v>103</v>
      </c>
      <c r="C104" s="4" t="s">
        <v>41</v>
      </c>
      <c r="D104" s="7"/>
      <c r="E104" s="7"/>
      <c r="F104" s="8" t="str">
        <f t="shared" ref="F104" si="246">IF(ISBLANK(B104),"",IF(I104="L","Baixa",IF(I104="A","Média",IF(I104="","","Alta"))))</f>
        <v>Média</v>
      </c>
      <c r="G104" s="7" t="str">
        <f t="shared" ref="G104" si="247">CONCATENATE(B104,I104)</f>
        <v>SEA</v>
      </c>
      <c r="H104" s="5">
        <f t="shared" ref="H104" si="248">IF(ISBLANK(B104),"",IF(B104="ALI",IF(I104="L",7,IF(I104="A",10,15)),IF(B104="AIE",IF(I104="L",5,IF(I104="A",7,10)),IF(B104="SE",IF(I104="L",4,IF(I104="A",5,7)),IF(OR(B104="EE",B104="CE"),IF(I104="L",3,IF(I104="A",4,6)),0)))))</f>
        <v>5</v>
      </c>
      <c r="I104" s="122" t="str">
        <f t="shared" ref="I104" si="249">IF(OR(ISBLANK(D104),ISBLANK(E104)),IF(OR(B104="ALI",B104="AIE"),"L",IF(OR(B104="EE",B104="SE",B104="CE"),"A","")),IF(B104="EE",IF(E104&gt;=3,IF(D104&gt;=5,"H","A"),IF(E104&gt;=2,IF(D104&gt;=16,"H",IF(D104&lt;=4,"L","A")),IF(D104&lt;=15,"L","A"))),IF(OR(B104="SE",B104="CE"),IF(E104&gt;=4,IF(D104&gt;=6,"H","A"),IF(E104&gt;=2,IF(D104&gt;=20,"H",IF(D104&lt;=5,"L","A")),IF(D104&lt;=19,"L","A"))),IF(OR(B104="ALI",B104="AIE"),IF(E104&gt;=6,IF(D104&gt;=20,"H","A"),IF(E104&gt;=2,IF(D104&gt;=51,"H",IF(D104&lt;=19,"L","A")),IF(D104&lt;=50,"L","A"))),""))))</f>
        <v>A</v>
      </c>
      <c r="J104" s="7" t="str">
        <f t="shared" ref="J104" si="250">CONCATENATE(B104,C104)</f>
        <v>SEI</v>
      </c>
      <c r="K104" s="9">
        <f t="shared" ref="K104" si="251">IF(OR(H104="",H104=0),L104,H104)</f>
        <v>5</v>
      </c>
      <c r="L104" s="9">
        <f>IF(NOT(ISERROR(VLOOKUP(B104,Deflatores!G$42:H$64,2,FALSE))),VLOOKUP(B104,Deflatores!G$42:H$64,2,FALSE),IF(OR(ISBLANK(C104),ISBLANK(B104)),"",VLOOKUP(C104,Deflatores!G$4:H$38,2,FALSE)*H104+VLOOKUP(C104,Deflatores!G$4:I$38,3,FALSE)))</f>
        <v>5</v>
      </c>
      <c r="M104" s="133"/>
      <c r="N104" s="10"/>
      <c r="O104" s="6"/>
    </row>
    <row r="105" spans="1:15" x14ac:dyDescent="0.2">
      <c r="A105" s="126"/>
      <c r="B105" s="4"/>
      <c r="C105" s="4"/>
      <c r="D105" s="7"/>
      <c r="E105" s="7"/>
      <c r="F105" s="8" t="str">
        <f t="shared" si="0"/>
        <v/>
      </c>
      <c r="G105" s="7" t="str">
        <f t="shared" si="1"/>
        <v/>
      </c>
      <c r="H105" s="5" t="str">
        <f t="shared" si="2"/>
        <v/>
      </c>
      <c r="I105" s="122" t="str">
        <f t="shared" si="3"/>
        <v/>
      </c>
      <c r="J105" s="7" t="str">
        <f t="shared" si="4"/>
        <v/>
      </c>
      <c r="K105" s="9" t="str">
        <f t="shared" si="5"/>
        <v/>
      </c>
      <c r="L105" s="9" t="str">
        <f>IF(NOT(ISERROR(VLOOKUP(B105,Deflatores!G$42:H$64,2,FALSE))),VLOOKUP(B105,Deflatores!G$42:H$64,2,FALSE),IF(OR(ISBLANK(C105),ISBLANK(B105)),"",VLOOKUP(C105,Deflatores!G$4:H$38,2,FALSE)*H105+VLOOKUP(C105,Deflatores!G$4:I$38,3,FALSE)))</f>
        <v/>
      </c>
      <c r="M105" s="133"/>
      <c r="N105" s="10"/>
      <c r="O105" s="6"/>
    </row>
    <row r="106" spans="1:15" x14ac:dyDescent="0.2">
      <c r="A106" s="128" t="s">
        <v>249</v>
      </c>
      <c r="B106" s="4"/>
      <c r="C106" s="4"/>
      <c r="D106" s="7"/>
      <c r="E106" s="7"/>
      <c r="F106" s="8" t="str">
        <f t="shared" si="0"/>
        <v/>
      </c>
      <c r="G106" s="7" t="str">
        <f t="shared" si="1"/>
        <v/>
      </c>
      <c r="H106" s="5" t="str">
        <f t="shared" si="2"/>
        <v/>
      </c>
      <c r="I106" s="122" t="str">
        <f t="shared" si="3"/>
        <v/>
      </c>
      <c r="J106" s="7" t="str">
        <f t="shared" si="4"/>
        <v/>
      </c>
      <c r="K106" s="9" t="str">
        <f t="shared" si="5"/>
        <v/>
      </c>
      <c r="L106" s="9" t="str">
        <f>IF(NOT(ISERROR(VLOOKUP(B106,Deflatores!G$42:H$64,2,FALSE))),VLOOKUP(B106,Deflatores!G$42:H$64,2,FALSE),IF(OR(ISBLANK(C106),ISBLANK(B106)),"",VLOOKUP(C106,Deflatores!G$4:H$38,2,FALSE)*H106+VLOOKUP(C106,Deflatores!G$4:I$38,3,FALSE)))</f>
        <v/>
      </c>
      <c r="M106" s="10"/>
      <c r="N106" s="10"/>
      <c r="O106" s="6"/>
    </row>
    <row r="107" spans="1:15" ht="13.5" customHeight="1" x14ac:dyDescent="0.2">
      <c r="A107" s="126" t="s">
        <v>253</v>
      </c>
      <c r="B107" s="4" t="s">
        <v>102</v>
      </c>
      <c r="C107" s="4" t="s">
        <v>41</v>
      </c>
      <c r="D107" s="7"/>
      <c r="E107" s="7"/>
      <c r="F107" s="8" t="str">
        <f t="shared" si="0"/>
        <v>Média</v>
      </c>
      <c r="G107" s="7" t="str">
        <f t="shared" si="1"/>
        <v>CEA</v>
      </c>
      <c r="H107" s="5">
        <f t="shared" si="2"/>
        <v>4</v>
      </c>
      <c r="I107" s="122" t="str">
        <f t="shared" si="3"/>
        <v>A</v>
      </c>
      <c r="J107" s="7" t="str">
        <f t="shared" si="4"/>
        <v>CEI</v>
      </c>
      <c r="K107" s="9">
        <f t="shared" si="5"/>
        <v>4</v>
      </c>
      <c r="L107" s="9">
        <f>IF(NOT(ISERROR(VLOOKUP(B107,Deflatores!G$42:H$64,2,FALSE))),VLOOKUP(B107,Deflatores!G$42:H$64,2,FALSE),IF(OR(ISBLANK(C107),ISBLANK(B107)),"",VLOOKUP(C107,Deflatores!G$4:H$38,2,FALSE)*H107+VLOOKUP(C107,Deflatores!G$4:I$38,3,FALSE)))</f>
        <v>4</v>
      </c>
      <c r="M107" s="10"/>
      <c r="N107" s="10"/>
      <c r="O107" s="132"/>
    </row>
    <row r="108" spans="1:15" x14ac:dyDescent="0.2">
      <c r="A108" s="126" t="s">
        <v>254</v>
      </c>
      <c r="B108" s="4" t="s">
        <v>102</v>
      </c>
      <c r="C108" s="4" t="s">
        <v>41</v>
      </c>
      <c r="D108" s="7"/>
      <c r="E108" s="7"/>
      <c r="F108" s="8" t="str">
        <f t="shared" si="0"/>
        <v>Média</v>
      </c>
      <c r="G108" s="7" t="str">
        <f t="shared" si="1"/>
        <v>CEA</v>
      </c>
      <c r="H108" s="5">
        <f t="shared" si="2"/>
        <v>4</v>
      </c>
      <c r="I108" s="122" t="str">
        <f t="shared" si="3"/>
        <v>A</v>
      </c>
      <c r="J108" s="7" t="str">
        <f t="shared" si="4"/>
        <v>CEI</v>
      </c>
      <c r="K108" s="9">
        <f t="shared" si="5"/>
        <v>4</v>
      </c>
      <c r="L108" s="9">
        <f>IF(NOT(ISERROR(VLOOKUP(B108,Deflatores!G$42:H$64,2,FALSE))),VLOOKUP(B108,Deflatores!G$42:H$64,2,FALSE),IF(OR(ISBLANK(C108),ISBLANK(B108)),"",VLOOKUP(C108,Deflatores!G$4:H$38,2,FALSE)*H108+VLOOKUP(C108,Deflatores!G$4:I$38,3,FALSE)))</f>
        <v>4</v>
      </c>
      <c r="M108" s="10"/>
      <c r="N108" s="10"/>
      <c r="O108" s="132"/>
    </row>
    <row r="109" spans="1:15" x14ac:dyDescent="0.2">
      <c r="A109" s="126"/>
      <c r="B109" s="4"/>
      <c r="C109" s="4"/>
      <c r="D109" s="7"/>
      <c r="E109" s="7"/>
      <c r="F109" s="8" t="str">
        <f t="shared" ref="F109" si="252">IF(ISBLANK(B109),"",IF(I109="L","Baixa",IF(I109="A","Média",IF(I109="","","Alta"))))</f>
        <v/>
      </c>
      <c r="G109" s="7" t="str">
        <f t="shared" ref="G109" si="253">CONCATENATE(B109,I109)</f>
        <v/>
      </c>
      <c r="H109" s="5" t="str">
        <f t="shared" ref="H109" si="254">IF(ISBLANK(B109),"",IF(B109="ALI",IF(I109="L",7,IF(I109="A",10,15)),IF(B109="AIE",IF(I109="L",5,IF(I109="A",7,10)),IF(B109="SE",IF(I109="L",4,IF(I109="A",5,7)),IF(OR(B109="EE",B109="CE"),IF(I109="L",3,IF(I109="A",4,6)),0)))))</f>
        <v/>
      </c>
      <c r="I109" s="122" t="str">
        <f t="shared" ref="I109" si="255">IF(OR(ISBLANK(D109),ISBLANK(E109)),IF(OR(B109="ALI",B109="AIE"),"L",IF(OR(B109="EE",B109="SE",B109="CE"),"A","")),IF(B109="EE",IF(E109&gt;=3,IF(D109&gt;=5,"H","A"),IF(E109&gt;=2,IF(D109&gt;=16,"H",IF(D109&lt;=4,"L","A")),IF(D109&lt;=15,"L","A"))),IF(OR(B109="SE",B109="CE"),IF(E109&gt;=4,IF(D109&gt;=6,"H","A"),IF(E109&gt;=2,IF(D109&gt;=20,"H",IF(D109&lt;=5,"L","A")),IF(D109&lt;=19,"L","A"))),IF(OR(B109="ALI",B109="AIE"),IF(E109&gt;=6,IF(D109&gt;=20,"H","A"),IF(E109&gt;=2,IF(D109&gt;=51,"H",IF(D109&lt;=19,"L","A")),IF(D109&lt;=50,"L","A"))),""))))</f>
        <v/>
      </c>
      <c r="J109" s="7" t="str">
        <f t="shared" ref="J109" si="256">CONCATENATE(B109,C109)</f>
        <v/>
      </c>
      <c r="K109" s="9" t="str">
        <f t="shared" ref="K109" si="257">IF(OR(H109="",H109=0),L109,H109)</f>
        <v/>
      </c>
      <c r="L109" s="9" t="str">
        <f>IF(NOT(ISERROR(VLOOKUP(B109,Deflatores!G$42:H$64,2,FALSE))),VLOOKUP(B109,Deflatores!G$42:H$64,2,FALSE),IF(OR(ISBLANK(C109),ISBLANK(B109)),"",VLOOKUP(C109,Deflatores!G$4:H$38,2,FALSE)*H109+VLOOKUP(C109,Deflatores!G$4:I$38,3,FALSE)))</f>
        <v/>
      </c>
      <c r="M109" s="10"/>
      <c r="N109" s="10"/>
      <c r="O109" s="132"/>
    </row>
    <row r="110" spans="1:15" x14ac:dyDescent="0.2">
      <c r="A110" s="128" t="s">
        <v>255</v>
      </c>
      <c r="B110" s="4"/>
      <c r="C110" s="4"/>
      <c r="D110" s="7"/>
      <c r="E110" s="7"/>
      <c r="F110" s="8" t="str">
        <f t="shared" ref="F110" si="258">IF(ISBLANK(B110),"",IF(I110="L","Baixa",IF(I110="A","Média",IF(I110="","","Alta"))))</f>
        <v/>
      </c>
      <c r="G110" s="7" t="str">
        <f t="shared" ref="G110" si="259">CONCATENATE(B110,I110)</f>
        <v/>
      </c>
      <c r="H110" s="5" t="str">
        <f t="shared" ref="H110" si="260">IF(ISBLANK(B110),"",IF(B110="ALI",IF(I110="L",7,IF(I110="A",10,15)),IF(B110="AIE",IF(I110="L",5,IF(I110="A",7,10)),IF(B110="SE",IF(I110="L",4,IF(I110="A",5,7)),IF(OR(B110="EE",B110="CE"),IF(I110="L",3,IF(I110="A",4,6)),0)))))</f>
        <v/>
      </c>
      <c r="I110" s="122" t="str">
        <f t="shared" ref="I110" si="261">IF(OR(ISBLANK(D110),ISBLANK(E110)),IF(OR(B110="ALI",B110="AIE"),"L",IF(OR(B110="EE",B110="SE",B110="CE"),"A","")),IF(B110="EE",IF(E110&gt;=3,IF(D110&gt;=5,"H","A"),IF(E110&gt;=2,IF(D110&gt;=16,"H",IF(D110&lt;=4,"L","A")),IF(D110&lt;=15,"L","A"))),IF(OR(B110="SE",B110="CE"),IF(E110&gt;=4,IF(D110&gt;=6,"H","A"),IF(E110&gt;=2,IF(D110&gt;=20,"H",IF(D110&lt;=5,"L","A")),IF(D110&lt;=19,"L","A"))),IF(OR(B110="ALI",B110="AIE"),IF(E110&gt;=6,IF(D110&gt;=20,"H","A"),IF(E110&gt;=2,IF(D110&gt;=51,"H",IF(D110&lt;=19,"L","A")),IF(D110&lt;=50,"L","A"))),""))))</f>
        <v/>
      </c>
      <c r="J110" s="7" t="str">
        <f t="shared" ref="J110" si="262">CONCATENATE(B110,C110)</f>
        <v/>
      </c>
      <c r="K110" s="9" t="str">
        <f t="shared" ref="K110" si="263">IF(OR(H110="",H110=0),L110,H110)</f>
        <v/>
      </c>
      <c r="L110" s="9" t="str">
        <f>IF(NOT(ISERROR(VLOOKUP(B110,Deflatores!G$42:H$64,2,FALSE))),VLOOKUP(B110,Deflatores!G$42:H$64,2,FALSE),IF(OR(ISBLANK(C110),ISBLANK(B110)),"",VLOOKUP(C110,Deflatores!G$4:H$38,2,FALSE)*H110+VLOOKUP(C110,Deflatores!G$4:I$38,3,FALSE)))</f>
        <v/>
      </c>
      <c r="M110" s="10"/>
      <c r="N110" s="10"/>
      <c r="O110" s="132"/>
    </row>
    <row r="111" spans="1:15" x14ac:dyDescent="0.2">
      <c r="A111" s="126" t="s">
        <v>265</v>
      </c>
      <c r="B111" s="4" t="s">
        <v>103</v>
      </c>
      <c r="C111" s="4" t="s">
        <v>41</v>
      </c>
      <c r="D111" s="7"/>
      <c r="E111" s="7"/>
      <c r="F111" s="8" t="str">
        <f t="shared" ref="F111" si="264">IF(ISBLANK(B111),"",IF(I111="L","Baixa",IF(I111="A","Média",IF(I111="","","Alta"))))</f>
        <v>Média</v>
      </c>
      <c r="G111" s="7" t="str">
        <f t="shared" ref="G111" si="265">CONCATENATE(B111,I111)</f>
        <v>SEA</v>
      </c>
      <c r="H111" s="5">
        <f t="shared" ref="H111" si="266">IF(ISBLANK(B111),"",IF(B111="ALI",IF(I111="L",7,IF(I111="A",10,15)),IF(B111="AIE",IF(I111="L",5,IF(I111="A",7,10)),IF(B111="SE",IF(I111="L",4,IF(I111="A",5,7)),IF(OR(B111="EE",B111="CE"),IF(I111="L",3,IF(I111="A",4,6)),0)))))</f>
        <v>5</v>
      </c>
      <c r="I111" s="122" t="str">
        <f t="shared" ref="I111" si="267">IF(OR(ISBLANK(D111),ISBLANK(E111)),IF(OR(B111="ALI",B111="AIE"),"L",IF(OR(B111="EE",B111="SE",B111="CE"),"A","")),IF(B111="EE",IF(E111&gt;=3,IF(D111&gt;=5,"H","A"),IF(E111&gt;=2,IF(D111&gt;=16,"H",IF(D111&lt;=4,"L","A")),IF(D111&lt;=15,"L","A"))),IF(OR(B111="SE",B111="CE"),IF(E111&gt;=4,IF(D111&gt;=6,"H","A"),IF(E111&gt;=2,IF(D111&gt;=20,"H",IF(D111&lt;=5,"L","A")),IF(D111&lt;=19,"L","A"))),IF(OR(B111="ALI",B111="AIE"),IF(E111&gt;=6,IF(D111&gt;=20,"H","A"),IF(E111&gt;=2,IF(D111&gt;=51,"H",IF(D111&lt;=19,"L","A")),IF(D111&lt;=50,"L","A"))),""))))</f>
        <v>A</v>
      </c>
      <c r="J111" s="7" t="str">
        <f t="shared" ref="J111" si="268">CONCATENATE(B111,C111)</f>
        <v>SEI</v>
      </c>
      <c r="K111" s="9">
        <f t="shared" ref="K111" si="269">IF(OR(H111="",H111=0),L111,H111)</f>
        <v>5</v>
      </c>
      <c r="L111" s="9">
        <f>IF(NOT(ISERROR(VLOOKUP(B111,Deflatores!G$42:H$64,2,FALSE))),VLOOKUP(B111,Deflatores!G$42:H$64,2,FALSE),IF(OR(ISBLANK(C111),ISBLANK(B111)),"",VLOOKUP(C111,Deflatores!G$4:H$38,2,FALSE)*H111+VLOOKUP(C111,Deflatores!G$4:I$38,3,FALSE)))</f>
        <v>5</v>
      </c>
      <c r="M111" s="10"/>
      <c r="N111" s="10"/>
      <c r="O111" s="132"/>
    </row>
    <row r="112" spans="1:15" ht="25.5" x14ac:dyDescent="0.2">
      <c r="A112" s="126" t="s">
        <v>254</v>
      </c>
      <c r="B112" s="4" t="s">
        <v>103</v>
      </c>
      <c r="C112" s="4" t="s">
        <v>41</v>
      </c>
      <c r="D112" s="7"/>
      <c r="E112" s="7"/>
      <c r="F112" s="8" t="str">
        <f t="shared" ref="F112" si="270">IF(ISBLANK(B112),"",IF(I112="L","Baixa",IF(I112="A","Média",IF(I112="","","Alta"))))</f>
        <v>Média</v>
      </c>
      <c r="G112" s="7" t="str">
        <f t="shared" ref="G112" si="271">CONCATENATE(B112,I112)</f>
        <v>SEA</v>
      </c>
      <c r="H112" s="5">
        <f t="shared" ref="H112" si="272">IF(ISBLANK(B112),"",IF(B112="ALI",IF(I112="L",7,IF(I112="A",10,15)),IF(B112="AIE",IF(I112="L",5,IF(I112="A",7,10)),IF(B112="SE",IF(I112="L",4,IF(I112="A",5,7)),IF(OR(B112="EE",B112="CE"),IF(I112="L",3,IF(I112="A",4,6)),0)))))</f>
        <v>5</v>
      </c>
      <c r="I112" s="122" t="str">
        <f t="shared" ref="I112" si="273">IF(OR(ISBLANK(D112),ISBLANK(E112)),IF(OR(B112="ALI",B112="AIE"),"L",IF(OR(B112="EE",B112="SE",B112="CE"),"A","")),IF(B112="EE",IF(E112&gt;=3,IF(D112&gt;=5,"H","A"),IF(E112&gt;=2,IF(D112&gt;=16,"H",IF(D112&lt;=4,"L","A")),IF(D112&lt;=15,"L","A"))),IF(OR(B112="SE",B112="CE"),IF(E112&gt;=4,IF(D112&gt;=6,"H","A"),IF(E112&gt;=2,IF(D112&gt;=20,"H",IF(D112&lt;=5,"L","A")),IF(D112&lt;=19,"L","A"))),IF(OR(B112="ALI",B112="AIE"),IF(E112&gt;=6,IF(D112&gt;=20,"H","A"),IF(E112&gt;=2,IF(D112&gt;=51,"H",IF(D112&lt;=19,"L","A")),IF(D112&lt;=50,"L","A"))),""))))</f>
        <v>A</v>
      </c>
      <c r="J112" s="7" t="str">
        <f t="shared" ref="J112" si="274">CONCATENATE(B112,C112)</f>
        <v>SEI</v>
      </c>
      <c r="K112" s="9">
        <f t="shared" ref="K112" si="275">IF(OR(H112="",H112=0),L112,H112)</f>
        <v>5</v>
      </c>
      <c r="L112" s="9">
        <f>IF(NOT(ISERROR(VLOOKUP(B112,Deflatores!G$42:H$64,2,FALSE))),VLOOKUP(B112,Deflatores!G$42:H$64,2,FALSE),IF(OR(ISBLANK(C112),ISBLANK(B112)),"",VLOOKUP(C112,Deflatores!G$4:H$38,2,FALSE)*H112+VLOOKUP(C112,Deflatores!G$4:I$38,3,FALSE)))</f>
        <v>5</v>
      </c>
      <c r="M112" s="10"/>
      <c r="N112" s="10"/>
      <c r="O112" s="132" t="s">
        <v>256</v>
      </c>
    </row>
    <row r="113" spans="1:15" ht="13.5" customHeight="1" x14ac:dyDescent="0.2">
      <c r="A113" s="126"/>
      <c r="B113" s="4"/>
      <c r="C113" s="4"/>
      <c r="D113" s="7"/>
      <c r="E113" s="7"/>
      <c r="F113" s="8" t="str">
        <f t="shared" si="0"/>
        <v/>
      </c>
      <c r="G113" s="7" t="str">
        <f t="shared" si="1"/>
        <v/>
      </c>
      <c r="H113" s="5" t="str">
        <f t="shared" si="2"/>
        <v/>
      </c>
      <c r="I113" s="122" t="str">
        <f t="shared" si="3"/>
        <v/>
      </c>
      <c r="J113" s="7" t="str">
        <f t="shared" si="4"/>
        <v/>
      </c>
      <c r="K113" s="9" t="str">
        <f t="shared" si="5"/>
        <v/>
      </c>
      <c r="L113" s="9" t="str">
        <f>IF(NOT(ISERROR(VLOOKUP(B113,Deflatores!G$42:H$64,2,FALSE))),VLOOKUP(B113,Deflatores!G$42:H$64,2,FALSE),IF(OR(ISBLANK(C113),ISBLANK(B113)),"",VLOOKUP(C113,Deflatores!G$4:H$38,2,FALSE)*H113+VLOOKUP(C113,Deflatores!G$4:I$38,3,FALSE)))</f>
        <v/>
      </c>
      <c r="M113" s="10"/>
      <c r="N113" s="10"/>
      <c r="O113" s="132"/>
    </row>
    <row r="114" spans="1:15" ht="13.5" customHeight="1" x14ac:dyDescent="0.2">
      <c r="A114" s="128" t="s">
        <v>257</v>
      </c>
      <c r="B114" s="4"/>
      <c r="C114" s="4"/>
      <c r="D114" s="7"/>
      <c r="E114" s="7"/>
      <c r="F114" s="8" t="str">
        <f t="shared" si="0"/>
        <v/>
      </c>
      <c r="G114" s="7" t="str">
        <f t="shared" si="1"/>
        <v/>
      </c>
      <c r="H114" s="5" t="str">
        <f t="shared" si="2"/>
        <v/>
      </c>
      <c r="I114" s="122" t="str">
        <f t="shared" si="3"/>
        <v/>
      </c>
      <c r="J114" s="7" t="str">
        <f t="shared" si="4"/>
        <v/>
      </c>
      <c r="K114" s="9" t="str">
        <f t="shared" si="5"/>
        <v/>
      </c>
      <c r="L114" s="9" t="str">
        <f>IF(NOT(ISERROR(VLOOKUP(B114,Deflatores!G$42:H$64,2,FALSE))),VLOOKUP(B114,Deflatores!G$42:H$64,2,FALSE),IF(OR(ISBLANK(C114),ISBLANK(B114)),"",VLOOKUP(C114,Deflatores!G$4:H$38,2,FALSE)*H114+VLOOKUP(C114,Deflatores!G$4:I$38,3,FALSE)))</f>
        <v/>
      </c>
      <c r="M114" s="10"/>
      <c r="N114" s="10"/>
      <c r="O114" s="132"/>
    </row>
    <row r="115" spans="1:15" x14ac:dyDescent="0.2">
      <c r="A115" s="126" t="s">
        <v>264</v>
      </c>
      <c r="B115" s="4" t="s">
        <v>102</v>
      </c>
      <c r="C115" s="4" t="s">
        <v>41</v>
      </c>
      <c r="D115" s="7"/>
      <c r="E115" s="7"/>
      <c r="F115" s="8" t="str">
        <f t="shared" si="0"/>
        <v>Média</v>
      </c>
      <c r="G115" s="7" t="str">
        <f t="shared" si="1"/>
        <v>CEA</v>
      </c>
      <c r="H115" s="5">
        <f t="shared" si="2"/>
        <v>4</v>
      </c>
      <c r="I115" s="122" t="str">
        <f t="shared" si="3"/>
        <v>A</v>
      </c>
      <c r="J115" s="7" t="str">
        <f t="shared" si="4"/>
        <v>CEI</v>
      </c>
      <c r="K115" s="9">
        <f t="shared" si="5"/>
        <v>4</v>
      </c>
      <c r="L115" s="9">
        <f>IF(NOT(ISERROR(VLOOKUP(B115,Deflatores!G$42:H$64,2,FALSE))),VLOOKUP(B115,Deflatores!G$42:H$64,2,FALSE),IF(OR(ISBLANK(C115),ISBLANK(B115)),"",VLOOKUP(C115,Deflatores!G$4:H$38,2,FALSE)*H115+VLOOKUP(C115,Deflatores!G$4:I$38,3,FALSE)))</f>
        <v>4</v>
      </c>
      <c r="M115" s="10"/>
      <c r="N115" s="10"/>
      <c r="O115" s="132"/>
    </row>
    <row r="116" spans="1:15" x14ac:dyDescent="0.2">
      <c r="A116" s="126" t="s">
        <v>270</v>
      </c>
      <c r="B116" s="4" t="s">
        <v>103</v>
      </c>
      <c r="C116" s="4" t="s">
        <v>41</v>
      </c>
      <c r="D116" s="7"/>
      <c r="E116" s="7"/>
      <c r="F116" s="8" t="str">
        <f t="shared" ref="F116" si="276">IF(ISBLANK(B116),"",IF(I116="L","Baixa",IF(I116="A","Média",IF(I116="","","Alta"))))</f>
        <v>Média</v>
      </c>
      <c r="G116" s="7" t="str">
        <f t="shared" ref="G116" si="277">CONCATENATE(B116,I116)</f>
        <v>SEA</v>
      </c>
      <c r="H116" s="5">
        <f t="shared" ref="H116" si="278">IF(ISBLANK(B116),"",IF(B116="ALI",IF(I116="L",7,IF(I116="A",10,15)),IF(B116="AIE",IF(I116="L",5,IF(I116="A",7,10)),IF(B116="SE",IF(I116="L",4,IF(I116="A",5,7)),IF(OR(B116="EE",B116="CE"),IF(I116="L",3,IF(I116="A",4,6)),0)))))</f>
        <v>5</v>
      </c>
      <c r="I116" s="122" t="str">
        <f t="shared" ref="I116" si="279">IF(OR(ISBLANK(D116),ISBLANK(E116)),IF(OR(B116="ALI",B116="AIE"),"L",IF(OR(B116="EE",B116="SE",B116="CE"),"A","")),IF(B116="EE",IF(E116&gt;=3,IF(D116&gt;=5,"H","A"),IF(E116&gt;=2,IF(D116&gt;=16,"H",IF(D116&lt;=4,"L","A")),IF(D116&lt;=15,"L","A"))),IF(OR(B116="SE",B116="CE"),IF(E116&gt;=4,IF(D116&gt;=6,"H","A"),IF(E116&gt;=2,IF(D116&gt;=20,"H",IF(D116&lt;=5,"L","A")),IF(D116&lt;=19,"L","A"))),IF(OR(B116="ALI",B116="AIE"),IF(E116&gt;=6,IF(D116&gt;=20,"H","A"),IF(E116&gt;=2,IF(D116&gt;=51,"H",IF(D116&lt;=19,"L","A")),IF(D116&lt;=50,"L","A"))),""))))</f>
        <v>A</v>
      </c>
      <c r="J116" s="7" t="str">
        <f t="shared" ref="J116" si="280">CONCATENATE(B116,C116)</f>
        <v>SEI</v>
      </c>
      <c r="K116" s="9">
        <f t="shared" ref="K116" si="281">IF(OR(H116="",H116=0),L116,H116)</f>
        <v>5</v>
      </c>
      <c r="L116" s="9">
        <f>IF(NOT(ISERROR(VLOOKUP(B116,Deflatores!G$42:H$64,2,FALSE))),VLOOKUP(B116,Deflatores!G$42:H$64,2,FALSE),IF(OR(ISBLANK(C116),ISBLANK(B116)),"",VLOOKUP(C116,Deflatores!G$4:H$38,2,FALSE)*H116+VLOOKUP(C116,Deflatores!G$4:I$38,3,FALSE)))</f>
        <v>5</v>
      </c>
      <c r="M116" s="10"/>
      <c r="N116" s="10"/>
      <c r="O116" s="132"/>
    </row>
    <row r="117" spans="1:15" x14ac:dyDescent="0.2">
      <c r="A117" s="128"/>
      <c r="B117" s="4"/>
      <c r="C117" s="4"/>
      <c r="D117" s="7"/>
      <c r="E117" s="7"/>
      <c r="F117" s="8" t="str">
        <f t="shared" si="0"/>
        <v/>
      </c>
      <c r="G117" s="7" t="str">
        <f t="shared" si="1"/>
        <v/>
      </c>
      <c r="H117" s="5" t="str">
        <f t="shared" si="2"/>
        <v/>
      </c>
      <c r="I117" s="122" t="str">
        <f t="shared" si="3"/>
        <v/>
      </c>
      <c r="J117" s="7" t="str">
        <f t="shared" si="4"/>
        <v/>
      </c>
      <c r="K117" s="9" t="str">
        <f t="shared" si="5"/>
        <v/>
      </c>
      <c r="L117" s="9" t="str">
        <f>IF(NOT(ISERROR(VLOOKUP(B117,Deflatores!G$42:H$64,2,FALSE))),VLOOKUP(B117,Deflatores!G$42:H$64,2,FALSE),IF(OR(ISBLANK(C117),ISBLANK(B117)),"",VLOOKUP(C117,Deflatores!G$4:H$38,2,FALSE)*H117+VLOOKUP(C117,Deflatores!G$4:I$38,3,FALSE)))</f>
        <v/>
      </c>
      <c r="M117" s="10"/>
      <c r="N117" s="10"/>
      <c r="O117" s="132"/>
    </row>
    <row r="118" spans="1:15" ht="15.75" customHeight="1" x14ac:dyDescent="0.2">
      <c r="A118" s="128" t="s">
        <v>258</v>
      </c>
      <c r="B118" s="4"/>
      <c r="C118" s="4"/>
      <c r="D118" s="7"/>
      <c r="E118" s="7"/>
      <c r="F118" s="8" t="str">
        <f t="shared" ref="F118:F119" si="282">IF(ISBLANK(B118),"",IF(I118="L","Baixa",IF(I118="A","Média",IF(I118="","","Alta"))))</f>
        <v/>
      </c>
      <c r="G118" s="7" t="str">
        <f t="shared" ref="G118:G119" si="283">CONCATENATE(B118,I118)</f>
        <v/>
      </c>
      <c r="H118" s="5" t="str">
        <f t="shared" ref="H118:H119" si="284">IF(ISBLANK(B118),"",IF(B118="ALI",IF(I118="L",7,IF(I118="A",10,15)),IF(B118="AIE",IF(I118="L",5,IF(I118="A",7,10)),IF(B118="SE",IF(I118="L",4,IF(I118="A",5,7)),IF(OR(B118="EE",B118="CE"),IF(I118="L",3,IF(I118="A",4,6)),0)))))</f>
        <v/>
      </c>
      <c r="I118" s="122" t="str">
        <f t="shared" ref="I118:I119" si="285">IF(OR(ISBLANK(D118),ISBLANK(E118)),IF(OR(B118="ALI",B118="AIE"),"L",IF(OR(B118="EE",B118="SE",B118="CE"),"A","")),IF(B118="EE",IF(E118&gt;=3,IF(D118&gt;=5,"H","A"),IF(E118&gt;=2,IF(D118&gt;=16,"H",IF(D118&lt;=4,"L","A")),IF(D118&lt;=15,"L","A"))),IF(OR(B118="SE",B118="CE"),IF(E118&gt;=4,IF(D118&gt;=6,"H","A"),IF(E118&gt;=2,IF(D118&gt;=20,"H",IF(D118&lt;=5,"L","A")),IF(D118&lt;=19,"L","A"))),IF(OR(B118="ALI",B118="AIE"),IF(E118&gt;=6,IF(D118&gt;=20,"H","A"),IF(E118&gt;=2,IF(D118&gt;=51,"H",IF(D118&lt;=19,"L","A")),IF(D118&lt;=50,"L","A"))),""))))</f>
        <v/>
      </c>
      <c r="J118" s="7" t="str">
        <f t="shared" ref="J118:J119" si="286">CONCATENATE(B118,C118)</f>
        <v/>
      </c>
      <c r="K118" s="9" t="str">
        <f t="shared" ref="K118:K119" si="287">IF(OR(H118="",H118=0),L118,H118)</f>
        <v/>
      </c>
      <c r="L118" s="9" t="str">
        <f>IF(NOT(ISERROR(VLOOKUP(B118,Deflatores!G$42:H$64,2,FALSE))),VLOOKUP(B118,Deflatores!G$42:H$64,2,FALSE),IF(OR(ISBLANK(C118),ISBLANK(B118)),"",VLOOKUP(C118,Deflatores!G$4:H$38,2,FALSE)*H118+VLOOKUP(C118,Deflatores!G$4:I$38,3,FALSE)))</f>
        <v/>
      </c>
      <c r="M118" s="10"/>
      <c r="N118" s="10"/>
      <c r="O118" s="132"/>
    </row>
    <row r="119" spans="1:15" x14ac:dyDescent="0.2">
      <c r="A119" s="126" t="s">
        <v>263</v>
      </c>
      <c r="B119" s="4" t="s">
        <v>102</v>
      </c>
      <c r="C119" s="4" t="s">
        <v>41</v>
      </c>
      <c r="D119" s="7"/>
      <c r="E119" s="7"/>
      <c r="F119" s="8" t="str">
        <f t="shared" si="282"/>
        <v>Média</v>
      </c>
      <c r="G119" s="7" t="str">
        <f t="shared" si="283"/>
        <v>CEA</v>
      </c>
      <c r="H119" s="5">
        <f t="shared" si="284"/>
        <v>4</v>
      </c>
      <c r="I119" s="122" t="str">
        <f t="shared" si="285"/>
        <v>A</v>
      </c>
      <c r="J119" s="7" t="str">
        <f t="shared" si="286"/>
        <v>CEI</v>
      </c>
      <c r="K119" s="9">
        <f t="shared" si="287"/>
        <v>4</v>
      </c>
      <c r="L119" s="9">
        <f>IF(NOT(ISERROR(VLOOKUP(B119,Deflatores!G$42:H$64,2,FALSE))),VLOOKUP(B119,Deflatores!G$42:H$64,2,FALSE),IF(OR(ISBLANK(C119),ISBLANK(B119)),"",VLOOKUP(C119,Deflatores!G$4:H$38,2,FALSE)*H119+VLOOKUP(C119,Deflatores!G$4:I$38,3,FALSE)))</f>
        <v>4</v>
      </c>
      <c r="M119" s="10"/>
      <c r="N119" s="10"/>
      <c r="O119" s="132"/>
    </row>
    <row r="120" spans="1:15" x14ac:dyDescent="0.2">
      <c r="A120" s="126" t="s">
        <v>261</v>
      </c>
      <c r="B120" s="4" t="s">
        <v>102</v>
      </c>
      <c r="C120" s="4" t="s">
        <v>41</v>
      </c>
      <c r="D120" s="7"/>
      <c r="E120" s="7"/>
      <c r="F120" s="8" t="str">
        <f t="shared" ref="F120" si="288">IF(ISBLANK(B120),"",IF(I120="L","Baixa",IF(I120="A","Média",IF(I120="","","Alta"))))</f>
        <v>Média</v>
      </c>
      <c r="G120" s="7" t="str">
        <f t="shared" ref="G120" si="289">CONCATENATE(B120,I120)</f>
        <v>CEA</v>
      </c>
      <c r="H120" s="5">
        <f t="shared" ref="H120" si="290">IF(ISBLANK(B120),"",IF(B120="ALI",IF(I120="L",7,IF(I120="A",10,15)),IF(B120="AIE",IF(I120="L",5,IF(I120="A",7,10)),IF(B120="SE",IF(I120="L",4,IF(I120="A",5,7)),IF(OR(B120="EE",B120="CE"),IF(I120="L",3,IF(I120="A",4,6)),0)))))</f>
        <v>4</v>
      </c>
      <c r="I120" s="122" t="str">
        <f t="shared" ref="I120" si="291">IF(OR(ISBLANK(D120),ISBLANK(E120)),IF(OR(B120="ALI",B120="AIE"),"L",IF(OR(B120="EE",B120="SE",B120="CE"),"A","")),IF(B120="EE",IF(E120&gt;=3,IF(D120&gt;=5,"H","A"),IF(E120&gt;=2,IF(D120&gt;=16,"H",IF(D120&lt;=4,"L","A")),IF(D120&lt;=15,"L","A"))),IF(OR(B120="SE",B120="CE"),IF(E120&gt;=4,IF(D120&gt;=6,"H","A"),IF(E120&gt;=2,IF(D120&gt;=20,"H",IF(D120&lt;=5,"L","A")),IF(D120&lt;=19,"L","A"))),IF(OR(B120="ALI",B120="AIE"),IF(E120&gt;=6,IF(D120&gt;=20,"H","A"),IF(E120&gt;=2,IF(D120&gt;=51,"H",IF(D120&lt;=19,"L","A")),IF(D120&lt;=50,"L","A"))),""))))</f>
        <v>A</v>
      </c>
      <c r="J120" s="7" t="str">
        <f t="shared" ref="J120" si="292">CONCATENATE(B120,C120)</f>
        <v>CEI</v>
      </c>
      <c r="K120" s="9">
        <f t="shared" ref="K120" si="293">IF(OR(H120="",H120=0),L120,H120)</f>
        <v>4</v>
      </c>
      <c r="L120" s="9">
        <f>IF(NOT(ISERROR(VLOOKUP(B120,Deflatores!G$42:H$64,2,FALSE))),VLOOKUP(B120,Deflatores!G$42:H$64,2,FALSE),IF(OR(ISBLANK(C120),ISBLANK(B120)),"",VLOOKUP(C120,Deflatores!G$4:H$38,2,FALSE)*H120+VLOOKUP(C120,Deflatores!G$4:I$38,3,FALSE)))</f>
        <v>4</v>
      </c>
      <c r="M120" s="10"/>
      <c r="N120" s="10"/>
      <c r="O120" s="132"/>
    </row>
    <row r="121" spans="1:15" x14ac:dyDescent="0.2">
      <c r="A121" s="126"/>
      <c r="B121" s="4"/>
      <c r="C121" s="4"/>
      <c r="D121" s="7"/>
      <c r="E121" s="7"/>
      <c r="F121" s="8" t="str">
        <f t="shared" ref="F121" si="294">IF(ISBLANK(B121),"",IF(I121="L","Baixa",IF(I121="A","Média",IF(I121="","","Alta"))))</f>
        <v/>
      </c>
      <c r="G121" s="7" t="str">
        <f t="shared" ref="G121" si="295">CONCATENATE(B121,I121)</f>
        <v/>
      </c>
      <c r="H121" s="5" t="str">
        <f t="shared" ref="H121" si="296">IF(ISBLANK(B121),"",IF(B121="ALI",IF(I121="L",7,IF(I121="A",10,15)),IF(B121="AIE",IF(I121="L",5,IF(I121="A",7,10)),IF(B121="SE",IF(I121="L",4,IF(I121="A",5,7)),IF(OR(B121="EE",B121="CE"),IF(I121="L",3,IF(I121="A",4,6)),0)))))</f>
        <v/>
      </c>
      <c r="I121" s="122" t="str">
        <f t="shared" ref="I121" si="297">IF(OR(ISBLANK(D121),ISBLANK(E121)),IF(OR(B121="ALI",B121="AIE"),"L",IF(OR(B121="EE",B121="SE",B121="CE"),"A","")),IF(B121="EE",IF(E121&gt;=3,IF(D121&gt;=5,"H","A"),IF(E121&gt;=2,IF(D121&gt;=16,"H",IF(D121&lt;=4,"L","A")),IF(D121&lt;=15,"L","A"))),IF(OR(B121="SE",B121="CE"),IF(E121&gt;=4,IF(D121&gt;=6,"H","A"),IF(E121&gt;=2,IF(D121&gt;=20,"H",IF(D121&lt;=5,"L","A")),IF(D121&lt;=19,"L","A"))),IF(OR(B121="ALI",B121="AIE"),IF(E121&gt;=6,IF(D121&gt;=20,"H","A"),IF(E121&gt;=2,IF(D121&gt;=51,"H",IF(D121&lt;=19,"L","A")),IF(D121&lt;=50,"L","A"))),""))))</f>
        <v/>
      </c>
      <c r="J121" s="7" t="str">
        <f t="shared" ref="J121" si="298">CONCATENATE(B121,C121)</f>
        <v/>
      </c>
      <c r="K121" s="9" t="str">
        <f t="shared" ref="K121" si="299">IF(OR(H121="",H121=0),L121,H121)</f>
        <v/>
      </c>
      <c r="L121" s="9" t="str">
        <f>IF(NOT(ISERROR(VLOOKUP(B121,Deflatores!G$42:H$64,2,FALSE))),VLOOKUP(B121,Deflatores!G$42:H$64,2,FALSE),IF(OR(ISBLANK(C121),ISBLANK(B121)),"",VLOOKUP(C121,Deflatores!G$4:H$38,2,FALSE)*H121+VLOOKUP(C121,Deflatores!G$4:I$38,3,FALSE)))</f>
        <v/>
      </c>
      <c r="M121" s="10"/>
      <c r="N121" s="10"/>
      <c r="O121" s="132"/>
    </row>
    <row r="122" spans="1:15" x14ac:dyDescent="0.2">
      <c r="A122" s="128" t="s">
        <v>259</v>
      </c>
      <c r="B122" s="4"/>
      <c r="C122" s="4"/>
      <c r="D122" s="7"/>
      <c r="E122" s="7"/>
      <c r="F122" s="8" t="str">
        <f t="shared" si="0"/>
        <v/>
      </c>
      <c r="G122" s="7" t="str">
        <f t="shared" si="1"/>
        <v/>
      </c>
      <c r="H122" s="5" t="str">
        <f t="shared" si="2"/>
        <v/>
      </c>
      <c r="I122" s="122" t="str">
        <f t="shared" si="3"/>
        <v/>
      </c>
      <c r="J122" s="7" t="str">
        <f t="shared" si="4"/>
        <v/>
      </c>
      <c r="K122" s="9" t="str">
        <f t="shared" si="5"/>
        <v/>
      </c>
      <c r="L122" s="9" t="str">
        <f>IF(NOT(ISERROR(VLOOKUP(B122,Deflatores!G$42:H$64,2,FALSE))),VLOOKUP(B122,Deflatores!G$42:H$64,2,FALSE),IF(OR(ISBLANK(C122),ISBLANK(B122)),"",VLOOKUP(C122,Deflatores!G$4:H$38,2,FALSE)*H122+VLOOKUP(C122,Deflatores!G$4:I$38,3,FALSE)))</f>
        <v/>
      </c>
      <c r="M122" s="10"/>
      <c r="N122" s="10"/>
      <c r="O122" s="6"/>
    </row>
    <row r="123" spans="1:15" x14ac:dyDescent="0.2">
      <c r="A123" s="126" t="s">
        <v>262</v>
      </c>
      <c r="B123" s="4" t="s">
        <v>103</v>
      </c>
      <c r="C123" s="4" t="s">
        <v>41</v>
      </c>
      <c r="D123" s="7"/>
      <c r="E123" s="7"/>
      <c r="F123" s="8" t="str">
        <f>IF(ISBLANK(B123),"",IF(I123="L","Baixa",IF(I123="A","Média",IF(I123="","","Alta"))))</f>
        <v>Média</v>
      </c>
      <c r="G123" s="7" t="str">
        <f>CONCATENATE(B123,I123)</f>
        <v>SEA</v>
      </c>
      <c r="H123" s="5">
        <f>IF(ISBLANK(B123),"",IF(B123="ALI",IF(I123="L",7,IF(I123="A",10,15)),IF(B123="AIE",IF(I123="L",5,IF(I123="A",7,10)),IF(B123="SE",IF(I123="L",4,IF(I123="A",5,7)),IF(OR(B123="EE",B123="CE"),IF(I123="L",3,IF(I123="A",4,6)),0)))))</f>
        <v>5</v>
      </c>
      <c r="I123" s="122" t="str">
        <f>IF(OR(ISBLANK(D123),ISBLANK(E123)),IF(OR(B123="ALI",B123="AIE"),"L",IF(OR(B123="EE",B123="SE",B123="CE"),"A","")),IF(B123="EE",IF(E123&gt;=3,IF(D123&gt;=5,"H","A"),IF(E123&gt;=2,IF(D123&gt;=16,"H",IF(D123&lt;=4,"L","A")),IF(D123&lt;=15,"L","A"))),IF(OR(B123="SE",B123="CE"),IF(E123&gt;=4,IF(D123&gt;=6,"H","A"),IF(E123&gt;=2,IF(D123&gt;=20,"H",IF(D123&lt;=5,"L","A")),IF(D123&lt;=19,"L","A"))),IF(OR(B123="ALI",B123="AIE"),IF(E123&gt;=6,IF(D123&gt;=20,"H","A"),IF(E123&gt;=2,IF(D123&gt;=51,"H",IF(D123&lt;=19,"L","A")),IF(D123&lt;=50,"L","A"))),""))))</f>
        <v>A</v>
      </c>
      <c r="J123" s="7" t="str">
        <f>CONCATENATE(B123,C123)</f>
        <v>SEI</v>
      </c>
      <c r="K123" s="9">
        <f>IF(OR(H123="",H123=0),L123,H123)</f>
        <v>5</v>
      </c>
      <c r="L123" s="9">
        <f>IF(NOT(ISERROR(VLOOKUP(B123,Deflatores!G$42:H$64,2,FALSE))),VLOOKUP(B123,Deflatores!G$42:H$64,2,FALSE),IF(OR(ISBLANK(C123),ISBLANK(B123)),"",VLOOKUP(C123,Deflatores!G$4:H$38,2,FALSE)*H123+VLOOKUP(C123,Deflatores!G$4:I$38,3,FALSE)))</f>
        <v>5</v>
      </c>
      <c r="M123" s="10"/>
      <c r="N123" s="10"/>
      <c r="O123" s="6"/>
    </row>
    <row r="124" spans="1:15" x14ac:dyDescent="0.2">
      <c r="A124" s="126" t="s">
        <v>260</v>
      </c>
      <c r="B124" s="4" t="s">
        <v>103</v>
      </c>
      <c r="C124" s="4" t="s">
        <v>41</v>
      </c>
      <c r="D124" s="7"/>
      <c r="E124" s="7"/>
      <c r="F124" s="8" t="str">
        <f t="shared" si="0"/>
        <v>Média</v>
      </c>
      <c r="G124" s="7" t="str">
        <f t="shared" si="1"/>
        <v>SEA</v>
      </c>
      <c r="H124" s="5">
        <f t="shared" si="2"/>
        <v>5</v>
      </c>
      <c r="I124" s="122" t="str">
        <f t="shared" si="3"/>
        <v>A</v>
      </c>
      <c r="J124" s="7" t="str">
        <f t="shared" si="4"/>
        <v>SEI</v>
      </c>
      <c r="K124" s="9">
        <f t="shared" si="5"/>
        <v>5</v>
      </c>
      <c r="L124" s="9">
        <f>IF(NOT(ISERROR(VLOOKUP(B124,Deflatores!G$42:H$64,2,FALSE))),VLOOKUP(B124,Deflatores!G$42:H$64,2,FALSE),IF(OR(ISBLANK(C124),ISBLANK(B124)),"",VLOOKUP(C124,Deflatores!G$4:H$38,2,FALSE)*H124+VLOOKUP(C124,Deflatores!G$4:I$38,3,FALSE)))</f>
        <v>5</v>
      </c>
      <c r="M124" s="10"/>
      <c r="N124" s="10"/>
      <c r="O124" s="6"/>
    </row>
    <row r="125" spans="1:15" x14ac:dyDescent="0.2">
      <c r="A125" s="128"/>
      <c r="B125" s="4"/>
      <c r="C125" s="4"/>
      <c r="D125" s="7"/>
      <c r="E125" s="7"/>
      <c r="F125" s="8" t="str">
        <f t="shared" si="0"/>
        <v/>
      </c>
      <c r="G125" s="7" t="str">
        <f t="shared" si="1"/>
        <v/>
      </c>
      <c r="H125" s="5" t="str">
        <f t="shared" si="2"/>
        <v/>
      </c>
      <c r="I125" s="122" t="str">
        <f t="shared" si="3"/>
        <v/>
      </c>
      <c r="J125" s="7" t="str">
        <f t="shared" si="4"/>
        <v/>
      </c>
      <c r="K125" s="9" t="str">
        <f t="shared" si="5"/>
        <v/>
      </c>
      <c r="L125" s="9" t="str">
        <f>IF(NOT(ISERROR(VLOOKUP(B125,Deflatores!G$42:H$64,2,FALSE))),VLOOKUP(B125,Deflatores!G$42:H$64,2,FALSE),IF(OR(ISBLANK(C125),ISBLANK(B125)),"",VLOOKUP(C125,Deflatores!G$4:H$38,2,FALSE)*H125+VLOOKUP(C125,Deflatores!G$4:I$38,3,FALSE)))</f>
        <v/>
      </c>
      <c r="M125" s="10"/>
      <c r="N125" s="10"/>
      <c r="O125" s="6"/>
    </row>
    <row r="126" spans="1:15" x14ac:dyDescent="0.2">
      <c r="A126" s="128" t="s">
        <v>267</v>
      </c>
      <c r="B126" s="4"/>
      <c r="C126" s="4"/>
      <c r="D126" s="7"/>
      <c r="E126" s="7"/>
      <c r="F126" s="8" t="str">
        <f t="shared" ref="F126:F127" si="300">IF(ISBLANK(B126),"",IF(I126="L","Baixa",IF(I126="A","Média",IF(I126="","","Alta"))))</f>
        <v/>
      </c>
      <c r="G126" s="7" t="str">
        <f t="shared" ref="G126:G127" si="301">CONCATENATE(B126,I126)</f>
        <v/>
      </c>
      <c r="H126" s="5" t="str">
        <f t="shared" ref="H126:H127" si="302">IF(ISBLANK(B126),"",IF(B126="ALI",IF(I126="L",7,IF(I126="A",10,15)),IF(B126="AIE",IF(I126="L",5,IF(I126="A",7,10)),IF(B126="SE",IF(I126="L",4,IF(I126="A",5,7)),IF(OR(B126="EE",B126="CE"),IF(I126="L",3,IF(I126="A",4,6)),0)))))</f>
        <v/>
      </c>
      <c r="I126" s="122" t="str">
        <f t="shared" ref="I126:I127" si="303">IF(OR(ISBLANK(D126),ISBLANK(E126)),IF(OR(B126="ALI",B126="AIE"),"L",IF(OR(B126="EE",B126="SE",B126="CE"),"A","")),IF(B126="EE",IF(E126&gt;=3,IF(D126&gt;=5,"H","A"),IF(E126&gt;=2,IF(D126&gt;=16,"H",IF(D126&lt;=4,"L","A")),IF(D126&lt;=15,"L","A"))),IF(OR(B126="SE",B126="CE"),IF(E126&gt;=4,IF(D126&gt;=6,"H","A"),IF(E126&gt;=2,IF(D126&gt;=20,"H",IF(D126&lt;=5,"L","A")),IF(D126&lt;=19,"L","A"))),IF(OR(B126="ALI",B126="AIE"),IF(E126&gt;=6,IF(D126&gt;=20,"H","A"),IF(E126&gt;=2,IF(D126&gt;=51,"H",IF(D126&lt;=19,"L","A")),IF(D126&lt;=50,"L","A"))),""))))</f>
        <v/>
      </c>
      <c r="J126" s="7" t="str">
        <f t="shared" ref="J126:J127" si="304">CONCATENATE(B126,C126)</f>
        <v/>
      </c>
      <c r="K126" s="9" t="str">
        <f t="shared" ref="K126:K127" si="305">IF(OR(H126="",H126=0),L126,H126)</f>
        <v/>
      </c>
      <c r="L126" s="9" t="str">
        <f>IF(NOT(ISERROR(VLOOKUP(B126,Deflatores!G$42:H$64,2,FALSE))),VLOOKUP(B126,Deflatores!G$42:H$64,2,FALSE),IF(OR(ISBLANK(C126),ISBLANK(B126)),"",VLOOKUP(C126,Deflatores!G$4:H$38,2,FALSE)*H126+VLOOKUP(C126,Deflatores!G$4:I$38,3,FALSE)))</f>
        <v/>
      </c>
      <c r="M126" s="10"/>
      <c r="N126" s="10"/>
      <c r="O126" s="6"/>
    </row>
    <row r="127" spans="1:15" x14ac:dyDescent="0.2">
      <c r="A127" s="126" t="s">
        <v>268</v>
      </c>
      <c r="B127" s="4" t="s">
        <v>102</v>
      </c>
      <c r="C127" s="4" t="s">
        <v>41</v>
      </c>
      <c r="D127" s="7"/>
      <c r="E127" s="7"/>
      <c r="F127" s="8" t="str">
        <f t="shared" si="300"/>
        <v>Média</v>
      </c>
      <c r="G127" s="7" t="str">
        <f t="shared" si="301"/>
        <v>CEA</v>
      </c>
      <c r="H127" s="5">
        <f t="shared" si="302"/>
        <v>4</v>
      </c>
      <c r="I127" s="122" t="str">
        <f t="shared" si="303"/>
        <v>A</v>
      </c>
      <c r="J127" s="7" t="str">
        <f t="shared" si="304"/>
        <v>CEI</v>
      </c>
      <c r="K127" s="9">
        <f t="shared" si="305"/>
        <v>4</v>
      </c>
      <c r="L127" s="9">
        <f>IF(NOT(ISERROR(VLOOKUP(B127,Deflatores!G$42:H$64,2,FALSE))),VLOOKUP(B127,Deflatores!G$42:H$64,2,FALSE),IF(OR(ISBLANK(C127),ISBLANK(B127)),"",VLOOKUP(C127,Deflatores!G$4:H$38,2,FALSE)*H127+VLOOKUP(C127,Deflatores!G$4:I$38,3,FALSE)))</f>
        <v>4</v>
      </c>
      <c r="M127" s="10"/>
      <c r="N127" s="10"/>
      <c r="O127" s="6"/>
    </row>
    <row r="128" spans="1:15" x14ac:dyDescent="0.2">
      <c r="A128" s="126" t="s">
        <v>269</v>
      </c>
      <c r="B128" s="4" t="s">
        <v>102</v>
      </c>
      <c r="C128" s="4" t="s">
        <v>41</v>
      </c>
      <c r="D128" s="7"/>
      <c r="E128" s="7"/>
      <c r="F128" s="8" t="str">
        <f t="shared" si="0"/>
        <v>Média</v>
      </c>
      <c r="G128" s="7" t="str">
        <f t="shared" si="1"/>
        <v>CEA</v>
      </c>
      <c r="H128" s="5">
        <f t="shared" si="2"/>
        <v>4</v>
      </c>
      <c r="I128" s="122" t="str">
        <f t="shared" si="3"/>
        <v>A</v>
      </c>
      <c r="J128" s="7" t="str">
        <f t="shared" si="4"/>
        <v>CEI</v>
      </c>
      <c r="K128" s="9">
        <f t="shared" si="5"/>
        <v>4</v>
      </c>
      <c r="L128" s="9">
        <f>IF(NOT(ISERROR(VLOOKUP(B128,Deflatores!G$42:H$64,2,FALSE))),VLOOKUP(B128,Deflatores!G$42:H$64,2,FALSE),IF(OR(ISBLANK(C128),ISBLANK(B128)),"",VLOOKUP(C128,Deflatores!G$4:H$38,2,FALSE)*H128+VLOOKUP(C128,Deflatores!G$4:I$38,3,FALSE)))</f>
        <v>4</v>
      </c>
      <c r="M128" s="10"/>
      <c r="N128" s="10"/>
      <c r="O128" s="6"/>
    </row>
    <row r="129" spans="1:15" x14ac:dyDescent="0.2">
      <c r="A129" s="128"/>
      <c r="B129" s="4"/>
      <c r="C129" s="4"/>
      <c r="D129" s="7"/>
      <c r="E129" s="7"/>
      <c r="F129" s="8" t="str">
        <f t="shared" ref="F129" si="306">IF(ISBLANK(B129),"",IF(I129="L","Baixa",IF(I129="A","Média",IF(I129="","","Alta"))))</f>
        <v/>
      </c>
      <c r="G129" s="7" t="str">
        <f t="shared" ref="G129" si="307">CONCATENATE(B129,I129)</f>
        <v/>
      </c>
      <c r="H129" s="5" t="str">
        <f t="shared" ref="H129" si="308">IF(ISBLANK(B129),"",IF(B129="ALI",IF(I129="L",7,IF(I129="A",10,15)),IF(B129="AIE",IF(I129="L",5,IF(I129="A",7,10)),IF(B129="SE",IF(I129="L",4,IF(I129="A",5,7)),IF(OR(B129="EE",B129="CE"),IF(I129="L",3,IF(I129="A",4,6)),0)))))</f>
        <v/>
      </c>
      <c r="I129" s="122" t="str">
        <f t="shared" ref="I129" si="309">IF(OR(ISBLANK(D129),ISBLANK(E129)),IF(OR(B129="ALI",B129="AIE"),"L",IF(OR(B129="EE",B129="SE",B129="CE"),"A","")),IF(B129="EE",IF(E129&gt;=3,IF(D129&gt;=5,"H","A"),IF(E129&gt;=2,IF(D129&gt;=16,"H",IF(D129&lt;=4,"L","A")),IF(D129&lt;=15,"L","A"))),IF(OR(B129="SE",B129="CE"),IF(E129&gt;=4,IF(D129&gt;=6,"H","A"),IF(E129&gt;=2,IF(D129&gt;=20,"H",IF(D129&lt;=5,"L","A")),IF(D129&lt;=19,"L","A"))),IF(OR(B129="ALI",B129="AIE"),IF(E129&gt;=6,IF(D129&gt;=20,"H","A"),IF(E129&gt;=2,IF(D129&gt;=51,"H",IF(D129&lt;=19,"L","A")),IF(D129&lt;=50,"L","A"))),""))))</f>
        <v/>
      </c>
      <c r="J129" s="7" t="str">
        <f t="shared" ref="J129" si="310">CONCATENATE(B129,C129)</f>
        <v/>
      </c>
      <c r="K129" s="9" t="str">
        <f t="shared" ref="K129" si="311">IF(OR(H129="",H129=0),L129,H129)</f>
        <v/>
      </c>
      <c r="L129" s="9" t="str">
        <f>IF(NOT(ISERROR(VLOOKUP(B129,Deflatores!G$42:H$64,2,FALSE))),VLOOKUP(B129,Deflatores!G$42:H$64,2,FALSE),IF(OR(ISBLANK(C129),ISBLANK(B129)),"",VLOOKUP(C129,Deflatores!G$4:H$38,2,FALSE)*H129+VLOOKUP(C129,Deflatores!G$4:I$38,3,FALSE)))</f>
        <v/>
      </c>
      <c r="M129" s="10"/>
      <c r="N129" s="10"/>
      <c r="O129" s="6"/>
    </row>
    <row r="130" spans="1:15" x14ac:dyDescent="0.2">
      <c r="A130" s="128" t="s">
        <v>271</v>
      </c>
      <c r="B130" s="4"/>
      <c r="C130" s="4"/>
      <c r="D130" s="7"/>
      <c r="E130" s="7"/>
      <c r="F130" s="8" t="str">
        <f t="shared" ref="F130" si="312">IF(ISBLANK(B130),"",IF(I130="L","Baixa",IF(I130="A","Média",IF(I130="","","Alta"))))</f>
        <v/>
      </c>
      <c r="G130" s="7" t="str">
        <f t="shared" ref="G130" si="313">CONCATENATE(B130,I130)</f>
        <v/>
      </c>
      <c r="H130" s="5" t="str">
        <f t="shared" ref="H130" si="314">IF(ISBLANK(B130),"",IF(B130="ALI",IF(I130="L",7,IF(I130="A",10,15)),IF(B130="AIE",IF(I130="L",5,IF(I130="A",7,10)),IF(B130="SE",IF(I130="L",4,IF(I130="A",5,7)),IF(OR(B130="EE",B130="CE"),IF(I130="L",3,IF(I130="A",4,6)),0)))))</f>
        <v/>
      </c>
      <c r="I130" s="122" t="str">
        <f t="shared" ref="I130" si="315">IF(OR(ISBLANK(D130),ISBLANK(E130)),IF(OR(B130="ALI",B130="AIE"),"L",IF(OR(B130="EE",B130="SE",B130="CE"),"A","")),IF(B130="EE",IF(E130&gt;=3,IF(D130&gt;=5,"H","A"),IF(E130&gt;=2,IF(D130&gt;=16,"H",IF(D130&lt;=4,"L","A")),IF(D130&lt;=15,"L","A"))),IF(OR(B130="SE",B130="CE"),IF(E130&gt;=4,IF(D130&gt;=6,"H","A"),IF(E130&gt;=2,IF(D130&gt;=20,"H",IF(D130&lt;=5,"L","A")),IF(D130&lt;=19,"L","A"))),IF(OR(B130="ALI",B130="AIE"),IF(E130&gt;=6,IF(D130&gt;=20,"H","A"),IF(E130&gt;=2,IF(D130&gt;=51,"H",IF(D130&lt;=19,"L","A")),IF(D130&lt;=50,"L","A"))),""))))</f>
        <v/>
      </c>
      <c r="J130" s="7" t="str">
        <f t="shared" ref="J130" si="316">CONCATENATE(B130,C130)</f>
        <v/>
      </c>
      <c r="K130" s="9" t="str">
        <f t="shared" ref="K130" si="317">IF(OR(H130="",H130=0),L130,H130)</f>
        <v/>
      </c>
      <c r="L130" s="9" t="str">
        <f>IF(NOT(ISERROR(VLOOKUP(B130,Deflatores!G$42:H$64,2,FALSE))),VLOOKUP(B130,Deflatores!G$42:H$64,2,FALSE),IF(OR(ISBLANK(C130),ISBLANK(B130)),"",VLOOKUP(C130,Deflatores!G$4:H$38,2,FALSE)*H130+VLOOKUP(C130,Deflatores!G$4:I$38,3,FALSE)))</f>
        <v/>
      </c>
      <c r="M130" s="10"/>
      <c r="N130" s="10"/>
      <c r="O130" s="6"/>
    </row>
    <row r="131" spans="1:15" x14ac:dyDescent="0.2">
      <c r="A131" s="126" t="s">
        <v>272</v>
      </c>
      <c r="B131" s="4"/>
      <c r="C131" s="4"/>
      <c r="D131" s="7"/>
      <c r="E131" s="7"/>
      <c r="F131" s="8" t="str">
        <f t="shared" ref="F131" si="318">IF(ISBLANK(B131),"",IF(I131="L","Baixa",IF(I131="A","Média",IF(I131="","","Alta"))))</f>
        <v/>
      </c>
      <c r="G131" s="7" t="str">
        <f t="shared" ref="G131" si="319">CONCATENATE(B131,I131)</f>
        <v/>
      </c>
      <c r="H131" s="5" t="str">
        <f t="shared" ref="H131" si="320">IF(ISBLANK(B131),"",IF(B131="ALI",IF(I131="L",7,IF(I131="A",10,15)),IF(B131="AIE",IF(I131="L",5,IF(I131="A",7,10)),IF(B131="SE",IF(I131="L",4,IF(I131="A",5,7)),IF(OR(B131="EE",B131="CE"),IF(I131="L",3,IF(I131="A",4,6)),0)))))</f>
        <v/>
      </c>
      <c r="I131" s="122" t="str">
        <f t="shared" ref="I131" si="321">IF(OR(ISBLANK(D131),ISBLANK(E131)),IF(OR(B131="ALI",B131="AIE"),"L",IF(OR(B131="EE",B131="SE",B131="CE"),"A","")),IF(B131="EE",IF(E131&gt;=3,IF(D131&gt;=5,"H","A"),IF(E131&gt;=2,IF(D131&gt;=16,"H",IF(D131&lt;=4,"L","A")),IF(D131&lt;=15,"L","A"))),IF(OR(B131="SE",B131="CE"),IF(E131&gt;=4,IF(D131&gt;=6,"H","A"),IF(E131&gt;=2,IF(D131&gt;=20,"H",IF(D131&lt;=5,"L","A")),IF(D131&lt;=19,"L","A"))),IF(OR(B131="ALI",B131="AIE"),IF(E131&gt;=6,IF(D131&gt;=20,"H","A"),IF(E131&gt;=2,IF(D131&gt;=51,"H",IF(D131&lt;=19,"L","A")),IF(D131&lt;=50,"L","A"))),""))))</f>
        <v/>
      </c>
      <c r="J131" s="7" t="str">
        <f t="shared" ref="J131" si="322">CONCATENATE(B131,C131)</f>
        <v/>
      </c>
      <c r="K131" s="9" t="str">
        <f t="shared" ref="K131" si="323">IF(OR(H131="",H131=0),L131,H131)</f>
        <v/>
      </c>
      <c r="L131" s="9" t="str">
        <f>IF(NOT(ISERROR(VLOOKUP(B131,Deflatores!G$42:H$64,2,FALSE))),VLOOKUP(B131,Deflatores!G$42:H$64,2,FALSE),IF(OR(ISBLANK(C131),ISBLANK(B131)),"",VLOOKUP(C131,Deflatores!G$4:H$38,2,FALSE)*H131+VLOOKUP(C131,Deflatores!G$4:I$38,3,FALSE)))</f>
        <v/>
      </c>
      <c r="M131" s="10"/>
      <c r="N131" s="10"/>
      <c r="O131" s="6"/>
    </row>
    <row r="132" spans="1:15" ht="15" customHeight="1" x14ac:dyDescent="0.2">
      <c r="A132" s="126" t="s">
        <v>272</v>
      </c>
      <c r="B132" s="4" t="s">
        <v>98</v>
      </c>
      <c r="C132" s="4" t="s">
        <v>41</v>
      </c>
      <c r="D132" s="7"/>
      <c r="E132" s="7"/>
      <c r="F132" s="8" t="str">
        <f t="shared" si="0"/>
        <v>Baixa</v>
      </c>
      <c r="G132" s="7" t="str">
        <f t="shared" si="1"/>
        <v>ALIL</v>
      </c>
      <c r="H132" s="5">
        <f t="shared" si="2"/>
        <v>7</v>
      </c>
      <c r="I132" s="122" t="str">
        <f t="shared" si="3"/>
        <v>L</v>
      </c>
      <c r="J132" s="7" t="str">
        <f t="shared" si="4"/>
        <v>ALII</v>
      </c>
      <c r="K132" s="9">
        <f t="shared" si="5"/>
        <v>7</v>
      </c>
      <c r="L132" s="9">
        <f>IF(NOT(ISERROR(VLOOKUP(B132,Deflatores!G$42:H$64,2,FALSE))),VLOOKUP(B132,Deflatores!G$42:H$64,2,FALSE),IF(OR(ISBLANK(C132),ISBLANK(B132)),"",VLOOKUP(C132,Deflatores!G$4:H$38,2,FALSE)*H132+VLOOKUP(C132,Deflatores!G$4:I$38,3,FALSE)))</f>
        <v>7</v>
      </c>
      <c r="M132" s="10"/>
      <c r="N132" s="10"/>
      <c r="O132" s="6"/>
    </row>
    <row r="133" spans="1:15" ht="13.5" customHeight="1" x14ac:dyDescent="0.2">
      <c r="A133" s="126" t="s">
        <v>273</v>
      </c>
      <c r="B133" s="4" t="s">
        <v>102</v>
      </c>
      <c r="C133" s="4" t="s">
        <v>41</v>
      </c>
      <c r="D133" s="7"/>
      <c r="E133" s="7"/>
      <c r="F133" s="8" t="str">
        <f t="shared" si="0"/>
        <v>Média</v>
      </c>
      <c r="G133" s="7" t="str">
        <f t="shared" si="1"/>
        <v>CEA</v>
      </c>
      <c r="H133" s="5">
        <f t="shared" si="2"/>
        <v>4</v>
      </c>
      <c r="I133" s="122" t="str">
        <f t="shared" si="3"/>
        <v>A</v>
      </c>
      <c r="J133" s="7" t="str">
        <f t="shared" si="4"/>
        <v>CEI</v>
      </c>
      <c r="K133" s="9">
        <f t="shared" si="5"/>
        <v>4</v>
      </c>
      <c r="L133" s="9">
        <f>IF(NOT(ISERROR(VLOOKUP(B133,Deflatores!G$42:H$64,2,FALSE))),VLOOKUP(B133,Deflatores!G$42:H$64,2,FALSE),IF(OR(ISBLANK(C133),ISBLANK(B133)),"",VLOOKUP(C133,Deflatores!G$4:H$38,2,FALSE)*H133+VLOOKUP(C133,Deflatores!G$4:I$38,3,FALSE)))</f>
        <v>4</v>
      </c>
      <c r="M133" s="10"/>
      <c r="N133" s="10"/>
      <c r="O133" s="6"/>
    </row>
    <row r="134" spans="1:15" x14ac:dyDescent="0.2">
      <c r="A134" s="126" t="s">
        <v>274</v>
      </c>
      <c r="B134" s="4" t="s">
        <v>102</v>
      </c>
      <c r="C134" s="4" t="s">
        <v>41</v>
      </c>
      <c r="D134" s="7"/>
      <c r="E134" s="7"/>
      <c r="F134" s="8" t="str">
        <f t="shared" si="0"/>
        <v>Média</v>
      </c>
      <c r="G134" s="7" t="str">
        <f t="shared" si="1"/>
        <v>CEA</v>
      </c>
      <c r="H134" s="5">
        <f t="shared" si="2"/>
        <v>4</v>
      </c>
      <c r="I134" s="122" t="str">
        <f t="shared" si="3"/>
        <v>A</v>
      </c>
      <c r="J134" s="7" t="str">
        <f t="shared" si="4"/>
        <v>CEI</v>
      </c>
      <c r="K134" s="9">
        <f t="shared" si="5"/>
        <v>4</v>
      </c>
      <c r="L134" s="9">
        <f>IF(NOT(ISERROR(VLOOKUP(B134,Deflatores!G$42:H$64,2,FALSE))),VLOOKUP(B134,Deflatores!G$42:H$64,2,FALSE),IF(OR(ISBLANK(C134),ISBLANK(B134)),"",VLOOKUP(C134,Deflatores!G$4:H$38,2,FALSE)*H134+VLOOKUP(C134,Deflatores!G$4:I$38,3,FALSE)))</f>
        <v>4</v>
      </c>
      <c r="M134" s="10"/>
      <c r="N134" s="10"/>
      <c r="O134" s="6"/>
    </row>
    <row r="135" spans="1:15" x14ac:dyDescent="0.2">
      <c r="A135" s="126" t="s">
        <v>275</v>
      </c>
      <c r="B135" s="4" t="s">
        <v>102</v>
      </c>
      <c r="C135" s="4" t="s">
        <v>41</v>
      </c>
      <c r="D135" s="7"/>
      <c r="E135" s="7"/>
      <c r="F135" s="8" t="str">
        <f t="shared" si="0"/>
        <v>Média</v>
      </c>
      <c r="G135" s="7" t="str">
        <f t="shared" si="1"/>
        <v>CEA</v>
      </c>
      <c r="H135" s="5">
        <f t="shared" si="2"/>
        <v>4</v>
      </c>
      <c r="I135" s="122" t="str">
        <f t="shared" si="3"/>
        <v>A</v>
      </c>
      <c r="J135" s="7" t="str">
        <f t="shared" si="4"/>
        <v>CEI</v>
      </c>
      <c r="K135" s="9">
        <f t="shared" si="5"/>
        <v>4</v>
      </c>
      <c r="L135" s="9">
        <f>IF(NOT(ISERROR(VLOOKUP(B135,Deflatores!G$42:H$64,2,FALSE))),VLOOKUP(B135,Deflatores!G$42:H$64,2,FALSE),IF(OR(ISBLANK(C135),ISBLANK(B135)),"",VLOOKUP(C135,Deflatores!G$4:H$38,2,FALSE)*H135+VLOOKUP(C135,Deflatores!G$4:I$38,3,FALSE)))</f>
        <v>4</v>
      </c>
      <c r="M135" s="10"/>
      <c r="N135" s="10"/>
      <c r="O135" s="6"/>
    </row>
    <row r="136" spans="1:15" ht="14.25" customHeight="1" x14ac:dyDescent="0.2">
      <c r="A136" s="126" t="s">
        <v>276</v>
      </c>
      <c r="B136" s="4" t="s">
        <v>102</v>
      </c>
      <c r="C136" s="4" t="s">
        <v>41</v>
      </c>
      <c r="D136" s="7"/>
      <c r="E136" s="7"/>
      <c r="F136" s="8" t="str">
        <f t="shared" ref="F136" si="324">IF(ISBLANK(B136),"",IF(I136="L","Baixa",IF(I136="A","Média",IF(I136="","","Alta"))))</f>
        <v>Média</v>
      </c>
      <c r="G136" s="7" t="str">
        <f t="shared" ref="G136" si="325">CONCATENATE(B136,I136)</f>
        <v>CEA</v>
      </c>
      <c r="H136" s="5">
        <f t="shared" ref="H136" si="326">IF(ISBLANK(B136),"",IF(B136="ALI",IF(I136="L",7,IF(I136="A",10,15)),IF(B136="AIE",IF(I136="L",5,IF(I136="A",7,10)),IF(B136="SE",IF(I136="L",4,IF(I136="A",5,7)),IF(OR(B136="EE",B136="CE"),IF(I136="L",3,IF(I136="A",4,6)),0)))))</f>
        <v>4</v>
      </c>
      <c r="I136" s="122" t="str">
        <f t="shared" ref="I136" si="327">IF(OR(ISBLANK(D136),ISBLANK(E136)),IF(OR(B136="ALI",B136="AIE"),"L",IF(OR(B136="EE",B136="SE",B136="CE"),"A","")),IF(B136="EE",IF(E136&gt;=3,IF(D136&gt;=5,"H","A"),IF(E136&gt;=2,IF(D136&gt;=16,"H",IF(D136&lt;=4,"L","A")),IF(D136&lt;=15,"L","A"))),IF(OR(B136="SE",B136="CE"),IF(E136&gt;=4,IF(D136&gt;=6,"H","A"),IF(E136&gt;=2,IF(D136&gt;=20,"H",IF(D136&lt;=5,"L","A")),IF(D136&lt;=19,"L","A"))),IF(OR(B136="ALI",B136="AIE"),IF(E136&gt;=6,IF(D136&gt;=20,"H","A"),IF(E136&gt;=2,IF(D136&gt;=51,"H",IF(D136&lt;=19,"L","A")),IF(D136&lt;=50,"L","A"))),""))))</f>
        <v>A</v>
      </c>
      <c r="J136" s="7" t="str">
        <f t="shared" ref="J136" si="328">CONCATENATE(B136,C136)</f>
        <v>CEI</v>
      </c>
      <c r="K136" s="9">
        <f t="shared" ref="K136" si="329">IF(OR(H136="",H136=0),L136,H136)</f>
        <v>4</v>
      </c>
      <c r="L136" s="9">
        <f>IF(NOT(ISERROR(VLOOKUP(B136,Deflatores!G$42:H$64,2,FALSE))),VLOOKUP(B136,Deflatores!G$42:H$64,2,FALSE),IF(OR(ISBLANK(C136),ISBLANK(B136)),"",VLOOKUP(C136,Deflatores!G$4:H$38,2,FALSE)*H136+VLOOKUP(C136,Deflatores!G$4:I$38,3,FALSE)))</f>
        <v>4</v>
      </c>
      <c r="M136" s="10"/>
      <c r="N136" s="10"/>
      <c r="O136" s="6"/>
    </row>
    <row r="137" spans="1:15" x14ac:dyDescent="0.2">
      <c r="A137" s="126" t="s">
        <v>277</v>
      </c>
      <c r="B137" s="4" t="s">
        <v>102</v>
      </c>
      <c r="C137" s="4" t="s">
        <v>41</v>
      </c>
      <c r="D137" s="7"/>
      <c r="E137" s="7"/>
      <c r="F137" s="8" t="str">
        <f t="shared" ref="F137:F138" si="330">IF(ISBLANK(B137),"",IF(I137="L","Baixa",IF(I137="A","Média",IF(I137="","","Alta"))))</f>
        <v>Média</v>
      </c>
      <c r="G137" s="7" t="str">
        <f t="shared" ref="G137:G138" si="331">CONCATENATE(B137,I137)</f>
        <v>CEA</v>
      </c>
      <c r="H137" s="5">
        <f t="shared" ref="H137:H138" si="332">IF(ISBLANK(B137),"",IF(B137="ALI",IF(I137="L",7,IF(I137="A",10,15)),IF(B137="AIE",IF(I137="L",5,IF(I137="A",7,10)),IF(B137="SE",IF(I137="L",4,IF(I137="A",5,7)),IF(OR(B137="EE",B137="CE"),IF(I137="L",3,IF(I137="A",4,6)),0)))))</f>
        <v>4</v>
      </c>
      <c r="I137" s="122" t="str">
        <f t="shared" ref="I137:I138" si="333">IF(OR(ISBLANK(D137),ISBLANK(E137)),IF(OR(B137="ALI",B137="AIE"),"L",IF(OR(B137="EE",B137="SE",B137="CE"),"A","")),IF(B137="EE",IF(E137&gt;=3,IF(D137&gt;=5,"H","A"),IF(E137&gt;=2,IF(D137&gt;=16,"H",IF(D137&lt;=4,"L","A")),IF(D137&lt;=15,"L","A"))),IF(OR(B137="SE",B137="CE"),IF(E137&gt;=4,IF(D137&gt;=6,"H","A"),IF(E137&gt;=2,IF(D137&gt;=20,"H",IF(D137&lt;=5,"L","A")),IF(D137&lt;=19,"L","A"))),IF(OR(B137="ALI",B137="AIE"),IF(E137&gt;=6,IF(D137&gt;=20,"H","A"),IF(E137&gt;=2,IF(D137&gt;=51,"H",IF(D137&lt;=19,"L","A")),IF(D137&lt;=50,"L","A"))),""))))</f>
        <v>A</v>
      </c>
      <c r="J137" s="7" t="str">
        <f t="shared" ref="J137:J138" si="334">CONCATENATE(B137,C137)</f>
        <v>CEI</v>
      </c>
      <c r="K137" s="9">
        <f t="shared" ref="K137:K138" si="335">IF(OR(H137="",H137=0),L137,H137)</f>
        <v>4</v>
      </c>
      <c r="L137" s="9">
        <f>IF(NOT(ISERROR(VLOOKUP(B137,Deflatores!G$42:H$64,2,FALSE))),VLOOKUP(B137,Deflatores!G$42:H$64,2,FALSE),IF(OR(ISBLANK(C137),ISBLANK(B137)),"",VLOOKUP(C137,Deflatores!G$4:H$38,2,FALSE)*H137+VLOOKUP(C137,Deflatores!G$4:I$38,3,FALSE)))</f>
        <v>4</v>
      </c>
      <c r="M137" s="10"/>
      <c r="N137" s="10"/>
      <c r="O137" s="6"/>
    </row>
    <row r="138" spans="1:15" x14ac:dyDescent="0.2">
      <c r="A138" s="126" t="s">
        <v>281</v>
      </c>
      <c r="B138" s="4" t="s">
        <v>100</v>
      </c>
      <c r="C138" s="4" t="s">
        <v>41</v>
      </c>
      <c r="D138" s="7"/>
      <c r="E138" s="7"/>
      <c r="F138" s="8" t="str">
        <f t="shared" si="330"/>
        <v>Média</v>
      </c>
      <c r="G138" s="7" t="str">
        <f t="shared" si="331"/>
        <v>EEA</v>
      </c>
      <c r="H138" s="5">
        <f t="shared" si="332"/>
        <v>4</v>
      </c>
      <c r="I138" s="122" t="str">
        <f t="shared" si="333"/>
        <v>A</v>
      </c>
      <c r="J138" s="7" t="str">
        <f t="shared" si="334"/>
        <v>EEI</v>
      </c>
      <c r="K138" s="9">
        <f t="shared" si="335"/>
        <v>4</v>
      </c>
      <c r="L138" s="9">
        <f>IF(NOT(ISERROR(VLOOKUP(B138,Deflatores!G$42:H$64,2,FALSE))),VLOOKUP(B138,Deflatores!G$42:H$64,2,FALSE),IF(OR(ISBLANK(C138),ISBLANK(B138)),"",VLOOKUP(C138,Deflatores!G$4:H$38,2,FALSE)*H138+VLOOKUP(C138,Deflatores!G$4:I$38,3,FALSE)))</f>
        <v>4</v>
      </c>
      <c r="M138" s="10"/>
      <c r="N138" s="10"/>
      <c r="O138" s="6"/>
    </row>
    <row r="139" spans="1:15" x14ac:dyDescent="0.2">
      <c r="A139" s="126" t="s">
        <v>278</v>
      </c>
      <c r="B139" s="4" t="s">
        <v>102</v>
      </c>
      <c r="C139" s="4" t="s">
        <v>41</v>
      </c>
      <c r="D139" s="7"/>
      <c r="E139" s="7"/>
      <c r="F139" s="8" t="str">
        <f t="shared" si="0"/>
        <v>Média</v>
      </c>
      <c r="G139" s="7" t="str">
        <f t="shared" si="1"/>
        <v>CEA</v>
      </c>
      <c r="H139" s="5">
        <f t="shared" si="2"/>
        <v>4</v>
      </c>
      <c r="I139" s="122" t="str">
        <f t="shared" si="3"/>
        <v>A</v>
      </c>
      <c r="J139" s="7" t="str">
        <f t="shared" si="4"/>
        <v>CEI</v>
      </c>
      <c r="K139" s="9">
        <f t="shared" si="5"/>
        <v>4</v>
      </c>
      <c r="L139" s="9">
        <f>IF(NOT(ISERROR(VLOOKUP(B139,Deflatores!G$42:H$64,2,FALSE))),VLOOKUP(B139,Deflatores!G$42:H$64,2,FALSE),IF(OR(ISBLANK(C139),ISBLANK(B139)),"",VLOOKUP(C139,Deflatores!G$4:H$38,2,FALSE)*H139+VLOOKUP(C139,Deflatores!G$4:I$38,3,FALSE)))</f>
        <v>4</v>
      </c>
      <c r="M139" s="10"/>
      <c r="N139" s="10"/>
      <c r="O139" s="6"/>
    </row>
    <row r="140" spans="1:15" x14ac:dyDescent="0.2">
      <c r="A140" s="126" t="s">
        <v>279</v>
      </c>
      <c r="B140" s="4" t="s">
        <v>102</v>
      </c>
      <c r="C140" s="4" t="s">
        <v>41</v>
      </c>
      <c r="D140" s="7"/>
      <c r="E140" s="7"/>
      <c r="F140" s="8" t="str">
        <f t="shared" ref="F140" si="336">IF(ISBLANK(B140),"",IF(I140="L","Baixa",IF(I140="A","Média",IF(I140="","","Alta"))))</f>
        <v>Média</v>
      </c>
      <c r="G140" s="7" t="str">
        <f t="shared" ref="G140" si="337">CONCATENATE(B140,I140)</f>
        <v>CEA</v>
      </c>
      <c r="H140" s="5">
        <f t="shared" ref="H140" si="338">IF(ISBLANK(B140),"",IF(B140="ALI",IF(I140="L",7,IF(I140="A",10,15)),IF(B140="AIE",IF(I140="L",5,IF(I140="A",7,10)),IF(B140="SE",IF(I140="L",4,IF(I140="A",5,7)),IF(OR(B140="EE",B140="CE"),IF(I140="L",3,IF(I140="A",4,6)),0)))))</f>
        <v>4</v>
      </c>
      <c r="I140" s="122" t="str">
        <f t="shared" ref="I140" si="339">IF(OR(ISBLANK(D140),ISBLANK(E140)),IF(OR(B140="ALI",B140="AIE"),"L",IF(OR(B140="EE",B140="SE",B140="CE"),"A","")),IF(B140="EE",IF(E140&gt;=3,IF(D140&gt;=5,"H","A"),IF(E140&gt;=2,IF(D140&gt;=16,"H",IF(D140&lt;=4,"L","A")),IF(D140&lt;=15,"L","A"))),IF(OR(B140="SE",B140="CE"),IF(E140&gt;=4,IF(D140&gt;=6,"H","A"),IF(E140&gt;=2,IF(D140&gt;=20,"H",IF(D140&lt;=5,"L","A")),IF(D140&lt;=19,"L","A"))),IF(OR(B140="ALI",B140="AIE"),IF(E140&gt;=6,IF(D140&gt;=20,"H","A"),IF(E140&gt;=2,IF(D140&gt;=51,"H",IF(D140&lt;=19,"L","A")),IF(D140&lt;=50,"L","A"))),""))))</f>
        <v>A</v>
      </c>
      <c r="J140" s="7" t="str">
        <f t="shared" ref="J140" si="340">CONCATENATE(B140,C140)</f>
        <v>CEI</v>
      </c>
      <c r="K140" s="9">
        <f t="shared" ref="K140" si="341">IF(OR(H140="",H140=0),L140,H140)</f>
        <v>4</v>
      </c>
      <c r="L140" s="9">
        <f>IF(NOT(ISERROR(VLOOKUP(B140,Deflatores!G$42:H$64,2,FALSE))),VLOOKUP(B140,Deflatores!G$42:H$64,2,FALSE),IF(OR(ISBLANK(C140),ISBLANK(B140)),"",VLOOKUP(C140,Deflatores!G$4:H$38,2,FALSE)*H140+VLOOKUP(C140,Deflatores!G$4:I$38,3,FALSE)))</f>
        <v>4</v>
      </c>
      <c r="M140" s="10"/>
      <c r="N140" s="10"/>
      <c r="O140" s="6"/>
    </row>
    <row r="141" spans="1:15" x14ac:dyDescent="0.2">
      <c r="A141" s="126" t="s">
        <v>280</v>
      </c>
      <c r="B141" s="4" t="s">
        <v>102</v>
      </c>
      <c r="C141" s="4" t="s">
        <v>41</v>
      </c>
      <c r="D141" s="7"/>
      <c r="E141" s="7"/>
      <c r="F141" s="8" t="str">
        <f t="shared" si="0"/>
        <v>Média</v>
      </c>
      <c r="G141" s="7" t="str">
        <f t="shared" si="1"/>
        <v>CEA</v>
      </c>
      <c r="H141" s="5">
        <f t="shared" si="2"/>
        <v>4</v>
      </c>
      <c r="I141" s="122" t="str">
        <f t="shared" si="3"/>
        <v>A</v>
      </c>
      <c r="J141" s="7" t="str">
        <f t="shared" si="4"/>
        <v>CEI</v>
      </c>
      <c r="K141" s="9">
        <f t="shared" si="5"/>
        <v>4</v>
      </c>
      <c r="L141" s="9">
        <f>IF(NOT(ISERROR(VLOOKUP(B141,Deflatores!G$42:H$64,2,FALSE))),VLOOKUP(B141,Deflatores!G$42:H$64,2,FALSE),IF(OR(ISBLANK(C141),ISBLANK(B141)),"",VLOOKUP(C141,Deflatores!G$4:H$38,2,FALSE)*H141+VLOOKUP(C141,Deflatores!G$4:I$38,3,FALSE)))</f>
        <v>4</v>
      </c>
      <c r="M141" s="10"/>
      <c r="N141" s="10"/>
      <c r="O141" s="6"/>
    </row>
    <row r="142" spans="1:15" x14ac:dyDescent="0.2">
      <c r="A142" s="126"/>
      <c r="B142" s="4"/>
      <c r="C142" s="4"/>
      <c r="D142" s="7"/>
      <c r="E142" s="7"/>
      <c r="F142" s="8" t="str">
        <f t="shared" ref="F142" si="342">IF(ISBLANK(B142),"",IF(I142="L","Baixa",IF(I142="A","Média",IF(I142="","","Alta"))))</f>
        <v/>
      </c>
      <c r="G142" s="7" t="str">
        <f t="shared" si="1"/>
        <v/>
      </c>
      <c r="H142" s="5" t="str">
        <f t="shared" ref="H142" si="343">IF(ISBLANK(B142),"",IF(B142="ALI",IF(I142="L",7,IF(I142="A",10,15)),IF(B142="AIE",IF(I142="L",5,IF(I142="A",7,10)),IF(B142="SE",IF(I142="L",4,IF(I142="A",5,7)),IF(OR(B142="EE",B142="CE"),IF(I142="L",3,IF(I142="A",4,6)),0)))))</f>
        <v/>
      </c>
      <c r="I142" s="122" t="str">
        <f t="shared" ref="I142" si="344">IF(OR(ISBLANK(D142),ISBLANK(E142)),IF(OR(B142="ALI",B142="AIE"),"L",IF(OR(B142="EE",B142="SE",B142="CE"),"A","")),IF(B142="EE",IF(E142&gt;=3,IF(D142&gt;=5,"H","A"),IF(E142&gt;=2,IF(D142&gt;=16,"H",IF(D142&lt;=4,"L","A")),IF(D142&lt;=15,"L","A"))),IF(OR(B142="SE",B142="CE"),IF(E142&gt;=4,IF(D142&gt;=6,"H","A"),IF(E142&gt;=2,IF(D142&gt;=20,"H",IF(D142&lt;=5,"L","A")),IF(D142&lt;=19,"L","A"))),IF(OR(B142="ALI",B142="AIE"),IF(E142&gt;=6,IF(D142&gt;=20,"H","A"),IF(E142&gt;=2,IF(D142&gt;=51,"H",IF(D142&lt;=19,"L","A")),IF(D142&lt;=50,"L","A"))),""))))</f>
        <v/>
      </c>
      <c r="J142" s="7" t="str">
        <f t="shared" ref="J142" si="345">CONCATENATE(B142,C142)</f>
        <v/>
      </c>
      <c r="K142" s="9" t="str">
        <f t="shared" ref="K142" si="346">IF(OR(H142="",H142=0),L142,H142)</f>
        <v/>
      </c>
      <c r="L142" s="9" t="str">
        <f>IF(NOT(ISERROR(VLOOKUP(B142,Deflatores!G$42:H$64,2,FALSE))),VLOOKUP(B142,Deflatores!G$42:H$64,2,FALSE),IF(OR(ISBLANK(C142),ISBLANK(B142)),"",VLOOKUP(C142,Deflatores!G$4:H$38,2,FALSE)*H142+VLOOKUP(C142,Deflatores!G$4:I$38,3,FALSE)))</f>
        <v/>
      </c>
      <c r="M142" s="10"/>
      <c r="N142" s="10"/>
      <c r="O142" s="6"/>
    </row>
    <row r="143" spans="1:15" x14ac:dyDescent="0.2">
      <c r="A143" s="128" t="s">
        <v>282</v>
      </c>
      <c r="B143" s="4"/>
      <c r="C143" s="4"/>
      <c r="D143" s="7"/>
      <c r="E143" s="7"/>
      <c r="F143" s="8" t="str">
        <f t="shared" ref="F143" si="347">IF(ISBLANK(B143),"",IF(I143="L","Baixa",IF(I143="A","Média",IF(I143="","","Alta"))))</f>
        <v/>
      </c>
      <c r="G143" s="7" t="str">
        <f t="shared" si="1"/>
        <v/>
      </c>
      <c r="H143" s="5" t="str">
        <f t="shared" ref="H143" si="348">IF(ISBLANK(B143),"",IF(B143="ALI",IF(I143="L",7,IF(I143="A",10,15)),IF(B143="AIE",IF(I143="L",5,IF(I143="A",7,10)),IF(B143="SE",IF(I143="L",4,IF(I143="A",5,7)),IF(OR(B143="EE",B143="CE"),IF(I143="L",3,IF(I143="A",4,6)),0)))))</f>
        <v/>
      </c>
      <c r="I143" s="122" t="str">
        <f t="shared" ref="I143" si="349">IF(OR(ISBLANK(D143),ISBLANK(E143)),IF(OR(B143="ALI",B143="AIE"),"L",IF(OR(B143="EE",B143="SE",B143="CE"),"A","")),IF(B143="EE",IF(E143&gt;=3,IF(D143&gt;=5,"H","A"),IF(E143&gt;=2,IF(D143&gt;=16,"H",IF(D143&lt;=4,"L","A")),IF(D143&lt;=15,"L","A"))),IF(OR(B143="SE",B143="CE"),IF(E143&gt;=4,IF(D143&gt;=6,"H","A"),IF(E143&gt;=2,IF(D143&gt;=20,"H",IF(D143&lt;=5,"L","A")),IF(D143&lt;=19,"L","A"))),IF(OR(B143="ALI",B143="AIE"),IF(E143&gt;=6,IF(D143&gt;=20,"H","A"),IF(E143&gt;=2,IF(D143&gt;=51,"H",IF(D143&lt;=19,"L","A")),IF(D143&lt;=50,"L","A"))),""))))</f>
        <v/>
      </c>
      <c r="J143" s="7" t="str">
        <f t="shared" ref="J143" si="350">CONCATENATE(B143,C143)</f>
        <v/>
      </c>
      <c r="K143" s="9" t="str">
        <f t="shared" ref="K143" si="351">IF(OR(H143="",H143=0),L143,H143)</f>
        <v/>
      </c>
      <c r="L143" s="9" t="str">
        <f>IF(NOT(ISERROR(VLOOKUP(B143,Deflatores!G$42:H$64,2,FALSE))),VLOOKUP(B143,Deflatores!G$42:H$64,2,FALSE),IF(OR(ISBLANK(C143),ISBLANK(B143)),"",VLOOKUP(C143,Deflatores!G$4:H$38,2,FALSE)*H143+VLOOKUP(C143,Deflatores!G$4:I$38,3,FALSE)))</f>
        <v/>
      </c>
      <c r="M143" s="10"/>
      <c r="N143" s="10"/>
      <c r="O143" s="6"/>
    </row>
    <row r="144" spans="1:15" x14ac:dyDescent="0.2">
      <c r="A144" s="126" t="s">
        <v>283</v>
      </c>
      <c r="B144" s="4"/>
      <c r="C144" s="4"/>
      <c r="D144" s="7"/>
      <c r="E144" s="7"/>
      <c r="F144" s="8" t="str">
        <f t="shared" ref="F144" si="352">IF(ISBLANK(B144),"",IF(I144="L","Baixa",IF(I144="A","Média",IF(I144="","","Alta"))))</f>
        <v/>
      </c>
      <c r="G144" s="7" t="str">
        <f t="shared" si="1"/>
        <v/>
      </c>
      <c r="H144" s="5" t="str">
        <f t="shared" ref="H144" si="353">IF(ISBLANK(B144),"",IF(B144="ALI",IF(I144="L",7,IF(I144="A",10,15)),IF(B144="AIE",IF(I144="L",5,IF(I144="A",7,10)),IF(B144="SE",IF(I144="L",4,IF(I144="A",5,7)),IF(OR(B144="EE",B144="CE"),IF(I144="L",3,IF(I144="A",4,6)),0)))))</f>
        <v/>
      </c>
      <c r="I144" s="122" t="str">
        <f t="shared" ref="I144" si="354">IF(OR(ISBLANK(D144),ISBLANK(E144)),IF(OR(B144="ALI",B144="AIE"),"L",IF(OR(B144="EE",B144="SE",B144="CE"),"A","")),IF(B144="EE",IF(E144&gt;=3,IF(D144&gt;=5,"H","A"),IF(E144&gt;=2,IF(D144&gt;=16,"H",IF(D144&lt;=4,"L","A")),IF(D144&lt;=15,"L","A"))),IF(OR(B144="SE",B144="CE"),IF(E144&gt;=4,IF(D144&gt;=6,"H","A"),IF(E144&gt;=2,IF(D144&gt;=20,"H",IF(D144&lt;=5,"L","A")),IF(D144&lt;=19,"L","A"))),IF(OR(B144="ALI",B144="AIE"),IF(E144&gt;=6,IF(D144&gt;=20,"H","A"),IF(E144&gt;=2,IF(D144&gt;=51,"H",IF(D144&lt;=19,"L","A")),IF(D144&lt;=50,"L","A"))),""))))</f>
        <v/>
      </c>
      <c r="J144" s="7" t="str">
        <f t="shared" ref="J144" si="355">CONCATENATE(B144,C144)</f>
        <v/>
      </c>
      <c r="K144" s="9" t="str">
        <f t="shared" ref="K144" si="356">IF(OR(H144="",H144=0),L144,H144)</f>
        <v/>
      </c>
      <c r="L144" s="9" t="str">
        <f>IF(NOT(ISERROR(VLOOKUP(B144,Deflatores!G$42:H$64,2,FALSE))),VLOOKUP(B144,Deflatores!G$42:H$64,2,FALSE),IF(OR(ISBLANK(C144),ISBLANK(B144)),"",VLOOKUP(C144,Deflatores!G$4:H$38,2,FALSE)*H144+VLOOKUP(C144,Deflatores!G$4:I$38,3,FALSE)))</f>
        <v/>
      </c>
      <c r="M144" s="10"/>
      <c r="N144" s="10"/>
      <c r="O144" s="6"/>
    </row>
    <row r="145" spans="1:15" x14ac:dyDescent="0.2">
      <c r="A145" s="126" t="s">
        <v>283</v>
      </c>
      <c r="B145" s="4" t="s">
        <v>98</v>
      </c>
      <c r="C145" s="4" t="s">
        <v>41</v>
      </c>
      <c r="D145" s="7"/>
      <c r="E145" s="7"/>
      <c r="F145" s="8" t="str">
        <f t="shared" ref="F145" si="357">IF(ISBLANK(B145),"",IF(I145="L","Baixa",IF(I145="A","Média",IF(I145="","","Alta"))))</f>
        <v>Baixa</v>
      </c>
      <c r="G145" s="7" t="str">
        <f t="shared" si="1"/>
        <v>ALIL</v>
      </c>
      <c r="H145" s="5">
        <f t="shared" ref="H145" si="358">IF(ISBLANK(B145),"",IF(B145="ALI",IF(I145="L",7,IF(I145="A",10,15)),IF(B145="AIE",IF(I145="L",5,IF(I145="A",7,10)),IF(B145="SE",IF(I145="L",4,IF(I145="A",5,7)),IF(OR(B145="EE",B145="CE"),IF(I145="L",3,IF(I145="A",4,6)),0)))))</f>
        <v>7</v>
      </c>
      <c r="I145" s="122" t="str">
        <f t="shared" ref="I145" si="359">IF(OR(ISBLANK(D145),ISBLANK(E145)),IF(OR(B145="ALI",B145="AIE"),"L",IF(OR(B145="EE",B145="SE",B145="CE"),"A","")),IF(B145="EE",IF(E145&gt;=3,IF(D145&gt;=5,"H","A"),IF(E145&gt;=2,IF(D145&gt;=16,"H",IF(D145&lt;=4,"L","A")),IF(D145&lt;=15,"L","A"))),IF(OR(B145="SE",B145="CE"),IF(E145&gt;=4,IF(D145&gt;=6,"H","A"),IF(E145&gt;=2,IF(D145&gt;=20,"H",IF(D145&lt;=5,"L","A")),IF(D145&lt;=19,"L","A"))),IF(OR(B145="ALI",B145="AIE"),IF(E145&gt;=6,IF(D145&gt;=20,"H","A"),IF(E145&gt;=2,IF(D145&gt;=51,"H",IF(D145&lt;=19,"L","A")),IF(D145&lt;=50,"L","A"))),""))))</f>
        <v>L</v>
      </c>
      <c r="J145" s="7" t="str">
        <f t="shared" ref="J145" si="360">CONCATENATE(B145,C145)</f>
        <v>ALII</v>
      </c>
      <c r="K145" s="9">
        <f t="shared" ref="K145" si="361">IF(OR(H145="",H145=0),L145,H145)</f>
        <v>7</v>
      </c>
      <c r="L145" s="9">
        <f>IF(NOT(ISERROR(VLOOKUP(B145,Deflatores!G$42:H$64,2,FALSE))),VLOOKUP(B145,Deflatores!G$42:H$64,2,FALSE),IF(OR(ISBLANK(C145),ISBLANK(B145)),"",VLOOKUP(C145,Deflatores!G$4:H$38,2,FALSE)*H145+VLOOKUP(C145,Deflatores!G$4:I$38,3,FALSE)))</f>
        <v>7</v>
      </c>
      <c r="M145" s="10"/>
      <c r="N145" s="10"/>
      <c r="O145" s="6"/>
    </row>
    <row r="146" spans="1:15" x14ac:dyDescent="0.2">
      <c r="A146" s="126" t="s">
        <v>284</v>
      </c>
      <c r="B146" s="4" t="s">
        <v>100</v>
      </c>
      <c r="C146" s="4" t="s">
        <v>41</v>
      </c>
      <c r="D146" s="7"/>
      <c r="E146" s="7"/>
      <c r="F146" s="8" t="str">
        <f t="shared" ref="F146" si="362">IF(ISBLANK(B146),"",IF(I146="L","Baixa",IF(I146="A","Média",IF(I146="","","Alta"))))</f>
        <v>Média</v>
      </c>
      <c r="G146" s="7" t="str">
        <f t="shared" si="1"/>
        <v>EEA</v>
      </c>
      <c r="H146" s="5">
        <f t="shared" ref="H146" si="363">IF(ISBLANK(B146),"",IF(B146="ALI",IF(I146="L",7,IF(I146="A",10,15)),IF(B146="AIE",IF(I146="L",5,IF(I146="A",7,10)),IF(B146="SE",IF(I146="L",4,IF(I146="A",5,7)),IF(OR(B146="EE",B146="CE"),IF(I146="L",3,IF(I146="A",4,6)),0)))))</f>
        <v>4</v>
      </c>
      <c r="I146" s="122" t="str">
        <f t="shared" ref="I146" si="364">IF(OR(ISBLANK(D146),ISBLANK(E146)),IF(OR(B146="ALI",B146="AIE"),"L",IF(OR(B146="EE",B146="SE",B146="CE"),"A","")),IF(B146="EE",IF(E146&gt;=3,IF(D146&gt;=5,"H","A"),IF(E146&gt;=2,IF(D146&gt;=16,"H",IF(D146&lt;=4,"L","A")),IF(D146&lt;=15,"L","A"))),IF(OR(B146="SE",B146="CE"),IF(E146&gt;=4,IF(D146&gt;=6,"H","A"),IF(E146&gt;=2,IF(D146&gt;=20,"H",IF(D146&lt;=5,"L","A")),IF(D146&lt;=19,"L","A"))),IF(OR(B146="ALI",B146="AIE"),IF(E146&gt;=6,IF(D146&gt;=20,"H","A"),IF(E146&gt;=2,IF(D146&gt;=51,"H",IF(D146&lt;=19,"L","A")),IF(D146&lt;=50,"L","A"))),""))))</f>
        <v>A</v>
      </c>
      <c r="J146" s="7" t="str">
        <f t="shared" ref="J146" si="365">CONCATENATE(B146,C146)</f>
        <v>EEI</v>
      </c>
      <c r="K146" s="9">
        <f t="shared" ref="K146" si="366">IF(OR(H146="",H146=0),L146,H146)</f>
        <v>4</v>
      </c>
      <c r="L146" s="9">
        <f>IF(NOT(ISERROR(VLOOKUP(B146,Deflatores!G$42:H$64,2,FALSE))),VLOOKUP(B146,Deflatores!G$42:H$64,2,FALSE),IF(OR(ISBLANK(C146),ISBLANK(B146)),"",VLOOKUP(C146,Deflatores!G$4:H$38,2,FALSE)*H146+VLOOKUP(C146,Deflatores!G$4:I$38,3,FALSE)))</f>
        <v>4</v>
      </c>
      <c r="M146" s="10"/>
      <c r="N146" s="10"/>
      <c r="O146" s="6"/>
    </row>
    <row r="147" spans="1:15" x14ac:dyDescent="0.2">
      <c r="A147" s="126" t="s">
        <v>285</v>
      </c>
      <c r="B147" s="4" t="s">
        <v>102</v>
      </c>
      <c r="C147" s="4" t="s">
        <v>41</v>
      </c>
      <c r="D147" s="7"/>
      <c r="E147" s="7"/>
      <c r="F147" s="8" t="str">
        <f t="shared" si="0"/>
        <v>Média</v>
      </c>
      <c r="G147" s="7" t="str">
        <f t="shared" si="1"/>
        <v>CEA</v>
      </c>
      <c r="H147" s="5">
        <f t="shared" si="2"/>
        <v>4</v>
      </c>
      <c r="I147" s="122" t="str">
        <f t="shared" si="3"/>
        <v>A</v>
      </c>
      <c r="J147" s="7" t="str">
        <f t="shared" si="4"/>
        <v>CEI</v>
      </c>
      <c r="K147" s="9">
        <f t="shared" si="5"/>
        <v>4</v>
      </c>
      <c r="L147" s="9">
        <f>IF(NOT(ISERROR(VLOOKUP(B147,Deflatores!G$42:H$64,2,FALSE))),VLOOKUP(B147,Deflatores!G$42:H$64,2,FALSE),IF(OR(ISBLANK(C147),ISBLANK(B147)),"",VLOOKUP(C147,Deflatores!G$4:H$38,2,FALSE)*H147+VLOOKUP(C147,Deflatores!G$4:I$38,3,FALSE)))</f>
        <v>4</v>
      </c>
      <c r="M147" s="10"/>
      <c r="N147" s="10"/>
      <c r="O147" s="6"/>
    </row>
    <row r="148" spans="1:15" x14ac:dyDescent="0.2">
      <c r="A148" s="126" t="s">
        <v>286</v>
      </c>
      <c r="B148" s="4" t="s">
        <v>102</v>
      </c>
      <c r="C148" s="4" t="s">
        <v>41</v>
      </c>
      <c r="D148" s="7"/>
      <c r="E148" s="7"/>
      <c r="F148" s="8" t="str">
        <f t="shared" ref="F148" si="367">IF(ISBLANK(B148),"",IF(I148="L","Baixa",IF(I148="A","Média",IF(I148="","","Alta"))))</f>
        <v>Média</v>
      </c>
      <c r="G148" s="7" t="str">
        <f t="shared" si="1"/>
        <v>CEA</v>
      </c>
      <c r="H148" s="5">
        <f t="shared" ref="H148" si="368">IF(ISBLANK(B148),"",IF(B148="ALI",IF(I148="L",7,IF(I148="A",10,15)),IF(B148="AIE",IF(I148="L",5,IF(I148="A",7,10)),IF(B148="SE",IF(I148="L",4,IF(I148="A",5,7)),IF(OR(B148="EE",B148="CE"),IF(I148="L",3,IF(I148="A",4,6)),0)))))</f>
        <v>4</v>
      </c>
      <c r="I148" s="122" t="str">
        <f t="shared" ref="I148" si="369">IF(OR(ISBLANK(D148),ISBLANK(E148)),IF(OR(B148="ALI",B148="AIE"),"L",IF(OR(B148="EE",B148="SE",B148="CE"),"A","")),IF(B148="EE",IF(E148&gt;=3,IF(D148&gt;=5,"H","A"),IF(E148&gt;=2,IF(D148&gt;=16,"H",IF(D148&lt;=4,"L","A")),IF(D148&lt;=15,"L","A"))),IF(OR(B148="SE",B148="CE"),IF(E148&gt;=4,IF(D148&gt;=6,"H","A"),IF(E148&gt;=2,IF(D148&gt;=20,"H",IF(D148&lt;=5,"L","A")),IF(D148&lt;=19,"L","A"))),IF(OR(B148="ALI",B148="AIE"),IF(E148&gt;=6,IF(D148&gt;=20,"H","A"),IF(E148&gt;=2,IF(D148&gt;=51,"H",IF(D148&lt;=19,"L","A")),IF(D148&lt;=50,"L","A"))),""))))</f>
        <v>A</v>
      </c>
      <c r="J148" s="7" t="str">
        <f t="shared" ref="J148" si="370">CONCATENATE(B148,C148)</f>
        <v>CEI</v>
      </c>
      <c r="K148" s="9">
        <f t="shared" ref="K148" si="371">IF(OR(H148="",H148=0),L148,H148)</f>
        <v>4</v>
      </c>
      <c r="L148" s="9">
        <f>IF(NOT(ISERROR(VLOOKUP(B148,Deflatores!G$42:H$64,2,FALSE))),VLOOKUP(B148,Deflatores!G$42:H$64,2,FALSE),IF(OR(ISBLANK(C148),ISBLANK(B148)),"",VLOOKUP(C148,Deflatores!G$4:H$38,2,FALSE)*H148+VLOOKUP(C148,Deflatores!G$4:I$38,3,FALSE)))</f>
        <v>4</v>
      </c>
      <c r="M148" s="10"/>
      <c r="N148" s="10"/>
      <c r="O148" s="6"/>
    </row>
    <row r="149" spans="1:15" x14ac:dyDescent="0.2">
      <c r="A149" s="126"/>
      <c r="B149" s="4"/>
      <c r="C149" s="4"/>
      <c r="D149" s="7"/>
      <c r="E149" s="7"/>
      <c r="F149" s="8" t="str">
        <f t="shared" si="0"/>
        <v/>
      </c>
      <c r="G149" s="7" t="str">
        <f t="shared" si="1"/>
        <v/>
      </c>
      <c r="H149" s="5" t="str">
        <f t="shared" si="2"/>
        <v/>
      </c>
      <c r="I149" s="122" t="str">
        <f t="shared" si="3"/>
        <v/>
      </c>
      <c r="J149" s="7" t="str">
        <f t="shared" si="4"/>
        <v/>
      </c>
      <c r="K149" s="9" t="str">
        <f t="shared" si="5"/>
        <v/>
      </c>
      <c r="L149" s="9" t="str">
        <f>IF(NOT(ISERROR(VLOOKUP(B149,Deflatores!G$42:H$64,2,FALSE))),VLOOKUP(B149,Deflatores!G$42:H$64,2,FALSE),IF(OR(ISBLANK(C149),ISBLANK(B149)),"",VLOOKUP(C149,Deflatores!G$4:H$38,2,FALSE)*H149+VLOOKUP(C149,Deflatores!G$4:I$38,3,FALSE)))</f>
        <v/>
      </c>
      <c r="M149" s="10"/>
      <c r="N149" s="10"/>
      <c r="O149" s="6"/>
    </row>
    <row r="150" spans="1:15" x14ac:dyDescent="0.2">
      <c r="A150" s="128" t="s">
        <v>287</v>
      </c>
      <c r="B150" s="4"/>
      <c r="C150" s="4"/>
      <c r="D150" s="7"/>
      <c r="E150" s="7"/>
      <c r="F150" s="8" t="str">
        <f t="shared" si="0"/>
        <v/>
      </c>
      <c r="G150" s="7" t="str">
        <f t="shared" si="1"/>
        <v/>
      </c>
      <c r="H150" s="5" t="str">
        <f t="shared" si="2"/>
        <v/>
      </c>
      <c r="I150" s="122" t="str">
        <f t="shared" si="3"/>
        <v/>
      </c>
      <c r="J150" s="7" t="str">
        <f t="shared" si="4"/>
        <v/>
      </c>
      <c r="K150" s="9" t="str">
        <f t="shared" si="5"/>
        <v/>
      </c>
      <c r="L150" s="9" t="str">
        <f>IF(NOT(ISERROR(VLOOKUP(B150,Deflatores!G$42:H$64,2,FALSE))),VLOOKUP(B150,Deflatores!G$42:H$64,2,FALSE),IF(OR(ISBLANK(C150),ISBLANK(B150)),"",VLOOKUP(C150,Deflatores!G$4:H$38,2,FALSE)*H150+VLOOKUP(C150,Deflatores!G$4:I$38,3,FALSE)))</f>
        <v/>
      </c>
      <c r="M150" s="10"/>
      <c r="N150" s="10"/>
      <c r="O150" s="6"/>
    </row>
    <row r="151" spans="1:15" x14ac:dyDescent="0.2">
      <c r="A151" s="126" t="s">
        <v>288</v>
      </c>
      <c r="B151" s="4" t="s">
        <v>100</v>
      </c>
      <c r="C151" s="4" t="s">
        <v>41</v>
      </c>
      <c r="D151" s="7"/>
      <c r="E151" s="7"/>
      <c r="F151" s="8" t="str">
        <f t="shared" ref="F151:F214" si="372">IF(ISBLANK(B151),"",IF(I151="L","Baixa",IF(I151="A","Média",IF(I151="","","Alta"))))</f>
        <v>Média</v>
      </c>
      <c r="G151" s="7" t="str">
        <f t="shared" si="1"/>
        <v>EEA</v>
      </c>
      <c r="H151" s="5">
        <f t="shared" ref="H151:H214" si="373">IF(ISBLANK(B151),"",IF(B151="ALI",IF(I151="L",7,IF(I151="A",10,15)),IF(B151="AIE",IF(I151="L",5,IF(I151="A",7,10)),IF(B151="SE",IF(I151="L",4,IF(I151="A",5,7)),IF(OR(B151="EE",B151="CE"),IF(I151="L",3,IF(I151="A",4,6)),0)))))</f>
        <v>4</v>
      </c>
      <c r="I151" s="122" t="str">
        <f t="shared" ref="I151" si="374">IF(OR(ISBLANK(D151),ISBLANK(E151)),IF(OR(B151="ALI",B151="AIE"),"L",IF(OR(B151="EE",B151="SE",B151="CE"),"A","")),IF(B151="EE",IF(E151&gt;=3,IF(D151&gt;=5,"H","A"),IF(E151&gt;=2,IF(D151&gt;=16,"H",IF(D151&lt;=4,"L","A")),IF(D151&lt;=15,"L","A"))),IF(OR(B151="SE",B151="CE"),IF(E151&gt;=4,IF(D151&gt;=6,"H","A"),IF(E151&gt;=2,IF(D151&gt;=20,"H",IF(D151&lt;=5,"L","A")),IF(D151&lt;=19,"L","A"))),IF(OR(B151="ALI",B151="AIE"),IF(E151&gt;=6,IF(D151&gt;=20,"H","A"),IF(E151&gt;=2,IF(D151&gt;=51,"H",IF(D151&lt;=19,"L","A")),IF(D151&lt;=50,"L","A"))),""))))</f>
        <v>A</v>
      </c>
      <c r="J151" s="7" t="str">
        <f t="shared" ref="J151" si="375">CONCATENATE(B151,C151)</f>
        <v>EEI</v>
      </c>
      <c r="K151" s="9">
        <f t="shared" ref="K151" si="376">IF(OR(H151="",H151=0),L151,H151)</f>
        <v>4</v>
      </c>
      <c r="L151" s="9">
        <f>IF(NOT(ISERROR(VLOOKUP(B151,Deflatores!G$42:H$64,2,FALSE))),VLOOKUP(B151,Deflatores!G$42:H$64,2,FALSE),IF(OR(ISBLANK(C151),ISBLANK(B151)),"",VLOOKUP(C151,Deflatores!G$4:H$38,2,FALSE)*H151+VLOOKUP(C151,Deflatores!G$4:I$38,3,FALSE)))</f>
        <v>4</v>
      </c>
      <c r="M151" s="10"/>
      <c r="N151" s="10"/>
      <c r="O151" s="6"/>
    </row>
    <row r="152" spans="1:15" x14ac:dyDescent="0.2">
      <c r="A152" s="126" t="s">
        <v>289</v>
      </c>
      <c r="B152" s="4" t="s">
        <v>102</v>
      </c>
      <c r="C152" s="4" t="s">
        <v>41</v>
      </c>
      <c r="D152" s="7"/>
      <c r="E152" s="7"/>
      <c r="F152" s="8" t="str">
        <f t="shared" si="372"/>
        <v>Média</v>
      </c>
      <c r="G152" s="7" t="str">
        <f t="shared" si="1"/>
        <v>CEA</v>
      </c>
      <c r="H152" s="5">
        <f t="shared" si="373"/>
        <v>4</v>
      </c>
      <c r="I152" s="122" t="str">
        <f t="shared" ref="I152:I215" si="377">IF(OR(ISBLANK(D152),ISBLANK(E152)),IF(OR(B152="ALI",B152="AIE"),"L",IF(OR(B152="EE",B152="SE",B152="CE"),"A","")),IF(B152="EE",IF(E152&gt;=3,IF(D152&gt;=5,"H","A"),IF(E152&gt;=2,IF(D152&gt;=16,"H",IF(D152&lt;=4,"L","A")),IF(D152&lt;=15,"L","A"))),IF(OR(B152="SE",B152="CE"),IF(E152&gt;=4,IF(D152&gt;=6,"H","A"),IF(E152&gt;=2,IF(D152&gt;=20,"H",IF(D152&lt;=5,"L","A")),IF(D152&lt;=19,"L","A"))),IF(OR(B152="ALI",B152="AIE"),IF(E152&gt;=6,IF(D152&gt;=20,"H","A"),IF(E152&gt;=2,IF(D152&gt;=51,"H",IF(D152&lt;=19,"L","A")),IF(D152&lt;=50,"L","A"))),""))))</f>
        <v>A</v>
      </c>
      <c r="J152" s="7" t="str">
        <f t="shared" ref="J152:J215" si="378">CONCATENATE(B152,C152)</f>
        <v>CEI</v>
      </c>
      <c r="K152" s="9">
        <f t="shared" ref="K152:K215" si="379">IF(OR(H152="",H152=0),L152,H152)</f>
        <v>4</v>
      </c>
      <c r="L152" s="9">
        <f>IF(NOT(ISERROR(VLOOKUP(B152,Deflatores!G$42:H$64,2,FALSE))),VLOOKUP(B152,Deflatores!G$42:H$64,2,FALSE),IF(OR(ISBLANK(C152),ISBLANK(B152)),"",VLOOKUP(C152,Deflatores!G$4:H$38,2,FALSE)*H152+VLOOKUP(C152,Deflatores!G$4:I$38,3,FALSE)))</f>
        <v>4</v>
      </c>
      <c r="M152" s="10"/>
      <c r="N152" s="10"/>
      <c r="O152" s="6"/>
    </row>
    <row r="153" spans="1:15" x14ac:dyDescent="0.2">
      <c r="A153" s="126" t="s">
        <v>290</v>
      </c>
      <c r="B153" s="4" t="s">
        <v>102</v>
      </c>
      <c r="C153" s="4" t="s">
        <v>41</v>
      </c>
      <c r="D153" s="7"/>
      <c r="E153" s="7"/>
      <c r="F153" s="8" t="str">
        <f t="shared" si="372"/>
        <v>Média</v>
      </c>
      <c r="G153" s="7" t="str">
        <f t="shared" si="1"/>
        <v>CEA</v>
      </c>
      <c r="H153" s="5">
        <f t="shared" si="373"/>
        <v>4</v>
      </c>
      <c r="I153" s="122" t="str">
        <f t="shared" si="377"/>
        <v>A</v>
      </c>
      <c r="J153" s="7" t="str">
        <f t="shared" si="378"/>
        <v>CEI</v>
      </c>
      <c r="K153" s="9">
        <f t="shared" si="379"/>
        <v>4</v>
      </c>
      <c r="L153" s="9">
        <f>IF(NOT(ISERROR(VLOOKUP(B153,Deflatores!G$42:H$64,2,FALSE))),VLOOKUP(B153,Deflatores!G$42:H$64,2,FALSE),IF(OR(ISBLANK(C153),ISBLANK(B153)),"",VLOOKUP(C153,Deflatores!G$4:H$38,2,FALSE)*H153+VLOOKUP(C153,Deflatores!G$4:I$38,3,FALSE)))</f>
        <v>4</v>
      </c>
      <c r="M153" s="10"/>
      <c r="N153" s="10"/>
      <c r="O153" s="6"/>
    </row>
    <row r="154" spans="1:15" x14ac:dyDescent="0.2">
      <c r="A154" s="126"/>
      <c r="B154" s="4"/>
      <c r="C154" s="4"/>
      <c r="D154" s="7"/>
      <c r="E154" s="7"/>
      <c r="F154" s="8" t="str">
        <f t="shared" si="372"/>
        <v/>
      </c>
      <c r="G154" s="7" t="str">
        <f t="shared" si="1"/>
        <v/>
      </c>
      <c r="H154" s="5" t="str">
        <f t="shared" si="373"/>
        <v/>
      </c>
      <c r="I154" s="122" t="str">
        <f t="shared" si="377"/>
        <v/>
      </c>
      <c r="J154" s="7" t="str">
        <f t="shared" si="378"/>
        <v/>
      </c>
      <c r="K154" s="9" t="str">
        <f t="shared" si="379"/>
        <v/>
      </c>
      <c r="L154" s="9" t="str">
        <f>IF(NOT(ISERROR(VLOOKUP(B154,Deflatores!G$42:H$64,2,FALSE))),VLOOKUP(B154,Deflatores!G$42:H$64,2,FALSE),IF(OR(ISBLANK(C154),ISBLANK(B154)),"",VLOOKUP(C154,Deflatores!G$4:H$38,2,FALSE)*H154+VLOOKUP(C154,Deflatores!G$4:I$38,3,FALSE)))</f>
        <v/>
      </c>
      <c r="M154" s="10"/>
      <c r="N154" s="10"/>
      <c r="O154" s="6"/>
    </row>
    <row r="155" spans="1:15" x14ac:dyDescent="0.2">
      <c r="A155" s="128" t="s">
        <v>291</v>
      </c>
      <c r="B155" s="4"/>
      <c r="C155" s="4"/>
      <c r="D155" s="7"/>
      <c r="E155" s="7"/>
      <c r="F155" s="8" t="str">
        <f t="shared" si="372"/>
        <v/>
      </c>
      <c r="G155" s="7" t="str">
        <f t="shared" si="1"/>
        <v/>
      </c>
      <c r="H155" s="5" t="str">
        <f t="shared" si="373"/>
        <v/>
      </c>
      <c r="I155" s="122" t="str">
        <f t="shared" si="377"/>
        <v/>
      </c>
      <c r="J155" s="7" t="str">
        <f t="shared" si="378"/>
        <v/>
      </c>
      <c r="K155" s="9" t="str">
        <f t="shared" si="379"/>
        <v/>
      </c>
      <c r="L155" s="9" t="str">
        <f>IF(NOT(ISERROR(VLOOKUP(B155,Deflatores!G$42:H$64,2,FALSE))),VLOOKUP(B155,Deflatores!G$42:H$64,2,FALSE),IF(OR(ISBLANK(C155),ISBLANK(B155)),"",VLOOKUP(C155,Deflatores!G$4:H$38,2,FALSE)*H155+VLOOKUP(C155,Deflatores!G$4:I$38,3,FALSE)))</f>
        <v/>
      </c>
      <c r="M155" s="10"/>
      <c r="N155" s="10"/>
      <c r="O155" s="6"/>
    </row>
    <row r="156" spans="1:15" x14ac:dyDescent="0.2">
      <c r="A156" s="126" t="s">
        <v>292</v>
      </c>
      <c r="B156" s="4"/>
      <c r="C156" s="4"/>
      <c r="D156" s="7"/>
      <c r="E156" s="7"/>
      <c r="F156" s="8" t="str">
        <f t="shared" si="372"/>
        <v/>
      </c>
      <c r="G156" s="7" t="str">
        <f t="shared" si="1"/>
        <v/>
      </c>
      <c r="H156" s="5" t="str">
        <f t="shared" si="373"/>
        <v/>
      </c>
      <c r="I156" s="122" t="str">
        <f t="shared" si="377"/>
        <v/>
      </c>
      <c r="J156" s="7" t="str">
        <f t="shared" si="378"/>
        <v/>
      </c>
      <c r="K156" s="9" t="str">
        <f t="shared" si="379"/>
        <v/>
      </c>
      <c r="L156" s="9" t="str">
        <f>IF(NOT(ISERROR(VLOOKUP(B156,Deflatores!G$42:H$64,2,FALSE))),VLOOKUP(B156,Deflatores!G$42:H$64,2,FALSE),IF(OR(ISBLANK(C156),ISBLANK(B156)),"",VLOOKUP(C156,Deflatores!G$4:H$38,2,FALSE)*H156+VLOOKUP(C156,Deflatores!G$4:I$38,3,FALSE)))</f>
        <v/>
      </c>
      <c r="M156" s="10"/>
      <c r="N156" s="10"/>
      <c r="O156" s="6"/>
    </row>
    <row r="157" spans="1:15" x14ac:dyDescent="0.2">
      <c r="A157" s="126" t="s">
        <v>292</v>
      </c>
      <c r="B157" s="4" t="s">
        <v>98</v>
      </c>
      <c r="C157" s="4" t="s">
        <v>41</v>
      </c>
      <c r="D157" s="7"/>
      <c r="E157" s="7"/>
      <c r="F157" s="8" t="str">
        <f t="shared" si="372"/>
        <v>Baixa</v>
      </c>
      <c r="G157" s="7" t="str">
        <f t="shared" si="1"/>
        <v>ALIL</v>
      </c>
      <c r="H157" s="5">
        <f t="shared" si="373"/>
        <v>7</v>
      </c>
      <c r="I157" s="122" t="str">
        <f t="shared" si="377"/>
        <v>L</v>
      </c>
      <c r="J157" s="7" t="str">
        <f t="shared" si="378"/>
        <v>ALII</v>
      </c>
      <c r="K157" s="9">
        <f t="shared" si="379"/>
        <v>7</v>
      </c>
      <c r="L157" s="9">
        <f>IF(NOT(ISERROR(VLOOKUP(B157,Deflatores!G$42:H$64,2,FALSE))),VLOOKUP(B157,Deflatores!G$42:H$64,2,FALSE),IF(OR(ISBLANK(C157),ISBLANK(B157)),"",VLOOKUP(C157,Deflatores!G$4:H$38,2,FALSE)*H157+VLOOKUP(C157,Deflatores!G$4:I$38,3,FALSE)))</f>
        <v>7</v>
      </c>
      <c r="M157" s="10"/>
      <c r="N157" s="10"/>
      <c r="O157" s="6"/>
    </row>
    <row r="158" spans="1:15" x14ac:dyDescent="0.2">
      <c r="A158" s="126" t="s">
        <v>293</v>
      </c>
      <c r="B158" s="4" t="s">
        <v>103</v>
      </c>
      <c r="C158" s="4" t="s">
        <v>41</v>
      </c>
      <c r="D158" s="7"/>
      <c r="E158" s="7"/>
      <c r="F158" s="8" t="str">
        <f t="shared" si="372"/>
        <v>Média</v>
      </c>
      <c r="G158" s="7" t="str">
        <f t="shared" si="1"/>
        <v>SEA</v>
      </c>
      <c r="H158" s="5">
        <f t="shared" si="373"/>
        <v>5</v>
      </c>
      <c r="I158" s="122" t="str">
        <f t="shared" si="377"/>
        <v>A</v>
      </c>
      <c r="J158" s="7" t="str">
        <f t="shared" si="378"/>
        <v>SEI</v>
      </c>
      <c r="K158" s="9">
        <f t="shared" si="379"/>
        <v>5</v>
      </c>
      <c r="L158" s="9">
        <f>IF(NOT(ISERROR(VLOOKUP(B158,Deflatores!G$42:H$64,2,FALSE))),VLOOKUP(B158,Deflatores!G$42:H$64,2,FALSE),IF(OR(ISBLANK(C158),ISBLANK(B158)),"",VLOOKUP(C158,Deflatores!G$4:H$38,2,FALSE)*H158+VLOOKUP(C158,Deflatores!G$4:I$38,3,FALSE)))</f>
        <v>5</v>
      </c>
      <c r="M158" s="10"/>
      <c r="N158" s="10"/>
      <c r="O158" s="6"/>
    </row>
    <row r="159" spans="1:15" x14ac:dyDescent="0.2">
      <c r="A159" s="126" t="s">
        <v>294</v>
      </c>
      <c r="B159" s="4" t="s">
        <v>102</v>
      </c>
      <c r="C159" s="4" t="s">
        <v>41</v>
      </c>
      <c r="D159" s="7"/>
      <c r="E159" s="7"/>
      <c r="F159" s="8" t="str">
        <f t="shared" si="372"/>
        <v>Média</v>
      </c>
      <c r="G159" s="7" t="str">
        <f t="shared" si="1"/>
        <v>CEA</v>
      </c>
      <c r="H159" s="5">
        <f t="shared" si="373"/>
        <v>4</v>
      </c>
      <c r="I159" s="122" t="str">
        <f t="shared" si="377"/>
        <v>A</v>
      </c>
      <c r="J159" s="7" t="str">
        <f t="shared" si="378"/>
        <v>CEI</v>
      </c>
      <c r="K159" s="9">
        <f t="shared" si="379"/>
        <v>4</v>
      </c>
      <c r="L159" s="9">
        <f>IF(NOT(ISERROR(VLOOKUP(B159,Deflatores!G$42:H$64,2,FALSE))),VLOOKUP(B159,Deflatores!G$42:H$64,2,FALSE),IF(OR(ISBLANK(C159),ISBLANK(B159)),"",VLOOKUP(C159,Deflatores!G$4:H$38,2,FALSE)*H159+VLOOKUP(C159,Deflatores!G$4:I$38,3,FALSE)))</f>
        <v>4</v>
      </c>
      <c r="M159" s="10"/>
      <c r="N159" s="10"/>
      <c r="O159" s="6"/>
    </row>
    <row r="160" spans="1:15" x14ac:dyDescent="0.2">
      <c r="A160" s="126" t="s">
        <v>295</v>
      </c>
      <c r="B160" s="4" t="s">
        <v>100</v>
      </c>
      <c r="C160" s="4" t="s">
        <v>41</v>
      </c>
      <c r="D160" s="7"/>
      <c r="E160" s="7"/>
      <c r="F160" s="8" t="str">
        <f t="shared" si="372"/>
        <v>Média</v>
      </c>
      <c r="G160" s="7" t="str">
        <f t="shared" si="1"/>
        <v>EEA</v>
      </c>
      <c r="H160" s="5">
        <f t="shared" si="373"/>
        <v>4</v>
      </c>
      <c r="I160" s="122" t="str">
        <f t="shared" si="377"/>
        <v>A</v>
      </c>
      <c r="J160" s="7" t="str">
        <f t="shared" si="378"/>
        <v>EEI</v>
      </c>
      <c r="K160" s="9">
        <f t="shared" si="379"/>
        <v>4</v>
      </c>
      <c r="L160" s="9">
        <f>IF(NOT(ISERROR(VLOOKUP(B160,Deflatores!G$42:H$64,2,FALSE))),VLOOKUP(B160,Deflatores!G$42:H$64,2,FALSE),IF(OR(ISBLANK(C160),ISBLANK(B160)),"",VLOOKUP(C160,Deflatores!G$4:H$38,2,FALSE)*H160+VLOOKUP(C160,Deflatores!G$4:I$38,3,FALSE)))</f>
        <v>4</v>
      </c>
      <c r="M160" s="10"/>
      <c r="N160" s="10"/>
      <c r="O160" s="6"/>
    </row>
    <row r="161" spans="1:15" x14ac:dyDescent="0.2">
      <c r="A161" s="126" t="s">
        <v>296</v>
      </c>
      <c r="B161" s="4" t="s">
        <v>102</v>
      </c>
      <c r="C161" s="4" t="s">
        <v>41</v>
      </c>
      <c r="D161" s="7"/>
      <c r="E161" s="7"/>
      <c r="F161" s="8" t="str">
        <f t="shared" si="372"/>
        <v>Média</v>
      </c>
      <c r="G161" s="7" t="str">
        <f t="shared" si="1"/>
        <v>CEA</v>
      </c>
      <c r="H161" s="5">
        <f t="shared" si="373"/>
        <v>4</v>
      </c>
      <c r="I161" s="122" t="str">
        <f t="shared" si="377"/>
        <v>A</v>
      </c>
      <c r="J161" s="7" t="str">
        <f t="shared" si="378"/>
        <v>CEI</v>
      </c>
      <c r="K161" s="9">
        <f t="shared" si="379"/>
        <v>4</v>
      </c>
      <c r="L161" s="9">
        <f>IF(NOT(ISERROR(VLOOKUP(B161,Deflatores!G$42:H$64,2,FALSE))),VLOOKUP(B161,Deflatores!G$42:H$64,2,FALSE),IF(OR(ISBLANK(C161),ISBLANK(B161)),"",VLOOKUP(C161,Deflatores!G$4:H$38,2,FALSE)*H161+VLOOKUP(C161,Deflatores!G$4:I$38,3,FALSE)))</f>
        <v>4</v>
      </c>
      <c r="M161" s="10"/>
      <c r="N161" s="10"/>
      <c r="O161" s="6"/>
    </row>
    <row r="162" spans="1:15" x14ac:dyDescent="0.2">
      <c r="A162" s="126" t="s">
        <v>297</v>
      </c>
      <c r="B162" s="4" t="s">
        <v>103</v>
      </c>
      <c r="C162" s="4" t="s">
        <v>41</v>
      </c>
      <c r="D162" s="7"/>
      <c r="E162" s="7"/>
      <c r="F162" s="8" t="str">
        <f t="shared" si="372"/>
        <v>Média</v>
      </c>
      <c r="G162" s="7" t="str">
        <f t="shared" si="1"/>
        <v>SEA</v>
      </c>
      <c r="H162" s="5">
        <f t="shared" si="373"/>
        <v>5</v>
      </c>
      <c r="I162" s="122" t="str">
        <f t="shared" si="377"/>
        <v>A</v>
      </c>
      <c r="J162" s="7" t="str">
        <f t="shared" si="378"/>
        <v>SEI</v>
      </c>
      <c r="K162" s="9">
        <f t="shared" si="379"/>
        <v>5</v>
      </c>
      <c r="L162" s="9">
        <f>IF(NOT(ISERROR(VLOOKUP(B162,Deflatores!G$42:H$64,2,FALSE))),VLOOKUP(B162,Deflatores!G$42:H$64,2,FALSE),IF(OR(ISBLANK(C162),ISBLANK(B162)),"",VLOOKUP(C162,Deflatores!G$4:H$38,2,FALSE)*H162+VLOOKUP(C162,Deflatores!G$4:I$38,3,FALSE)))</f>
        <v>5</v>
      </c>
      <c r="M162" s="10"/>
      <c r="N162" s="10"/>
      <c r="O162" s="6"/>
    </row>
    <row r="163" spans="1:15" x14ac:dyDescent="0.2">
      <c r="A163" s="126" t="s">
        <v>298</v>
      </c>
      <c r="B163" s="4" t="s">
        <v>102</v>
      </c>
      <c r="C163" s="4" t="s">
        <v>41</v>
      </c>
      <c r="D163" s="7"/>
      <c r="E163" s="7"/>
      <c r="F163" s="8" t="str">
        <f t="shared" si="372"/>
        <v>Média</v>
      </c>
      <c r="G163" s="7" t="str">
        <f t="shared" si="1"/>
        <v>CEA</v>
      </c>
      <c r="H163" s="5">
        <f t="shared" si="373"/>
        <v>4</v>
      </c>
      <c r="I163" s="122" t="str">
        <f t="shared" si="377"/>
        <v>A</v>
      </c>
      <c r="J163" s="7" t="str">
        <f t="shared" si="378"/>
        <v>CEI</v>
      </c>
      <c r="K163" s="9">
        <f t="shared" si="379"/>
        <v>4</v>
      </c>
      <c r="L163" s="9">
        <f>IF(NOT(ISERROR(VLOOKUP(B163,Deflatores!G$42:H$64,2,FALSE))),VLOOKUP(B163,Deflatores!G$42:H$64,2,FALSE),IF(OR(ISBLANK(C163),ISBLANK(B163)),"",VLOOKUP(C163,Deflatores!G$4:H$38,2,FALSE)*H163+VLOOKUP(C163,Deflatores!G$4:I$38,3,FALSE)))</f>
        <v>4</v>
      </c>
      <c r="M163" s="10"/>
      <c r="N163" s="10"/>
      <c r="O163" s="6"/>
    </row>
    <row r="164" spans="1:15" x14ac:dyDescent="0.2">
      <c r="A164" s="128"/>
      <c r="B164" s="4"/>
      <c r="C164" s="4"/>
      <c r="D164" s="7"/>
      <c r="E164" s="7"/>
      <c r="F164" s="8" t="str">
        <f t="shared" si="372"/>
        <v/>
      </c>
      <c r="G164" s="7" t="str">
        <f t="shared" si="1"/>
        <v/>
      </c>
      <c r="H164" s="5" t="str">
        <f t="shared" si="373"/>
        <v/>
      </c>
      <c r="I164" s="122" t="str">
        <f t="shared" si="377"/>
        <v/>
      </c>
      <c r="J164" s="7" t="str">
        <f t="shared" si="378"/>
        <v/>
      </c>
      <c r="K164" s="9" t="str">
        <f t="shared" si="379"/>
        <v/>
      </c>
      <c r="L164" s="9" t="str">
        <f>IF(NOT(ISERROR(VLOOKUP(B164,Deflatores!G$42:H$64,2,FALSE))),VLOOKUP(B164,Deflatores!G$42:H$64,2,FALSE),IF(OR(ISBLANK(C164),ISBLANK(B164)),"",VLOOKUP(C164,Deflatores!G$4:H$38,2,FALSE)*H164+VLOOKUP(C164,Deflatores!G$4:I$38,3,FALSE)))</f>
        <v/>
      </c>
      <c r="M164" s="10"/>
      <c r="N164" s="10"/>
      <c r="O164" s="6"/>
    </row>
    <row r="165" spans="1:15" x14ac:dyDescent="0.2">
      <c r="A165" s="128" t="s">
        <v>299</v>
      </c>
      <c r="B165" s="4"/>
      <c r="C165" s="4"/>
      <c r="D165" s="7"/>
      <c r="E165" s="7"/>
      <c r="F165" s="8" t="str">
        <f t="shared" si="372"/>
        <v/>
      </c>
      <c r="G165" s="7" t="str">
        <f t="shared" si="1"/>
        <v/>
      </c>
      <c r="H165" s="5" t="str">
        <f t="shared" si="373"/>
        <v/>
      </c>
      <c r="I165" s="122" t="str">
        <f t="shared" si="377"/>
        <v/>
      </c>
      <c r="J165" s="7" t="str">
        <f t="shared" si="378"/>
        <v/>
      </c>
      <c r="K165" s="9" t="str">
        <f t="shared" si="379"/>
        <v/>
      </c>
      <c r="L165" s="9" t="str">
        <f>IF(NOT(ISERROR(VLOOKUP(B165,Deflatores!G$42:H$64,2,FALSE))),VLOOKUP(B165,Deflatores!G$42:H$64,2,FALSE),IF(OR(ISBLANK(C165),ISBLANK(B165)),"",VLOOKUP(C165,Deflatores!G$4:H$38,2,FALSE)*H165+VLOOKUP(C165,Deflatores!G$4:I$38,3,FALSE)))</f>
        <v/>
      </c>
      <c r="M165" s="10"/>
      <c r="N165" s="10"/>
      <c r="O165" s="6"/>
    </row>
    <row r="166" spans="1:15" x14ac:dyDescent="0.2">
      <c r="A166" s="126" t="s">
        <v>300</v>
      </c>
      <c r="B166" s="4"/>
      <c r="C166" s="4"/>
      <c r="D166" s="7"/>
      <c r="E166" s="7"/>
      <c r="F166" s="8" t="str">
        <f t="shared" si="372"/>
        <v/>
      </c>
      <c r="G166" s="7" t="str">
        <f t="shared" si="1"/>
        <v/>
      </c>
      <c r="H166" s="5" t="str">
        <f t="shared" si="373"/>
        <v/>
      </c>
      <c r="I166" s="122" t="str">
        <f t="shared" si="377"/>
        <v/>
      </c>
      <c r="J166" s="7" t="str">
        <f t="shared" si="378"/>
        <v/>
      </c>
      <c r="K166" s="9" t="str">
        <f t="shared" si="379"/>
        <v/>
      </c>
      <c r="L166" s="9" t="str">
        <f>IF(NOT(ISERROR(VLOOKUP(B166,Deflatores!G$42:H$64,2,FALSE))),VLOOKUP(B166,Deflatores!G$42:H$64,2,FALSE),IF(OR(ISBLANK(C166),ISBLANK(B166)),"",VLOOKUP(C166,Deflatores!G$4:H$38,2,FALSE)*H166+VLOOKUP(C166,Deflatores!G$4:I$38,3,FALSE)))</f>
        <v/>
      </c>
      <c r="M166" s="10"/>
      <c r="N166" s="10"/>
      <c r="O166" s="6"/>
    </row>
    <row r="167" spans="1:15" x14ac:dyDescent="0.2">
      <c r="A167" s="126" t="s">
        <v>301</v>
      </c>
      <c r="B167" s="4" t="s">
        <v>100</v>
      </c>
      <c r="C167" s="4" t="s">
        <v>41</v>
      </c>
      <c r="D167" s="7"/>
      <c r="E167" s="7"/>
      <c r="F167" s="8" t="str">
        <f t="shared" si="372"/>
        <v>Média</v>
      </c>
      <c r="G167" s="7" t="str">
        <f t="shared" si="1"/>
        <v>EEA</v>
      </c>
      <c r="H167" s="5">
        <f t="shared" si="373"/>
        <v>4</v>
      </c>
      <c r="I167" s="122" t="str">
        <f t="shared" si="377"/>
        <v>A</v>
      </c>
      <c r="J167" s="7" t="str">
        <f t="shared" si="378"/>
        <v>EEI</v>
      </c>
      <c r="K167" s="9">
        <f t="shared" si="379"/>
        <v>4</v>
      </c>
      <c r="L167" s="9">
        <f>IF(NOT(ISERROR(VLOOKUP(B167,Deflatores!G$42:H$64,2,FALSE))),VLOOKUP(B167,Deflatores!G$42:H$64,2,FALSE),IF(OR(ISBLANK(C167),ISBLANK(B167)),"",VLOOKUP(C167,Deflatores!G$4:H$38,2,FALSE)*H167+VLOOKUP(C167,Deflatores!G$4:I$38,3,FALSE)))</f>
        <v>4</v>
      </c>
      <c r="M167" s="10"/>
      <c r="N167" s="10"/>
      <c r="O167" s="6"/>
    </row>
    <row r="168" spans="1:15" ht="12" customHeight="1" x14ac:dyDescent="0.2">
      <c r="A168" s="126" t="s">
        <v>302</v>
      </c>
      <c r="B168" s="4" t="s">
        <v>98</v>
      </c>
      <c r="C168" s="4" t="s">
        <v>41</v>
      </c>
      <c r="D168" s="7"/>
      <c r="E168" s="7"/>
      <c r="F168" s="8" t="str">
        <f t="shared" si="372"/>
        <v>Baixa</v>
      </c>
      <c r="G168" s="7" t="str">
        <f t="shared" si="1"/>
        <v>ALIL</v>
      </c>
      <c r="H168" s="5">
        <f t="shared" si="373"/>
        <v>7</v>
      </c>
      <c r="I168" s="122" t="str">
        <f t="shared" si="377"/>
        <v>L</v>
      </c>
      <c r="J168" s="7" t="str">
        <f t="shared" si="378"/>
        <v>ALII</v>
      </c>
      <c r="K168" s="9">
        <f t="shared" si="379"/>
        <v>7</v>
      </c>
      <c r="L168" s="9">
        <f>IF(NOT(ISERROR(VLOOKUP(B168,Deflatores!G$42:H$64,2,FALSE))),VLOOKUP(B168,Deflatores!G$42:H$64,2,FALSE),IF(OR(ISBLANK(C168),ISBLANK(B168)),"",VLOOKUP(C168,Deflatores!G$4:H$38,2,FALSE)*H168+VLOOKUP(C168,Deflatores!G$4:I$38,3,FALSE)))</f>
        <v>7</v>
      </c>
      <c r="M168" s="10"/>
      <c r="N168" s="10"/>
      <c r="O168" s="6"/>
    </row>
    <row r="169" spans="1:15" x14ac:dyDescent="0.2">
      <c r="A169" s="126" t="s">
        <v>303</v>
      </c>
      <c r="B169" s="4" t="s">
        <v>102</v>
      </c>
      <c r="C169" s="4" t="s">
        <v>41</v>
      </c>
      <c r="D169" s="7"/>
      <c r="E169" s="7"/>
      <c r="F169" s="8" t="str">
        <f t="shared" si="372"/>
        <v>Média</v>
      </c>
      <c r="G169" s="7" t="str">
        <f t="shared" si="1"/>
        <v>CEA</v>
      </c>
      <c r="H169" s="5">
        <f t="shared" si="373"/>
        <v>4</v>
      </c>
      <c r="I169" s="122" t="str">
        <f t="shared" si="377"/>
        <v>A</v>
      </c>
      <c r="J169" s="7" t="str">
        <f t="shared" si="378"/>
        <v>CEI</v>
      </c>
      <c r="K169" s="9">
        <f t="shared" si="379"/>
        <v>4</v>
      </c>
      <c r="L169" s="9">
        <f>IF(NOT(ISERROR(VLOOKUP(B169,Deflatores!G$42:H$64,2,FALSE))),VLOOKUP(B169,Deflatores!G$42:H$64,2,FALSE),IF(OR(ISBLANK(C169),ISBLANK(B169)),"",VLOOKUP(C169,Deflatores!G$4:H$38,2,FALSE)*H169+VLOOKUP(C169,Deflatores!G$4:I$38,3,FALSE)))</f>
        <v>4</v>
      </c>
      <c r="M169" s="10"/>
      <c r="N169" s="10"/>
      <c r="O169" s="6"/>
    </row>
    <row r="170" spans="1:15" x14ac:dyDescent="0.2">
      <c r="A170" s="126" t="s">
        <v>304</v>
      </c>
      <c r="B170" s="4" t="s">
        <v>102</v>
      </c>
      <c r="C170" s="4" t="s">
        <v>41</v>
      </c>
      <c r="D170" s="7"/>
      <c r="E170" s="7"/>
      <c r="F170" s="8" t="str">
        <f t="shared" si="372"/>
        <v>Média</v>
      </c>
      <c r="G170" s="7" t="str">
        <f t="shared" si="1"/>
        <v>CEA</v>
      </c>
      <c r="H170" s="5">
        <f t="shared" si="373"/>
        <v>4</v>
      </c>
      <c r="I170" s="122" t="str">
        <f t="shared" si="377"/>
        <v>A</v>
      </c>
      <c r="J170" s="7" t="str">
        <f t="shared" si="378"/>
        <v>CEI</v>
      </c>
      <c r="K170" s="9">
        <f t="shared" si="379"/>
        <v>4</v>
      </c>
      <c r="L170" s="9">
        <f>IF(NOT(ISERROR(VLOOKUP(B170,Deflatores!G$42:H$64,2,FALSE))),VLOOKUP(B170,Deflatores!G$42:H$64,2,FALSE),IF(OR(ISBLANK(C170),ISBLANK(B170)),"",VLOOKUP(C170,Deflatores!G$4:H$38,2,FALSE)*H170+VLOOKUP(C170,Deflatores!G$4:I$38,3,FALSE)))</f>
        <v>4</v>
      </c>
      <c r="M170" s="10"/>
      <c r="N170" s="10"/>
      <c r="O170" s="6"/>
    </row>
    <row r="171" spans="1:15" x14ac:dyDescent="0.2">
      <c r="A171" s="126" t="s">
        <v>305</v>
      </c>
      <c r="B171" s="4" t="s">
        <v>100</v>
      </c>
      <c r="C171" s="4" t="s">
        <v>41</v>
      </c>
      <c r="D171" s="7"/>
      <c r="E171" s="7"/>
      <c r="F171" s="8" t="str">
        <f t="shared" si="372"/>
        <v>Média</v>
      </c>
      <c r="G171" s="7" t="str">
        <f t="shared" si="1"/>
        <v>EEA</v>
      </c>
      <c r="H171" s="5">
        <f t="shared" si="373"/>
        <v>4</v>
      </c>
      <c r="I171" s="122" t="str">
        <f t="shared" si="377"/>
        <v>A</v>
      </c>
      <c r="J171" s="7" t="str">
        <f t="shared" si="378"/>
        <v>EEI</v>
      </c>
      <c r="K171" s="9">
        <f t="shared" si="379"/>
        <v>4</v>
      </c>
      <c r="L171" s="9">
        <f>IF(NOT(ISERROR(VLOOKUP(B171,Deflatores!G$42:H$64,2,FALSE))),VLOOKUP(B171,Deflatores!G$42:H$64,2,FALSE),IF(OR(ISBLANK(C171),ISBLANK(B171)),"",VLOOKUP(C171,Deflatores!G$4:H$38,2,FALSE)*H171+VLOOKUP(C171,Deflatores!G$4:I$38,3,FALSE)))</f>
        <v>4</v>
      </c>
      <c r="M171" s="10"/>
      <c r="N171" s="10"/>
      <c r="O171" s="6"/>
    </row>
    <row r="172" spans="1:15" x14ac:dyDescent="0.2">
      <c r="A172" s="126" t="s">
        <v>306</v>
      </c>
      <c r="B172" s="4" t="s">
        <v>100</v>
      </c>
      <c r="C172" s="4" t="s">
        <v>41</v>
      </c>
      <c r="D172" s="7"/>
      <c r="E172" s="7"/>
      <c r="F172" s="8" t="str">
        <f t="shared" si="372"/>
        <v>Média</v>
      </c>
      <c r="G172" s="7" t="str">
        <f t="shared" si="1"/>
        <v>EEA</v>
      </c>
      <c r="H172" s="5">
        <f t="shared" si="373"/>
        <v>4</v>
      </c>
      <c r="I172" s="122" t="str">
        <f t="shared" si="377"/>
        <v>A</v>
      </c>
      <c r="J172" s="7" t="str">
        <f t="shared" si="378"/>
        <v>EEI</v>
      </c>
      <c r="K172" s="9">
        <f t="shared" si="379"/>
        <v>4</v>
      </c>
      <c r="L172" s="9">
        <f>IF(NOT(ISERROR(VLOOKUP(B172,Deflatores!G$42:H$64,2,FALSE))),VLOOKUP(B172,Deflatores!G$42:H$64,2,FALSE),IF(OR(ISBLANK(C172),ISBLANK(B172)),"",VLOOKUP(C172,Deflatores!G$4:H$38,2,FALSE)*H172+VLOOKUP(C172,Deflatores!G$4:I$38,3,FALSE)))</f>
        <v>4</v>
      </c>
      <c r="M172" s="10"/>
      <c r="N172" s="10"/>
      <c r="O172" s="6"/>
    </row>
    <row r="173" spans="1:15" x14ac:dyDescent="0.2">
      <c r="A173" s="126" t="s">
        <v>307</v>
      </c>
      <c r="B173" s="4" t="s">
        <v>102</v>
      </c>
      <c r="C173" s="4" t="s">
        <v>41</v>
      </c>
      <c r="D173" s="7"/>
      <c r="E173" s="7"/>
      <c r="F173" s="8" t="str">
        <f t="shared" si="372"/>
        <v>Média</v>
      </c>
      <c r="G173" s="7" t="str">
        <f t="shared" si="1"/>
        <v>CEA</v>
      </c>
      <c r="H173" s="5">
        <f t="shared" si="373"/>
        <v>4</v>
      </c>
      <c r="I173" s="122" t="str">
        <f t="shared" si="377"/>
        <v>A</v>
      </c>
      <c r="J173" s="7" t="str">
        <f t="shared" si="378"/>
        <v>CEI</v>
      </c>
      <c r="K173" s="9">
        <f t="shared" si="379"/>
        <v>4</v>
      </c>
      <c r="L173" s="9">
        <f>IF(NOT(ISERROR(VLOOKUP(B173,Deflatores!G$42:H$64,2,FALSE))),VLOOKUP(B173,Deflatores!G$42:H$64,2,FALSE),IF(OR(ISBLANK(C173),ISBLANK(B173)),"",VLOOKUP(C173,Deflatores!G$4:H$38,2,FALSE)*H173+VLOOKUP(C173,Deflatores!G$4:I$38,3,FALSE)))</f>
        <v>4</v>
      </c>
      <c r="M173" s="10"/>
      <c r="N173" s="10"/>
      <c r="O173" s="6"/>
    </row>
    <row r="174" spans="1:15" x14ac:dyDescent="0.2">
      <c r="A174" s="126" t="s">
        <v>309</v>
      </c>
      <c r="B174" s="4" t="s">
        <v>100</v>
      </c>
      <c r="C174" s="4" t="s">
        <v>41</v>
      </c>
      <c r="D174" s="7"/>
      <c r="E174" s="7"/>
      <c r="F174" s="8" t="str">
        <f t="shared" si="372"/>
        <v>Média</v>
      </c>
      <c r="G174" s="7" t="str">
        <f t="shared" si="1"/>
        <v>EEA</v>
      </c>
      <c r="H174" s="5">
        <f t="shared" si="373"/>
        <v>4</v>
      </c>
      <c r="I174" s="122" t="str">
        <f t="shared" si="377"/>
        <v>A</v>
      </c>
      <c r="J174" s="7" t="str">
        <f t="shared" si="378"/>
        <v>EEI</v>
      </c>
      <c r="K174" s="9">
        <f t="shared" si="379"/>
        <v>4</v>
      </c>
      <c r="L174" s="9">
        <f>IF(NOT(ISERROR(VLOOKUP(B174,Deflatores!G$42:H$64,2,FALSE))),VLOOKUP(B174,Deflatores!G$42:H$64,2,FALSE),IF(OR(ISBLANK(C174),ISBLANK(B174)),"",VLOOKUP(C174,Deflatores!G$4:H$38,2,FALSE)*H174+VLOOKUP(C174,Deflatores!G$4:I$38,3,FALSE)))</f>
        <v>4</v>
      </c>
      <c r="M174" s="10"/>
      <c r="N174" s="10"/>
      <c r="O174" s="6"/>
    </row>
    <row r="175" spans="1:15" x14ac:dyDescent="0.2">
      <c r="A175" s="126" t="s">
        <v>308</v>
      </c>
      <c r="B175" s="4" t="s">
        <v>103</v>
      </c>
      <c r="C175" s="4" t="s">
        <v>41</v>
      </c>
      <c r="D175" s="7"/>
      <c r="E175" s="7"/>
      <c r="F175" s="8" t="str">
        <f t="shared" si="372"/>
        <v>Média</v>
      </c>
      <c r="G175" s="7" t="str">
        <f t="shared" si="1"/>
        <v>SEA</v>
      </c>
      <c r="H175" s="5">
        <f t="shared" si="373"/>
        <v>5</v>
      </c>
      <c r="I175" s="122" t="str">
        <f t="shared" si="377"/>
        <v>A</v>
      </c>
      <c r="J175" s="7" t="str">
        <f t="shared" si="378"/>
        <v>SEI</v>
      </c>
      <c r="K175" s="9">
        <f t="shared" si="379"/>
        <v>5</v>
      </c>
      <c r="L175" s="9">
        <f>IF(NOT(ISERROR(VLOOKUP(B175,Deflatores!G$42:H$64,2,FALSE))),VLOOKUP(B175,Deflatores!G$42:H$64,2,FALSE),IF(OR(ISBLANK(C175),ISBLANK(B175)),"",VLOOKUP(C175,Deflatores!G$4:H$38,2,FALSE)*H175+VLOOKUP(C175,Deflatores!G$4:I$38,3,FALSE)))</f>
        <v>5</v>
      </c>
      <c r="M175" s="10"/>
      <c r="N175" s="10"/>
      <c r="O175" s="6"/>
    </row>
    <row r="176" spans="1:15" x14ac:dyDescent="0.2">
      <c r="A176" s="126"/>
      <c r="B176" s="4"/>
      <c r="C176" s="4"/>
      <c r="D176" s="7"/>
      <c r="E176" s="7"/>
      <c r="F176" s="8" t="str">
        <f t="shared" si="372"/>
        <v/>
      </c>
      <c r="G176" s="7" t="str">
        <f t="shared" si="1"/>
        <v/>
      </c>
      <c r="H176" s="5" t="str">
        <f t="shared" si="373"/>
        <v/>
      </c>
      <c r="I176" s="122" t="str">
        <f t="shared" si="377"/>
        <v/>
      </c>
      <c r="J176" s="7" t="str">
        <f t="shared" si="378"/>
        <v/>
      </c>
      <c r="K176" s="9" t="str">
        <f t="shared" si="379"/>
        <v/>
      </c>
      <c r="L176" s="9" t="str">
        <f>IF(NOT(ISERROR(VLOOKUP(B176,Deflatores!G$42:H$64,2,FALSE))),VLOOKUP(B176,Deflatores!G$42:H$64,2,FALSE),IF(OR(ISBLANK(C176),ISBLANK(B176)),"",VLOOKUP(C176,Deflatores!G$4:H$38,2,FALSE)*H176+VLOOKUP(C176,Deflatores!G$4:I$38,3,FALSE)))</f>
        <v/>
      </c>
      <c r="M176" s="10"/>
      <c r="N176" s="10"/>
      <c r="O176" s="6"/>
    </row>
    <row r="177" spans="1:15" x14ac:dyDescent="0.2">
      <c r="A177" s="128"/>
      <c r="B177" s="4"/>
      <c r="C177" s="4"/>
      <c r="D177" s="7"/>
      <c r="E177" s="7"/>
      <c r="F177" s="8" t="str">
        <f t="shared" si="372"/>
        <v/>
      </c>
      <c r="G177" s="7" t="str">
        <f t="shared" si="1"/>
        <v/>
      </c>
      <c r="H177" s="5" t="str">
        <f t="shared" si="373"/>
        <v/>
      </c>
      <c r="I177" s="122" t="str">
        <f t="shared" si="377"/>
        <v/>
      </c>
      <c r="J177" s="7" t="str">
        <f t="shared" si="378"/>
        <v/>
      </c>
      <c r="K177" s="9" t="str">
        <f t="shared" si="379"/>
        <v/>
      </c>
      <c r="L177" s="9" t="str">
        <f>IF(NOT(ISERROR(VLOOKUP(B177,Deflatores!G$42:H$64,2,FALSE))),VLOOKUP(B177,Deflatores!G$42:H$64,2,FALSE),IF(OR(ISBLANK(C177),ISBLANK(B177)),"",VLOOKUP(C177,Deflatores!G$4:H$38,2,FALSE)*H177+VLOOKUP(C177,Deflatores!G$4:I$38,3,FALSE)))</f>
        <v/>
      </c>
      <c r="M177" s="10"/>
      <c r="N177" s="10"/>
      <c r="O177" s="6"/>
    </row>
    <row r="178" spans="1:15" x14ac:dyDescent="0.2">
      <c r="A178" s="126"/>
      <c r="B178" s="4"/>
      <c r="C178" s="4"/>
      <c r="D178" s="7"/>
      <c r="E178" s="7"/>
      <c r="F178" s="8" t="str">
        <f t="shared" si="372"/>
        <v/>
      </c>
      <c r="G178" s="7" t="str">
        <f t="shared" si="1"/>
        <v/>
      </c>
      <c r="H178" s="5" t="str">
        <f t="shared" si="373"/>
        <v/>
      </c>
      <c r="I178" s="122" t="str">
        <f t="shared" si="377"/>
        <v/>
      </c>
      <c r="J178" s="7" t="str">
        <f t="shared" si="378"/>
        <v/>
      </c>
      <c r="K178" s="9" t="str">
        <f t="shared" si="379"/>
        <v/>
      </c>
      <c r="L178" s="9" t="str">
        <f>IF(NOT(ISERROR(VLOOKUP(B178,Deflatores!G$42:H$64,2,FALSE))),VLOOKUP(B178,Deflatores!G$42:H$64,2,FALSE),IF(OR(ISBLANK(C178),ISBLANK(B178)),"",VLOOKUP(C178,Deflatores!G$4:H$38,2,FALSE)*H178+VLOOKUP(C178,Deflatores!G$4:I$38,3,FALSE)))</f>
        <v/>
      </c>
      <c r="M178" s="10"/>
      <c r="N178" s="10"/>
      <c r="O178" s="6"/>
    </row>
    <row r="179" spans="1:15" x14ac:dyDescent="0.2">
      <c r="A179" s="126"/>
      <c r="B179" s="4"/>
      <c r="C179" s="4"/>
      <c r="D179" s="7"/>
      <c r="E179" s="7"/>
      <c r="F179" s="8" t="str">
        <f t="shared" si="372"/>
        <v/>
      </c>
      <c r="G179" s="7" t="str">
        <f t="shared" si="1"/>
        <v/>
      </c>
      <c r="H179" s="5" t="str">
        <f t="shared" si="373"/>
        <v/>
      </c>
      <c r="I179" s="122" t="str">
        <f t="shared" si="377"/>
        <v/>
      </c>
      <c r="J179" s="7" t="str">
        <f t="shared" si="378"/>
        <v/>
      </c>
      <c r="K179" s="9" t="str">
        <f t="shared" si="379"/>
        <v/>
      </c>
      <c r="L179" s="9" t="str">
        <f>IF(NOT(ISERROR(VLOOKUP(B179,Deflatores!G$42:H$64,2,FALSE))),VLOOKUP(B179,Deflatores!G$42:H$64,2,FALSE),IF(OR(ISBLANK(C179),ISBLANK(B179)),"",VLOOKUP(C179,Deflatores!G$4:H$38,2,FALSE)*H179+VLOOKUP(C179,Deflatores!G$4:I$38,3,FALSE)))</f>
        <v/>
      </c>
      <c r="M179" s="10"/>
      <c r="N179" s="10"/>
      <c r="O179" s="6"/>
    </row>
    <row r="180" spans="1:15" x14ac:dyDescent="0.2">
      <c r="A180" s="126"/>
      <c r="B180" s="4"/>
      <c r="C180" s="4"/>
      <c r="D180" s="7"/>
      <c r="E180" s="7"/>
      <c r="F180" s="8" t="str">
        <f t="shared" si="372"/>
        <v/>
      </c>
      <c r="G180" s="7" t="str">
        <f t="shared" si="1"/>
        <v/>
      </c>
      <c r="H180" s="5" t="str">
        <f t="shared" si="373"/>
        <v/>
      </c>
      <c r="I180" s="122" t="str">
        <f t="shared" si="377"/>
        <v/>
      </c>
      <c r="J180" s="7" t="str">
        <f t="shared" si="378"/>
        <v/>
      </c>
      <c r="K180" s="9" t="str">
        <f t="shared" si="379"/>
        <v/>
      </c>
      <c r="L180" s="9" t="str">
        <f>IF(NOT(ISERROR(VLOOKUP(B180,Deflatores!G$42:H$64,2,FALSE))),VLOOKUP(B180,Deflatores!G$42:H$64,2,FALSE),IF(OR(ISBLANK(C180),ISBLANK(B180)),"",VLOOKUP(C180,Deflatores!G$4:H$38,2,FALSE)*H180+VLOOKUP(C180,Deflatores!G$4:I$38,3,FALSE)))</f>
        <v/>
      </c>
      <c r="M180" s="10"/>
      <c r="N180" s="10"/>
      <c r="O180" s="6"/>
    </row>
    <row r="181" spans="1:15" x14ac:dyDescent="0.2">
      <c r="A181" s="126"/>
      <c r="B181" s="4"/>
      <c r="C181" s="4"/>
      <c r="D181" s="7"/>
      <c r="E181" s="7"/>
      <c r="F181" s="8" t="str">
        <f t="shared" si="372"/>
        <v/>
      </c>
      <c r="G181" s="7" t="str">
        <f t="shared" si="1"/>
        <v/>
      </c>
      <c r="H181" s="5" t="str">
        <f t="shared" si="373"/>
        <v/>
      </c>
      <c r="I181" s="122" t="str">
        <f t="shared" si="377"/>
        <v/>
      </c>
      <c r="J181" s="7" t="str">
        <f t="shared" si="378"/>
        <v/>
      </c>
      <c r="K181" s="9" t="str">
        <f t="shared" si="379"/>
        <v/>
      </c>
      <c r="L181" s="9" t="str">
        <f>IF(NOT(ISERROR(VLOOKUP(B181,Deflatores!G$42:H$64,2,FALSE))),VLOOKUP(B181,Deflatores!G$42:H$64,2,FALSE),IF(OR(ISBLANK(C181),ISBLANK(B181)),"",VLOOKUP(C181,Deflatores!G$4:H$38,2,FALSE)*H181+VLOOKUP(C181,Deflatores!G$4:I$38,3,FALSE)))</f>
        <v/>
      </c>
      <c r="M181" s="10"/>
      <c r="N181" s="10"/>
      <c r="O181" s="6"/>
    </row>
    <row r="182" spans="1:15" x14ac:dyDescent="0.2">
      <c r="A182" s="126"/>
      <c r="B182" s="4"/>
      <c r="C182" s="4"/>
      <c r="D182" s="7"/>
      <c r="E182" s="7"/>
      <c r="F182" s="8" t="str">
        <f t="shared" si="372"/>
        <v/>
      </c>
      <c r="G182" s="7" t="str">
        <f t="shared" si="1"/>
        <v/>
      </c>
      <c r="H182" s="5" t="str">
        <f t="shared" si="373"/>
        <v/>
      </c>
      <c r="I182" s="122" t="str">
        <f t="shared" si="377"/>
        <v/>
      </c>
      <c r="J182" s="7" t="str">
        <f t="shared" si="378"/>
        <v/>
      </c>
      <c r="K182" s="9" t="str">
        <f t="shared" si="379"/>
        <v/>
      </c>
      <c r="L182" s="9" t="str">
        <f>IF(NOT(ISERROR(VLOOKUP(B182,Deflatores!G$42:H$64,2,FALSE))),VLOOKUP(B182,Deflatores!G$42:H$64,2,FALSE),IF(OR(ISBLANK(C182),ISBLANK(B182)),"",VLOOKUP(C182,Deflatores!G$4:H$38,2,FALSE)*H182+VLOOKUP(C182,Deflatores!G$4:I$38,3,FALSE)))</f>
        <v/>
      </c>
      <c r="M182" s="10"/>
      <c r="N182" s="10"/>
      <c r="O182" s="6"/>
    </row>
    <row r="183" spans="1:15" x14ac:dyDescent="0.2">
      <c r="A183" s="128"/>
      <c r="B183" s="4"/>
      <c r="C183" s="4"/>
      <c r="D183" s="7"/>
      <c r="E183" s="7"/>
      <c r="F183" s="8" t="str">
        <f t="shared" si="372"/>
        <v/>
      </c>
      <c r="G183" s="7" t="str">
        <f t="shared" si="1"/>
        <v/>
      </c>
      <c r="H183" s="5" t="str">
        <f t="shared" si="373"/>
        <v/>
      </c>
      <c r="I183" s="122" t="str">
        <f t="shared" si="377"/>
        <v/>
      </c>
      <c r="J183" s="7" t="str">
        <f t="shared" si="378"/>
        <v/>
      </c>
      <c r="K183" s="9" t="str">
        <f t="shared" si="379"/>
        <v/>
      </c>
      <c r="L183" s="9" t="str">
        <f>IF(NOT(ISERROR(VLOOKUP(B183,Deflatores!G$42:H$64,2,FALSE))),VLOOKUP(B183,Deflatores!G$42:H$64,2,FALSE),IF(OR(ISBLANK(C183),ISBLANK(B183)),"",VLOOKUP(C183,Deflatores!G$4:H$38,2,FALSE)*H183+VLOOKUP(C183,Deflatores!G$4:I$38,3,FALSE)))</f>
        <v/>
      </c>
      <c r="M183" s="10"/>
      <c r="N183" s="10"/>
      <c r="O183" s="6"/>
    </row>
    <row r="184" spans="1:15" x14ac:dyDescent="0.2">
      <c r="A184" s="126"/>
      <c r="B184" s="4"/>
      <c r="C184" s="4"/>
      <c r="D184" s="7"/>
      <c r="E184" s="7"/>
      <c r="F184" s="8" t="str">
        <f t="shared" si="372"/>
        <v/>
      </c>
      <c r="G184" s="7" t="str">
        <f t="shared" si="1"/>
        <v/>
      </c>
      <c r="H184" s="5" t="str">
        <f t="shared" si="373"/>
        <v/>
      </c>
      <c r="I184" s="122" t="str">
        <f t="shared" si="377"/>
        <v/>
      </c>
      <c r="J184" s="7" t="str">
        <f t="shared" si="378"/>
        <v/>
      </c>
      <c r="K184" s="9" t="str">
        <f t="shared" si="379"/>
        <v/>
      </c>
      <c r="L184" s="9" t="str">
        <f>IF(NOT(ISERROR(VLOOKUP(B184,Deflatores!G$42:H$64,2,FALSE))),VLOOKUP(B184,Deflatores!G$42:H$64,2,FALSE),IF(OR(ISBLANK(C184),ISBLANK(B184)),"",VLOOKUP(C184,Deflatores!G$4:H$38,2,FALSE)*H184+VLOOKUP(C184,Deflatores!G$4:I$38,3,FALSE)))</f>
        <v/>
      </c>
      <c r="M184" s="10"/>
      <c r="N184" s="10"/>
      <c r="O184" s="6"/>
    </row>
    <row r="185" spans="1:15" x14ac:dyDescent="0.2">
      <c r="A185" s="126"/>
      <c r="B185" s="4"/>
      <c r="C185" s="4"/>
      <c r="D185" s="7"/>
      <c r="E185" s="7"/>
      <c r="F185" s="8" t="str">
        <f t="shared" si="372"/>
        <v/>
      </c>
      <c r="G185" s="7" t="str">
        <f t="shared" si="1"/>
        <v/>
      </c>
      <c r="H185" s="5" t="str">
        <f t="shared" si="373"/>
        <v/>
      </c>
      <c r="I185" s="122" t="str">
        <f t="shared" si="377"/>
        <v/>
      </c>
      <c r="J185" s="7" t="str">
        <f t="shared" si="378"/>
        <v/>
      </c>
      <c r="K185" s="9" t="str">
        <f t="shared" si="379"/>
        <v/>
      </c>
      <c r="L185" s="9" t="str">
        <f>IF(NOT(ISERROR(VLOOKUP(B185,Deflatores!G$42:H$64,2,FALSE))),VLOOKUP(B185,Deflatores!G$42:H$64,2,FALSE),IF(OR(ISBLANK(C185),ISBLANK(B185)),"",VLOOKUP(C185,Deflatores!G$4:H$38,2,FALSE)*H185+VLOOKUP(C185,Deflatores!G$4:I$38,3,FALSE)))</f>
        <v/>
      </c>
      <c r="M185" s="10"/>
      <c r="N185" s="10"/>
      <c r="O185" s="6"/>
    </row>
    <row r="186" spans="1:15" x14ac:dyDescent="0.2">
      <c r="A186" s="126"/>
      <c r="B186" s="4"/>
      <c r="C186" s="4"/>
      <c r="D186" s="7"/>
      <c r="E186" s="7"/>
      <c r="F186" s="8" t="str">
        <f t="shared" si="372"/>
        <v/>
      </c>
      <c r="G186" s="7" t="str">
        <f t="shared" si="1"/>
        <v/>
      </c>
      <c r="H186" s="5" t="str">
        <f t="shared" si="373"/>
        <v/>
      </c>
      <c r="I186" s="122" t="str">
        <f t="shared" si="377"/>
        <v/>
      </c>
      <c r="J186" s="7" t="str">
        <f t="shared" si="378"/>
        <v/>
      </c>
      <c r="K186" s="9" t="str">
        <f t="shared" si="379"/>
        <v/>
      </c>
      <c r="L186" s="9" t="str">
        <f>IF(NOT(ISERROR(VLOOKUP(B186,Deflatores!G$42:H$64,2,FALSE))),VLOOKUP(B186,Deflatores!G$42:H$64,2,FALSE),IF(OR(ISBLANK(C186),ISBLANK(B186)),"",VLOOKUP(C186,Deflatores!G$4:H$38,2,FALSE)*H186+VLOOKUP(C186,Deflatores!G$4:I$38,3,FALSE)))</f>
        <v/>
      </c>
      <c r="M186" s="10"/>
      <c r="N186" s="10"/>
      <c r="O186" s="6"/>
    </row>
    <row r="187" spans="1:15" x14ac:dyDescent="0.2">
      <c r="A187" s="126"/>
      <c r="B187" s="4"/>
      <c r="C187" s="4"/>
      <c r="D187" s="7"/>
      <c r="E187" s="7"/>
      <c r="F187" s="8" t="str">
        <f t="shared" si="372"/>
        <v/>
      </c>
      <c r="G187" s="7" t="str">
        <f t="shared" si="1"/>
        <v/>
      </c>
      <c r="H187" s="5" t="str">
        <f t="shared" si="373"/>
        <v/>
      </c>
      <c r="I187" s="122" t="str">
        <f t="shared" si="377"/>
        <v/>
      </c>
      <c r="J187" s="7" t="str">
        <f t="shared" si="378"/>
        <v/>
      </c>
      <c r="K187" s="9" t="str">
        <f t="shared" si="379"/>
        <v/>
      </c>
      <c r="L187" s="9" t="str">
        <f>IF(NOT(ISERROR(VLOOKUP(B187,Deflatores!G$42:H$64,2,FALSE))),VLOOKUP(B187,Deflatores!G$42:H$64,2,FALSE),IF(OR(ISBLANK(C187),ISBLANK(B187)),"",VLOOKUP(C187,Deflatores!G$4:H$38,2,FALSE)*H187+VLOOKUP(C187,Deflatores!G$4:I$38,3,FALSE)))</f>
        <v/>
      </c>
      <c r="M187" s="10"/>
      <c r="N187" s="10"/>
      <c r="O187" s="6"/>
    </row>
    <row r="188" spans="1:15" x14ac:dyDescent="0.2">
      <c r="A188" s="128"/>
      <c r="B188" s="4"/>
      <c r="C188" s="4"/>
      <c r="D188" s="7"/>
      <c r="E188" s="7"/>
      <c r="F188" s="8" t="str">
        <f t="shared" si="372"/>
        <v/>
      </c>
      <c r="G188" s="7" t="str">
        <f t="shared" si="1"/>
        <v/>
      </c>
      <c r="H188" s="5" t="str">
        <f t="shared" si="373"/>
        <v/>
      </c>
      <c r="I188" s="122" t="str">
        <f t="shared" si="377"/>
        <v/>
      </c>
      <c r="J188" s="7" t="str">
        <f t="shared" si="378"/>
        <v/>
      </c>
      <c r="K188" s="9" t="str">
        <f t="shared" si="379"/>
        <v/>
      </c>
      <c r="L188" s="9" t="str">
        <f>IF(NOT(ISERROR(VLOOKUP(B188,Deflatores!G$42:H$64,2,FALSE))),VLOOKUP(B188,Deflatores!G$42:H$64,2,FALSE),IF(OR(ISBLANK(C188),ISBLANK(B188)),"",VLOOKUP(C188,Deflatores!G$4:H$38,2,FALSE)*H188+VLOOKUP(C188,Deflatores!G$4:I$38,3,FALSE)))</f>
        <v/>
      </c>
      <c r="M188" s="10"/>
      <c r="N188" s="10"/>
      <c r="O188" s="6"/>
    </row>
    <row r="189" spans="1:15" x14ac:dyDescent="0.2">
      <c r="A189" s="126"/>
      <c r="B189" s="4"/>
      <c r="C189" s="4"/>
      <c r="D189" s="7"/>
      <c r="E189" s="7"/>
      <c r="F189" s="8" t="str">
        <f t="shared" si="372"/>
        <v/>
      </c>
      <c r="G189" s="7" t="str">
        <f t="shared" si="1"/>
        <v/>
      </c>
      <c r="H189" s="5" t="str">
        <f t="shared" si="373"/>
        <v/>
      </c>
      <c r="I189" s="122" t="str">
        <f t="shared" si="377"/>
        <v/>
      </c>
      <c r="J189" s="7" t="str">
        <f t="shared" si="378"/>
        <v/>
      </c>
      <c r="K189" s="9" t="str">
        <f t="shared" si="379"/>
        <v/>
      </c>
      <c r="L189" s="9" t="str">
        <f>IF(NOT(ISERROR(VLOOKUP(B189,Deflatores!G$42:H$64,2,FALSE))),VLOOKUP(B189,Deflatores!G$42:H$64,2,FALSE),IF(OR(ISBLANK(C189),ISBLANK(B189)),"",VLOOKUP(C189,Deflatores!G$4:H$38,2,FALSE)*H189+VLOOKUP(C189,Deflatores!G$4:I$38,3,FALSE)))</f>
        <v/>
      </c>
      <c r="M189" s="10"/>
      <c r="N189" s="10"/>
      <c r="O189" s="6"/>
    </row>
    <row r="190" spans="1:15" x14ac:dyDescent="0.2">
      <c r="A190" s="126"/>
      <c r="B190" s="4"/>
      <c r="C190" s="4"/>
      <c r="D190" s="7"/>
      <c r="E190" s="7"/>
      <c r="F190" s="8" t="str">
        <f t="shared" si="372"/>
        <v/>
      </c>
      <c r="G190" s="7" t="str">
        <f t="shared" si="1"/>
        <v/>
      </c>
      <c r="H190" s="5" t="str">
        <f t="shared" si="373"/>
        <v/>
      </c>
      <c r="I190" s="122" t="str">
        <f t="shared" si="377"/>
        <v/>
      </c>
      <c r="J190" s="7" t="str">
        <f t="shared" si="378"/>
        <v/>
      </c>
      <c r="K190" s="9" t="str">
        <f t="shared" si="379"/>
        <v/>
      </c>
      <c r="L190" s="9" t="str">
        <f>IF(NOT(ISERROR(VLOOKUP(B190,Deflatores!G$42:H$64,2,FALSE))),VLOOKUP(B190,Deflatores!G$42:H$64,2,FALSE),IF(OR(ISBLANK(C190),ISBLANK(B190)),"",VLOOKUP(C190,Deflatores!G$4:H$38,2,FALSE)*H190+VLOOKUP(C190,Deflatores!G$4:I$38,3,FALSE)))</f>
        <v/>
      </c>
      <c r="M190" s="10"/>
      <c r="N190" s="10"/>
      <c r="O190" s="6"/>
    </row>
    <row r="191" spans="1:15" x14ac:dyDescent="0.2">
      <c r="A191" s="126"/>
      <c r="B191" s="4"/>
      <c r="C191" s="4"/>
      <c r="D191" s="7"/>
      <c r="E191" s="7"/>
      <c r="F191" s="8" t="str">
        <f t="shared" si="372"/>
        <v/>
      </c>
      <c r="G191" s="7" t="str">
        <f t="shared" si="1"/>
        <v/>
      </c>
      <c r="H191" s="5" t="str">
        <f t="shared" si="373"/>
        <v/>
      </c>
      <c r="I191" s="122" t="str">
        <f t="shared" si="377"/>
        <v/>
      </c>
      <c r="J191" s="7" t="str">
        <f t="shared" si="378"/>
        <v/>
      </c>
      <c r="K191" s="9" t="str">
        <f t="shared" si="379"/>
        <v/>
      </c>
      <c r="L191" s="9" t="str">
        <f>IF(NOT(ISERROR(VLOOKUP(B191,Deflatores!G$42:H$64,2,FALSE))),VLOOKUP(B191,Deflatores!G$42:H$64,2,FALSE),IF(OR(ISBLANK(C191),ISBLANK(B191)),"",VLOOKUP(C191,Deflatores!G$4:H$38,2,FALSE)*H191+VLOOKUP(C191,Deflatores!G$4:I$38,3,FALSE)))</f>
        <v/>
      </c>
      <c r="M191" s="10"/>
      <c r="N191" s="10"/>
      <c r="O191" s="6"/>
    </row>
    <row r="192" spans="1:15" ht="15" customHeight="1" x14ac:dyDescent="0.2">
      <c r="A192" s="128"/>
      <c r="B192" s="4"/>
      <c r="C192" s="4"/>
      <c r="D192" s="7"/>
      <c r="E192" s="7"/>
      <c r="F192" s="8" t="str">
        <f t="shared" si="372"/>
        <v/>
      </c>
      <c r="G192" s="7" t="str">
        <f t="shared" si="1"/>
        <v/>
      </c>
      <c r="H192" s="5" t="str">
        <f t="shared" si="373"/>
        <v/>
      </c>
      <c r="I192" s="122" t="str">
        <f t="shared" si="377"/>
        <v/>
      </c>
      <c r="J192" s="7" t="str">
        <f t="shared" si="378"/>
        <v/>
      </c>
      <c r="K192" s="9" t="str">
        <f t="shared" si="379"/>
        <v/>
      </c>
      <c r="L192" s="9" t="str">
        <f>IF(NOT(ISERROR(VLOOKUP(B192,Deflatores!G$42:H$64,2,FALSE))),VLOOKUP(B192,Deflatores!G$42:H$64,2,FALSE),IF(OR(ISBLANK(C192),ISBLANK(B192)),"",VLOOKUP(C192,Deflatores!G$4:H$38,2,FALSE)*H192+VLOOKUP(C192,Deflatores!G$4:I$38,3,FALSE)))</f>
        <v/>
      </c>
      <c r="M192" s="10"/>
      <c r="N192" s="10"/>
      <c r="O192" s="6"/>
    </row>
    <row r="193" spans="1:15" x14ac:dyDescent="0.2">
      <c r="A193" s="126"/>
      <c r="B193" s="4"/>
      <c r="C193" s="4"/>
      <c r="D193" s="7"/>
      <c r="E193" s="7"/>
      <c r="F193" s="8" t="str">
        <f t="shared" si="372"/>
        <v/>
      </c>
      <c r="G193" s="7" t="str">
        <f t="shared" si="1"/>
        <v/>
      </c>
      <c r="H193" s="5" t="str">
        <f t="shared" si="373"/>
        <v/>
      </c>
      <c r="I193" s="122" t="str">
        <f t="shared" si="377"/>
        <v/>
      </c>
      <c r="J193" s="7" t="str">
        <f t="shared" si="378"/>
        <v/>
      </c>
      <c r="K193" s="9" t="str">
        <f t="shared" si="379"/>
        <v/>
      </c>
      <c r="L193" s="9" t="str">
        <f>IF(NOT(ISERROR(VLOOKUP(B193,Deflatores!G$42:H$64,2,FALSE))),VLOOKUP(B193,Deflatores!G$42:H$64,2,FALSE),IF(OR(ISBLANK(C193),ISBLANK(B193)),"",VLOOKUP(C193,Deflatores!G$4:H$38,2,FALSE)*H193+VLOOKUP(C193,Deflatores!G$4:I$38,3,FALSE)))</f>
        <v/>
      </c>
      <c r="M193" s="10"/>
      <c r="N193" s="10"/>
      <c r="O193" s="6"/>
    </row>
    <row r="194" spans="1:15" x14ac:dyDescent="0.2">
      <c r="A194" s="126"/>
      <c r="B194" s="4"/>
      <c r="C194" s="4"/>
      <c r="D194" s="7"/>
      <c r="E194" s="7"/>
      <c r="F194" s="8" t="str">
        <f t="shared" si="372"/>
        <v/>
      </c>
      <c r="G194" s="7" t="str">
        <f t="shared" si="1"/>
        <v/>
      </c>
      <c r="H194" s="5" t="str">
        <f t="shared" si="373"/>
        <v/>
      </c>
      <c r="I194" s="122" t="str">
        <f t="shared" si="377"/>
        <v/>
      </c>
      <c r="J194" s="7" t="str">
        <f t="shared" si="378"/>
        <v/>
      </c>
      <c r="K194" s="9" t="str">
        <f t="shared" si="379"/>
        <v/>
      </c>
      <c r="L194" s="9" t="str">
        <f>IF(NOT(ISERROR(VLOOKUP(B194,Deflatores!G$42:H$64,2,FALSE))),VLOOKUP(B194,Deflatores!G$42:H$64,2,FALSE),IF(OR(ISBLANK(C194),ISBLANK(B194)),"",VLOOKUP(C194,Deflatores!G$4:H$38,2,FALSE)*H194+VLOOKUP(C194,Deflatores!G$4:I$38,3,FALSE)))</f>
        <v/>
      </c>
      <c r="M194" s="10"/>
      <c r="N194" s="10"/>
      <c r="O194" s="6"/>
    </row>
    <row r="195" spans="1:15" x14ac:dyDescent="0.2">
      <c r="A195" s="126"/>
      <c r="B195" s="4"/>
      <c r="C195" s="4"/>
      <c r="D195" s="7"/>
      <c r="E195" s="7"/>
      <c r="F195" s="8" t="str">
        <f t="shared" si="372"/>
        <v/>
      </c>
      <c r="G195" s="7" t="str">
        <f t="shared" si="1"/>
        <v/>
      </c>
      <c r="H195" s="5" t="str">
        <f t="shared" si="373"/>
        <v/>
      </c>
      <c r="I195" s="122" t="str">
        <f t="shared" si="377"/>
        <v/>
      </c>
      <c r="J195" s="7" t="str">
        <f t="shared" si="378"/>
        <v/>
      </c>
      <c r="K195" s="9" t="str">
        <f t="shared" si="379"/>
        <v/>
      </c>
      <c r="L195" s="9" t="str">
        <f>IF(NOT(ISERROR(VLOOKUP(B195,Deflatores!G$42:H$64,2,FALSE))),VLOOKUP(B195,Deflatores!G$42:H$64,2,FALSE),IF(OR(ISBLANK(C195),ISBLANK(B195)),"",VLOOKUP(C195,Deflatores!G$4:H$38,2,FALSE)*H195+VLOOKUP(C195,Deflatores!G$4:I$38,3,FALSE)))</f>
        <v/>
      </c>
      <c r="M195" s="10"/>
      <c r="N195" s="10"/>
      <c r="O195" s="6"/>
    </row>
    <row r="196" spans="1:15" x14ac:dyDescent="0.2">
      <c r="A196" s="126"/>
      <c r="B196" s="4"/>
      <c r="C196" s="4"/>
      <c r="D196" s="7"/>
      <c r="E196" s="7"/>
      <c r="F196" s="8" t="str">
        <f t="shared" si="372"/>
        <v/>
      </c>
      <c r="G196" s="7" t="str">
        <f t="shared" si="1"/>
        <v/>
      </c>
      <c r="H196" s="5" t="str">
        <f t="shared" si="373"/>
        <v/>
      </c>
      <c r="I196" s="122" t="str">
        <f t="shared" si="377"/>
        <v/>
      </c>
      <c r="J196" s="7" t="str">
        <f t="shared" si="378"/>
        <v/>
      </c>
      <c r="K196" s="9" t="str">
        <f t="shared" si="379"/>
        <v/>
      </c>
      <c r="L196" s="9" t="str">
        <f>IF(NOT(ISERROR(VLOOKUP(B196,Deflatores!G$42:H$64,2,FALSE))),VLOOKUP(B196,Deflatores!G$42:H$64,2,FALSE),IF(OR(ISBLANK(C196),ISBLANK(B196)),"",VLOOKUP(C196,Deflatores!G$4:H$38,2,FALSE)*H196+VLOOKUP(C196,Deflatores!G$4:I$38,3,FALSE)))</f>
        <v/>
      </c>
      <c r="M196" s="10"/>
      <c r="N196" s="10"/>
      <c r="O196" s="6"/>
    </row>
    <row r="197" spans="1:15" ht="12.75" customHeight="1" x14ac:dyDescent="0.2">
      <c r="A197" s="128"/>
      <c r="B197" s="4"/>
      <c r="C197" s="4"/>
      <c r="D197" s="7"/>
      <c r="E197" s="7"/>
      <c r="F197" s="8" t="str">
        <f t="shared" si="372"/>
        <v/>
      </c>
      <c r="G197" s="7" t="str">
        <f t="shared" si="1"/>
        <v/>
      </c>
      <c r="H197" s="5" t="str">
        <f t="shared" si="373"/>
        <v/>
      </c>
      <c r="I197" s="122" t="str">
        <f t="shared" si="377"/>
        <v/>
      </c>
      <c r="J197" s="7" t="str">
        <f t="shared" si="378"/>
        <v/>
      </c>
      <c r="K197" s="9" t="str">
        <f t="shared" si="379"/>
        <v/>
      </c>
      <c r="L197" s="9" t="str">
        <f>IF(NOT(ISERROR(VLOOKUP(B197,Deflatores!G$42:H$64,2,FALSE))),VLOOKUP(B197,Deflatores!G$42:H$64,2,FALSE),IF(OR(ISBLANK(C197),ISBLANK(B197)),"",VLOOKUP(C197,Deflatores!G$4:H$38,2,FALSE)*H197+VLOOKUP(C197,Deflatores!G$4:I$38,3,FALSE)))</f>
        <v/>
      </c>
      <c r="M197" s="10"/>
      <c r="N197" s="10"/>
      <c r="O197" s="6"/>
    </row>
    <row r="198" spans="1:15" x14ac:dyDescent="0.2">
      <c r="A198" s="126"/>
      <c r="B198" s="4"/>
      <c r="C198" s="4"/>
      <c r="D198" s="7"/>
      <c r="E198" s="7"/>
      <c r="F198" s="8" t="str">
        <f t="shared" si="372"/>
        <v/>
      </c>
      <c r="G198" s="7" t="str">
        <f t="shared" si="1"/>
        <v/>
      </c>
      <c r="H198" s="5" t="str">
        <f t="shared" si="373"/>
        <v/>
      </c>
      <c r="I198" s="122" t="str">
        <f t="shared" si="377"/>
        <v/>
      </c>
      <c r="J198" s="7" t="str">
        <f t="shared" si="378"/>
        <v/>
      </c>
      <c r="K198" s="9" t="str">
        <f t="shared" si="379"/>
        <v/>
      </c>
      <c r="L198" s="9" t="str">
        <f>IF(NOT(ISERROR(VLOOKUP(B198,Deflatores!G$42:H$64,2,FALSE))),VLOOKUP(B198,Deflatores!G$42:H$64,2,FALSE),IF(OR(ISBLANK(C198),ISBLANK(B198)),"",VLOOKUP(C198,Deflatores!G$4:H$38,2,FALSE)*H198+VLOOKUP(C198,Deflatores!G$4:I$38,3,FALSE)))</f>
        <v/>
      </c>
      <c r="M198" s="10"/>
      <c r="N198" s="10"/>
      <c r="O198" s="6"/>
    </row>
    <row r="199" spans="1:15" x14ac:dyDescent="0.2">
      <c r="A199" s="126"/>
      <c r="B199" s="4"/>
      <c r="C199" s="4"/>
      <c r="D199" s="7"/>
      <c r="E199" s="7"/>
      <c r="F199" s="8" t="str">
        <f t="shared" si="372"/>
        <v/>
      </c>
      <c r="G199" s="7" t="str">
        <f t="shared" si="1"/>
        <v/>
      </c>
      <c r="H199" s="5" t="str">
        <f t="shared" si="373"/>
        <v/>
      </c>
      <c r="I199" s="122" t="str">
        <f t="shared" si="377"/>
        <v/>
      </c>
      <c r="J199" s="7" t="str">
        <f t="shared" si="378"/>
        <v/>
      </c>
      <c r="K199" s="9" t="str">
        <f t="shared" si="379"/>
        <v/>
      </c>
      <c r="L199" s="9" t="str">
        <f>IF(NOT(ISERROR(VLOOKUP(B199,Deflatores!G$42:H$64,2,FALSE))),VLOOKUP(B199,Deflatores!G$42:H$64,2,FALSE),IF(OR(ISBLANK(C199),ISBLANK(B199)),"",VLOOKUP(C199,Deflatores!G$4:H$38,2,FALSE)*H199+VLOOKUP(C199,Deflatores!G$4:I$38,3,FALSE)))</f>
        <v/>
      </c>
      <c r="M199" s="10"/>
      <c r="N199" s="10"/>
      <c r="O199" s="6"/>
    </row>
    <row r="200" spans="1:15" x14ac:dyDescent="0.2">
      <c r="A200" s="126"/>
      <c r="B200" s="4"/>
      <c r="C200" s="4"/>
      <c r="D200" s="7"/>
      <c r="E200" s="7"/>
      <c r="F200" s="8" t="str">
        <f t="shared" si="372"/>
        <v/>
      </c>
      <c r="G200" s="7" t="str">
        <f t="shared" si="1"/>
        <v/>
      </c>
      <c r="H200" s="5" t="str">
        <f t="shared" si="373"/>
        <v/>
      </c>
      <c r="I200" s="122" t="str">
        <f t="shared" si="377"/>
        <v/>
      </c>
      <c r="J200" s="7" t="str">
        <f t="shared" si="378"/>
        <v/>
      </c>
      <c r="K200" s="9" t="str">
        <f t="shared" si="379"/>
        <v/>
      </c>
      <c r="L200" s="9" t="str">
        <f>IF(NOT(ISERROR(VLOOKUP(B200,Deflatores!G$42:H$64,2,FALSE))),VLOOKUP(B200,Deflatores!G$42:H$64,2,FALSE),IF(OR(ISBLANK(C200),ISBLANK(B200)),"",VLOOKUP(C200,Deflatores!G$4:H$38,2,FALSE)*H200+VLOOKUP(C200,Deflatores!G$4:I$38,3,FALSE)))</f>
        <v/>
      </c>
      <c r="M200" s="10"/>
      <c r="N200" s="10"/>
      <c r="O200" s="6"/>
    </row>
    <row r="201" spans="1:15" x14ac:dyDescent="0.2">
      <c r="A201" s="126"/>
      <c r="B201" s="4"/>
      <c r="C201" s="4"/>
      <c r="D201" s="7"/>
      <c r="E201" s="7"/>
      <c r="F201" s="8" t="str">
        <f t="shared" si="372"/>
        <v/>
      </c>
      <c r="G201" s="7" t="str">
        <f t="shared" si="1"/>
        <v/>
      </c>
      <c r="H201" s="5" t="str">
        <f t="shared" si="373"/>
        <v/>
      </c>
      <c r="I201" s="122" t="str">
        <f t="shared" si="377"/>
        <v/>
      </c>
      <c r="J201" s="7" t="str">
        <f t="shared" si="378"/>
        <v/>
      </c>
      <c r="K201" s="9" t="str">
        <f t="shared" si="379"/>
        <v/>
      </c>
      <c r="L201" s="9" t="str">
        <f>IF(NOT(ISERROR(VLOOKUP(B201,Deflatores!G$42:H$64,2,FALSE))),VLOOKUP(B201,Deflatores!G$42:H$64,2,FALSE),IF(OR(ISBLANK(C201),ISBLANK(B201)),"",VLOOKUP(C201,Deflatores!G$4:H$38,2,FALSE)*H201+VLOOKUP(C201,Deflatores!G$4:I$38,3,FALSE)))</f>
        <v/>
      </c>
      <c r="M201" s="10"/>
      <c r="N201" s="10"/>
      <c r="O201" s="6"/>
    </row>
    <row r="202" spans="1:15" x14ac:dyDescent="0.2">
      <c r="A202" s="128"/>
      <c r="B202" s="4"/>
      <c r="C202" s="4"/>
      <c r="D202" s="7"/>
      <c r="E202" s="7"/>
      <c r="F202" s="8" t="str">
        <f t="shared" si="372"/>
        <v/>
      </c>
      <c r="G202" s="7" t="str">
        <f t="shared" si="1"/>
        <v/>
      </c>
      <c r="H202" s="5" t="str">
        <f t="shared" si="373"/>
        <v/>
      </c>
      <c r="I202" s="122" t="str">
        <f t="shared" si="377"/>
        <v/>
      </c>
      <c r="J202" s="7" t="str">
        <f t="shared" si="378"/>
        <v/>
      </c>
      <c r="K202" s="9" t="str">
        <f t="shared" si="379"/>
        <v/>
      </c>
      <c r="L202" s="9" t="str">
        <f>IF(NOT(ISERROR(VLOOKUP(B202,Deflatores!G$42:H$64,2,FALSE))),VLOOKUP(B202,Deflatores!G$42:H$64,2,FALSE),IF(OR(ISBLANK(C202),ISBLANK(B202)),"",VLOOKUP(C202,Deflatores!G$4:H$38,2,FALSE)*H202+VLOOKUP(C202,Deflatores!G$4:I$38,3,FALSE)))</f>
        <v/>
      </c>
      <c r="M202" s="10"/>
      <c r="N202" s="10"/>
      <c r="O202" s="6"/>
    </row>
    <row r="203" spans="1:15" x14ac:dyDescent="0.2">
      <c r="A203" s="126"/>
      <c r="B203" s="4"/>
      <c r="C203" s="4"/>
      <c r="D203" s="7"/>
      <c r="E203" s="7"/>
      <c r="F203" s="8" t="str">
        <f t="shared" si="372"/>
        <v/>
      </c>
      <c r="G203" s="7" t="str">
        <f t="shared" si="1"/>
        <v/>
      </c>
      <c r="H203" s="5" t="str">
        <f t="shared" si="373"/>
        <v/>
      </c>
      <c r="I203" s="122" t="str">
        <f t="shared" si="377"/>
        <v/>
      </c>
      <c r="J203" s="7" t="str">
        <f t="shared" si="378"/>
        <v/>
      </c>
      <c r="K203" s="9" t="str">
        <f t="shared" si="379"/>
        <v/>
      </c>
      <c r="L203" s="9" t="str">
        <f>IF(NOT(ISERROR(VLOOKUP(B203,Deflatores!G$42:H$64,2,FALSE))),VLOOKUP(B203,Deflatores!G$42:H$64,2,FALSE),IF(OR(ISBLANK(C203),ISBLANK(B203)),"",VLOOKUP(C203,Deflatores!G$4:H$38,2,FALSE)*H203+VLOOKUP(C203,Deflatores!G$4:I$38,3,FALSE)))</f>
        <v/>
      </c>
      <c r="M203" s="10"/>
      <c r="N203" s="10"/>
      <c r="O203" s="6"/>
    </row>
    <row r="204" spans="1:15" x14ac:dyDescent="0.2">
      <c r="A204" s="126"/>
      <c r="B204" s="4"/>
      <c r="C204" s="4"/>
      <c r="D204" s="7"/>
      <c r="E204" s="7"/>
      <c r="F204" s="8" t="str">
        <f t="shared" si="372"/>
        <v/>
      </c>
      <c r="G204" s="7" t="str">
        <f t="shared" si="1"/>
        <v/>
      </c>
      <c r="H204" s="5" t="str">
        <f t="shared" si="373"/>
        <v/>
      </c>
      <c r="I204" s="122" t="str">
        <f t="shared" si="377"/>
        <v/>
      </c>
      <c r="J204" s="7" t="str">
        <f t="shared" si="378"/>
        <v/>
      </c>
      <c r="K204" s="9" t="str">
        <f t="shared" si="379"/>
        <v/>
      </c>
      <c r="L204" s="9" t="str">
        <f>IF(NOT(ISERROR(VLOOKUP(B204,Deflatores!G$42:H$64,2,FALSE))),VLOOKUP(B204,Deflatores!G$42:H$64,2,FALSE),IF(OR(ISBLANK(C204),ISBLANK(B204)),"",VLOOKUP(C204,Deflatores!G$4:H$38,2,FALSE)*H204+VLOOKUP(C204,Deflatores!G$4:I$38,3,FALSE)))</f>
        <v/>
      </c>
      <c r="M204" s="10"/>
      <c r="N204" s="10"/>
      <c r="O204" s="6"/>
    </row>
    <row r="205" spans="1:15" x14ac:dyDescent="0.2">
      <c r="A205" s="126"/>
      <c r="B205" s="4"/>
      <c r="C205" s="4"/>
      <c r="D205" s="7"/>
      <c r="E205" s="7"/>
      <c r="F205" s="8" t="str">
        <f t="shared" si="372"/>
        <v/>
      </c>
      <c r="G205" s="7" t="str">
        <f t="shared" si="1"/>
        <v/>
      </c>
      <c r="H205" s="5" t="str">
        <f t="shared" si="373"/>
        <v/>
      </c>
      <c r="I205" s="122" t="str">
        <f t="shared" si="377"/>
        <v/>
      </c>
      <c r="J205" s="7" t="str">
        <f t="shared" si="378"/>
        <v/>
      </c>
      <c r="K205" s="9" t="str">
        <f t="shared" si="379"/>
        <v/>
      </c>
      <c r="L205" s="9" t="str">
        <f>IF(NOT(ISERROR(VLOOKUP(B205,Deflatores!G$42:H$64,2,FALSE))),VLOOKUP(B205,Deflatores!G$42:H$64,2,FALSE),IF(OR(ISBLANK(C205),ISBLANK(B205)),"",VLOOKUP(C205,Deflatores!G$4:H$38,2,FALSE)*H205+VLOOKUP(C205,Deflatores!G$4:I$38,3,FALSE)))</f>
        <v/>
      </c>
      <c r="M205" s="10"/>
      <c r="N205" s="10"/>
      <c r="O205" s="6"/>
    </row>
    <row r="206" spans="1:15" x14ac:dyDescent="0.2">
      <c r="A206" s="126"/>
      <c r="B206" s="4"/>
      <c r="C206" s="4"/>
      <c r="D206" s="7"/>
      <c r="E206" s="7"/>
      <c r="F206" s="8" t="str">
        <f t="shared" si="372"/>
        <v/>
      </c>
      <c r="G206" s="7" t="str">
        <f t="shared" ref="G206:G269" si="380">CONCATENATE(B206,I206)</f>
        <v/>
      </c>
      <c r="H206" s="5" t="str">
        <f t="shared" si="373"/>
        <v/>
      </c>
      <c r="I206" s="122" t="str">
        <f t="shared" si="377"/>
        <v/>
      </c>
      <c r="J206" s="7" t="str">
        <f t="shared" si="378"/>
        <v/>
      </c>
      <c r="K206" s="9" t="str">
        <f t="shared" si="379"/>
        <v/>
      </c>
      <c r="L206" s="9" t="str">
        <f>IF(NOT(ISERROR(VLOOKUP(B206,Deflatores!G$42:H$64,2,FALSE))),VLOOKUP(B206,Deflatores!G$42:H$64,2,FALSE),IF(OR(ISBLANK(C206),ISBLANK(B206)),"",VLOOKUP(C206,Deflatores!G$4:H$38,2,FALSE)*H206+VLOOKUP(C206,Deflatores!G$4:I$38,3,FALSE)))</f>
        <v/>
      </c>
      <c r="M206" s="10"/>
      <c r="N206" s="10"/>
      <c r="O206" s="6"/>
    </row>
    <row r="207" spans="1:15" x14ac:dyDescent="0.2">
      <c r="A207" s="128"/>
      <c r="B207" s="4"/>
      <c r="C207" s="4"/>
      <c r="D207" s="7"/>
      <c r="E207" s="7"/>
      <c r="F207" s="8" t="str">
        <f t="shared" si="372"/>
        <v/>
      </c>
      <c r="G207" s="7" t="str">
        <f t="shared" si="380"/>
        <v/>
      </c>
      <c r="H207" s="5" t="str">
        <f t="shared" si="373"/>
        <v/>
      </c>
      <c r="I207" s="122" t="str">
        <f t="shared" si="377"/>
        <v/>
      </c>
      <c r="J207" s="7" t="str">
        <f t="shared" si="378"/>
        <v/>
      </c>
      <c r="K207" s="9" t="str">
        <f t="shared" si="379"/>
        <v/>
      </c>
      <c r="L207" s="9" t="str">
        <f>IF(NOT(ISERROR(VLOOKUP(B207,Deflatores!G$42:H$64,2,FALSE))),VLOOKUP(B207,Deflatores!G$42:H$64,2,FALSE),IF(OR(ISBLANK(C207),ISBLANK(B207)),"",VLOOKUP(C207,Deflatores!G$4:H$38,2,FALSE)*H207+VLOOKUP(C207,Deflatores!G$4:I$38,3,FALSE)))</f>
        <v/>
      </c>
      <c r="M207" s="10"/>
      <c r="N207" s="10"/>
      <c r="O207" s="6"/>
    </row>
    <row r="208" spans="1:15" x14ac:dyDescent="0.2">
      <c r="A208" s="126"/>
      <c r="B208" s="4"/>
      <c r="C208" s="4"/>
      <c r="D208" s="7"/>
      <c r="E208" s="7"/>
      <c r="F208" s="8" t="str">
        <f t="shared" si="372"/>
        <v/>
      </c>
      <c r="G208" s="7" t="str">
        <f t="shared" si="380"/>
        <v/>
      </c>
      <c r="H208" s="5" t="str">
        <f t="shared" si="373"/>
        <v/>
      </c>
      <c r="I208" s="122" t="str">
        <f t="shared" si="377"/>
        <v/>
      </c>
      <c r="J208" s="7" t="str">
        <f t="shared" si="378"/>
        <v/>
      </c>
      <c r="K208" s="9" t="str">
        <f t="shared" si="379"/>
        <v/>
      </c>
      <c r="L208" s="9" t="str">
        <f>IF(NOT(ISERROR(VLOOKUP(B208,Deflatores!G$42:H$64,2,FALSE))),VLOOKUP(B208,Deflatores!G$42:H$64,2,FALSE),IF(OR(ISBLANK(C208),ISBLANK(B208)),"",VLOOKUP(C208,Deflatores!G$4:H$38,2,FALSE)*H208+VLOOKUP(C208,Deflatores!G$4:I$38,3,FALSE)))</f>
        <v/>
      </c>
      <c r="M208" s="10"/>
      <c r="N208" s="10"/>
      <c r="O208" s="6"/>
    </row>
    <row r="209" spans="1:15" x14ac:dyDescent="0.2">
      <c r="A209" s="126"/>
      <c r="B209" s="4"/>
      <c r="C209" s="4"/>
      <c r="D209" s="7"/>
      <c r="E209" s="7"/>
      <c r="F209" s="8" t="str">
        <f t="shared" si="372"/>
        <v/>
      </c>
      <c r="G209" s="7" t="str">
        <f t="shared" si="380"/>
        <v/>
      </c>
      <c r="H209" s="5" t="str">
        <f t="shared" si="373"/>
        <v/>
      </c>
      <c r="I209" s="122" t="str">
        <f t="shared" si="377"/>
        <v/>
      </c>
      <c r="J209" s="7" t="str">
        <f t="shared" si="378"/>
        <v/>
      </c>
      <c r="K209" s="9" t="str">
        <f t="shared" si="379"/>
        <v/>
      </c>
      <c r="L209" s="9" t="str">
        <f>IF(NOT(ISERROR(VLOOKUP(B209,Deflatores!G$42:H$64,2,FALSE))),VLOOKUP(B209,Deflatores!G$42:H$64,2,FALSE),IF(OR(ISBLANK(C209),ISBLANK(B209)),"",VLOOKUP(C209,Deflatores!G$4:H$38,2,FALSE)*H209+VLOOKUP(C209,Deflatores!G$4:I$38,3,FALSE)))</f>
        <v/>
      </c>
      <c r="M209" s="10"/>
      <c r="N209" s="10"/>
      <c r="O209" s="6"/>
    </row>
    <row r="210" spans="1:15" ht="15" customHeight="1" x14ac:dyDescent="0.2">
      <c r="A210" s="126"/>
      <c r="B210" s="4"/>
      <c r="C210" s="4"/>
      <c r="D210" s="7"/>
      <c r="E210" s="7"/>
      <c r="F210" s="8" t="str">
        <f t="shared" si="372"/>
        <v/>
      </c>
      <c r="G210" s="7" t="str">
        <f t="shared" si="380"/>
        <v/>
      </c>
      <c r="H210" s="5" t="str">
        <f t="shared" si="373"/>
        <v/>
      </c>
      <c r="I210" s="122" t="str">
        <f t="shared" si="377"/>
        <v/>
      </c>
      <c r="J210" s="7" t="str">
        <f t="shared" si="378"/>
        <v/>
      </c>
      <c r="K210" s="9" t="str">
        <f t="shared" si="379"/>
        <v/>
      </c>
      <c r="L210" s="9" t="str">
        <f>IF(NOT(ISERROR(VLOOKUP(B210,Deflatores!G$42:H$64,2,FALSE))),VLOOKUP(B210,Deflatores!G$42:H$64,2,FALSE),IF(OR(ISBLANK(C210),ISBLANK(B210)),"",VLOOKUP(C210,Deflatores!G$4:H$38,2,FALSE)*H210+VLOOKUP(C210,Deflatores!G$4:I$38,3,FALSE)))</f>
        <v/>
      </c>
      <c r="M210" s="10"/>
      <c r="N210" s="10"/>
      <c r="O210" s="6"/>
    </row>
    <row r="211" spans="1:15" ht="14.25" customHeight="1" x14ac:dyDescent="0.2">
      <c r="A211" s="126"/>
      <c r="B211" s="4"/>
      <c r="C211" s="4"/>
      <c r="D211" s="7"/>
      <c r="E211" s="7"/>
      <c r="F211" s="8" t="str">
        <f t="shared" si="372"/>
        <v/>
      </c>
      <c r="G211" s="7" t="str">
        <f t="shared" si="380"/>
        <v/>
      </c>
      <c r="H211" s="5" t="str">
        <f t="shared" si="373"/>
        <v/>
      </c>
      <c r="I211" s="122" t="str">
        <f t="shared" si="377"/>
        <v/>
      </c>
      <c r="J211" s="7" t="str">
        <f t="shared" si="378"/>
        <v/>
      </c>
      <c r="K211" s="9" t="str">
        <f t="shared" si="379"/>
        <v/>
      </c>
      <c r="L211" s="9" t="str">
        <f>IF(NOT(ISERROR(VLOOKUP(B211,Deflatores!G$42:H$64,2,FALSE))),VLOOKUP(B211,Deflatores!G$42:H$64,2,FALSE),IF(OR(ISBLANK(C211),ISBLANK(B211)),"",VLOOKUP(C211,Deflatores!G$4:H$38,2,FALSE)*H211+VLOOKUP(C211,Deflatores!G$4:I$38,3,FALSE)))</f>
        <v/>
      </c>
      <c r="M211" s="10"/>
      <c r="N211" s="10"/>
      <c r="O211" s="6"/>
    </row>
    <row r="212" spans="1:15" ht="15.75" customHeight="1" x14ac:dyDescent="0.2">
      <c r="A212" s="126"/>
      <c r="B212" s="4"/>
      <c r="C212" s="4"/>
      <c r="D212" s="7"/>
      <c r="E212" s="7"/>
      <c r="F212" s="8" t="str">
        <f t="shared" si="372"/>
        <v/>
      </c>
      <c r="G212" s="7" t="str">
        <f t="shared" si="380"/>
        <v/>
      </c>
      <c r="H212" s="5" t="str">
        <f t="shared" si="373"/>
        <v/>
      </c>
      <c r="I212" s="122" t="str">
        <f t="shared" si="377"/>
        <v/>
      </c>
      <c r="J212" s="7" t="str">
        <f t="shared" si="378"/>
        <v/>
      </c>
      <c r="K212" s="9" t="str">
        <f t="shared" si="379"/>
        <v/>
      </c>
      <c r="L212" s="9" t="str">
        <f>IF(NOT(ISERROR(VLOOKUP(B212,Deflatores!G$42:H$64,2,FALSE))),VLOOKUP(B212,Deflatores!G$42:H$64,2,FALSE),IF(OR(ISBLANK(C212),ISBLANK(B212)),"",VLOOKUP(C212,Deflatores!G$4:H$38,2,FALSE)*H212+VLOOKUP(C212,Deflatores!G$4:I$38,3,FALSE)))</f>
        <v/>
      </c>
      <c r="M212" s="10"/>
      <c r="N212" s="10"/>
      <c r="O212" s="6"/>
    </row>
    <row r="213" spans="1:15" ht="15.75" customHeight="1" x14ac:dyDescent="0.2">
      <c r="A213" s="126"/>
      <c r="B213" s="4"/>
      <c r="C213" s="4"/>
      <c r="D213" s="7"/>
      <c r="E213" s="7"/>
      <c r="F213" s="8" t="str">
        <f t="shared" si="372"/>
        <v/>
      </c>
      <c r="G213" s="7" t="str">
        <f t="shared" si="380"/>
        <v/>
      </c>
      <c r="H213" s="5" t="str">
        <f t="shared" si="373"/>
        <v/>
      </c>
      <c r="I213" s="122" t="str">
        <f t="shared" si="377"/>
        <v/>
      </c>
      <c r="J213" s="7" t="str">
        <f t="shared" si="378"/>
        <v/>
      </c>
      <c r="K213" s="9" t="str">
        <f t="shared" si="379"/>
        <v/>
      </c>
      <c r="L213" s="9" t="str">
        <f>IF(NOT(ISERROR(VLOOKUP(B213,Deflatores!G$42:H$64,2,FALSE))),VLOOKUP(B213,Deflatores!G$42:H$64,2,FALSE),IF(OR(ISBLANK(C213),ISBLANK(B213)),"",VLOOKUP(C213,Deflatores!G$4:H$38,2,FALSE)*H213+VLOOKUP(C213,Deflatores!G$4:I$38,3,FALSE)))</f>
        <v/>
      </c>
      <c r="M213" s="10"/>
      <c r="N213" s="10"/>
      <c r="O213" s="6"/>
    </row>
    <row r="214" spans="1:15" ht="15.75" customHeight="1" x14ac:dyDescent="0.2">
      <c r="A214" s="126"/>
      <c r="B214" s="4"/>
      <c r="C214" s="4"/>
      <c r="D214" s="7"/>
      <c r="E214" s="7"/>
      <c r="F214" s="8" t="str">
        <f t="shared" si="372"/>
        <v/>
      </c>
      <c r="G214" s="7" t="str">
        <f t="shared" si="380"/>
        <v/>
      </c>
      <c r="H214" s="5" t="str">
        <f t="shared" si="373"/>
        <v/>
      </c>
      <c r="I214" s="122" t="str">
        <f t="shared" si="377"/>
        <v/>
      </c>
      <c r="J214" s="7" t="str">
        <f t="shared" si="378"/>
        <v/>
      </c>
      <c r="K214" s="9" t="str">
        <f t="shared" si="379"/>
        <v/>
      </c>
      <c r="L214" s="9" t="str">
        <f>IF(NOT(ISERROR(VLOOKUP(B214,Deflatores!G$42:H$64,2,FALSE))),VLOOKUP(B214,Deflatores!G$42:H$64,2,FALSE),IF(OR(ISBLANK(C214),ISBLANK(B214)),"",VLOOKUP(C214,Deflatores!G$4:H$38,2,FALSE)*H214+VLOOKUP(C214,Deflatores!G$4:I$38,3,FALSE)))</f>
        <v/>
      </c>
      <c r="M214" s="10"/>
      <c r="N214" s="10"/>
      <c r="O214" s="6"/>
    </row>
    <row r="215" spans="1:15" ht="13.5" customHeight="1" x14ac:dyDescent="0.2">
      <c r="A215" s="128"/>
      <c r="B215" s="4"/>
      <c r="C215" s="4"/>
      <c r="D215" s="7"/>
      <c r="E215" s="7"/>
      <c r="F215" s="8" t="str">
        <f t="shared" ref="F215:F278" si="381">IF(ISBLANK(B215),"",IF(I215="L","Baixa",IF(I215="A","Média",IF(I215="","","Alta"))))</f>
        <v/>
      </c>
      <c r="G215" s="7" t="str">
        <f t="shared" si="380"/>
        <v/>
      </c>
      <c r="H215" s="5" t="str">
        <f t="shared" ref="H215:H278" si="382">IF(ISBLANK(B215),"",IF(B215="ALI",IF(I215="L",7,IF(I215="A",10,15)),IF(B215="AIE",IF(I215="L",5,IF(I215="A",7,10)),IF(B215="SE",IF(I215="L",4,IF(I215="A",5,7)),IF(OR(B215="EE",B215="CE"),IF(I215="L",3,IF(I215="A",4,6)),0)))))</f>
        <v/>
      </c>
      <c r="I215" s="122" t="str">
        <f t="shared" si="377"/>
        <v/>
      </c>
      <c r="J215" s="7" t="str">
        <f t="shared" si="378"/>
        <v/>
      </c>
      <c r="K215" s="9" t="str">
        <f t="shared" si="379"/>
        <v/>
      </c>
      <c r="L215" s="9" t="str">
        <f>IF(NOT(ISERROR(VLOOKUP(B215,Deflatores!G$42:H$64,2,FALSE))),VLOOKUP(B215,Deflatores!G$42:H$64,2,FALSE),IF(OR(ISBLANK(C215),ISBLANK(B215)),"",VLOOKUP(C215,Deflatores!G$4:H$38,2,FALSE)*H215+VLOOKUP(C215,Deflatores!G$4:I$38,3,FALSE)))</f>
        <v/>
      </c>
      <c r="M215" s="10"/>
      <c r="N215" s="10"/>
      <c r="O215" s="6"/>
    </row>
    <row r="216" spans="1:15" ht="13.5" customHeight="1" x14ac:dyDescent="0.2">
      <c r="A216" s="126"/>
      <c r="B216" s="4"/>
      <c r="C216" s="4"/>
      <c r="D216" s="7"/>
      <c r="E216" s="7"/>
      <c r="F216" s="8" t="str">
        <f t="shared" si="381"/>
        <v/>
      </c>
      <c r="G216" s="7" t="str">
        <f t="shared" si="380"/>
        <v/>
      </c>
      <c r="H216" s="5" t="str">
        <f t="shared" si="382"/>
        <v/>
      </c>
      <c r="I216" s="122" t="str">
        <f t="shared" ref="I216:I279" si="383">IF(OR(ISBLANK(D216),ISBLANK(E216)),IF(OR(B216="ALI",B216="AIE"),"L",IF(OR(B216="EE",B216="SE",B216="CE"),"A","")),IF(B216="EE",IF(E216&gt;=3,IF(D216&gt;=5,"H","A"),IF(E216&gt;=2,IF(D216&gt;=16,"H",IF(D216&lt;=4,"L","A")),IF(D216&lt;=15,"L","A"))),IF(OR(B216="SE",B216="CE"),IF(E216&gt;=4,IF(D216&gt;=6,"H","A"),IF(E216&gt;=2,IF(D216&gt;=20,"H",IF(D216&lt;=5,"L","A")),IF(D216&lt;=19,"L","A"))),IF(OR(B216="ALI",B216="AIE"),IF(E216&gt;=6,IF(D216&gt;=20,"H","A"),IF(E216&gt;=2,IF(D216&gt;=51,"H",IF(D216&lt;=19,"L","A")),IF(D216&lt;=50,"L","A"))),""))))</f>
        <v/>
      </c>
      <c r="J216" s="7" t="str">
        <f t="shared" ref="J216:J279" si="384">CONCATENATE(B216,C216)</f>
        <v/>
      </c>
      <c r="K216" s="9" t="str">
        <f t="shared" ref="K216:K279" si="385">IF(OR(H216="",H216=0),L216,H216)</f>
        <v/>
      </c>
      <c r="L216" s="9" t="str">
        <f>IF(NOT(ISERROR(VLOOKUP(B216,Deflatores!G$42:H$64,2,FALSE))),VLOOKUP(B216,Deflatores!G$42:H$64,2,FALSE),IF(OR(ISBLANK(C216),ISBLANK(B216)),"",VLOOKUP(C216,Deflatores!G$4:H$38,2,FALSE)*H216+VLOOKUP(C216,Deflatores!G$4:I$38,3,FALSE)))</f>
        <v/>
      </c>
      <c r="M216" s="10"/>
      <c r="N216" s="10"/>
      <c r="O216" s="6"/>
    </row>
    <row r="217" spans="1:15" x14ac:dyDescent="0.2">
      <c r="A217" s="128"/>
      <c r="B217" s="4"/>
      <c r="C217" s="4"/>
      <c r="D217" s="7"/>
      <c r="E217" s="7"/>
      <c r="F217" s="8" t="str">
        <f t="shared" si="381"/>
        <v/>
      </c>
      <c r="G217" s="7" t="str">
        <f t="shared" si="380"/>
        <v/>
      </c>
      <c r="H217" s="5" t="str">
        <f t="shared" si="382"/>
        <v/>
      </c>
      <c r="I217" s="122" t="str">
        <f t="shared" si="383"/>
        <v/>
      </c>
      <c r="J217" s="7" t="str">
        <f t="shared" si="384"/>
        <v/>
      </c>
      <c r="K217" s="9" t="str">
        <f t="shared" si="385"/>
        <v/>
      </c>
      <c r="L217" s="9" t="str">
        <f>IF(NOT(ISERROR(VLOOKUP(B217,Deflatores!G$42:H$64,2,FALSE))),VLOOKUP(B217,Deflatores!G$42:H$64,2,FALSE),IF(OR(ISBLANK(C217),ISBLANK(B217)),"",VLOOKUP(C217,Deflatores!G$4:H$38,2,FALSE)*H217+VLOOKUP(C217,Deflatores!G$4:I$38,3,FALSE)))</f>
        <v/>
      </c>
      <c r="M217" s="10"/>
      <c r="N217" s="10"/>
      <c r="O217" s="6"/>
    </row>
    <row r="218" spans="1:15" x14ac:dyDescent="0.2">
      <c r="A218" s="126"/>
      <c r="B218" s="4"/>
      <c r="C218" s="4"/>
      <c r="D218" s="7"/>
      <c r="E218" s="7"/>
      <c r="F218" s="8" t="str">
        <f t="shared" si="381"/>
        <v/>
      </c>
      <c r="G218" s="7" t="str">
        <f t="shared" si="380"/>
        <v/>
      </c>
      <c r="H218" s="5" t="str">
        <f t="shared" si="382"/>
        <v/>
      </c>
      <c r="I218" s="122" t="str">
        <f t="shared" si="383"/>
        <v/>
      </c>
      <c r="J218" s="7" t="str">
        <f t="shared" si="384"/>
        <v/>
      </c>
      <c r="K218" s="9" t="str">
        <f t="shared" si="385"/>
        <v/>
      </c>
      <c r="L218" s="9" t="str">
        <f>IF(NOT(ISERROR(VLOOKUP(B218,Deflatores!G$42:H$64,2,FALSE))),VLOOKUP(B218,Deflatores!G$42:H$64,2,FALSE),IF(OR(ISBLANK(C218),ISBLANK(B218)),"",VLOOKUP(C218,Deflatores!G$4:H$38,2,FALSE)*H218+VLOOKUP(C218,Deflatores!G$4:I$38,3,FALSE)))</f>
        <v/>
      </c>
      <c r="M218" s="10"/>
      <c r="N218" s="10"/>
      <c r="O218" s="6"/>
    </row>
    <row r="219" spans="1:15" ht="13.5" customHeight="1" x14ac:dyDescent="0.2">
      <c r="A219" s="126"/>
      <c r="B219" s="4"/>
      <c r="C219" s="4"/>
      <c r="D219" s="7"/>
      <c r="E219" s="7"/>
      <c r="F219" s="8" t="str">
        <f t="shared" si="381"/>
        <v/>
      </c>
      <c r="G219" s="7" t="str">
        <f t="shared" si="380"/>
        <v/>
      </c>
      <c r="H219" s="5" t="str">
        <f t="shared" si="382"/>
        <v/>
      </c>
      <c r="I219" s="122" t="str">
        <f t="shared" si="383"/>
        <v/>
      </c>
      <c r="J219" s="7" t="str">
        <f t="shared" si="384"/>
        <v/>
      </c>
      <c r="K219" s="9" t="str">
        <f t="shared" si="385"/>
        <v/>
      </c>
      <c r="L219" s="9" t="str">
        <f>IF(NOT(ISERROR(VLOOKUP(B219,Deflatores!G$42:H$64,2,FALSE))),VLOOKUP(B219,Deflatores!G$42:H$64,2,FALSE),IF(OR(ISBLANK(C219),ISBLANK(B219)),"",VLOOKUP(C219,Deflatores!G$4:H$38,2,FALSE)*H219+VLOOKUP(C219,Deflatores!G$4:I$38,3,FALSE)))</f>
        <v/>
      </c>
      <c r="M219" s="10"/>
      <c r="N219" s="10"/>
      <c r="O219" s="6"/>
    </row>
    <row r="220" spans="1:15" x14ac:dyDescent="0.2">
      <c r="A220" s="126"/>
      <c r="B220" s="4"/>
      <c r="C220" s="4"/>
      <c r="D220" s="7"/>
      <c r="E220" s="7"/>
      <c r="F220" s="8" t="str">
        <f t="shared" si="381"/>
        <v/>
      </c>
      <c r="G220" s="7" t="str">
        <f t="shared" si="380"/>
        <v/>
      </c>
      <c r="H220" s="5" t="str">
        <f t="shared" si="382"/>
        <v/>
      </c>
      <c r="I220" s="122" t="str">
        <f t="shared" si="383"/>
        <v/>
      </c>
      <c r="J220" s="7" t="str">
        <f t="shared" si="384"/>
        <v/>
      </c>
      <c r="K220" s="9" t="str">
        <f t="shared" si="385"/>
        <v/>
      </c>
      <c r="L220" s="9" t="str">
        <f>IF(NOT(ISERROR(VLOOKUP(B220,Deflatores!G$42:H$64,2,FALSE))),VLOOKUP(B220,Deflatores!G$42:H$64,2,FALSE),IF(OR(ISBLANK(C220),ISBLANK(B220)),"",VLOOKUP(C220,Deflatores!G$4:H$38,2,FALSE)*H220+VLOOKUP(C220,Deflatores!G$4:I$38,3,FALSE)))</f>
        <v/>
      </c>
      <c r="M220" s="10"/>
      <c r="N220" s="10"/>
      <c r="O220" s="6"/>
    </row>
    <row r="221" spans="1:15" x14ac:dyDescent="0.2">
      <c r="A221" s="126"/>
      <c r="B221" s="4"/>
      <c r="C221" s="4"/>
      <c r="D221" s="7"/>
      <c r="E221" s="7"/>
      <c r="F221" s="8" t="str">
        <f t="shared" si="381"/>
        <v/>
      </c>
      <c r="G221" s="7" t="str">
        <f t="shared" si="380"/>
        <v/>
      </c>
      <c r="H221" s="5" t="str">
        <f t="shared" si="382"/>
        <v/>
      </c>
      <c r="I221" s="122" t="str">
        <f t="shared" si="383"/>
        <v/>
      </c>
      <c r="J221" s="7" t="str">
        <f t="shared" si="384"/>
        <v/>
      </c>
      <c r="K221" s="9" t="str">
        <f t="shared" si="385"/>
        <v/>
      </c>
      <c r="L221" s="9" t="str">
        <f>IF(NOT(ISERROR(VLOOKUP(B221,Deflatores!G$42:H$64,2,FALSE))),VLOOKUP(B221,Deflatores!G$42:H$64,2,FALSE),IF(OR(ISBLANK(C221),ISBLANK(B221)),"",VLOOKUP(C221,Deflatores!G$4:H$38,2,FALSE)*H221+VLOOKUP(C221,Deflatores!G$4:I$38,3,FALSE)))</f>
        <v/>
      </c>
      <c r="M221" s="10"/>
      <c r="N221" s="10"/>
      <c r="O221" s="6"/>
    </row>
    <row r="222" spans="1:15" x14ac:dyDescent="0.2">
      <c r="A222" s="126"/>
      <c r="B222" s="4"/>
      <c r="C222" s="4"/>
      <c r="D222" s="7"/>
      <c r="E222" s="7"/>
      <c r="F222" s="8" t="str">
        <f t="shared" si="381"/>
        <v/>
      </c>
      <c r="G222" s="7" t="str">
        <f t="shared" si="380"/>
        <v/>
      </c>
      <c r="H222" s="5" t="str">
        <f t="shared" si="382"/>
        <v/>
      </c>
      <c r="I222" s="122" t="str">
        <f t="shared" si="383"/>
        <v/>
      </c>
      <c r="J222" s="7" t="str">
        <f t="shared" si="384"/>
        <v/>
      </c>
      <c r="K222" s="9" t="str">
        <f t="shared" si="385"/>
        <v/>
      </c>
      <c r="L222" s="9" t="str">
        <f>IF(NOT(ISERROR(VLOOKUP(B222,Deflatores!G$42:H$64,2,FALSE))),VLOOKUP(B222,Deflatores!G$42:H$64,2,FALSE),IF(OR(ISBLANK(C222),ISBLANK(B222)),"",VLOOKUP(C222,Deflatores!G$4:H$38,2,FALSE)*H222+VLOOKUP(C222,Deflatores!G$4:I$38,3,FALSE)))</f>
        <v/>
      </c>
      <c r="M222" s="10"/>
      <c r="N222" s="10"/>
      <c r="O222" s="6"/>
    </row>
    <row r="223" spans="1:15" x14ac:dyDescent="0.2">
      <c r="A223" s="126"/>
      <c r="B223" s="4"/>
      <c r="C223" s="4"/>
      <c r="D223" s="7"/>
      <c r="E223" s="7"/>
      <c r="F223" s="8" t="str">
        <f t="shared" si="381"/>
        <v/>
      </c>
      <c r="G223" s="7" t="str">
        <f t="shared" si="380"/>
        <v/>
      </c>
      <c r="H223" s="5" t="str">
        <f t="shared" si="382"/>
        <v/>
      </c>
      <c r="I223" s="122" t="str">
        <f t="shared" si="383"/>
        <v/>
      </c>
      <c r="J223" s="7" t="str">
        <f t="shared" si="384"/>
        <v/>
      </c>
      <c r="K223" s="9" t="str">
        <f t="shared" si="385"/>
        <v/>
      </c>
      <c r="L223" s="9" t="str">
        <f>IF(NOT(ISERROR(VLOOKUP(B223,Deflatores!G$42:H$64,2,FALSE))),VLOOKUP(B223,Deflatores!G$42:H$64,2,FALSE),IF(OR(ISBLANK(C223),ISBLANK(B223)),"",VLOOKUP(C223,Deflatores!G$4:H$38,2,FALSE)*H223+VLOOKUP(C223,Deflatores!G$4:I$38,3,FALSE)))</f>
        <v/>
      </c>
      <c r="M223" s="10"/>
      <c r="N223" s="10"/>
      <c r="O223" s="6"/>
    </row>
    <row r="224" spans="1:15" x14ac:dyDescent="0.2">
      <c r="A224" s="126"/>
      <c r="B224" s="4"/>
      <c r="C224" s="4"/>
      <c r="D224" s="7"/>
      <c r="E224" s="7"/>
      <c r="F224" s="8" t="str">
        <f t="shared" si="381"/>
        <v/>
      </c>
      <c r="G224" s="7" t="str">
        <f t="shared" si="380"/>
        <v/>
      </c>
      <c r="H224" s="5" t="str">
        <f t="shared" si="382"/>
        <v/>
      </c>
      <c r="I224" s="122" t="str">
        <f t="shared" si="383"/>
        <v/>
      </c>
      <c r="J224" s="7" t="str">
        <f t="shared" si="384"/>
        <v/>
      </c>
      <c r="K224" s="9" t="str">
        <f t="shared" si="385"/>
        <v/>
      </c>
      <c r="L224" s="9" t="str">
        <f>IF(NOT(ISERROR(VLOOKUP(B224,Deflatores!G$42:H$64,2,FALSE))),VLOOKUP(B224,Deflatores!G$42:H$64,2,FALSE),IF(OR(ISBLANK(C224),ISBLANK(B224)),"",VLOOKUP(C224,Deflatores!G$4:H$38,2,FALSE)*H224+VLOOKUP(C224,Deflatores!G$4:I$38,3,FALSE)))</f>
        <v/>
      </c>
      <c r="M224" s="10"/>
      <c r="N224" s="10"/>
      <c r="O224" s="6"/>
    </row>
    <row r="225" spans="1:15" x14ac:dyDescent="0.2">
      <c r="A225" s="126"/>
      <c r="B225" s="4"/>
      <c r="C225" s="4"/>
      <c r="D225" s="7"/>
      <c r="E225" s="7"/>
      <c r="F225" s="8" t="str">
        <f t="shared" si="381"/>
        <v/>
      </c>
      <c r="G225" s="7" t="str">
        <f t="shared" si="380"/>
        <v/>
      </c>
      <c r="H225" s="5" t="str">
        <f t="shared" si="382"/>
        <v/>
      </c>
      <c r="I225" s="122" t="str">
        <f t="shared" si="383"/>
        <v/>
      </c>
      <c r="J225" s="7" t="str">
        <f t="shared" si="384"/>
        <v/>
      </c>
      <c r="K225" s="9" t="str">
        <f t="shared" si="385"/>
        <v/>
      </c>
      <c r="L225" s="9" t="str">
        <f>IF(NOT(ISERROR(VLOOKUP(B225,Deflatores!G$42:H$64,2,FALSE))),VLOOKUP(B225,Deflatores!G$42:H$64,2,FALSE),IF(OR(ISBLANK(C225),ISBLANK(B225)),"",VLOOKUP(C225,Deflatores!G$4:H$38,2,FALSE)*H225+VLOOKUP(C225,Deflatores!G$4:I$38,3,FALSE)))</f>
        <v/>
      </c>
      <c r="M225" s="10"/>
      <c r="N225" s="10"/>
      <c r="O225" s="6"/>
    </row>
    <row r="226" spans="1:15" x14ac:dyDescent="0.2">
      <c r="A226" s="126"/>
      <c r="B226" s="4"/>
      <c r="C226" s="4"/>
      <c r="D226" s="7"/>
      <c r="E226" s="7"/>
      <c r="F226" s="8" t="str">
        <f t="shared" si="381"/>
        <v/>
      </c>
      <c r="G226" s="7" t="str">
        <f t="shared" si="380"/>
        <v/>
      </c>
      <c r="H226" s="5" t="str">
        <f t="shared" si="382"/>
        <v/>
      </c>
      <c r="I226" s="122" t="str">
        <f t="shared" si="383"/>
        <v/>
      </c>
      <c r="J226" s="7" t="str">
        <f t="shared" si="384"/>
        <v/>
      </c>
      <c r="K226" s="9" t="str">
        <f t="shared" si="385"/>
        <v/>
      </c>
      <c r="L226" s="9" t="str">
        <f>IF(NOT(ISERROR(VLOOKUP(B226,Deflatores!G$42:H$64,2,FALSE))),VLOOKUP(B226,Deflatores!G$42:H$64,2,FALSE),IF(OR(ISBLANK(C226),ISBLANK(B226)),"",VLOOKUP(C226,Deflatores!G$4:H$38,2,FALSE)*H226+VLOOKUP(C226,Deflatores!G$4:I$38,3,FALSE)))</f>
        <v/>
      </c>
      <c r="M226" s="10"/>
      <c r="N226" s="10"/>
      <c r="O226" s="6"/>
    </row>
    <row r="227" spans="1:15" x14ac:dyDescent="0.2">
      <c r="A227" s="128"/>
      <c r="B227" s="4"/>
      <c r="C227" s="4"/>
      <c r="D227" s="7"/>
      <c r="E227" s="7"/>
      <c r="F227" s="8" t="str">
        <f t="shared" si="381"/>
        <v/>
      </c>
      <c r="G227" s="7" t="str">
        <f t="shared" si="380"/>
        <v/>
      </c>
      <c r="H227" s="5" t="str">
        <f t="shared" si="382"/>
        <v/>
      </c>
      <c r="I227" s="122" t="str">
        <f t="shared" si="383"/>
        <v/>
      </c>
      <c r="J227" s="7" t="str">
        <f t="shared" si="384"/>
        <v/>
      </c>
      <c r="K227" s="9" t="str">
        <f t="shared" si="385"/>
        <v/>
      </c>
      <c r="L227" s="9" t="str">
        <f>IF(NOT(ISERROR(VLOOKUP(B227,Deflatores!G$42:H$64,2,FALSE))),VLOOKUP(B227,Deflatores!G$42:H$64,2,FALSE),IF(OR(ISBLANK(C227),ISBLANK(B227)),"",VLOOKUP(C227,Deflatores!G$4:H$38,2,FALSE)*H227+VLOOKUP(C227,Deflatores!G$4:I$38,3,FALSE)))</f>
        <v/>
      </c>
      <c r="M227" s="10"/>
      <c r="N227" s="10"/>
      <c r="O227" s="6"/>
    </row>
    <row r="228" spans="1:15" ht="15.75" customHeight="1" x14ac:dyDescent="0.2">
      <c r="A228" s="126"/>
      <c r="B228" s="4"/>
      <c r="C228" s="4"/>
      <c r="D228" s="7"/>
      <c r="E228" s="7"/>
      <c r="F228" s="8" t="str">
        <f t="shared" si="381"/>
        <v/>
      </c>
      <c r="G228" s="7" t="str">
        <f t="shared" si="380"/>
        <v/>
      </c>
      <c r="H228" s="5" t="str">
        <f t="shared" si="382"/>
        <v/>
      </c>
      <c r="I228" s="122" t="str">
        <f t="shared" si="383"/>
        <v/>
      </c>
      <c r="J228" s="7" t="str">
        <f t="shared" si="384"/>
        <v/>
      </c>
      <c r="K228" s="9" t="str">
        <f t="shared" si="385"/>
        <v/>
      </c>
      <c r="L228" s="9" t="str">
        <f>IF(NOT(ISERROR(VLOOKUP(B228,Deflatores!G$42:H$64,2,FALSE))),VLOOKUP(B228,Deflatores!G$42:H$64,2,FALSE),IF(OR(ISBLANK(C228),ISBLANK(B228)),"",VLOOKUP(C228,Deflatores!G$4:H$38,2,FALSE)*H228+VLOOKUP(C228,Deflatores!G$4:I$38,3,FALSE)))</f>
        <v/>
      </c>
      <c r="M228" s="10"/>
      <c r="N228" s="10"/>
      <c r="O228" s="6"/>
    </row>
    <row r="229" spans="1:15" x14ac:dyDescent="0.2">
      <c r="A229" s="126"/>
      <c r="B229" s="4"/>
      <c r="C229" s="4"/>
      <c r="D229" s="7"/>
      <c r="E229" s="7"/>
      <c r="F229" s="8" t="str">
        <f t="shared" si="381"/>
        <v/>
      </c>
      <c r="G229" s="7" t="str">
        <f t="shared" si="380"/>
        <v/>
      </c>
      <c r="H229" s="5" t="str">
        <f t="shared" si="382"/>
        <v/>
      </c>
      <c r="I229" s="122" t="str">
        <f t="shared" si="383"/>
        <v/>
      </c>
      <c r="J229" s="7" t="str">
        <f t="shared" si="384"/>
        <v/>
      </c>
      <c r="K229" s="9" t="str">
        <f t="shared" si="385"/>
        <v/>
      </c>
      <c r="L229" s="9" t="str">
        <f>IF(NOT(ISERROR(VLOOKUP(B229,Deflatores!G$42:H$64,2,FALSE))),VLOOKUP(B229,Deflatores!G$42:H$64,2,FALSE),IF(OR(ISBLANK(C229),ISBLANK(B229)),"",VLOOKUP(C229,Deflatores!G$4:H$38,2,FALSE)*H229+VLOOKUP(C229,Deflatores!G$4:I$38,3,FALSE)))</f>
        <v/>
      </c>
      <c r="M229" s="10"/>
      <c r="N229" s="10"/>
      <c r="O229" s="6"/>
    </row>
    <row r="230" spans="1:15" ht="14.25" customHeight="1" x14ac:dyDescent="0.2">
      <c r="A230" s="126"/>
      <c r="B230" s="4"/>
      <c r="C230" s="4"/>
      <c r="D230" s="7"/>
      <c r="E230" s="7"/>
      <c r="F230" s="8" t="str">
        <f t="shared" si="381"/>
        <v/>
      </c>
      <c r="G230" s="7" t="str">
        <f t="shared" si="380"/>
        <v/>
      </c>
      <c r="H230" s="5" t="str">
        <f t="shared" si="382"/>
        <v/>
      </c>
      <c r="I230" s="122" t="str">
        <f t="shared" si="383"/>
        <v/>
      </c>
      <c r="J230" s="7" t="str">
        <f t="shared" si="384"/>
        <v/>
      </c>
      <c r="K230" s="9" t="str">
        <f t="shared" si="385"/>
        <v/>
      </c>
      <c r="L230" s="9" t="str">
        <f>IF(NOT(ISERROR(VLOOKUP(B230,Deflatores!G$42:H$64,2,FALSE))),VLOOKUP(B230,Deflatores!G$42:H$64,2,FALSE),IF(OR(ISBLANK(C230),ISBLANK(B230)),"",VLOOKUP(C230,Deflatores!G$4:H$38,2,FALSE)*H230+VLOOKUP(C230,Deflatores!G$4:I$38,3,FALSE)))</f>
        <v/>
      </c>
      <c r="M230" s="10"/>
      <c r="N230" s="10"/>
      <c r="O230" s="6"/>
    </row>
    <row r="231" spans="1:15" x14ac:dyDescent="0.2">
      <c r="A231" s="126"/>
      <c r="B231" s="4"/>
      <c r="C231" s="4"/>
      <c r="D231" s="7"/>
      <c r="E231" s="7"/>
      <c r="F231" s="8" t="str">
        <f t="shared" si="381"/>
        <v/>
      </c>
      <c r="G231" s="7" t="str">
        <f t="shared" si="380"/>
        <v/>
      </c>
      <c r="H231" s="5" t="str">
        <f t="shared" si="382"/>
        <v/>
      </c>
      <c r="I231" s="122" t="str">
        <f t="shared" si="383"/>
        <v/>
      </c>
      <c r="J231" s="7" t="str">
        <f t="shared" si="384"/>
        <v/>
      </c>
      <c r="K231" s="9" t="str">
        <f t="shared" si="385"/>
        <v/>
      </c>
      <c r="L231" s="9" t="str">
        <f>IF(NOT(ISERROR(VLOOKUP(B231,Deflatores!G$42:H$64,2,FALSE))),VLOOKUP(B231,Deflatores!G$42:H$64,2,FALSE),IF(OR(ISBLANK(C231),ISBLANK(B231)),"",VLOOKUP(C231,Deflatores!G$4:H$38,2,FALSE)*H231+VLOOKUP(C231,Deflatores!G$4:I$38,3,FALSE)))</f>
        <v/>
      </c>
      <c r="M231" s="10"/>
      <c r="N231" s="10"/>
      <c r="O231" s="6"/>
    </row>
    <row r="232" spans="1:15" x14ac:dyDescent="0.2">
      <c r="A232" s="128"/>
      <c r="B232" s="4"/>
      <c r="C232" s="4"/>
      <c r="D232" s="7"/>
      <c r="E232" s="7"/>
      <c r="F232" s="8" t="str">
        <f t="shared" si="381"/>
        <v/>
      </c>
      <c r="G232" s="7" t="str">
        <f t="shared" si="380"/>
        <v/>
      </c>
      <c r="H232" s="5" t="str">
        <f t="shared" si="382"/>
        <v/>
      </c>
      <c r="I232" s="122" t="str">
        <f t="shared" si="383"/>
        <v/>
      </c>
      <c r="J232" s="7" t="str">
        <f t="shared" si="384"/>
        <v/>
      </c>
      <c r="K232" s="9" t="str">
        <f t="shared" si="385"/>
        <v/>
      </c>
      <c r="L232" s="9" t="str">
        <f>IF(NOT(ISERROR(VLOOKUP(B232,Deflatores!G$42:H$64,2,FALSE))),VLOOKUP(B232,Deflatores!G$42:H$64,2,FALSE),IF(OR(ISBLANK(C232),ISBLANK(B232)),"",VLOOKUP(C232,Deflatores!G$4:H$38,2,FALSE)*H232+VLOOKUP(C232,Deflatores!G$4:I$38,3,FALSE)))</f>
        <v/>
      </c>
      <c r="M232" s="10"/>
      <c r="N232" s="10"/>
      <c r="O232" s="6"/>
    </row>
    <row r="233" spans="1:15" x14ac:dyDescent="0.2">
      <c r="A233" s="126"/>
      <c r="B233" s="4"/>
      <c r="C233" s="4"/>
      <c r="D233" s="7"/>
      <c r="E233" s="7"/>
      <c r="F233" s="8" t="str">
        <f t="shared" si="381"/>
        <v/>
      </c>
      <c r="G233" s="7" t="str">
        <f t="shared" si="380"/>
        <v/>
      </c>
      <c r="H233" s="5" t="str">
        <f t="shared" si="382"/>
        <v/>
      </c>
      <c r="I233" s="122" t="str">
        <f t="shared" si="383"/>
        <v/>
      </c>
      <c r="J233" s="7" t="str">
        <f t="shared" si="384"/>
        <v/>
      </c>
      <c r="K233" s="9" t="str">
        <f t="shared" si="385"/>
        <v/>
      </c>
      <c r="L233" s="9" t="str">
        <f>IF(NOT(ISERROR(VLOOKUP(B233,Deflatores!G$42:H$64,2,FALSE))),VLOOKUP(B233,Deflatores!G$42:H$64,2,FALSE),IF(OR(ISBLANK(C233),ISBLANK(B233)),"",VLOOKUP(C233,Deflatores!G$4:H$38,2,FALSE)*H233+VLOOKUP(C233,Deflatores!G$4:I$38,3,FALSE)))</f>
        <v/>
      </c>
      <c r="M233" s="10"/>
      <c r="N233" s="10"/>
      <c r="O233" s="6"/>
    </row>
    <row r="234" spans="1:15" x14ac:dyDescent="0.2">
      <c r="A234" s="126"/>
      <c r="B234" s="4"/>
      <c r="C234" s="4"/>
      <c r="D234" s="7"/>
      <c r="E234" s="7"/>
      <c r="F234" s="8" t="str">
        <f t="shared" si="381"/>
        <v/>
      </c>
      <c r="G234" s="7" t="str">
        <f t="shared" si="380"/>
        <v/>
      </c>
      <c r="H234" s="5" t="str">
        <f t="shared" si="382"/>
        <v/>
      </c>
      <c r="I234" s="122" t="str">
        <f t="shared" si="383"/>
        <v/>
      </c>
      <c r="J234" s="7" t="str">
        <f t="shared" si="384"/>
        <v/>
      </c>
      <c r="K234" s="9" t="str">
        <f t="shared" si="385"/>
        <v/>
      </c>
      <c r="L234" s="9" t="str">
        <f>IF(NOT(ISERROR(VLOOKUP(B234,Deflatores!G$42:H$64,2,FALSE))),VLOOKUP(B234,Deflatores!G$42:H$64,2,FALSE),IF(OR(ISBLANK(C234),ISBLANK(B234)),"",VLOOKUP(C234,Deflatores!G$4:H$38,2,FALSE)*H234+VLOOKUP(C234,Deflatores!G$4:I$38,3,FALSE)))</f>
        <v/>
      </c>
      <c r="M234" s="10"/>
      <c r="N234" s="10"/>
      <c r="O234" s="6"/>
    </row>
    <row r="235" spans="1:15" x14ac:dyDescent="0.2">
      <c r="A235" s="126"/>
      <c r="B235" s="4"/>
      <c r="C235" s="4"/>
      <c r="D235" s="7"/>
      <c r="E235" s="7"/>
      <c r="F235" s="8" t="str">
        <f t="shared" si="381"/>
        <v/>
      </c>
      <c r="G235" s="7" t="str">
        <f t="shared" si="380"/>
        <v/>
      </c>
      <c r="H235" s="5" t="str">
        <f t="shared" si="382"/>
        <v/>
      </c>
      <c r="I235" s="122" t="str">
        <f t="shared" si="383"/>
        <v/>
      </c>
      <c r="J235" s="7" t="str">
        <f t="shared" si="384"/>
        <v/>
      </c>
      <c r="K235" s="9" t="str">
        <f t="shared" si="385"/>
        <v/>
      </c>
      <c r="L235" s="9" t="str">
        <f>IF(NOT(ISERROR(VLOOKUP(B235,Deflatores!G$42:H$64,2,FALSE))),VLOOKUP(B235,Deflatores!G$42:H$64,2,FALSE),IF(OR(ISBLANK(C235),ISBLANK(B235)),"",VLOOKUP(C235,Deflatores!G$4:H$38,2,FALSE)*H235+VLOOKUP(C235,Deflatores!G$4:I$38,3,FALSE)))</f>
        <v/>
      </c>
      <c r="M235" s="10"/>
      <c r="N235" s="10"/>
      <c r="O235" s="6"/>
    </row>
    <row r="236" spans="1:15" x14ac:dyDescent="0.2">
      <c r="A236" s="129"/>
      <c r="B236" s="4"/>
      <c r="C236" s="4"/>
      <c r="D236" s="7"/>
      <c r="E236" s="7"/>
      <c r="F236" s="8" t="str">
        <f t="shared" si="381"/>
        <v/>
      </c>
      <c r="G236" s="7" t="str">
        <f t="shared" si="380"/>
        <v/>
      </c>
      <c r="H236" s="5" t="str">
        <f t="shared" si="382"/>
        <v/>
      </c>
      <c r="I236" s="122" t="str">
        <f t="shared" si="383"/>
        <v/>
      </c>
      <c r="J236" s="7" t="str">
        <f t="shared" si="384"/>
        <v/>
      </c>
      <c r="K236" s="9" t="str">
        <f t="shared" si="385"/>
        <v/>
      </c>
      <c r="L236" s="9" t="str">
        <f>IF(NOT(ISERROR(VLOOKUP(B236,Deflatores!G$42:H$64,2,FALSE))),VLOOKUP(B236,Deflatores!G$42:H$64,2,FALSE),IF(OR(ISBLANK(C236),ISBLANK(B236)),"",VLOOKUP(C236,Deflatores!G$4:H$38,2,FALSE)*H236+VLOOKUP(C236,Deflatores!G$4:I$38,3,FALSE)))</f>
        <v/>
      </c>
      <c r="M236" s="10"/>
      <c r="N236" s="10"/>
      <c r="O236" s="6"/>
    </row>
    <row r="237" spans="1:15" x14ac:dyDescent="0.2">
      <c r="A237" s="128"/>
      <c r="B237" s="4"/>
      <c r="C237" s="4"/>
      <c r="D237" s="7"/>
      <c r="E237" s="7"/>
      <c r="F237" s="8" t="str">
        <f t="shared" si="381"/>
        <v/>
      </c>
      <c r="G237" s="7" t="str">
        <f t="shared" si="380"/>
        <v/>
      </c>
      <c r="H237" s="5" t="str">
        <f t="shared" si="382"/>
        <v/>
      </c>
      <c r="I237" s="122" t="str">
        <f t="shared" si="383"/>
        <v/>
      </c>
      <c r="J237" s="7" t="str">
        <f t="shared" si="384"/>
        <v/>
      </c>
      <c r="K237" s="9" t="str">
        <f t="shared" si="385"/>
        <v/>
      </c>
      <c r="L237" s="9" t="str">
        <f>IF(NOT(ISERROR(VLOOKUP(B237,Deflatores!G$42:H$64,2,FALSE))),VLOOKUP(B237,Deflatores!G$42:H$64,2,FALSE),IF(OR(ISBLANK(C237),ISBLANK(B237)),"",VLOOKUP(C237,Deflatores!G$4:H$38,2,FALSE)*H237+VLOOKUP(C237,Deflatores!G$4:I$38,3,FALSE)))</f>
        <v/>
      </c>
      <c r="M237" s="10"/>
      <c r="N237" s="10"/>
      <c r="O237" s="6"/>
    </row>
    <row r="238" spans="1:15" ht="15" customHeight="1" x14ac:dyDescent="0.2">
      <c r="A238" s="126"/>
      <c r="B238" s="4"/>
      <c r="C238" s="4"/>
      <c r="D238" s="7"/>
      <c r="E238" s="7"/>
      <c r="F238" s="8" t="str">
        <f t="shared" si="381"/>
        <v/>
      </c>
      <c r="G238" s="7" t="str">
        <f t="shared" si="380"/>
        <v/>
      </c>
      <c r="H238" s="5" t="str">
        <f t="shared" si="382"/>
        <v/>
      </c>
      <c r="I238" s="122" t="str">
        <f t="shared" si="383"/>
        <v/>
      </c>
      <c r="J238" s="7" t="str">
        <f t="shared" si="384"/>
        <v/>
      </c>
      <c r="K238" s="9" t="str">
        <f t="shared" si="385"/>
        <v/>
      </c>
      <c r="L238" s="9" t="str">
        <f>IF(NOT(ISERROR(VLOOKUP(B238,Deflatores!G$42:H$64,2,FALSE))),VLOOKUP(B238,Deflatores!G$42:H$64,2,FALSE),IF(OR(ISBLANK(C238),ISBLANK(B238)),"",VLOOKUP(C238,Deflatores!G$4:H$38,2,FALSE)*H238+VLOOKUP(C238,Deflatores!G$4:I$38,3,FALSE)))</f>
        <v/>
      </c>
      <c r="M238" s="10"/>
      <c r="N238" s="10"/>
      <c r="O238" s="6"/>
    </row>
    <row r="239" spans="1:15" ht="15" customHeight="1" x14ac:dyDescent="0.2">
      <c r="A239" s="126"/>
      <c r="B239" s="4"/>
      <c r="C239" s="4"/>
      <c r="D239" s="7"/>
      <c r="E239" s="7"/>
      <c r="F239" s="8" t="str">
        <f t="shared" si="381"/>
        <v/>
      </c>
      <c r="G239" s="7" t="str">
        <f t="shared" si="380"/>
        <v/>
      </c>
      <c r="H239" s="5" t="str">
        <f t="shared" si="382"/>
        <v/>
      </c>
      <c r="I239" s="122" t="str">
        <f t="shared" si="383"/>
        <v/>
      </c>
      <c r="J239" s="7" t="str">
        <f t="shared" si="384"/>
        <v/>
      </c>
      <c r="K239" s="9" t="str">
        <f t="shared" si="385"/>
        <v/>
      </c>
      <c r="L239" s="9" t="str">
        <f>IF(NOT(ISERROR(VLOOKUP(B239,Deflatores!G$42:H$64,2,FALSE))),VLOOKUP(B239,Deflatores!G$42:H$64,2,FALSE),IF(OR(ISBLANK(C239),ISBLANK(B239)),"",VLOOKUP(C239,Deflatores!G$4:H$38,2,FALSE)*H239+VLOOKUP(C239,Deflatores!G$4:I$38,3,FALSE)))</f>
        <v/>
      </c>
      <c r="M239" s="10"/>
      <c r="N239" s="10"/>
      <c r="O239" s="6"/>
    </row>
    <row r="240" spans="1:15" x14ac:dyDescent="0.2">
      <c r="A240" s="126"/>
      <c r="B240" s="4"/>
      <c r="C240" s="4"/>
      <c r="D240" s="7"/>
      <c r="E240" s="7"/>
      <c r="F240" s="8" t="str">
        <f t="shared" si="381"/>
        <v/>
      </c>
      <c r="G240" s="7" t="str">
        <f t="shared" si="380"/>
        <v/>
      </c>
      <c r="H240" s="5" t="str">
        <f t="shared" si="382"/>
        <v/>
      </c>
      <c r="I240" s="122" t="str">
        <f t="shared" si="383"/>
        <v/>
      </c>
      <c r="J240" s="7" t="str">
        <f t="shared" si="384"/>
        <v/>
      </c>
      <c r="K240" s="9" t="str">
        <f t="shared" si="385"/>
        <v/>
      </c>
      <c r="L240" s="9" t="str">
        <f>IF(NOT(ISERROR(VLOOKUP(B240,Deflatores!G$42:H$64,2,FALSE))),VLOOKUP(B240,Deflatores!G$42:H$64,2,FALSE),IF(OR(ISBLANK(C240),ISBLANK(B240)),"",VLOOKUP(C240,Deflatores!G$4:H$38,2,FALSE)*H240+VLOOKUP(C240,Deflatores!G$4:I$38,3,FALSE)))</f>
        <v/>
      </c>
      <c r="M240" s="10"/>
      <c r="N240" s="10"/>
      <c r="O240" s="6"/>
    </row>
    <row r="241" spans="1:15" x14ac:dyDescent="0.2">
      <c r="A241" s="128"/>
      <c r="B241" s="4"/>
      <c r="C241" s="4"/>
      <c r="D241" s="7"/>
      <c r="E241" s="7"/>
      <c r="F241" s="8" t="str">
        <f t="shared" si="381"/>
        <v/>
      </c>
      <c r="G241" s="7" t="str">
        <f t="shared" si="380"/>
        <v/>
      </c>
      <c r="H241" s="5" t="str">
        <f t="shared" si="382"/>
        <v/>
      </c>
      <c r="I241" s="122" t="str">
        <f t="shared" si="383"/>
        <v/>
      </c>
      <c r="J241" s="7" t="str">
        <f t="shared" si="384"/>
        <v/>
      </c>
      <c r="K241" s="9" t="str">
        <f t="shared" si="385"/>
        <v/>
      </c>
      <c r="L241" s="9" t="str">
        <f>IF(NOT(ISERROR(VLOOKUP(B241,Deflatores!G$42:H$64,2,FALSE))),VLOOKUP(B241,Deflatores!G$42:H$64,2,FALSE),IF(OR(ISBLANK(C241),ISBLANK(B241)),"",VLOOKUP(C241,Deflatores!G$4:H$38,2,FALSE)*H241+VLOOKUP(C241,Deflatores!G$4:I$38,3,FALSE)))</f>
        <v/>
      </c>
      <c r="M241" s="10"/>
      <c r="N241" s="10"/>
      <c r="O241" s="6"/>
    </row>
    <row r="242" spans="1:15" x14ac:dyDescent="0.2">
      <c r="A242" s="126"/>
      <c r="B242" s="4"/>
      <c r="C242" s="4"/>
      <c r="D242" s="7"/>
      <c r="E242" s="7"/>
      <c r="F242" s="8" t="str">
        <f t="shared" si="381"/>
        <v/>
      </c>
      <c r="G242" s="7" t="str">
        <f t="shared" si="380"/>
        <v/>
      </c>
      <c r="H242" s="5" t="str">
        <f t="shared" si="382"/>
        <v/>
      </c>
      <c r="I242" s="122" t="str">
        <f t="shared" si="383"/>
        <v/>
      </c>
      <c r="J242" s="7" t="str">
        <f t="shared" si="384"/>
        <v/>
      </c>
      <c r="K242" s="9" t="str">
        <f t="shared" si="385"/>
        <v/>
      </c>
      <c r="L242" s="9" t="str">
        <f>IF(NOT(ISERROR(VLOOKUP(B242,Deflatores!G$42:H$64,2,FALSE))),VLOOKUP(B242,Deflatores!G$42:H$64,2,FALSE),IF(OR(ISBLANK(C242),ISBLANK(B242)),"",VLOOKUP(C242,Deflatores!G$4:H$38,2,FALSE)*H242+VLOOKUP(C242,Deflatores!G$4:I$38,3,FALSE)))</f>
        <v/>
      </c>
      <c r="M242" s="10"/>
      <c r="N242" s="10"/>
      <c r="O242" s="6"/>
    </row>
    <row r="243" spans="1:15" x14ac:dyDescent="0.2">
      <c r="A243" s="126"/>
      <c r="B243" s="4"/>
      <c r="C243" s="4"/>
      <c r="D243" s="7"/>
      <c r="E243" s="7"/>
      <c r="F243" s="8" t="str">
        <f t="shared" si="381"/>
        <v/>
      </c>
      <c r="G243" s="7" t="str">
        <f t="shared" si="380"/>
        <v/>
      </c>
      <c r="H243" s="5" t="str">
        <f t="shared" si="382"/>
        <v/>
      </c>
      <c r="I243" s="122" t="str">
        <f t="shared" si="383"/>
        <v/>
      </c>
      <c r="J243" s="7" t="str">
        <f t="shared" si="384"/>
        <v/>
      </c>
      <c r="K243" s="9" t="str">
        <f t="shared" si="385"/>
        <v/>
      </c>
      <c r="L243" s="9" t="str">
        <f>IF(NOT(ISERROR(VLOOKUP(B243,Deflatores!G$42:H$64,2,FALSE))),VLOOKUP(B243,Deflatores!G$42:H$64,2,FALSE),IF(OR(ISBLANK(C243),ISBLANK(B243)),"",VLOOKUP(C243,Deflatores!G$4:H$38,2,FALSE)*H243+VLOOKUP(C243,Deflatores!G$4:I$38,3,FALSE)))</f>
        <v/>
      </c>
      <c r="M243" s="10"/>
      <c r="N243" s="10"/>
      <c r="O243" s="6"/>
    </row>
    <row r="244" spans="1:15" x14ac:dyDescent="0.2">
      <c r="A244" s="126"/>
      <c r="B244" s="4"/>
      <c r="C244" s="4"/>
      <c r="D244" s="7"/>
      <c r="E244" s="7"/>
      <c r="F244" s="8" t="str">
        <f t="shared" si="381"/>
        <v/>
      </c>
      <c r="G244" s="7" t="str">
        <f t="shared" si="380"/>
        <v/>
      </c>
      <c r="H244" s="5" t="str">
        <f t="shared" si="382"/>
        <v/>
      </c>
      <c r="I244" s="122" t="str">
        <f t="shared" si="383"/>
        <v/>
      </c>
      <c r="J244" s="7" t="str">
        <f t="shared" si="384"/>
        <v/>
      </c>
      <c r="K244" s="9" t="str">
        <f t="shared" si="385"/>
        <v/>
      </c>
      <c r="L244" s="9" t="str">
        <f>IF(NOT(ISERROR(VLOOKUP(B244,Deflatores!G$42:H$64,2,FALSE))),VLOOKUP(B244,Deflatores!G$42:H$64,2,FALSE),IF(OR(ISBLANK(C244),ISBLANK(B244)),"",VLOOKUP(C244,Deflatores!G$4:H$38,2,FALSE)*H244+VLOOKUP(C244,Deflatores!G$4:I$38,3,FALSE)))</f>
        <v/>
      </c>
      <c r="M244" s="10"/>
      <c r="N244" s="10"/>
      <c r="O244" s="6"/>
    </row>
    <row r="245" spans="1:15" x14ac:dyDescent="0.2">
      <c r="A245" s="126"/>
      <c r="B245" s="4"/>
      <c r="C245" s="4"/>
      <c r="D245" s="7"/>
      <c r="E245" s="7"/>
      <c r="F245" s="8" t="str">
        <f t="shared" si="381"/>
        <v/>
      </c>
      <c r="G245" s="7" t="str">
        <f t="shared" si="380"/>
        <v/>
      </c>
      <c r="H245" s="5" t="str">
        <f t="shared" si="382"/>
        <v/>
      </c>
      <c r="I245" s="122" t="str">
        <f t="shared" si="383"/>
        <v/>
      </c>
      <c r="J245" s="7" t="str">
        <f t="shared" si="384"/>
        <v/>
      </c>
      <c r="K245" s="9" t="str">
        <f t="shared" si="385"/>
        <v/>
      </c>
      <c r="L245" s="9" t="str">
        <f>IF(NOT(ISERROR(VLOOKUP(B245,Deflatores!G$42:H$64,2,FALSE))),VLOOKUP(B245,Deflatores!G$42:H$64,2,FALSE),IF(OR(ISBLANK(C245),ISBLANK(B245)),"",VLOOKUP(C245,Deflatores!G$4:H$38,2,FALSE)*H245+VLOOKUP(C245,Deflatores!G$4:I$38,3,FALSE)))</f>
        <v/>
      </c>
      <c r="M245" s="10"/>
      <c r="N245" s="10"/>
      <c r="O245" s="6"/>
    </row>
    <row r="246" spans="1:15" x14ac:dyDescent="0.2">
      <c r="A246" s="126"/>
      <c r="B246" s="4"/>
      <c r="C246" s="4"/>
      <c r="D246" s="7"/>
      <c r="E246" s="7"/>
      <c r="F246" s="8" t="str">
        <f t="shared" si="381"/>
        <v/>
      </c>
      <c r="G246" s="7" t="str">
        <f t="shared" si="380"/>
        <v/>
      </c>
      <c r="H246" s="5" t="str">
        <f t="shared" si="382"/>
        <v/>
      </c>
      <c r="I246" s="122" t="str">
        <f t="shared" si="383"/>
        <v/>
      </c>
      <c r="J246" s="7" t="str">
        <f t="shared" si="384"/>
        <v/>
      </c>
      <c r="K246" s="9" t="str">
        <f t="shared" si="385"/>
        <v/>
      </c>
      <c r="L246" s="9" t="str">
        <f>IF(NOT(ISERROR(VLOOKUP(B246,Deflatores!G$42:H$64,2,FALSE))),VLOOKUP(B246,Deflatores!G$42:H$64,2,FALSE),IF(OR(ISBLANK(C246),ISBLANK(B246)),"",VLOOKUP(C246,Deflatores!G$4:H$38,2,FALSE)*H246+VLOOKUP(C246,Deflatores!G$4:I$38,3,FALSE)))</f>
        <v/>
      </c>
      <c r="M246" s="10"/>
      <c r="N246" s="10"/>
      <c r="O246" s="6"/>
    </row>
    <row r="247" spans="1:15" x14ac:dyDescent="0.2">
      <c r="A247" s="126"/>
      <c r="B247" s="4"/>
      <c r="C247" s="4"/>
      <c r="D247" s="7"/>
      <c r="E247" s="7"/>
      <c r="F247" s="8" t="str">
        <f t="shared" si="381"/>
        <v/>
      </c>
      <c r="G247" s="7" t="str">
        <f t="shared" si="380"/>
        <v/>
      </c>
      <c r="H247" s="5" t="str">
        <f t="shared" si="382"/>
        <v/>
      </c>
      <c r="I247" s="122" t="str">
        <f t="shared" si="383"/>
        <v/>
      </c>
      <c r="J247" s="7" t="str">
        <f t="shared" si="384"/>
        <v/>
      </c>
      <c r="K247" s="9" t="str">
        <f t="shared" si="385"/>
        <v/>
      </c>
      <c r="L247" s="9" t="str">
        <f>IF(NOT(ISERROR(VLOOKUP(B247,Deflatores!G$42:H$64,2,FALSE))),VLOOKUP(B247,Deflatores!G$42:H$64,2,FALSE),IF(OR(ISBLANK(C247),ISBLANK(B247)),"",VLOOKUP(C247,Deflatores!G$4:H$38,2,FALSE)*H247+VLOOKUP(C247,Deflatores!G$4:I$38,3,FALSE)))</f>
        <v/>
      </c>
      <c r="M247" s="10"/>
      <c r="N247" s="10"/>
      <c r="O247" s="6"/>
    </row>
    <row r="248" spans="1:15" x14ac:dyDescent="0.2">
      <c r="A248" s="126"/>
      <c r="B248" s="4"/>
      <c r="C248" s="4"/>
      <c r="D248" s="7"/>
      <c r="E248" s="7"/>
      <c r="F248" s="8" t="str">
        <f t="shared" si="381"/>
        <v/>
      </c>
      <c r="G248" s="7" t="str">
        <f t="shared" si="380"/>
        <v/>
      </c>
      <c r="H248" s="5" t="str">
        <f t="shared" si="382"/>
        <v/>
      </c>
      <c r="I248" s="122" t="str">
        <f t="shared" si="383"/>
        <v/>
      </c>
      <c r="J248" s="7" t="str">
        <f t="shared" si="384"/>
        <v/>
      </c>
      <c r="K248" s="9" t="str">
        <f t="shared" si="385"/>
        <v/>
      </c>
      <c r="L248" s="9" t="str">
        <f>IF(NOT(ISERROR(VLOOKUP(B248,Deflatores!G$42:H$64,2,FALSE))),VLOOKUP(B248,Deflatores!G$42:H$64,2,FALSE),IF(OR(ISBLANK(C248),ISBLANK(B248)),"",VLOOKUP(C248,Deflatores!G$4:H$38,2,FALSE)*H248+VLOOKUP(C248,Deflatores!G$4:I$38,3,FALSE)))</f>
        <v/>
      </c>
      <c r="M248" s="10"/>
      <c r="N248" s="10"/>
      <c r="O248" s="6"/>
    </row>
    <row r="249" spans="1:15" x14ac:dyDescent="0.2">
      <c r="A249" s="126"/>
      <c r="B249" s="4"/>
      <c r="C249" s="4"/>
      <c r="D249" s="7"/>
      <c r="E249" s="7"/>
      <c r="F249" s="8" t="str">
        <f t="shared" si="381"/>
        <v/>
      </c>
      <c r="G249" s="7" t="str">
        <f t="shared" si="380"/>
        <v/>
      </c>
      <c r="H249" s="5" t="str">
        <f t="shared" si="382"/>
        <v/>
      </c>
      <c r="I249" s="122" t="str">
        <f t="shared" si="383"/>
        <v/>
      </c>
      <c r="J249" s="7" t="str">
        <f t="shared" si="384"/>
        <v/>
      </c>
      <c r="K249" s="9" t="str">
        <f t="shared" si="385"/>
        <v/>
      </c>
      <c r="L249" s="9" t="str">
        <f>IF(NOT(ISERROR(VLOOKUP(B249,Deflatores!G$42:H$64,2,FALSE))),VLOOKUP(B249,Deflatores!G$42:H$64,2,FALSE),IF(OR(ISBLANK(C249),ISBLANK(B249)),"",VLOOKUP(C249,Deflatores!G$4:H$38,2,FALSE)*H249+VLOOKUP(C249,Deflatores!G$4:I$38,3,FALSE)))</f>
        <v/>
      </c>
      <c r="M249" s="10"/>
      <c r="N249" s="10"/>
      <c r="O249" s="6"/>
    </row>
    <row r="250" spans="1:15" x14ac:dyDescent="0.2">
      <c r="A250" s="129"/>
      <c r="B250" s="4"/>
      <c r="C250" s="4"/>
      <c r="D250" s="7"/>
      <c r="E250" s="7"/>
      <c r="F250" s="8" t="str">
        <f t="shared" si="381"/>
        <v/>
      </c>
      <c r="G250" s="7" t="str">
        <f t="shared" si="380"/>
        <v/>
      </c>
      <c r="H250" s="5" t="str">
        <f t="shared" si="382"/>
        <v/>
      </c>
      <c r="I250" s="122" t="str">
        <f t="shared" si="383"/>
        <v/>
      </c>
      <c r="J250" s="7" t="str">
        <f t="shared" si="384"/>
        <v/>
      </c>
      <c r="K250" s="9" t="str">
        <f t="shared" si="385"/>
        <v/>
      </c>
      <c r="L250" s="9" t="str">
        <f>IF(NOT(ISERROR(VLOOKUP(B250,Deflatores!G$42:H$64,2,FALSE))),VLOOKUP(B250,Deflatores!G$42:H$64,2,FALSE),IF(OR(ISBLANK(C250),ISBLANK(B250)),"",VLOOKUP(C250,Deflatores!G$4:H$38,2,FALSE)*H250+VLOOKUP(C250,Deflatores!G$4:I$38,3,FALSE)))</f>
        <v/>
      </c>
      <c r="M250" s="10"/>
      <c r="N250" s="10"/>
      <c r="O250" s="6"/>
    </row>
    <row r="251" spans="1:15" x14ac:dyDescent="0.2">
      <c r="A251" s="128"/>
      <c r="B251" s="4"/>
      <c r="C251" s="4"/>
      <c r="D251" s="7"/>
      <c r="E251" s="7"/>
      <c r="F251" s="8" t="str">
        <f t="shared" si="381"/>
        <v/>
      </c>
      <c r="G251" s="7" t="str">
        <f t="shared" si="380"/>
        <v/>
      </c>
      <c r="H251" s="5" t="str">
        <f t="shared" si="382"/>
        <v/>
      </c>
      <c r="I251" s="122" t="str">
        <f t="shared" si="383"/>
        <v/>
      </c>
      <c r="J251" s="7" t="str">
        <f t="shared" si="384"/>
        <v/>
      </c>
      <c r="K251" s="9" t="str">
        <f t="shared" si="385"/>
        <v/>
      </c>
      <c r="L251" s="9" t="str">
        <f>IF(NOT(ISERROR(VLOOKUP(B251,Deflatores!G$42:H$64,2,FALSE))),VLOOKUP(B251,Deflatores!G$42:H$64,2,FALSE),IF(OR(ISBLANK(C251),ISBLANK(B251)),"",VLOOKUP(C251,Deflatores!G$4:H$38,2,FALSE)*H251+VLOOKUP(C251,Deflatores!G$4:I$38,3,FALSE)))</f>
        <v/>
      </c>
      <c r="M251" s="10"/>
      <c r="N251" s="10"/>
      <c r="O251" s="6"/>
    </row>
    <row r="252" spans="1:15" x14ac:dyDescent="0.2">
      <c r="A252" s="126"/>
      <c r="B252" s="4"/>
      <c r="C252" s="4"/>
      <c r="D252" s="7"/>
      <c r="E252" s="7"/>
      <c r="F252" s="8" t="str">
        <f t="shared" si="381"/>
        <v/>
      </c>
      <c r="G252" s="7" t="str">
        <f t="shared" si="380"/>
        <v/>
      </c>
      <c r="H252" s="5" t="str">
        <f t="shared" si="382"/>
        <v/>
      </c>
      <c r="I252" s="122" t="str">
        <f t="shared" si="383"/>
        <v/>
      </c>
      <c r="J252" s="7" t="str">
        <f t="shared" si="384"/>
        <v/>
      </c>
      <c r="K252" s="9" t="str">
        <f t="shared" si="385"/>
        <v/>
      </c>
      <c r="L252" s="9" t="str">
        <f>IF(NOT(ISERROR(VLOOKUP(B252,Deflatores!G$42:H$64,2,FALSE))),VLOOKUP(B252,Deflatores!G$42:H$64,2,FALSE),IF(OR(ISBLANK(C252),ISBLANK(B252)),"",VLOOKUP(C252,Deflatores!G$4:H$38,2,FALSE)*H252+VLOOKUP(C252,Deflatores!G$4:I$38,3,FALSE)))</f>
        <v/>
      </c>
      <c r="M252" s="10"/>
      <c r="N252" s="10"/>
      <c r="O252" s="6"/>
    </row>
    <row r="253" spans="1:15" x14ac:dyDescent="0.2">
      <c r="A253" s="126"/>
      <c r="B253" s="4"/>
      <c r="C253" s="4"/>
      <c r="D253" s="7"/>
      <c r="E253" s="7"/>
      <c r="F253" s="8" t="str">
        <f t="shared" si="381"/>
        <v/>
      </c>
      <c r="G253" s="7" t="str">
        <f t="shared" si="380"/>
        <v/>
      </c>
      <c r="H253" s="5" t="str">
        <f t="shared" si="382"/>
        <v/>
      </c>
      <c r="I253" s="122" t="str">
        <f t="shared" si="383"/>
        <v/>
      </c>
      <c r="J253" s="7" t="str">
        <f t="shared" si="384"/>
        <v/>
      </c>
      <c r="K253" s="9" t="str">
        <f t="shared" si="385"/>
        <v/>
      </c>
      <c r="L253" s="9" t="str">
        <f>IF(NOT(ISERROR(VLOOKUP(B253,Deflatores!G$42:H$64,2,FALSE))),VLOOKUP(B253,Deflatores!G$42:H$64,2,FALSE),IF(OR(ISBLANK(C253),ISBLANK(B253)),"",VLOOKUP(C253,Deflatores!G$4:H$38,2,FALSE)*H253+VLOOKUP(C253,Deflatores!G$4:I$38,3,FALSE)))</f>
        <v/>
      </c>
      <c r="M253" s="10"/>
      <c r="N253" s="10"/>
      <c r="O253" s="6"/>
    </row>
    <row r="254" spans="1:15" x14ac:dyDescent="0.2">
      <c r="A254" s="126"/>
      <c r="B254" s="4"/>
      <c r="C254" s="4"/>
      <c r="D254" s="7"/>
      <c r="E254" s="7"/>
      <c r="F254" s="8" t="str">
        <f t="shared" si="381"/>
        <v/>
      </c>
      <c r="G254" s="7" t="str">
        <f t="shared" si="380"/>
        <v/>
      </c>
      <c r="H254" s="5" t="str">
        <f t="shared" si="382"/>
        <v/>
      </c>
      <c r="I254" s="122" t="str">
        <f t="shared" si="383"/>
        <v/>
      </c>
      <c r="J254" s="7" t="str">
        <f t="shared" si="384"/>
        <v/>
      </c>
      <c r="K254" s="9" t="str">
        <f t="shared" si="385"/>
        <v/>
      </c>
      <c r="L254" s="9" t="str">
        <f>IF(NOT(ISERROR(VLOOKUP(B254,Deflatores!G$42:H$64,2,FALSE))),VLOOKUP(B254,Deflatores!G$42:H$64,2,FALSE),IF(OR(ISBLANK(C254),ISBLANK(B254)),"",VLOOKUP(C254,Deflatores!G$4:H$38,2,FALSE)*H254+VLOOKUP(C254,Deflatores!G$4:I$38,3,FALSE)))</f>
        <v/>
      </c>
      <c r="M254" s="10"/>
      <c r="N254" s="10"/>
      <c r="O254" s="6"/>
    </row>
    <row r="255" spans="1:15" x14ac:dyDescent="0.2">
      <c r="A255" s="126"/>
      <c r="B255" s="4"/>
      <c r="C255" s="4"/>
      <c r="D255" s="7"/>
      <c r="E255" s="7"/>
      <c r="F255" s="8" t="str">
        <f t="shared" si="381"/>
        <v/>
      </c>
      <c r="G255" s="7" t="str">
        <f t="shared" si="380"/>
        <v/>
      </c>
      <c r="H255" s="5" t="str">
        <f t="shared" si="382"/>
        <v/>
      </c>
      <c r="I255" s="122" t="str">
        <f t="shared" si="383"/>
        <v/>
      </c>
      <c r="J255" s="7" t="str">
        <f t="shared" si="384"/>
        <v/>
      </c>
      <c r="K255" s="9" t="str">
        <f t="shared" si="385"/>
        <v/>
      </c>
      <c r="L255" s="9" t="str">
        <f>IF(NOT(ISERROR(VLOOKUP(B255,Deflatores!G$42:H$64,2,FALSE))),VLOOKUP(B255,Deflatores!G$42:H$64,2,FALSE),IF(OR(ISBLANK(C255),ISBLANK(B255)),"",VLOOKUP(C255,Deflatores!G$4:H$38,2,FALSE)*H255+VLOOKUP(C255,Deflatores!G$4:I$38,3,FALSE)))</f>
        <v/>
      </c>
      <c r="M255" s="10"/>
      <c r="N255" s="10"/>
      <c r="O255" s="6"/>
    </row>
    <row r="256" spans="1:15" x14ac:dyDescent="0.2">
      <c r="A256" s="126"/>
      <c r="B256" s="4"/>
      <c r="C256" s="4"/>
      <c r="D256" s="7"/>
      <c r="E256" s="7"/>
      <c r="F256" s="8" t="str">
        <f t="shared" si="381"/>
        <v/>
      </c>
      <c r="G256" s="7" t="str">
        <f t="shared" si="380"/>
        <v/>
      </c>
      <c r="H256" s="5" t="str">
        <f t="shared" si="382"/>
        <v/>
      </c>
      <c r="I256" s="122" t="str">
        <f t="shared" si="383"/>
        <v/>
      </c>
      <c r="J256" s="7" t="str">
        <f t="shared" si="384"/>
        <v/>
      </c>
      <c r="K256" s="9" t="str">
        <f t="shared" si="385"/>
        <v/>
      </c>
      <c r="L256" s="9" t="str">
        <f>IF(NOT(ISERROR(VLOOKUP(B256,Deflatores!G$42:H$64,2,FALSE))),VLOOKUP(B256,Deflatores!G$42:H$64,2,FALSE),IF(OR(ISBLANK(C256),ISBLANK(B256)),"",VLOOKUP(C256,Deflatores!G$4:H$38,2,FALSE)*H256+VLOOKUP(C256,Deflatores!G$4:I$38,3,FALSE)))</f>
        <v/>
      </c>
      <c r="M256" s="10"/>
      <c r="N256" s="10"/>
      <c r="O256" s="6"/>
    </row>
    <row r="257" spans="1:15" x14ac:dyDescent="0.2">
      <c r="A257" s="126"/>
      <c r="B257" s="4"/>
      <c r="C257" s="4"/>
      <c r="D257" s="7"/>
      <c r="E257" s="7"/>
      <c r="F257" s="8" t="str">
        <f t="shared" si="381"/>
        <v/>
      </c>
      <c r="G257" s="7" t="str">
        <f t="shared" si="380"/>
        <v/>
      </c>
      <c r="H257" s="5" t="str">
        <f t="shared" si="382"/>
        <v/>
      </c>
      <c r="I257" s="122" t="str">
        <f t="shared" si="383"/>
        <v/>
      </c>
      <c r="J257" s="7" t="str">
        <f t="shared" si="384"/>
        <v/>
      </c>
      <c r="K257" s="9" t="str">
        <f t="shared" si="385"/>
        <v/>
      </c>
      <c r="L257" s="9" t="str">
        <f>IF(NOT(ISERROR(VLOOKUP(B257,Deflatores!G$42:H$64,2,FALSE))),VLOOKUP(B257,Deflatores!G$42:H$64,2,FALSE),IF(OR(ISBLANK(C257),ISBLANK(B257)),"",VLOOKUP(C257,Deflatores!G$4:H$38,2,FALSE)*H257+VLOOKUP(C257,Deflatores!G$4:I$38,3,FALSE)))</f>
        <v/>
      </c>
      <c r="M257" s="10"/>
      <c r="N257" s="10"/>
      <c r="O257" s="6"/>
    </row>
    <row r="258" spans="1:15" x14ac:dyDescent="0.2">
      <c r="A258" s="126"/>
      <c r="B258" s="4"/>
      <c r="C258" s="4"/>
      <c r="D258" s="7"/>
      <c r="E258" s="7"/>
      <c r="F258" s="8" t="str">
        <f t="shared" si="381"/>
        <v/>
      </c>
      <c r="G258" s="7" t="str">
        <f t="shared" si="380"/>
        <v/>
      </c>
      <c r="H258" s="5" t="str">
        <f t="shared" si="382"/>
        <v/>
      </c>
      <c r="I258" s="122" t="str">
        <f t="shared" si="383"/>
        <v/>
      </c>
      <c r="J258" s="7" t="str">
        <f t="shared" si="384"/>
        <v/>
      </c>
      <c r="K258" s="9" t="str">
        <f t="shared" si="385"/>
        <v/>
      </c>
      <c r="L258" s="9" t="str">
        <f>IF(NOT(ISERROR(VLOOKUP(B258,Deflatores!G$42:H$64,2,FALSE))),VLOOKUP(B258,Deflatores!G$42:H$64,2,FALSE),IF(OR(ISBLANK(C258),ISBLANK(B258)),"",VLOOKUP(C258,Deflatores!G$4:H$38,2,FALSE)*H258+VLOOKUP(C258,Deflatores!G$4:I$38,3,FALSE)))</f>
        <v/>
      </c>
      <c r="M258" s="10"/>
      <c r="N258" s="10"/>
      <c r="O258" s="6"/>
    </row>
    <row r="259" spans="1:15" x14ac:dyDescent="0.2">
      <c r="A259" s="126"/>
      <c r="B259" s="4"/>
      <c r="C259" s="4"/>
      <c r="D259" s="7"/>
      <c r="E259" s="7"/>
      <c r="F259" s="8" t="str">
        <f t="shared" si="381"/>
        <v/>
      </c>
      <c r="G259" s="7" t="str">
        <f t="shared" si="380"/>
        <v/>
      </c>
      <c r="H259" s="5" t="str">
        <f t="shared" si="382"/>
        <v/>
      </c>
      <c r="I259" s="122" t="str">
        <f t="shared" si="383"/>
        <v/>
      </c>
      <c r="J259" s="7" t="str">
        <f t="shared" si="384"/>
        <v/>
      </c>
      <c r="K259" s="9" t="str">
        <f t="shared" si="385"/>
        <v/>
      </c>
      <c r="L259" s="9" t="str">
        <f>IF(NOT(ISERROR(VLOOKUP(B259,Deflatores!G$42:H$64,2,FALSE))),VLOOKUP(B259,Deflatores!G$42:H$64,2,FALSE),IF(OR(ISBLANK(C259),ISBLANK(B259)),"",VLOOKUP(C259,Deflatores!G$4:H$38,2,FALSE)*H259+VLOOKUP(C259,Deflatores!G$4:I$38,3,FALSE)))</f>
        <v/>
      </c>
      <c r="M259" s="10"/>
      <c r="N259" s="10"/>
      <c r="O259" s="6"/>
    </row>
    <row r="260" spans="1:15" x14ac:dyDescent="0.2">
      <c r="A260" s="126"/>
      <c r="B260" s="4"/>
      <c r="C260" s="4"/>
      <c r="D260" s="7"/>
      <c r="E260" s="7"/>
      <c r="F260" s="8" t="str">
        <f t="shared" si="381"/>
        <v/>
      </c>
      <c r="G260" s="7" t="str">
        <f t="shared" si="380"/>
        <v/>
      </c>
      <c r="H260" s="5" t="str">
        <f t="shared" si="382"/>
        <v/>
      </c>
      <c r="I260" s="122" t="str">
        <f t="shared" si="383"/>
        <v/>
      </c>
      <c r="J260" s="7" t="str">
        <f t="shared" si="384"/>
        <v/>
      </c>
      <c r="K260" s="9" t="str">
        <f t="shared" si="385"/>
        <v/>
      </c>
      <c r="L260" s="9" t="str">
        <f>IF(NOT(ISERROR(VLOOKUP(B260,Deflatores!G$42:H$64,2,FALSE))),VLOOKUP(B260,Deflatores!G$42:H$64,2,FALSE),IF(OR(ISBLANK(C260),ISBLANK(B260)),"",VLOOKUP(C260,Deflatores!G$4:H$38,2,FALSE)*H260+VLOOKUP(C260,Deflatores!G$4:I$38,3,FALSE)))</f>
        <v/>
      </c>
      <c r="M260" s="10"/>
      <c r="N260" s="10"/>
      <c r="O260" s="6"/>
    </row>
    <row r="261" spans="1:15" x14ac:dyDescent="0.2">
      <c r="A261" s="126"/>
      <c r="B261" s="4"/>
      <c r="C261" s="4"/>
      <c r="D261" s="7"/>
      <c r="E261" s="7"/>
      <c r="F261" s="8" t="str">
        <f t="shared" si="381"/>
        <v/>
      </c>
      <c r="G261" s="7" t="str">
        <f t="shared" si="380"/>
        <v/>
      </c>
      <c r="H261" s="5" t="str">
        <f t="shared" si="382"/>
        <v/>
      </c>
      <c r="I261" s="122" t="str">
        <f t="shared" si="383"/>
        <v/>
      </c>
      <c r="J261" s="7" t="str">
        <f t="shared" si="384"/>
        <v/>
      </c>
      <c r="K261" s="9" t="str">
        <f t="shared" si="385"/>
        <v/>
      </c>
      <c r="L261" s="9" t="str">
        <f>IF(NOT(ISERROR(VLOOKUP(B261,Deflatores!G$42:H$64,2,FALSE))),VLOOKUP(B261,Deflatores!G$42:H$64,2,FALSE),IF(OR(ISBLANK(C261),ISBLANK(B261)),"",VLOOKUP(C261,Deflatores!G$4:H$38,2,FALSE)*H261+VLOOKUP(C261,Deflatores!G$4:I$38,3,FALSE)))</f>
        <v/>
      </c>
      <c r="M261" s="10"/>
      <c r="N261" s="10"/>
      <c r="O261" s="6"/>
    </row>
    <row r="262" spans="1:15" x14ac:dyDescent="0.2">
      <c r="A262" s="126"/>
      <c r="B262" s="4"/>
      <c r="C262" s="4"/>
      <c r="D262" s="7"/>
      <c r="E262" s="7"/>
      <c r="F262" s="8" t="str">
        <f t="shared" si="381"/>
        <v/>
      </c>
      <c r="G262" s="7" t="str">
        <f t="shared" si="380"/>
        <v/>
      </c>
      <c r="H262" s="5" t="str">
        <f t="shared" si="382"/>
        <v/>
      </c>
      <c r="I262" s="122" t="str">
        <f t="shared" si="383"/>
        <v/>
      </c>
      <c r="J262" s="7" t="str">
        <f t="shared" si="384"/>
        <v/>
      </c>
      <c r="K262" s="9" t="str">
        <f t="shared" si="385"/>
        <v/>
      </c>
      <c r="L262" s="9" t="str">
        <f>IF(NOT(ISERROR(VLOOKUP(B262,Deflatores!G$42:H$64,2,FALSE))),VLOOKUP(B262,Deflatores!G$42:H$64,2,FALSE),IF(OR(ISBLANK(C262),ISBLANK(B262)),"",VLOOKUP(C262,Deflatores!G$4:H$38,2,FALSE)*H262+VLOOKUP(C262,Deflatores!G$4:I$38,3,FALSE)))</f>
        <v/>
      </c>
      <c r="M262" s="10"/>
      <c r="N262" s="10"/>
      <c r="O262" s="6"/>
    </row>
    <row r="263" spans="1:15" x14ac:dyDescent="0.2">
      <c r="A263" s="126"/>
      <c r="B263" s="4"/>
      <c r="C263" s="4"/>
      <c r="D263" s="7"/>
      <c r="E263" s="7"/>
      <c r="F263" s="8" t="str">
        <f t="shared" si="381"/>
        <v/>
      </c>
      <c r="G263" s="7" t="str">
        <f t="shared" si="380"/>
        <v/>
      </c>
      <c r="H263" s="5" t="str">
        <f t="shared" si="382"/>
        <v/>
      </c>
      <c r="I263" s="122" t="str">
        <f t="shared" si="383"/>
        <v/>
      </c>
      <c r="J263" s="7" t="str">
        <f t="shared" si="384"/>
        <v/>
      </c>
      <c r="K263" s="9" t="str">
        <f t="shared" si="385"/>
        <v/>
      </c>
      <c r="L263" s="9" t="str">
        <f>IF(NOT(ISERROR(VLOOKUP(B263,Deflatores!G$42:H$64,2,FALSE))),VLOOKUP(B263,Deflatores!G$42:H$64,2,FALSE),IF(OR(ISBLANK(C263),ISBLANK(B263)),"",VLOOKUP(C263,Deflatores!G$4:H$38,2,FALSE)*H263+VLOOKUP(C263,Deflatores!G$4:I$38,3,FALSE)))</f>
        <v/>
      </c>
      <c r="M263" s="10"/>
      <c r="N263" s="10"/>
      <c r="O263" s="6"/>
    </row>
    <row r="264" spans="1:15" x14ac:dyDescent="0.2">
      <c r="A264" s="126"/>
      <c r="B264" s="4"/>
      <c r="C264" s="4"/>
      <c r="D264" s="7"/>
      <c r="E264" s="7"/>
      <c r="F264" s="8" t="str">
        <f t="shared" si="381"/>
        <v/>
      </c>
      <c r="G264" s="7" t="str">
        <f t="shared" si="380"/>
        <v/>
      </c>
      <c r="H264" s="5" t="str">
        <f t="shared" si="382"/>
        <v/>
      </c>
      <c r="I264" s="122" t="str">
        <f t="shared" si="383"/>
        <v/>
      </c>
      <c r="J264" s="7" t="str">
        <f t="shared" si="384"/>
        <v/>
      </c>
      <c r="K264" s="9" t="str">
        <f t="shared" si="385"/>
        <v/>
      </c>
      <c r="L264" s="9" t="str">
        <f>IF(NOT(ISERROR(VLOOKUP(B264,Deflatores!G$42:H$64,2,FALSE))),VLOOKUP(B264,Deflatores!G$42:H$64,2,FALSE),IF(OR(ISBLANK(C264),ISBLANK(B264)),"",VLOOKUP(C264,Deflatores!G$4:H$38,2,FALSE)*H264+VLOOKUP(C264,Deflatores!G$4:I$38,3,FALSE)))</f>
        <v/>
      </c>
      <c r="M264" s="10"/>
      <c r="N264" s="10"/>
      <c r="O264" s="6"/>
    </row>
    <row r="265" spans="1:15" x14ac:dyDescent="0.2">
      <c r="A265" s="129"/>
      <c r="B265" s="4"/>
      <c r="C265" s="4"/>
      <c r="D265" s="7"/>
      <c r="E265" s="7"/>
      <c r="F265" s="8" t="str">
        <f t="shared" si="381"/>
        <v/>
      </c>
      <c r="G265" s="7" t="str">
        <f t="shared" si="380"/>
        <v/>
      </c>
      <c r="H265" s="5" t="str">
        <f t="shared" si="382"/>
        <v/>
      </c>
      <c r="I265" s="122" t="str">
        <f t="shared" si="383"/>
        <v/>
      </c>
      <c r="J265" s="7" t="str">
        <f t="shared" si="384"/>
        <v/>
      </c>
      <c r="K265" s="9" t="str">
        <f t="shared" si="385"/>
        <v/>
      </c>
      <c r="L265" s="9" t="str">
        <f>IF(NOT(ISERROR(VLOOKUP(B265,Deflatores!G$42:H$64,2,FALSE))),VLOOKUP(B265,Deflatores!G$42:H$64,2,FALSE),IF(OR(ISBLANK(C265),ISBLANK(B265)),"",VLOOKUP(C265,Deflatores!G$4:H$38,2,FALSE)*H265+VLOOKUP(C265,Deflatores!G$4:I$38,3,FALSE)))</f>
        <v/>
      </c>
      <c r="M265" s="10"/>
      <c r="N265" s="10"/>
      <c r="O265" s="6"/>
    </row>
    <row r="266" spans="1:15" x14ac:dyDescent="0.2">
      <c r="A266" s="126"/>
      <c r="B266" s="4"/>
      <c r="C266" s="4"/>
      <c r="D266" s="7"/>
      <c r="E266" s="7"/>
      <c r="F266" s="8" t="str">
        <f t="shared" si="381"/>
        <v/>
      </c>
      <c r="G266" s="7" t="str">
        <f t="shared" si="380"/>
        <v/>
      </c>
      <c r="H266" s="5" t="str">
        <f t="shared" si="382"/>
        <v/>
      </c>
      <c r="I266" s="122" t="str">
        <f t="shared" si="383"/>
        <v/>
      </c>
      <c r="J266" s="7" t="str">
        <f t="shared" si="384"/>
        <v/>
      </c>
      <c r="K266" s="9" t="str">
        <f t="shared" si="385"/>
        <v/>
      </c>
      <c r="L266" s="9" t="str">
        <f>IF(NOT(ISERROR(VLOOKUP(B266,Deflatores!G$42:H$64,2,FALSE))),VLOOKUP(B266,Deflatores!G$42:H$64,2,FALSE),IF(OR(ISBLANK(C266),ISBLANK(B266)),"",VLOOKUP(C266,Deflatores!G$4:H$38,2,FALSE)*H266+VLOOKUP(C266,Deflatores!G$4:I$38,3,FALSE)))</f>
        <v/>
      </c>
      <c r="M266" s="10"/>
      <c r="N266" s="10"/>
      <c r="O266" s="6"/>
    </row>
    <row r="267" spans="1:15" x14ac:dyDescent="0.2">
      <c r="A267" s="126"/>
      <c r="B267" s="4"/>
      <c r="C267" s="4"/>
      <c r="D267" s="7"/>
      <c r="E267" s="7"/>
      <c r="F267" s="8" t="str">
        <f t="shared" si="381"/>
        <v/>
      </c>
      <c r="G267" s="7" t="str">
        <f t="shared" si="380"/>
        <v/>
      </c>
      <c r="H267" s="5" t="str">
        <f t="shared" si="382"/>
        <v/>
      </c>
      <c r="I267" s="122" t="str">
        <f t="shared" si="383"/>
        <v/>
      </c>
      <c r="J267" s="7" t="str">
        <f t="shared" si="384"/>
        <v/>
      </c>
      <c r="K267" s="9" t="str">
        <f t="shared" si="385"/>
        <v/>
      </c>
      <c r="L267" s="9" t="str">
        <f>IF(NOT(ISERROR(VLOOKUP(B267,Deflatores!G$42:H$64,2,FALSE))),VLOOKUP(B267,Deflatores!G$42:H$64,2,FALSE),IF(OR(ISBLANK(C267),ISBLANK(B267)),"",VLOOKUP(C267,Deflatores!G$4:H$38,2,FALSE)*H267+VLOOKUP(C267,Deflatores!G$4:I$38,3,FALSE)))</f>
        <v/>
      </c>
      <c r="M267" s="10"/>
      <c r="N267" s="10"/>
      <c r="O267" s="6"/>
    </row>
    <row r="268" spans="1:15" x14ac:dyDescent="0.2">
      <c r="A268" s="126"/>
      <c r="B268" s="4"/>
      <c r="C268" s="4"/>
      <c r="D268" s="7"/>
      <c r="E268" s="7"/>
      <c r="F268" s="8" t="str">
        <f t="shared" si="381"/>
        <v/>
      </c>
      <c r="G268" s="7" t="str">
        <f t="shared" si="380"/>
        <v/>
      </c>
      <c r="H268" s="5" t="str">
        <f t="shared" si="382"/>
        <v/>
      </c>
      <c r="I268" s="122" t="str">
        <f t="shared" si="383"/>
        <v/>
      </c>
      <c r="J268" s="7" t="str">
        <f t="shared" si="384"/>
        <v/>
      </c>
      <c r="K268" s="9" t="str">
        <f t="shared" si="385"/>
        <v/>
      </c>
      <c r="L268" s="9" t="str">
        <f>IF(NOT(ISERROR(VLOOKUP(B268,Deflatores!G$42:H$64,2,FALSE))),VLOOKUP(B268,Deflatores!G$42:H$64,2,FALSE),IF(OR(ISBLANK(C268),ISBLANK(B268)),"",VLOOKUP(C268,Deflatores!G$4:H$38,2,FALSE)*H268+VLOOKUP(C268,Deflatores!G$4:I$38,3,FALSE)))</f>
        <v/>
      </c>
      <c r="M268" s="10"/>
      <c r="N268" s="10"/>
      <c r="O268" s="6"/>
    </row>
    <row r="269" spans="1:15" x14ac:dyDescent="0.2">
      <c r="A269" s="126"/>
      <c r="B269" s="4"/>
      <c r="C269" s="4"/>
      <c r="D269" s="7"/>
      <c r="E269" s="7"/>
      <c r="F269" s="8" t="str">
        <f t="shared" si="381"/>
        <v/>
      </c>
      <c r="G269" s="7" t="str">
        <f t="shared" si="380"/>
        <v/>
      </c>
      <c r="H269" s="5" t="str">
        <f t="shared" si="382"/>
        <v/>
      </c>
      <c r="I269" s="122" t="str">
        <f t="shared" si="383"/>
        <v/>
      </c>
      <c r="J269" s="7" t="str">
        <f t="shared" si="384"/>
        <v/>
      </c>
      <c r="K269" s="9" t="str">
        <f t="shared" si="385"/>
        <v/>
      </c>
      <c r="L269" s="9" t="str">
        <f>IF(NOT(ISERROR(VLOOKUP(B269,Deflatores!G$42:H$64,2,FALSE))),VLOOKUP(B269,Deflatores!G$42:H$64,2,FALSE),IF(OR(ISBLANK(C269),ISBLANK(B269)),"",VLOOKUP(C269,Deflatores!G$4:H$38,2,FALSE)*H269+VLOOKUP(C269,Deflatores!G$4:I$38,3,FALSE)))</f>
        <v/>
      </c>
      <c r="M269" s="10"/>
      <c r="N269" s="10"/>
      <c r="O269" s="6"/>
    </row>
    <row r="270" spans="1:15" x14ac:dyDescent="0.2">
      <c r="A270" s="126"/>
      <c r="B270" s="4"/>
      <c r="C270" s="4"/>
      <c r="D270" s="7"/>
      <c r="E270" s="7"/>
      <c r="F270" s="8" t="str">
        <f t="shared" si="381"/>
        <v/>
      </c>
      <c r="G270" s="7" t="str">
        <f t="shared" ref="G270:G302" si="386">CONCATENATE(B270,I270)</f>
        <v/>
      </c>
      <c r="H270" s="5" t="str">
        <f t="shared" si="382"/>
        <v/>
      </c>
      <c r="I270" s="122" t="str">
        <f t="shared" si="383"/>
        <v/>
      </c>
      <c r="J270" s="7" t="str">
        <f t="shared" si="384"/>
        <v/>
      </c>
      <c r="K270" s="9" t="str">
        <f t="shared" si="385"/>
        <v/>
      </c>
      <c r="L270" s="9" t="str">
        <f>IF(NOT(ISERROR(VLOOKUP(B270,Deflatores!G$42:H$64,2,FALSE))),VLOOKUP(B270,Deflatores!G$42:H$64,2,FALSE),IF(OR(ISBLANK(C270),ISBLANK(B270)),"",VLOOKUP(C270,Deflatores!G$4:H$38,2,FALSE)*H270+VLOOKUP(C270,Deflatores!G$4:I$38,3,FALSE)))</f>
        <v/>
      </c>
      <c r="M270" s="10"/>
      <c r="N270" s="10"/>
      <c r="O270" s="6"/>
    </row>
    <row r="271" spans="1:15" x14ac:dyDescent="0.2">
      <c r="A271" s="126"/>
      <c r="B271" s="4"/>
      <c r="C271" s="4"/>
      <c r="D271" s="7"/>
      <c r="E271" s="7"/>
      <c r="F271" s="8" t="str">
        <f t="shared" si="381"/>
        <v/>
      </c>
      <c r="G271" s="7" t="str">
        <f t="shared" si="386"/>
        <v/>
      </c>
      <c r="H271" s="5" t="str">
        <f t="shared" si="382"/>
        <v/>
      </c>
      <c r="I271" s="122" t="str">
        <f t="shared" si="383"/>
        <v/>
      </c>
      <c r="J271" s="7" t="str">
        <f t="shared" si="384"/>
        <v/>
      </c>
      <c r="K271" s="9" t="str">
        <f t="shared" si="385"/>
        <v/>
      </c>
      <c r="L271" s="9" t="str">
        <f>IF(NOT(ISERROR(VLOOKUP(B271,Deflatores!G$42:H$64,2,FALSE))),VLOOKUP(B271,Deflatores!G$42:H$64,2,FALSE),IF(OR(ISBLANK(C271),ISBLANK(B271)),"",VLOOKUP(C271,Deflatores!G$4:H$38,2,FALSE)*H271+VLOOKUP(C271,Deflatores!G$4:I$38,3,FALSE)))</f>
        <v/>
      </c>
      <c r="M271" s="10"/>
      <c r="N271" s="10"/>
      <c r="O271" s="6"/>
    </row>
    <row r="272" spans="1:15" x14ac:dyDescent="0.2">
      <c r="A272" s="129"/>
      <c r="B272" s="4"/>
      <c r="C272" s="4"/>
      <c r="D272" s="7"/>
      <c r="E272" s="7"/>
      <c r="F272" s="8" t="str">
        <f t="shared" si="381"/>
        <v/>
      </c>
      <c r="G272" s="7" t="str">
        <f t="shared" si="386"/>
        <v/>
      </c>
      <c r="H272" s="5" t="str">
        <f t="shared" si="382"/>
        <v/>
      </c>
      <c r="I272" s="122" t="str">
        <f t="shared" si="383"/>
        <v/>
      </c>
      <c r="J272" s="7" t="str">
        <f t="shared" si="384"/>
        <v/>
      </c>
      <c r="K272" s="9" t="str">
        <f t="shared" si="385"/>
        <v/>
      </c>
      <c r="L272" s="9" t="str">
        <f>IF(NOT(ISERROR(VLOOKUP(B272,Deflatores!G$42:H$64,2,FALSE))),VLOOKUP(B272,Deflatores!G$42:H$64,2,FALSE),IF(OR(ISBLANK(C272),ISBLANK(B272)),"",VLOOKUP(C272,Deflatores!G$4:H$38,2,FALSE)*H272+VLOOKUP(C272,Deflatores!G$4:I$38,3,FALSE)))</f>
        <v/>
      </c>
      <c r="M272" s="10"/>
      <c r="N272" s="10"/>
      <c r="O272" s="6"/>
    </row>
    <row r="273" spans="1:15" x14ac:dyDescent="0.2">
      <c r="A273" s="126"/>
      <c r="B273" s="4"/>
      <c r="C273" s="4"/>
      <c r="D273" s="7"/>
      <c r="E273" s="7"/>
      <c r="F273" s="8" t="str">
        <f t="shared" si="381"/>
        <v/>
      </c>
      <c r="G273" s="7" t="str">
        <f t="shared" si="386"/>
        <v/>
      </c>
      <c r="H273" s="5" t="str">
        <f t="shared" si="382"/>
        <v/>
      </c>
      <c r="I273" s="122" t="str">
        <f t="shared" si="383"/>
        <v/>
      </c>
      <c r="J273" s="7" t="str">
        <f t="shared" si="384"/>
        <v/>
      </c>
      <c r="K273" s="9" t="str">
        <f t="shared" si="385"/>
        <v/>
      </c>
      <c r="L273" s="9" t="str">
        <f>IF(NOT(ISERROR(VLOOKUP(B273,Deflatores!G$42:H$64,2,FALSE))),VLOOKUP(B273,Deflatores!G$42:H$64,2,FALSE),IF(OR(ISBLANK(C273),ISBLANK(B273)),"",VLOOKUP(C273,Deflatores!G$4:H$38,2,FALSE)*H273+VLOOKUP(C273,Deflatores!G$4:I$38,3,FALSE)))</f>
        <v/>
      </c>
      <c r="M273" s="10"/>
      <c r="N273" s="10"/>
      <c r="O273" s="6"/>
    </row>
    <row r="274" spans="1:15" x14ac:dyDescent="0.2">
      <c r="A274" s="126"/>
      <c r="B274" s="4"/>
      <c r="C274" s="4"/>
      <c r="D274" s="7"/>
      <c r="E274" s="7"/>
      <c r="F274" s="8" t="str">
        <f t="shared" si="381"/>
        <v/>
      </c>
      <c r="G274" s="7" t="str">
        <f t="shared" si="386"/>
        <v/>
      </c>
      <c r="H274" s="5" t="str">
        <f t="shared" si="382"/>
        <v/>
      </c>
      <c r="I274" s="122" t="str">
        <f t="shared" si="383"/>
        <v/>
      </c>
      <c r="J274" s="7" t="str">
        <f t="shared" si="384"/>
        <v/>
      </c>
      <c r="K274" s="9" t="str">
        <f t="shared" si="385"/>
        <v/>
      </c>
      <c r="L274" s="9" t="str">
        <f>IF(NOT(ISERROR(VLOOKUP(B274,Deflatores!G$42:H$64,2,FALSE))),VLOOKUP(B274,Deflatores!G$42:H$64,2,FALSE),IF(OR(ISBLANK(C274),ISBLANK(B274)),"",VLOOKUP(C274,Deflatores!G$4:H$38,2,FALSE)*H274+VLOOKUP(C274,Deflatores!G$4:I$38,3,FALSE)))</f>
        <v/>
      </c>
      <c r="M274" s="10"/>
      <c r="N274" s="10"/>
      <c r="O274" s="6"/>
    </row>
    <row r="275" spans="1:15" x14ac:dyDescent="0.2">
      <c r="A275" s="126"/>
      <c r="B275" s="4"/>
      <c r="C275" s="4"/>
      <c r="D275" s="7"/>
      <c r="E275" s="7"/>
      <c r="F275" s="8" t="str">
        <f t="shared" si="381"/>
        <v/>
      </c>
      <c r="G275" s="7" t="str">
        <f t="shared" si="386"/>
        <v/>
      </c>
      <c r="H275" s="5" t="str">
        <f t="shared" si="382"/>
        <v/>
      </c>
      <c r="I275" s="122" t="str">
        <f t="shared" si="383"/>
        <v/>
      </c>
      <c r="J275" s="7" t="str">
        <f t="shared" si="384"/>
        <v/>
      </c>
      <c r="K275" s="9" t="str">
        <f t="shared" si="385"/>
        <v/>
      </c>
      <c r="L275" s="9" t="str">
        <f>IF(NOT(ISERROR(VLOOKUP(B275,Deflatores!G$42:H$64,2,FALSE))),VLOOKUP(B275,Deflatores!G$42:H$64,2,FALSE),IF(OR(ISBLANK(C275),ISBLANK(B275)),"",VLOOKUP(C275,Deflatores!G$4:H$38,2,FALSE)*H275+VLOOKUP(C275,Deflatores!G$4:I$38,3,FALSE)))</f>
        <v/>
      </c>
      <c r="M275" s="10"/>
      <c r="N275" s="10"/>
      <c r="O275" s="6"/>
    </row>
    <row r="276" spans="1:15" x14ac:dyDescent="0.2">
      <c r="A276" s="126"/>
      <c r="B276" s="4"/>
      <c r="C276" s="4"/>
      <c r="D276" s="7"/>
      <c r="E276" s="7"/>
      <c r="F276" s="8" t="str">
        <f t="shared" si="381"/>
        <v/>
      </c>
      <c r="G276" s="7" t="str">
        <f t="shared" si="386"/>
        <v/>
      </c>
      <c r="H276" s="5" t="str">
        <f t="shared" si="382"/>
        <v/>
      </c>
      <c r="I276" s="122" t="str">
        <f t="shared" si="383"/>
        <v/>
      </c>
      <c r="J276" s="7" t="str">
        <f t="shared" si="384"/>
        <v/>
      </c>
      <c r="K276" s="9" t="str">
        <f t="shared" si="385"/>
        <v/>
      </c>
      <c r="L276" s="9" t="str">
        <f>IF(NOT(ISERROR(VLOOKUP(B276,Deflatores!G$42:H$64,2,FALSE))),VLOOKUP(B276,Deflatores!G$42:H$64,2,FALSE),IF(OR(ISBLANK(C276),ISBLANK(B276)),"",VLOOKUP(C276,Deflatores!G$4:H$38,2,FALSE)*H276+VLOOKUP(C276,Deflatores!G$4:I$38,3,FALSE)))</f>
        <v/>
      </c>
      <c r="M276" s="10"/>
      <c r="N276" s="10"/>
      <c r="O276" s="6"/>
    </row>
    <row r="277" spans="1:15" x14ac:dyDescent="0.2">
      <c r="A277" s="126"/>
      <c r="B277" s="4"/>
      <c r="C277" s="4"/>
      <c r="D277" s="7"/>
      <c r="E277" s="7"/>
      <c r="F277" s="8" t="str">
        <f t="shared" si="381"/>
        <v/>
      </c>
      <c r="G277" s="7" t="str">
        <f t="shared" si="386"/>
        <v/>
      </c>
      <c r="H277" s="5" t="str">
        <f t="shared" si="382"/>
        <v/>
      </c>
      <c r="I277" s="122" t="str">
        <f t="shared" si="383"/>
        <v/>
      </c>
      <c r="J277" s="7" t="str">
        <f t="shared" si="384"/>
        <v/>
      </c>
      <c r="K277" s="9" t="str">
        <f t="shared" si="385"/>
        <v/>
      </c>
      <c r="L277" s="9" t="str">
        <f>IF(NOT(ISERROR(VLOOKUP(B277,Deflatores!G$42:H$64,2,FALSE))),VLOOKUP(B277,Deflatores!G$42:H$64,2,FALSE),IF(OR(ISBLANK(C277),ISBLANK(B277)),"",VLOOKUP(C277,Deflatores!G$4:H$38,2,FALSE)*H277+VLOOKUP(C277,Deflatores!G$4:I$38,3,FALSE)))</f>
        <v/>
      </c>
      <c r="M277" s="10"/>
      <c r="N277" s="10"/>
      <c r="O277" s="6"/>
    </row>
    <row r="278" spans="1:15" x14ac:dyDescent="0.2">
      <c r="A278" s="129"/>
      <c r="B278" s="4"/>
      <c r="C278" s="4"/>
      <c r="D278" s="7"/>
      <c r="E278" s="7"/>
      <c r="F278" s="8" t="str">
        <f t="shared" si="381"/>
        <v/>
      </c>
      <c r="G278" s="7" t="str">
        <f t="shared" si="386"/>
        <v/>
      </c>
      <c r="H278" s="5" t="str">
        <f t="shared" si="382"/>
        <v/>
      </c>
      <c r="I278" s="122" t="str">
        <f t="shared" si="383"/>
        <v/>
      </c>
      <c r="J278" s="7" t="str">
        <f t="shared" si="384"/>
        <v/>
      </c>
      <c r="K278" s="9" t="str">
        <f t="shared" si="385"/>
        <v/>
      </c>
      <c r="L278" s="9" t="str">
        <f>IF(NOT(ISERROR(VLOOKUP(B278,Deflatores!G$42:H$64,2,FALSE))),VLOOKUP(B278,Deflatores!G$42:H$64,2,FALSE),IF(OR(ISBLANK(C278),ISBLANK(B278)),"",VLOOKUP(C278,Deflatores!G$4:H$38,2,FALSE)*H278+VLOOKUP(C278,Deflatores!G$4:I$38,3,FALSE)))</f>
        <v/>
      </c>
      <c r="M278" s="10"/>
      <c r="N278" s="10"/>
      <c r="O278" s="6"/>
    </row>
    <row r="279" spans="1:15" x14ac:dyDescent="0.2">
      <c r="A279" s="126"/>
      <c r="B279" s="4"/>
      <c r="C279" s="4"/>
      <c r="D279" s="7"/>
      <c r="E279" s="7"/>
      <c r="F279" s="8" t="str">
        <f t="shared" ref="F279:F342" si="387">IF(ISBLANK(B279),"",IF(I279="L","Baixa",IF(I279="A","Média",IF(I279="","","Alta"))))</f>
        <v/>
      </c>
      <c r="G279" s="7" t="str">
        <f t="shared" si="386"/>
        <v/>
      </c>
      <c r="H279" s="5" t="str">
        <f t="shared" ref="H279:H342" si="388">IF(ISBLANK(B279),"",IF(B279="ALI",IF(I279="L",7,IF(I279="A",10,15)),IF(B279="AIE",IF(I279="L",5,IF(I279="A",7,10)),IF(B279="SE",IF(I279="L",4,IF(I279="A",5,7)),IF(OR(B279="EE",B279="CE"),IF(I279="L",3,IF(I279="A",4,6)),0)))))</f>
        <v/>
      </c>
      <c r="I279" s="122" t="str">
        <f t="shared" si="383"/>
        <v/>
      </c>
      <c r="J279" s="7" t="str">
        <f t="shared" si="384"/>
        <v/>
      </c>
      <c r="K279" s="9" t="str">
        <f t="shared" si="385"/>
        <v/>
      </c>
      <c r="L279" s="9" t="str">
        <f>IF(NOT(ISERROR(VLOOKUP(B279,Deflatores!G$42:H$64,2,FALSE))),VLOOKUP(B279,Deflatores!G$42:H$64,2,FALSE),IF(OR(ISBLANK(C279),ISBLANK(B279)),"",VLOOKUP(C279,Deflatores!G$4:H$38,2,FALSE)*H279+VLOOKUP(C279,Deflatores!G$4:I$38,3,FALSE)))</f>
        <v/>
      </c>
      <c r="M279" s="10"/>
      <c r="N279" s="10"/>
      <c r="O279" s="6"/>
    </row>
    <row r="280" spans="1:15" x14ac:dyDescent="0.2">
      <c r="A280" s="126"/>
      <c r="B280" s="4"/>
      <c r="C280" s="4"/>
      <c r="D280" s="7"/>
      <c r="E280" s="7"/>
      <c r="F280" s="8" t="str">
        <f t="shared" si="387"/>
        <v/>
      </c>
      <c r="G280" s="7" t="str">
        <f t="shared" si="386"/>
        <v/>
      </c>
      <c r="H280" s="5" t="str">
        <f t="shared" si="388"/>
        <v/>
      </c>
      <c r="I280" s="122" t="str">
        <f t="shared" ref="I280:I343" si="389">IF(OR(ISBLANK(D280),ISBLANK(E280)),IF(OR(B280="ALI",B280="AIE"),"L",IF(OR(B280="EE",B280="SE",B280="CE"),"A","")),IF(B280="EE",IF(E280&gt;=3,IF(D280&gt;=5,"H","A"),IF(E280&gt;=2,IF(D280&gt;=16,"H",IF(D280&lt;=4,"L","A")),IF(D280&lt;=15,"L","A"))),IF(OR(B280="SE",B280="CE"),IF(E280&gt;=4,IF(D280&gt;=6,"H","A"),IF(E280&gt;=2,IF(D280&gt;=20,"H",IF(D280&lt;=5,"L","A")),IF(D280&lt;=19,"L","A"))),IF(OR(B280="ALI",B280="AIE"),IF(E280&gt;=6,IF(D280&gt;=20,"H","A"),IF(E280&gt;=2,IF(D280&gt;=51,"H",IF(D280&lt;=19,"L","A")),IF(D280&lt;=50,"L","A"))),""))))</f>
        <v/>
      </c>
      <c r="J280" s="7" t="str">
        <f t="shared" ref="J280:J343" si="390">CONCATENATE(B280,C280)</f>
        <v/>
      </c>
      <c r="K280" s="9" t="str">
        <f t="shared" ref="K280:K343" si="391">IF(OR(H280="",H280=0),L280,H280)</f>
        <v/>
      </c>
      <c r="L280" s="9" t="str">
        <f>IF(NOT(ISERROR(VLOOKUP(B280,Deflatores!G$42:H$64,2,FALSE))),VLOOKUP(B280,Deflatores!G$42:H$64,2,FALSE),IF(OR(ISBLANK(C280),ISBLANK(B280)),"",VLOOKUP(C280,Deflatores!G$4:H$38,2,FALSE)*H280+VLOOKUP(C280,Deflatores!G$4:I$38,3,FALSE)))</f>
        <v/>
      </c>
      <c r="M280" s="10"/>
      <c r="N280" s="10"/>
      <c r="O280" s="6"/>
    </row>
    <row r="281" spans="1:15" x14ac:dyDescent="0.2">
      <c r="A281" s="129"/>
      <c r="B281" s="4"/>
      <c r="C281" s="4"/>
      <c r="D281" s="7"/>
      <c r="E281" s="7"/>
      <c r="F281" s="8" t="str">
        <f t="shared" si="387"/>
        <v/>
      </c>
      <c r="G281" s="7" t="str">
        <f t="shared" si="386"/>
        <v/>
      </c>
      <c r="H281" s="5" t="str">
        <f t="shared" si="388"/>
        <v/>
      </c>
      <c r="I281" s="122" t="str">
        <f t="shared" si="389"/>
        <v/>
      </c>
      <c r="J281" s="7" t="str">
        <f t="shared" si="390"/>
        <v/>
      </c>
      <c r="K281" s="9" t="str">
        <f t="shared" si="391"/>
        <v/>
      </c>
      <c r="L281" s="9" t="str">
        <f>IF(NOT(ISERROR(VLOOKUP(B281,Deflatores!G$42:H$64,2,FALSE))),VLOOKUP(B281,Deflatores!G$42:H$64,2,FALSE),IF(OR(ISBLANK(C281),ISBLANK(B281)),"",VLOOKUP(C281,Deflatores!G$4:H$38,2,FALSE)*H281+VLOOKUP(C281,Deflatores!G$4:I$38,3,FALSE)))</f>
        <v/>
      </c>
      <c r="M281" s="10"/>
      <c r="N281" s="10"/>
      <c r="O281" s="6"/>
    </row>
    <row r="282" spans="1:15" x14ac:dyDescent="0.2">
      <c r="A282" s="129"/>
      <c r="B282" s="4"/>
      <c r="C282" s="4"/>
      <c r="D282" s="7"/>
      <c r="E282" s="7"/>
      <c r="F282" s="8" t="str">
        <f t="shared" si="387"/>
        <v/>
      </c>
      <c r="G282" s="7" t="str">
        <f t="shared" si="386"/>
        <v/>
      </c>
      <c r="H282" s="5" t="str">
        <f t="shared" si="388"/>
        <v/>
      </c>
      <c r="I282" s="122" t="str">
        <f t="shared" si="389"/>
        <v/>
      </c>
      <c r="J282" s="7" t="str">
        <f t="shared" si="390"/>
        <v/>
      </c>
      <c r="K282" s="9" t="str">
        <f t="shared" si="391"/>
        <v/>
      </c>
      <c r="L282" s="9" t="str">
        <f>IF(NOT(ISERROR(VLOOKUP(B282,Deflatores!G$42:H$64,2,FALSE))),VLOOKUP(B282,Deflatores!G$42:H$64,2,FALSE),IF(OR(ISBLANK(C282),ISBLANK(B282)),"",VLOOKUP(C282,Deflatores!G$4:H$38,2,FALSE)*H282+VLOOKUP(C282,Deflatores!G$4:I$38,3,FALSE)))</f>
        <v/>
      </c>
      <c r="M282" s="10"/>
      <c r="N282" s="10"/>
      <c r="O282" s="6"/>
    </row>
    <row r="283" spans="1:15" x14ac:dyDescent="0.2">
      <c r="A283" s="126"/>
      <c r="B283" s="4"/>
      <c r="C283" s="4"/>
      <c r="D283" s="7"/>
      <c r="E283" s="7"/>
      <c r="F283" s="8" t="str">
        <f t="shared" si="387"/>
        <v/>
      </c>
      <c r="G283" s="7" t="str">
        <f t="shared" si="386"/>
        <v/>
      </c>
      <c r="H283" s="5" t="str">
        <f t="shared" si="388"/>
        <v/>
      </c>
      <c r="I283" s="122" t="str">
        <f t="shared" si="389"/>
        <v/>
      </c>
      <c r="J283" s="7" t="str">
        <f t="shared" si="390"/>
        <v/>
      </c>
      <c r="K283" s="9" t="str">
        <f t="shared" si="391"/>
        <v/>
      </c>
      <c r="L283" s="9" t="str">
        <f>IF(NOT(ISERROR(VLOOKUP(B283,Deflatores!G$42:H$64,2,FALSE))),VLOOKUP(B283,Deflatores!G$42:H$64,2,FALSE),IF(OR(ISBLANK(C283),ISBLANK(B283)),"",VLOOKUP(C283,Deflatores!G$4:H$38,2,FALSE)*H283+VLOOKUP(C283,Deflatores!G$4:I$38,3,FALSE)))</f>
        <v/>
      </c>
      <c r="M283" s="10"/>
      <c r="N283" s="10"/>
      <c r="O283" s="6"/>
    </row>
    <row r="284" spans="1:15" x14ac:dyDescent="0.2">
      <c r="A284" s="126"/>
      <c r="B284" s="4"/>
      <c r="C284" s="4"/>
      <c r="D284" s="7"/>
      <c r="E284" s="7"/>
      <c r="F284" s="8" t="str">
        <f t="shared" si="387"/>
        <v/>
      </c>
      <c r="G284" s="7" t="str">
        <f t="shared" si="386"/>
        <v/>
      </c>
      <c r="H284" s="5" t="str">
        <f t="shared" si="388"/>
        <v/>
      </c>
      <c r="I284" s="122" t="str">
        <f t="shared" si="389"/>
        <v/>
      </c>
      <c r="J284" s="7" t="str">
        <f t="shared" si="390"/>
        <v/>
      </c>
      <c r="K284" s="9" t="str">
        <f t="shared" si="391"/>
        <v/>
      </c>
      <c r="L284" s="9" t="str">
        <f>IF(NOT(ISERROR(VLOOKUP(B284,Deflatores!G$42:H$64,2,FALSE))),VLOOKUP(B284,Deflatores!G$42:H$64,2,FALSE),IF(OR(ISBLANK(C284),ISBLANK(B284)),"",VLOOKUP(C284,Deflatores!G$4:H$38,2,FALSE)*H284+VLOOKUP(C284,Deflatores!G$4:I$38,3,FALSE)))</f>
        <v/>
      </c>
      <c r="M284" s="10"/>
      <c r="N284" s="10"/>
      <c r="O284" s="6"/>
    </row>
    <row r="285" spans="1:15" x14ac:dyDescent="0.2">
      <c r="A285" s="126"/>
      <c r="B285" s="4"/>
      <c r="C285" s="4"/>
      <c r="D285" s="7"/>
      <c r="E285" s="7"/>
      <c r="F285" s="8" t="str">
        <f t="shared" si="387"/>
        <v/>
      </c>
      <c r="G285" s="7" t="str">
        <f t="shared" si="386"/>
        <v/>
      </c>
      <c r="H285" s="5" t="str">
        <f t="shared" si="388"/>
        <v/>
      </c>
      <c r="I285" s="122" t="str">
        <f t="shared" si="389"/>
        <v/>
      </c>
      <c r="J285" s="7" t="str">
        <f t="shared" si="390"/>
        <v/>
      </c>
      <c r="K285" s="9" t="str">
        <f t="shared" si="391"/>
        <v/>
      </c>
      <c r="L285" s="9" t="str">
        <f>IF(NOT(ISERROR(VLOOKUP(B285,Deflatores!G$42:H$64,2,FALSE))),VLOOKUP(B285,Deflatores!G$42:H$64,2,FALSE),IF(OR(ISBLANK(C285),ISBLANK(B285)),"",VLOOKUP(C285,Deflatores!G$4:H$38,2,FALSE)*H285+VLOOKUP(C285,Deflatores!G$4:I$38,3,FALSE)))</f>
        <v/>
      </c>
      <c r="M285" s="10"/>
      <c r="N285" s="10"/>
      <c r="O285" s="6"/>
    </row>
    <row r="286" spans="1:15" x14ac:dyDescent="0.2">
      <c r="A286" s="126"/>
      <c r="B286" s="4"/>
      <c r="C286" s="4"/>
      <c r="D286" s="7"/>
      <c r="E286" s="7"/>
      <c r="F286" s="8" t="str">
        <f t="shared" si="387"/>
        <v/>
      </c>
      <c r="G286" s="7" t="str">
        <f t="shared" si="386"/>
        <v/>
      </c>
      <c r="H286" s="5" t="str">
        <f t="shared" si="388"/>
        <v/>
      </c>
      <c r="I286" s="122" t="str">
        <f t="shared" si="389"/>
        <v/>
      </c>
      <c r="J286" s="7" t="str">
        <f t="shared" si="390"/>
        <v/>
      </c>
      <c r="K286" s="9" t="str">
        <f t="shared" si="391"/>
        <v/>
      </c>
      <c r="L286" s="9" t="str">
        <f>IF(NOT(ISERROR(VLOOKUP(B286,Deflatores!G$42:H$64,2,FALSE))),VLOOKUP(B286,Deflatores!G$42:H$64,2,FALSE),IF(OR(ISBLANK(C286),ISBLANK(B286)),"",VLOOKUP(C286,Deflatores!G$4:H$38,2,FALSE)*H286+VLOOKUP(C286,Deflatores!G$4:I$38,3,FALSE)))</f>
        <v/>
      </c>
      <c r="M286" s="10"/>
      <c r="N286" s="10"/>
      <c r="O286" s="6"/>
    </row>
    <row r="287" spans="1:15" x14ac:dyDescent="0.2">
      <c r="A287" s="126"/>
      <c r="B287" s="4"/>
      <c r="C287" s="4"/>
      <c r="D287" s="7"/>
      <c r="E287" s="7"/>
      <c r="F287" s="8" t="str">
        <f t="shared" si="387"/>
        <v/>
      </c>
      <c r="G287" s="7" t="str">
        <f t="shared" si="386"/>
        <v/>
      </c>
      <c r="H287" s="5" t="str">
        <f t="shared" si="388"/>
        <v/>
      </c>
      <c r="I287" s="122" t="str">
        <f t="shared" si="389"/>
        <v/>
      </c>
      <c r="J287" s="7" t="str">
        <f t="shared" si="390"/>
        <v/>
      </c>
      <c r="K287" s="9" t="str">
        <f t="shared" si="391"/>
        <v/>
      </c>
      <c r="L287" s="9" t="str">
        <f>IF(NOT(ISERROR(VLOOKUP(B287,Deflatores!G$42:H$64,2,FALSE))),VLOOKUP(B287,Deflatores!G$42:H$64,2,FALSE),IF(OR(ISBLANK(C287),ISBLANK(B287)),"",VLOOKUP(C287,Deflatores!G$4:H$38,2,FALSE)*H287+VLOOKUP(C287,Deflatores!G$4:I$38,3,FALSE)))</f>
        <v/>
      </c>
      <c r="M287" s="10"/>
      <c r="N287" s="10"/>
      <c r="O287" s="6"/>
    </row>
    <row r="288" spans="1:15" x14ac:dyDescent="0.2">
      <c r="A288" s="126"/>
      <c r="B288" s="4"/>
      <c r="C288" s="4"/>
      <c r="D288" s="7"/>
      <c r="E288" s="7"/>
      <c r="F288" s="8" t="str">
        <f t="shared" si="387"/>
        <v/>
      </c>
      <c r="G288" s="7" t="str">
        <f t="shared" si="386"/>
        <v/>
      </c>
      <c r="H288" s="5" t="str">
        <f t="shared" si="388"/>
        <v/>
      </c>
      <c r="I288" s="122" t="str">
        <f t="shared" si="389"/>
        <v/>
      </c>
      <c r="J288" s="7" t="str">
        <f t="shared" si="390"/>
        <v/>
      </c>
      <c r="K288" s="9" t="str">
        <f t="shared" si="391"/>
        <v/>
      </c>
      <c r="L288" s="9" t="str">
        <f>IF(NOT(ISERROR(VLOOKUP(B288,Deflatores!G$42:H$64,2,FALSE))),VLOOKUP(B288,Deflatores!G$42:H$64,2,FALSE),IF(OR(ISBLANK(C288),ISBLANK(B288)),"",VLOOKUP(C288,Deflatores!G$4:H$38,2,FALSE)*H288+VLOOKUP(C288,Deflatores!G$4:I$38,3,FALSE)))</f>
        <v/>
      </c>
      <c r="M288" s="10"/>
      <c r="N288" s="10"/>
      <c r="O288" s="6"/>
    </row>
    <row r="289" spans="1:15" x14ac:dyDescent="0.2">
      <c r="A289" s="126"/>
      <c r="B289" s="4"/>
      <c r="C289" s="4"/>
      <c r="D289" s="7"/>
      <c r="E289" s="7"/>
      <c r="F289" s="8" t="str">
        <f t="shared" si="387"/>
        <v/>
      </c>
      <c r="G289" s="7" t="str">
        <f t="shared" si="386"/>
        <v/>
      </c>
      <c r="H289" s="5" t="str">
        <f t="shared" si="388"/>
        <v/>
      </c>
      <c r="I289" s="122" t="str">
        <f t="shared" si="389"/>
        <v/>
      </c>
      <c r="J289" s="7" t="str">
        <f t="shared" si="390"/>
        <v/>
      </c>
      <c r="K289" s="9" t="str">
        <f t="shared" si="391"/>
        <v/>
      </c>
      <c r="L289" s="9" t="str">
        <f>IF(NOT(ISERROR(VLOOKUP(B289,Deflatores!G$42:H$64,2,FALSE))),VLOOKUP(B289,Deflatores!G$42:H$64,2,FALSE),IF(OR(ISBLANK(C289),ISBLANK(B289)),"",VLOOKUP(C289,Deflatores!G$4:H$38,2,FALSE)*H289+VLOOKUP(C289,Deflatores!G$4:I$38,3,FALSE)))</f>
        <v/>
      </c>
      <c r="M289" s="10"/>
      <c r="N289" s="10"/>
      <c r="O289" s="6"/>
    </row>
    <row r="290" spans="1:15" x14ac:dyDescent="0.2">
      <c r="A290" s="126"/>
      <c r="B290" s="4"/>
      <c r="C290" s="4"/>
      <c r="D290" s="7"/>
      <c r="E290" s="7"/>
      <c r="F290" s="8" t="str">
        <f t="shared" si="387"/>
        <v/>
      </c>
      <c r="G290" s="7" t="str">
        <f t="shared" si="386"/>
        <v/>
      </c>
      <c r="H290" s="5" t="str">
        <f t="shared" si="388"/>
        <v/>
      </c>
      <c r="I290" s="122" t="str">
        <f t="shared" si="389"/>
        <v/>
      </c>
      <c r="J290" s="7" t="str">
        <f t="shared" si="390"/>
        <v/>
      </c>
      <c r="K290" s="9" t="str">
        <f t="shared" si="391"/>
        <v/>
      </c>
      <c r="L290" s="9" t="str">
        <f>IF(NOT(ISERROR(VLOOKUP(B290,Deflatores!G$42:H$64,2,FALSE))),VLOOKUP(B290,Deflatores!G$42:H$64,2,FALSE),IF(OR(ISBLANK(C290),ISBLANK(B290)),"",VLOOKUP(C290,Deflatores!G$4:H$38,2,FALSE)*H290+VLOOKUP(C290,Deflatores!G$4:I$38,3,FALSE)))</f>
        <v/>
      </c>
      <c r="M290" s="10"/>
      <c r="N290" s="10"/>
      <c r="O290" s="6"/>
    </row>
    <row r="291" spans="1:15" x14ac:dyDescent="0.2">
      <c r="A291" s="126"/>
      <c r="B291" s="4"/>
      <c r="C291" s="4"/>
      <c r="D291" s="7"/>
      <c r="E291" s="7"/>
      <c r="F291" s="8" t="str">
        <f t="shared" si="387"/>
        <v/>
      </c>
      <c r="G291" s="7" t="str">
        <f t="shared" si="386"/>
        <v/>
      </c>
      <c r="H291" s="5" t="str">
        <f t="shared" si="388"/>
        <v/>
      </c>
      <c r="I291" s="122" t="str">
        <f t="shared" si="389"/>
        <v/>
      </c>
      <c r="J291" s="7" t="str">
        <f t="shared" si="390"/>
        <v/>
      </c>
      <c r="K291" s="9" t="str">
        <f t="shared" si="391"/>
        <v/>
      </c>
      <c r="L291" s="9" t="str">
        <f>IF(NOT(ISERROR(VLOOKUP(B291,Deflatores!G$42:H$64,2,FALSE))),VLOOKUP(B291,Deflatores!G$42:H$64,2,FALSE),IF(OR(ISBLANK(C291),ISBLANK(B291)),"",VLOOKUP(C291,Deflatores!G$4:H$38,2,FALSE)*H291+VLOOKUP(C291,Deflatores!G$4:I$38,3,FALSE)))</f>
        <v/>
      </c>
      <c r="M291" s="10"/>
      <c r="N291" s="10"/>
      <c r="O291" s="6"/>
    </row>
    <row r="292" spans="1:15" x14ac:dyDescent="0.2">
      <c r="A292" s="126"/>
      <c r="B292" s="4"/>
      <c r="C292" s="4"/>
      <c r="D292" s="7"/>
      <c r="E292" s="7"/>
      <c r="F292" s="8" t="str">
        <f t="shared" si="387"/>
        <v/>
      </c>
      <c r="G292" s="7" t="str">
        <f t="shared" si="386"/>
        <v/>
      </c>
      <c r="H292" s="5" t="str">
        <f t="shared" si="388"/>
        <v/>
      </c>
      <c r="I292" s="122" t="str">
        <f t="shared" si="389"/>
        <v/>
      </c>
      <c r="J292" s="7" t="str">
        <f t="shared" si="390"/>
        <v/>
      </c>
      <c r="K292" s="9" t="str">
        <f t="shared" si="391"/>
        <v/>
      </c>
      <c r="L292" s="9" t="str">
        <f>IF(NOT(ISERROR(VLOOKUP(B292,Deflatores!G$42:H$64,2,FALSE))),VLOOKUP(B292,Deflatores!G$42:H$64,2,FALSE),IF(OR(ISBLANK(C292),ISBLANK(B292)),"",VLOOKUP(C292,Deflatores!G$4:H$38,2,FALSE)*H292+VLOOKUP(C292,Deflatores!G$4:I$38,3,FALSE)))</f>
        <v/>
      </c>
      <c r="M292" s="10"/>
      <c r="N292" s="10"/>
      <c r="O292" s="6"/>
    </row>
    <row r="293" spans="1:15" x14ac:dyDescent="0.2">
      <c r="A293" s="128"/>
      <c r="B293" s="4"/>
      <c r="C293" s="4"/>
      <c r="D293" s="7"/>
      <c r="E293" s="7"/>
      <c r="F293" s="8" t="str">
        <f t="shared" si="387"/>
        <v/>
      </c>
      <c r="G293" s="7" t="str">
        <f t="shared" si="386"/>
        <v/>
      </c>
      <c r="H293" s="5" t="str">
        <f t="shared" si="388"/>
        <v/>
      </c>
      <c r="I293" s="122" t="str">
        <f t="shared" si="389"/>
        <v/>
      </c>
      <c r="J293" s="7" t="str">
        <f t="shared" si="390"/>
        <v/>
      </c>
      <c r="K293" s="9" t="str">
        <f t="shared" si="391"/>
        <v/>
      </c>
      <c r="L293" s="9" t="str">
        <f>IF(NOT(ISERROR(VLOOKUP(B293,Deflatores!G$42:H$64,2,FALSE))),VLOOKUP(B293,Deflatores!G$42:H$64,2,FALSE),IF(OR(ISBLANK(C293),ISBLANK(B293)),"",VLOOKUP(C293,Deflatores!G$4:H$38,2,FALSE)*H293+VLOOKUP(C293,Deflatores!G$4:I$38,3,FALSE)))</f>
        <v/>
      </c>
      <c r="M293" s="10"/>
      <c r="N293" s="10"/>
      <c r="O293" s="6"/>
    </row>
    <row r="294" spans="1:15" x14ac:dyDescent="0.2">
      <c r="A294" s="126"/>
      <c r="B294" s="4"/>
      <c r="C294" s="4"/>
      <c r="D294" s="7"/>
      <c r="E294" s="7"/>
      <c r="F294" s="8" t="str">
        <f t="shared" si="387"/>
        <v/>
      </c>
      <c r="G294" s="7" t="str">
        <f t="shared" si="386"/>
        <v/>
      </c>
      <c r="H294" s="5" t="str">
        <f t="shared" si="388"/>
        <v/>
      </c>
      <c r="I294" s="122" t="str">
        <f t="shared" si="389"/>
        <v/>
      </c>
      <c r="J294" s="7" t="str">
        <f t="shared" si="390"/>
        <v/>
      </c>
      <c r="K294" s="9" t="str">
        <f t="shared" si="391"/>
        <v/>
      </c>
      <c r="L294" s="9" t="str">
        <f>IF(NOT(ISERROR(VLOOKUP(B294,Deflatores!G$42:H$64,2,FALSE))),VLOOKUP(B294,Deflatores!G$42:H$64,2,FALSE),IF(OR(ISBLANK(C294),ISBLANK(B294)),"",VLOOKUP(C294,Deflatores!G$4:H$38,2,FALSE)*H294+VLOOKUP(C294,Deflatores!G$4:I$38,3,FALSE)))</f>
        <v/>
      </c>
      <c r="M294" s="10"/>
      <c r="N294" s="10"/>
      <c r="O294" s="6"/>
    </row>
    <row r="295" spans="1:15" x14ac:dyDescent="0.2">
      <c r="A295" s="126"/>
      <c r="B295" s="4"/>
      <c r="C295" s="4"/>
      <c r="D295" s="7"/>
      <c r="E295" s="7"/>
      <c r="F295" s="8" t="str">
        <f t="shared" si="387"/>
        <v/>
      </c>
      <c r="G295" s="7" t="str">
        <f t="shared" si="386"/>
        <v/>
      </c>
      <c r="H295" s="5" t="str">
        <f t="shared" si="388"/>
        <v/>
      </c>
      <c r="I295" s="122" t="str">
        <f t="shared" si="389"/>
        <v/>
      </c>
      <c r="J295" s="7" t="str">
        <f t="shared" si="390"/>
        <v/>
      </c>
      <c r="K295" s="9" t="str">
        <f t="shared" si="391"/>
        <v/>
      </c>
      <c r="L295" s="9" t="str">
        <f>IF(NOT(ISERROR(VLOOKUP(B295,Deflatores!G$42:H$64,2,FALSE))),VLOOKUP(B295,Deflatores!G$42:H$64,2,FALSE),IF(OR(ISBLANK(C295),ISBLANK(B295)),"",VLOOKUP(C295,Deflatores!G$4:H$38,2,FALSE)*H295+VLOOKUP(C295,Deflatores!G$4:I$38,3,FALSE)))</f>
        <v/>
      </c>
      <c r="M295" s="10"/>
      <c r="N295" s="10"/>
      <c r="O295" s="6"/>
    </row>
    <row r="296" spans="1:15" x14ac:dyDescent="0.2">
      <c r="A296" s="126"/>
      <c r="B296" s="4"/>
      <c r="C296" s="4"/>
      <c r="D296" s="7"/>
      <c r="E296" s="7"/>
      <c r="F296" s="8" t="str">
        <f t="shared" si="387"/>
        <v/>
      </c>
      <c r="G296" s="7" t="str">
        <f t="shared" si="386"/>
        <v/>
      </c>
      <c r="H296" s="5" t="str">
        <f t="shared" si="388"/>
        <v/>
      </c>
      <c r="I296" s="122" t="str">
        <f t="shared" si="389"/>
        <v/>
      </c>
      <c r="J296" s="7" t="str">
        <f t="shared" si="390"/>
        <v/>
      </c>
      <c r="K296" s="9" t="str">
        <f t="shared" si="391"/>
        <v/>
      </c>
      <c r="L296" s="9" t="str">
        <f>IF(NOT(ISERROR(VLOOKUP(B296,Deflatores!G$42:H$64,2,FALSE))),VLOOKUP(B296,Deflatores!G$42:H$64,2,FALSE),IF(OR(ISBLANK(C296),ISBLANK(B296)),"",VLOOKUP(C296,Deflatores!G$4:H$38,2,FALSE)*H296+VLOOKUP(C296,Deflatores!G$4:I$38,3,FALSE)))</f>
        <v/>
      </c>
      <c r="M296" s="10"/>
      <c r="N296" s="10"/>
      <c r="O296" s="6"/>
    </row>
    <row r="297" spans="1:15" x14ac:dyDescent="0.2">
      <c r="A297" s="126"/>
      <c r="B297" s="4"/>
      <c r="C297" s="4"/>
      <c r="D297" s="7"/>
      <c r="E297" s="7"/>
      <c r="F297" s="8" t="str">
        <f t="shared" si="387"/>
        <v/>
      </c>
      <c r="G297" s="7" t="str">
        <f t="shared" si="386"/>
        <v/>
      </c>
      <c r="H297" s="5" t="str">
        <f t="shared" si="388"/>
        <v/>
      </c>
      <c r="I297" s="122" t="str">
        <f t="shared" si="389"/>
        <v/>
      </c>
      <c r="J297" s="7" t="str">
        <f t="shared" si="390"/>
        <v/>
      </c>
      <c r="K297" s="9" t="str">
        <f t="shared" si="391"/>
        <v/>
      </c>
      <c r="L297" s="9" t="str">
        <f>IF(NOT(ISERROR(VLOOKUP(B297,Deflatores!G$42:H$64,2,FALSE))),VLOOKUP(B297,Deflatores!G$42:H$64,2,FALSE),IF(OR(ISBLANK(C297),ISBLANK(B297)),"",VLOOKUP(C297,Deflatores!G$4:H$38,2,FALSE)*H297+VLOOKUP(C297,Deflatores!G$4:I$38,3,FALSE)))</f>
        <v/>
      </c>
      <c r="M297" s="10"/>
      <c r="N297" s="10"/>
      <c r="O297" s="6"/>
    </row>
    <row r="298" spans="1:15" x14ac:dyDescent="0.2">
      <c r="A298" s="126"/>
      <c r="B298" s="4"/>
      <c r="C298" s="4"/>
      <c r="D298" s="7"/>
      <c r="E298" s="7"/>
      <c r="F298" s="8" t="str">
        <f t="shared" si="387"/>
        <v/>
      </c>
      <c r="G298" s="7" t="str">
        <f t="shared" si="386"/>
        <v/>
      </c>
      <c r="H298" s="5" t="str">
        <f t="shared" si="388"/>
        <v/>
      </c>
      <c r="I298" s="122" t="str">
        <f t="shared" si="389"/>
        <v/>
      </c>
      <c r="J298" s="7" t="str">
        <f t="shared" si="390"/>
        <v/>
      </c>
      <c r="K298" s="9" t="str">
        <f t="shared" si="391"/>
        <v/>
      </c>
      <c r="L298" s="9" t="str">
        <f>IF(NOT(ISERROR(VLOOKUP(B298,Deflatores!G$42:H$64,2,FALSE))),VLOOKUP(B298,Deflatores!G$42:H$64,2,FALSE),IF(OR(ISBLANK(C298),ISBLANK(B298)),"",VLOOKUP(C298,Deflatores!G$4:H$38,2,FALSE)*H298+VLOOKUP(C298,Deflatores!G$4:I$38,3,FALSE)))</f>
        <v/>
      </c>
      <c r="M298" s="10"/>
      <c r="N298" s="10"/>
      <c r="O298" s="6"/>
    </row>
    <row r="299" spans="1:15" x14ac:dyDescent="0.2">
      <c r="A299" s="126"/>
      <c r="B299" s="4"/>
      <c r="C299" s="4"/>
      <c r="D299" s="7"/>
      <c r="E299" s="7"/>
      <c r="F299" s="8" t="str">
        <f t="shared" si="387"/>
        <v/>
      </c>
      <c r="G299" s="7" t="str">
        <f t="shared" si="386"/>
        <v/>
      </c>
      <c r="H299" s="5" t="str">
        <f t="shared" si="388"/>
        <v/>
      </c>
      <c r="I299" s="122" t="str">
        <f t="shared" si="389"/>
        <v/>
      </c>
      <c r="J299" s="7" t="str">
        <f t="shared" si="390"/>
        <v/>
      </c>
      <c r="K299" s="9" t="str">
        <f t="shared" si="391"/>
        <v/>
      </c>
      <c r="L299" s="9" t="str">
        <f>IF(NOT(ISERROR(VLOOKUP(B299,Deflatores!G$42:H$64,2,FALSE))),VLOOKUP(B299,Deflatores!G$42:H$64,2,FALSE),IF(OR(ISBLANK(C299),ISBLANK(B299)),"",VLOOKUP(C299,Deflatores!G$4:H$38,2,FALSE)*H299+VLOOKUP(C299,Deflatores!G$4:I$38,3,FALSE)))</f>
        <v/>
      </c>
      <c r="M299" s="10"/>
      <c r="N299" s="10"/>
      <c r="O299" s="6"/>
    </row>
    <row r="300" spans="1:15" x14ac:dyDescent="0.2">
      <c r="A300" s="126"/>
      <c r="B300" s="4"/>
      <c r="C300" s="4"/>
      <c r="D300" s="7"/>
      <c r="E300" s="7"/>
      <c r="F300" s="8" t="str">
        <f t="shared" si="387"/>
        <v/>
      </c>
      <c r="G300" s="7" t="str">
        <f t="shared" si="386"/>
        <v/>
      </c>
      <c r="H300" s="5" t="str">
        <f t="shared" si="388"/>
        <v/>
      </c>
      <c r="I300" s="122" t="str">
        <f t="shared" si="389"/>
        <v/>
      </c>
      <c r="J300" s="7" t="str">
        <f t="shared" si="390"/>
        <v/>
      </c>
      <c r="K300" s="9" t="str">
        <f t="shared" si="391"/>
        <v/>
      </c>
      <c r="L300" s="9" t="str">
        <f>IF(NOT(ISERROR(VLOOKUP(B300,Deflatores!G$42:H$64,2,FALSE))),VLOOKUP(B300,Deflatores!G$42:H$64,2,FALSE),IF(OR(ISBLANK(C300),ISBLANK(B300)),"",VLOOKUP(C300,Deflatores!G$4:H$38,2,FALSE)*H300+VLOOKUP(C300,Deflatores!G$4:I$38,3,FALSE)))</f>
        <v/>
      </c>
      <c r="M300" s="10"/>
      <c r="N300" s="10"/>
      <c r="O300" s="6"/>
    </row>
    <row r="301" spans="1:15" x14ac:dyDescent="0.2">
      <c r="A301" s="126"/>
      <c r="B301" s="4"/>
      <c r="C301" s="4"/>
      <c r="D301" s="7"/>
      <c r="E301" s="7"/>
      <c r="F301" s="8" t="str">
        <f t="shared" si="387"/>
        <v/>
      </c>
      <c r="G301" s="7" t="str">
        <f t="shared" si="386"/>
        <v/>
      </c>
      <c r="H301" s="5" t="str">
        <f t="shared" si="388"/>
        <v/>
      </c>
      <c r="I301" s="122" t="str">
        <f t="shared" si="389"/>
        <v/>
      </c>
      <c r="J301" s="7" t="str">
        <f t="shared" si="390"/>
        <v/>
      </c>
      <c r="K301" s="9" t="str">
        <f t="shared" si="391"/>
        <v/>
      </c>
      <c r="L301" s="9" t="str">
        <f>IF(NOT(ISERROR(VLOOKUP(B301,Deflatores!G$42:H$64,2,FALSE))),VLOOKUP(B301,Deflatores!G$42:H$64,2,FALSE),IF(OR(ISBLANK(C301),ISBLANK(B301)),"",VLOOKUP(C301,Deflatores!G$4:H$38,2,FALSE)*H301+VLOOKUP(C301,Deflatores!G$4:I$38,3,FALSE)))</f>
        <v/>
      </c>
      <c r="M301" s="10"/>
      <c r="N301" s="10"/>
      <c r="O301" s="6"/>
    </row>
    <row r="302" spans="1:15" x14ac:dyDescent="0.2">
      <c r="A302" s="126"/>
      <c r="B302" s="4"/>
      <c r="C302" s="4"/>
      <c r="D302" s="7"/>
      <c r="E302" s="7"/>
      <c r="F302" s="8" t="str">
        <f t="shared" si="387"/>
        <v/>
      </c>
      <c r="G302" s="7" t="str">
        <f t="shared" si="386"/>
        <v/>
      </c>
      <c r="H302" s="5" t="str">
        <f t="shared" si="388"/>
        <v/>
      </c>
      <c r="I302" s="122" t="str">
        <f t="shared" si="389"/>
        <v/>
      </c>
      <c r="J302" s="7" t="str">
        <f t="shared" si="390"/>
        <v/>
      </c>
      <c r="K302" s="9" t="str">
        <f t="shared" si="391"/>
        <v/>
      </c>
      <c r="L302" s="9" t="str">
        <f>IF(NOT(ISERROR(VLOOKUP(B302,Deflatores!G$42:H$64,2,FALSE))),VLOOKUP(B302,Deflatores!G$42:H$64,2,FALSE),IF(OR(ISBLANK(C302),ISBLANK(B302)),"",VLOOKUP(C302,Deflatores!G$4:H$38,2,FALSE)*H302+VLOOKUP(C302,Deflatores!G$4:I$38,3,FALSE)))</f>
        <v/>
      </c>
      <c r="M302" s="10"/>
      <c r="N302" s="10"/>
      <c r="O302" s="6"/>
    </row>
    <row r="303" spans="1:15" x14ac:dyDescent="0.2">
      <c r="A303" s="128"/>
      <c r="B303" s="4"/>
      <c r="C303" s="4"/>
      <c r="D303" s="7"/>
      <c r="E303" s="7"/>
      <c r="F303" s="8" t="str">
        <f t="shared" si="387"/>
        <v/>
      </c>
      <c r="G303" s="7" t="str">
        <f t="shared" ref="G210:G322" si="392">CONCATENATE(B303,I303)</f>
        <v/>
      </c>
      <c r="H303" s="5" t="str">
        <f t="shared" si="388"/>
        <v/>
      </c>
      <c r="I303" s="122" t="str">
        <f t="shared" si="389"/>
        <v/>
      </c>
      <c r="J303" s="7" t="str">
        <f t="shared" si="390"/>
        <v/>
      </c>
      <c r="K303" s="9" t="str">
        <f t="shared" si="391"/>
        <v/>
      </c>
      <c r="L303" s="9" t="str">
        <f>IF(NOT(ISERROR(VLOOKUP(B303,Deflatores!G$42:H$64,2,FALSE))),VLOOKUP(B303,Deflatores!G$42:H$64,2,FALSE),IF(OR(ISBLANK(C303),ISBLANK(B303)),"",VLOOKUP(C303,Deflatores!G$4:H$38,2,FALSE)*H303+VLOOKUP(C303,Deflatores!G$4:I$38,3,FALSE)))</f>
        <v/>
      </c>
      <c r="M303" s="10"/>
      <c r="N303" s="10"/>
      <c r="O303" s="6"/>
    </row>
    <row r="304" spans="1:15" x14ac:dyDescent="0.2">
      <c r="A304" s="126"/>
      <c r="B304" s="4"/>
      <c r="C304" s="4"/>
      <c r="D304" s="7"/>
      <c r="E304" s="7"/>
      <c r="F304" s="8" t="str">
        <f t="shared" si="387"/>
        <v/>
      </c>
      <c r="G304" s="7" t="str">
        <f t="shared" si="392"/>
        <v/>
      </c>
      <c r="H304" s="5" t="str">
        <f t="shared" si="388"/>
        <v/>
      </c>
      <c r="I304" s="122" t="str">
        <f t="shared" si="389"/>
        <v/>
      </c>
      <c r="J304" s="7" t="str">
        <f t="shared" si="390"/>
        <v/>
      </c>
      <c r="K304" s="9" t="str">
        <f t="shared" si="391"/>
        <v/>
      </c>
      <c r="L304" s="9" t="str">
        <f>IF(NOT(ISERROR(VLOOKUP(B304,Deflatores!G$42:H$64,2,FALSE))),VLOOKUP(B304,Deflatores!G$42:H$64,2,FALSE),IF(OR(ISBLANK(C304),ISBLANK(B304)),"",VLOOKUP(C304,Deflatores!G$4:H$38,2,FALSE)*H304+VLOOKUP(C304,Deflatores!G$4:I$38,3,FALSE)))</f>
        <v/>
      </c>
      <c r="M304" s="10"/>
      <c r="N304" s="10"/>
      <c r="O304" s="6"/>
    </row>
    <row r="305" spans="1:15" x14ac:dyDescent="0.2">
      <c r="A305" s="126"/>
      <c r="B305" s="4"/>
      <c r="C305" s="4"/>
      <c r="D305" s="7"/>
      <c r="E305" s="7"/>
      <c r="F305" s="8" t="str">
        <f t="shared" si="387"/>
        <v/>
      </c>
      <c r="G305" s="7" t="str">
        <f t="shared" si="392"/>
        <v/>
      </c>
      <c r="H305" s="5" t="str">
        <f t="shared" si="388"/>
        <v/>
      </c>
      <c r="I305" s="122" t="str">
        <f t="shared" si="389"/>
        <v/>
      </c>
      <c r="J305" s="7" t="str">
        <f t="shared" si="390"/>
        <v/>
      </c>
      <c r="K305" s="9" t="str">
        <f t="shared" si="391"/>
        <v/>
      </c>
      <c r="L305" s="9" t="str">
        <f>IF(NOT(ISERROR(VLOOKUP(B305,Deflatores!G$42:H$64,2,FALSE))),VLOOKUP(B305,Deflatores!G$42:H$64,2,FALSE),IF(OR(ISBLANK(C305),ISBLANK(B305)),"",VLOOKUP(C305,Deflatores!G$4:H$38,2,FALSE)*H305+VLOOKUP(C305,Deflatores!G$4:I$38,3,FALSE)))</f>
        <v/>
      </c>
      <c r="M305" s="10"/>
      <c r="N305" s="10"/>
      <c r="O305" s="6"/>
    </row>
    <row r="306" spans="1:15" x14ac:dyDescent="0.2">
      <c r="A306" s="126"/>
      <c r="B306" s="4"/>
      <c r="C306" s="4"/>
      <c r="D306" s="7"/>
      <c r="E306" s="7"/>
      <c r="F306" s="8" t="str">
        <f t="shared" si="387"/>
        <v/>
      </c>
      <c r="G306" s="7" t="str">
        <f t="shared" si="392"/>
        <v/>
      </c>
      <c r="H306" s="5" t="str">
        <f t="shared" si="388"/>
        <v/>
      </c>
      <c r="I306" s="122" t="str">
        <f t="shared" si="389"/>
        <v/>
      </c>
      <c r="J306" s="7" t="str">
        <f t="shared" si="390"/>
        <v/>
      </c>
      <c r="K306" s="9" t="str">
        <f t="shared" si="391"/>
        <v/>
      </c>
      <c r="L306" s="9" t="str">
        <f>IF(NOT(ISERROR(VLOOKUP(B306,Deflatores!G$42:H$64,2,FALSE))),VLOOKUP(B306,Deflatores!G$42:H$64,2,FALSE),IF(OR(ISBLANK(C306),ISBLANK(B306)),"",VLOOKUP(C306,Deflatores!G$4:H$38,2,FALSE)*H306+VLOOKUP(C306,Deflatores!G$4:I$38,3,FALSE)))</f>
        <v/>
      </c>
      <c r="M306" s="10"/>
      <c r="N306" s="10"/>
      <c r="O306" s="6"/>
    </row>
    <row r="307" spans="1:15" x14ac:dyDescent="0.2">
      <c r="A307" s="126"/>
      <c r="B307" s="4"/>
      <c r="C307" s="4"/>
      <c r="D307" s="7"/>
      <c r="E307" s="7"/>
      <c r="F307" s="8" t="str">
        <f t="shared" si="387"/>
        <v/>
      </c>
      <c r="G307" s="7" t="str">
        <f>CONCATENATE(B307,I307)</f>
        <v/>
      </c>
      <c r="H307" s="5" t="str">
        <f t="shared" si="388"/>
        <v/>
      </c>
      <c r="I307" s="122" t="str">
        <f t="shared" si="389"/>
        <v/>
      </c>
      <c r="J307" s="7" t="str">
        <f t="shared" si="390"/>
        <v/>
      </c>
      <c r="K307" s="9" t="str">
        <f t="shared" si="391"/>
        <v/>
      </c>
      <c r="L307" s="9" t="str">
        <f>IF(NOT(ISERROR(VLOOKUP(B307,Deflatores!G$42:H$64,2,FALSE))),VLOOKUP(B307,Deflatores!G$42:H$64,2,FALSE),IF(OR(ISBLANK(C307),ISBLANK(B307)),"",VLOOKUP(C307,Deflatores!G$4:H$38,2,FALSE)*H307+VLOOKUP(C307,Deflatores!G$4:I$38,3,FALSE)))</f>
        <v/>
      </c>
      <c r="M307" s="10"/>
      <c r="N307" s="10"/>
      <c r="O307" s="6"/>
    </row>
    <row r="308" spans="1:15" x14ac:dyDescent="0.2">
      <c r="A308" s="126"/>
      <c r="B308" s="4"/>
      <c r="C308" s="4"/>
      <c r="D308" s="7"/>
      <c r="E308" s="7"/>
      <c r="F308" s="8" t="str">
        <f t="shared" si="387"/>
        <v/>
      </c>
      <c r="G308" s="7" t="str">
        <f t="shared" si="392"/>
        <v/>
      </c>
      <c r="H308" s="5" t="str">
        <f t="shared" si="388"/>
        <v/>
      </c>
      <c r="I308" s="122" t="str">
        <f t="shared" si="389"/>
        <v/>
      </c>
      <c r="J308" s="7" t="str">
        <f t="shared" si="390"/>
        <v/>
      </c>
      <c r="K308" s="9" t="str">
        <f t="shared" si="391"/>
        <v/>
      </c>
      <c r="L308" s="9" t="str">
        <f>IF(NOT(ISERROR(VLOOKUP(B308,Deflatores!G$42:H$64,2,FALSE))),VLOOKUP(B308,Deflatores!G$42:H$64,2,FALSE),IF(OR(ISBLANK(C308),ISBLANK(B308)),"",VLOOKUP(C308,Deflatores!G$4:H$38,2,FALSE)*H308+VLOOKUP(C308,Deflatores!G$4:I$38,3,FALSE)))</f>
        <v/>
      </c>
      <c r="M308" s="10"/>
      <c r="N308" s="10"/>
      <c r="O308" s="6"/>
    </row>
    <row r="309" spans="1:15" x14ac:dyDescent="0.2">
      <c r="A309" s="126"/>
      <c r="B309" s="4"/>
      <c r="C309" s="4"/>
      <c r="D309" s="7"/>
      <c r="E309" s="7"/>
      <c r="F309" s="8" t="str">
        <f t="shared" si="387"/>
        <v/>
      </c>
      <c r="G309" s="7" t="str">
        <f t="shared" si="392"/>
        <v/>
      </c>
      <c r="H309" s="5" t="str">
        <f t="shared" si="388"/>
        <v/>
      </c>
      <c r="I309" s="122" t="str">
        <f t="shared" si="389"/>
        <v/>
      </c>
      <c r="J309" s="7" t="str">
        <f t="shared" si="390"/>
        <v/>
      </c>
      <c r="K309" s="9" t="str">
        <f t="shared" si="391"/>
        <v/>
      </c>
      <c r="L309" s="9" t="str">
        <f>IF(NOT(ISERROR(VLOOKUP(B309,Deflatores!G$42:H$64,2,FALSE))),VLOOKUP(B309,Deflatores!G$42:H$64,2,FALSE),IF(OR(ISBLANK(C309),ISBLANK(B309)),"",VLOOKUP(C309,Deflatores!G$4:H$38,2,FALSE)*H309+VLOOKUP(C309,Deflatores!G$4:I$38,3,FALSE)))</f>
        <v/>
      </c>
      <c r="M309" s="10"/>
      <c r="N309" s="10"/>
      <c r="O309" s="6"/>
    </row>
    <row r="310" spans="1:15" x14ac:dyDescent="0.2">
      <c r="A310" s="126"/>
      <c r="B310" s="4"/>
      <c r="C310" s="4"/>
      <c r="D310" s="7"/>
      <c r="E310" s="7"/>
      <c r="F310" s="8" t="str">
        <f t="shared" si="387"/>
        <v/>
      </c>
      <c r="G310" s="7" t="str">
        <f t="shared" si="392"/>
        <v/>
      </c>
      <c r="H310" s="5" t="str">
        <f t="shared" si="388"/>
        <v/>
      </c>
      <c r="I310" s="122" t="str">
        <f t="shared" si="389"/>
        <v/>
      </c>
      <c r="J310" s="7" t="str">
        <f t="shared" si="390"/>
        <v/>
      </c>
      <c r="K310" s="9" t="str">
        <f t="shared" si="391"/>
        <v/>
      </c>
      <c r="L310" s="9" t="str">
        <f>IF(NOT(ISERROR(VLOOKUP(B310,Deflatores!G$42:H$64,2,FALSE))),VLOOKUP(B310,Deflatores!G$42:H$64,2,FALSE),IF(OR(ISBLANK(C310),ISBLANK(B310)),"",VLOOKUP(C310,Deflatores!G$4:H$38,2,FALSE)*H310+VLOOKUP(C310,Deflatores!G$4:I$38,3,FALSE)))</f>
        <v/>
      </c>
      <c r="M310" s="10"/>
      <c r="N310" s="10"/>
      <c r="O310" s="6"/>
    </row>
    <row r="311" spans="1:15" x14ac:dyDescent="0.2">
      <c r="A311" s="128"/>
      <c r="B311" s="4"/>
      <c r="C311" s="4"/>
      <c r="D311" s="7"/>
      <c r="E311" s="7"/>
      <c r="F311" s="8" t="str">
        <f t="shared" si="387"/>
        <v/>
      </c>
      <c r="G311" s="7" t="str">
        <f t="shared" si="392"/>
        <v/>
      </c>
      <c r="H311" s="5" t="str">
        <f t="shared" si="388"/>
        <v/>
      </c>
      <c r="I311" s="122" t="str">
        <f t="shared" si="389"/>
        <v/>
      </c>
      <c r="J311" s="7" t="str">
        <f t="shared" si="390"/>
        <v/>
      </c>
      <c r="K311" s="9" t="str">
        <f t="shared" si="391"/>
        <v/>
      </c>
      <c r="L311" s="9" t="str">
        <f>IF(NOT(ISERROR(VLOOKUP(B311,Deflatores!G$42:H$64,2,FALSE))),VLOOKUP(B311,Deflatores!G$42:H$64,2,FALSE),IF(OR(ISBLANK(C311),ISBLANK(B311)),"",VLOOKUP(C311,Deflatores!G$4:H$38,2,FALSE)*H311+VLOOKUP(C311,Deflatores!G$4:I$38,3,FALSE)))</f>
        <v/>
      </c>
      <c r="M311" s="10"/>
      <c r="N311" s="10"/>
      <c r="O311" s="6"/>
    </row>
    <row r="312" spans="1:15" x14ac:dyDescent="0.2">
      <c r="A312" s="126"/>
      <c r="B312" s="4"/>
      <c r="C312" s="4"/>
      <c r="D312" s="7"/>
      <c r="E312" s="7"/>
      <c r="F312" s="8" t="str">
        <f t="shared" si="387"/>
        <v/>
      </c>
      <c r="G312" s="7" t="str">
        <f t="shared" si="392"/>
        <v/>
      </c>
      <c r="H312" s="5" t="str">
        <f t="shared" si="388"/>
        <v/>
      </c>
      <c r="I312" s="122" t="str">
        <f t="shared" si="389"/>
        <v/>
      </c>
      <c r="J312" s="7" t="str">
        <f t="shared" si="390"/>
        <v/>
      </c>
      <c r="K312" s="9" t="str">
        <f t="shared" si="391"/>
        <v/>
      </c>
      <c r="L312" s="9" t="str">
        <f>IF(NOT(ISERROR(VLOOKUP(B312,Deflatores!G$42:H$64,2,FALSE))),VLOOKUP(B312,Deflatores!G$42:H$64,2,FALSE),IF(OR(ISBLANK(C312),ISBLANK(B312)),"",VLOOKUP(C312,Deflatores!G$4:H$38,2,FALSE)*H312+VLOOKUP(C312,Deflatores!G$4:I$38,3,FALSE)))</f>
        <v/>
      </c>
      <c r="M312" s="10"/>
      <c r="N312" s="10"/>
      <c r="O312" s="6"/>
    </row>
    <row r="313" spans="1:15" x14ac:dyDescent="0.2">
      <c r="A313" s="126"/>
      <c r="B313" s="4"/>
      <c r="C313" s="4"/>
      <c r="D313" s="7"/>
      <c r="E313" s="7"/>
      <c r="F313" s="8" t="str">
        <f t="shared" si="387"/>
        <v/>
      </c>
      <c r="G313" s="7" t="str">
        <f t="shared" si="392"/>
        <v/>
      </c>
      <c r="H313" s="5" t="str">
        <f t="shared" si="388"/>
        <v/>
      </c>
      <c r="I313" s="122" t="str">
        <f t="shared" si="389"/>
        <v/>
      </c>
      <c r="J313" s="7" t="str">
        <f t="shared" si="390"/>
        <v/>
      </c>
      <c r="K313" s="9" t="str">
        <f t="shared" si="391"/>
        <v/>
      </c>
      <c r="L313" s="9" t="str">
        <f>IF(NOT(ISERROR(VLOOKUP(B313,Deflatores!G$42:H$64,2,FALSE))),VLOOKUP(B313,Deflatores!G$42:H$64,2,FALSE),IF(OR(ISBLANK(C313),ISBLANK(B313)),"",VLOOKUP(C313,Deflatores!G$4:H$38,2,FALSE)*H313+VLOOKUP(C313,Deflatores!G$4:I$38,3,FALSE)))</f>
        <v/>
      </c>
      <c r="M313" s="10"/>
      <c r="N313" s="10"/>
      <c r="O313" s="6"/>
    </row>
    <row r="314" spans="1:15" x14ac:dyDescent="0.2">
      <c r="A314" s="126"/>
      <c r="B314" s="4"/>
      <c r="C314" s="4"/>
      <c r="D314" s="7"/>
      <c r="E314" s="7"/>
      <c r="F314" s="8" t="str">
        <f t="shared" si="387"/>
        <v/>
      </c>
      <c r="G314" s="7" t="str">
        <f t="shared" si="392"/>
        <v/>
      </c>
      <c r="H314" s="5" t="str">
        <f t="shared" si="388"/>
        <v/>
      </c>
      <c r="I314" s="122" t="str">
        <f t="shared" si="389"/>
        <v/>
      </c>
      <c r="J314" s="7" t="str">
        <f t="shared" si="390"/>
        <v/>
      </c>
      <c r="K314" s="9" t="str">
        <f t="shared" si="391"/>
        <v/>
      </c>
      <c r="L314" s="9" t="str">
        <f>IF(NOT(ISERROR(VLOOKUP(B314,Deflatores!G$42:H$64,2,FALSE))),VLOOKUP(B314,Deflatores!G$42:H$64,2,FALSE),IF(OR(ISBLANK(C314),ISBLANK(B314)),"",VLOOKUP(C314,Deflatores!G$4:H$38,2,FALSE)*H314+VLOOKUP(C314,Deflatores!G$4:I$38,3,FALSE)))</f>
        <v/>
      </c>
      <c r="M314" s="10"/>
      <c r="N314" s="10"/>
      <c r="O314" s="6"/>
    </row>
    <row r="315" spans="1:15" x14ac:dyDescent="0.2">
      <c r="A315" s="126"/>
      <c r="B315" s="4"/>
      <c r="C315" s="4"/>
      <c r="D315" s="7"/>
      <c r="E315" s="7"/>
      <c r="F315" s="8" t="str">
        <f t="shared" si="387"/>
        <v/>
      </c>
      <c r="G315" s="7" t="str">
        <f t="shared" si="392"/>
        <v/>
      </c>
      <c r="H315" s="5" t="str">
        <f t="shared" si="388"/>
        <v/>
      </c>
      <c r="I315" s="122" t="str">
        <f t="shared" si="389"/>
        <v/>
      </c>
      <c r="J315" s="7" t="str">
        <f t="shared" si="390"/>
        <v/>
      </c>
      <c r="K315" s="9" t="str">
        <f t="shared" si="391"/>
        <v/>
      </c>
      <c r="L315" s="9" t="str">
        <f>IF(NOT(ISERROR(VLOOKUP(B315,Deflatores!G$42:H$64,2,FALSE))),VLOOKUP(B315,Deflatores!G$42:H$64,2,FALSE),IF(OR(ISBLANK(C315),ISBLANK(B315)),"",VLOOKUP(C315,Deflatores!G$4:H$38,2,FALSE)*H315+VLOOKUP(C315,Deflatores!G$4:I$38,3,FALSE)))</f>
        <v/>
      </c>
      <c r="M315" s="10"/>
      <c r="N315" s="10"/>
      <c r="O315" s="6"/>
    </row>
    <row r="316" spans="1:15" x14ac:dyDescent="0.2">
      <c r="A316" s="126"/>
      <c r="B316" s="4"/>
      <c r="C316" s="4"/>
      <c r="D316" s="7"/>
      <c r="E316" s="7"/>
      <c r="F316" s="8" t="str">
        <f t="shared" si="387"/>
        <v/>
      </c>
      <c r="G316" s="7" t="str">
        <f t="shared" si="392"/>
        <v/>
      </c>
      <c r="H316" s="5" t="str">
        <f t="shared" si="388"/>
        <v/>
      </c>
      <c r="I316" s="122" t="str">
        <f t="shared" si="389"/>
        <v/>
      </c>
      <c r="J316" s="7" t="str">
        <f t="shared" si="390"/>
        <v/>
      </c>
      <c r="K316" s="9" t="str">
        <f t="shared" si="391"/>
        <v/>
      </c>
      <c r="L316" s="9" t="str">
        <f>IF(NOT(ISERROR(VLOOKUP(B316,Deflatores!G$42:H$64,2,FALSE))),VLOOKUP(B316,Deflatores!G$42:H$64,2,FALSE),IF(OR(ISBLANK(C316),ISBLANK(B316)),"",VLOOKUP(C316,Deflatores!G$4:H$38,2,FALSE)*H316+VLOOKUP(C316,Deflatores!G$4:I$38,3,FALSE)))</f>
        <v/>
      </c>
      <c r="M316" s="10"/>
      <c r="N316" s="10"/>
      <c r="O316" s="6"/>
    </row>
    <row r="317" spans="1:15" x14ac:dyDescent="0.2">
      <c r="A317" s="126"/>
      <c r="B317" s="4"/>
      <c r="C317" s="4"/>
      <c r="D317" s="7"/>
      <c r="E317" s="7"/>
      <c r="F317" s="8" t="str">
        <f t="shared" si="387"/>
        <v/>
      </c>
      <c r="G317" s="7" t="str">
        <f t="shared" si="392"/>
        <v/>
      </c>
      <c r="H317" s="5" t="str">
        <f t="shared" si="388"/>
        <v/>
      </c>
      <c r="I317" s="122" t="str">
        <f t="shared" si="389"/>
        <v/>
      </c>
      <c r="J317" s="7" t="str">
        <f t="shared" si="390"/>
        <v/>
      </c>
      <c r="K317" s="9" t="str">
        <f t="shared" si="391"/>
        <v/>
      </c>
      <c r="L317" s="9" t="str">
        <f>IF(NOT(ISERROR(VLOOKUP(B317,Deflatores!G$42:H$64,2,FALSE))),VLOOKUP(B317,Deflatores!G$42:H$64,2,FALSE),IF(OR(ISBLANK(C317),ISBLANK(B317)),"",VLOOKUP(C317,Deflatores!G$4:H$38,2,FALSE)*H317+VLOOKUP(C317,Deflatores!G$4:I$38,3,FALSE)))</f>
        <v/>
      </c>
      <c r="M317" s="10"/>
      <c r="N317" s="10"/>
      <c r="O317" s="6"/>
    </row>
    <row r="318" spans="1:15" x14ac:dyDescent="0.2">
      <c r="A318" s="126"/>
      <c r="B318" s="4"/>
      <c r="C318" s="4"/>
      <c r="D318" s="7"/>
      <c r="E318" s="7"/>
      <c r="F318" s="8" t="str">
        <f t="shared" si="387"/>
        <v/>
      </c>
      <c r="G318" s="7" t="str">
        <f t="shared" si="392"/>
        <v/>
      </c>
      <c r="H318" s="5" t="str">
        <f t="shared" si="388"/>
        <v/>
      </c>
      <c r="I318" s="122" t="str">
        <f t="shared" si="389"/>
        <v/>
      </c>
      <c r="J318" s="7" t="str">
        <f t="shared" si="390"/>
        <v/>
      </c>
      <c r="K318" s="9" t="str">
        <f t="shared" si="391"/>
        <v/>
      </c>
      <c r="L318" s="9" t="str">
        <f>IF(NOT(ISERROR(VLOOKUP(B318,Deflatores!G$42:H$64,2,FALSE))),VLOOKUP(B318,Deflatores!G$42:H$64,2,FALSE),IF(OR(ISBLANK(C318),ISBLANK(B318)),"",VLOOKUP(C318,Deflatores!G$4:H$38,2,FALSE)*H318+VLOOKUP(C318,Deflatores!G$4:I$38,3,FALSE)))</f>
        <v/>
      </c>
      <c r="M318" s="10"/>
      <c r="N318" s="10"/>
      <c r="O318" s="6"/>
    </row>
    <row r="319" spans="1:15" x14ac:dyDescent="0.2">
      <c r="A319" s="128"/>
      <c r="B319" s="4"/>
      <c r="C319" s="4"/>
      <c r="D319" s="7"/>
      <c r="E319" s="7"/>
      <c r="F319" s="8" t="str">
        <f t="shared" si="387"/>
        <v/>
      </c>
      <c r="G319" s="7" t="str">
        <f t="shared" si="392"/>
        <v/>
      </c>
      <c r="H319" s="5" t="str">
        <f t="shared" si="388"/>
        <v/>
      </c>
      <c r="I319" s="122" t="str">
        <f t="shared" si="389"/>
        <v/>
      </c>
      <c r="J319" s="7" t="str">
        <f t="shared" si="390"/>
        <v/>
      </c>
      <c r="K319" s="9" t="str">
        <f t="shared" si="391"/>
        <v/>
      </c>
      <c r="L319" s="9" t="str">
        <f>IF(NOT(ISERROR(VLOOKUP(B319,Deflatores!G$42:H$64,2,FALSE))),VLOOKUP(B319,Deflatores!G$42:H$64,2,FALSE),IF(OR(ISBLANK(C319),ISBLANK(B319)),"",VLOOKUP(C319,Deflatores!G$4:H$38,2,FALSE)*H319+VLOOKUP(C319,Deflatores!G$4:I$38,3,FALSE)))</f>
        <v/>
      </c>
      <c r="M319" s="10"/>
      <c r="N319" s="10"/>
      <c r="O319" s="6"/>
    </row>
    <row r="320" spans="1:15" x14ac:dyDescent="0.2">
      <c r="A320" s="126"/>
      <c r="B320" s="4"/>
      <c r="C320" s="4"/>
      <c r="D320" s="7"/>
      <c r="E320" s="7"/>
      <c r="F320" s="8" t="str">
        <f t="shared" si="387"/>
        <v/>
      </c>
      <c r="G320" s="7" t="str">
        <f t="shared" si="392"/>
        <v/>
      </c>
      <c r="H320" s="5" t="str">
        <f t="shared" si="388"/>
        <v/>
      </c>
      <c r="I320" s="122" t="str">
        <f t="shared" si="389"/>
        <v/>
      </c>
      <c r="J320" s="7" t="str">
        <f t="shared" si="390"/>
        <v/>
      </c>
      <c r="K320" s="9" t="str">
        <f t="shared" si="391"/>
        <v/>
      </c>
      <c r="L320" s="9" t="str">
        <f>IF(NOT(ISERROR(VLOOKUP(B320,Deflatores!G$42:H$64,2,FALSE))),VLOOKUP(B320,Deflatores!G$42:H$64,2,FALSE),IF(OR(ISBLANK(C320),ISBLANK(B320)),"",VLOOKUP(C320,Deflatores!G$4:H$38,2,FALSE)*H320+VLOOKUP(C320,Deflatores!G$4:I$38,3,FALSE)))</f>
        <v/>
      </c>
      <c r="M320" s="10"/>
      <c r="N320" s="10"/>
      <c r="O320" s="6"/>
    </row>
    <row r="321" spans="1:15" x14ac:dyDescent="0.2">
      <c r="A321" s="126"/>
      <c r="B321" s="4"/>
      <c r="C321" s="4"/>
      <c r="D321" s="7"/>
      <c r="E321" s="7"/>
      <c r="F321" s="8" t="str">
        <f t="shared" si="387"/>
        <v/>
      </c>
      <c r="G321" s="7" t="str">
        <f t="shared" si="392"/>
        <v/>
      </c>
      <c r="H321" s="5" t="str">
        <f t="shared" si="388"/>
        <v/>
      </c>
      <c r="I321" s="122" t="str">
        <f t="shared" si="389"/>
        <v/>
      </c>
      <c r="J321" s="7" t="str">
        <f t="shared" si="390"/>
        <v/>
      </c>
      <c r="K321" s="9" t="str">
        <f t="shared" si="391"/>
        <v/>
      </c>
      <c r="L321" s="9" t="str">
        <f>IF(NOT(ISERROR(VLOOKUP(B321,Deflatores!G$42:H$64,2,FALSE))),VLOOKUP(B321,Deflatores!G$42:H$64,2,FALSE),IF(OR(ISBLANK(C321),ISBLANK(B321)),"",VLOOKUP(C321,Deflatores!G$4:H$38,2,FALSE)*H321+VLOOKUP(C321,Deflatores!G$4:I$38,3,FALSE)))</f>
        <v/>
      </c>
      <c r="M321" s="10"/>
      <c r="N321" s="10"/>
      <c r="O321" s="6"/>
    </row>
    <row r="322" spans="1:15" x14ac:dyDescent="0.2">
      <c r="A322" s="126"/>
      <c r="B322" s="4"/>
      <c r="C322" s="4"/>
      <c r="D322" s="7"/>
      <c r="E322" s="7"/>
      <c r="F322" s="8" t="str">
        <f t="shared" si="387"/>
        <v/>
      </c>
      <c r="G322" s="7" t="str">
        <f t="shared" si="392"/>
        <v/>
      </c>
      <c r="H322" s="5" t="str">
        <f t="shared" si="388"/>
        <v/>
      </c>
      <c r="I322" s="122" t="str">
        <f t="shared" si="389"/>
        <v/>
      </c>
      <c r="J322" s="7" t="str">
        <f t="shared" si="390"/>
        <v/>
      </c>
      <c r="K322" s="9" t="str">
        <f t="shared" si="391"/>
        <v/>
      </c>
      <c r="L322" s="9" t="str">
        <f>IF(NOT(ISERROR(VLOOKUP(B322,Deflatores!G$42:H$64,2,FALSE))),VLOOKUP(B322,Deflatores!G$42:H$64,2,FALSE),IF(OR(ISBLANK(C322),ISBLANK(B322)),"",VLOOKUP(C322,Deflatores!G$4:H$38,2,FALSE)*H322+VLOOKUP(C322,Deflatores!G$4:I$38,3,FALSE)))</f>
        <v/>
      </c>
      <c r="M322" s="10"/>
      <c r="N322" s="10"/>
      <c r="O322" s="6"/>
    </row>
    <row r="323" spans="1:15" x14ac:dyDescent="0.2">
      <c r="A323" s="126"/>
      <c r="B323" s="4"/>
      <c r="C323" s="4"/>
      <c r="D323" s="7"/>
      <c r="E323" s="7"/>
      <c r="F323" s="8" t="str">
        <f t="shared" si="387"/>
        <v/>
      </c>
      <c r="G323" s="7" t="str">
        <f t="shared" ref="G323:G391" si="393">CONCATENATE(B323,I323)</f>
        <v/>
      </c>
      <c r="H323" s="5" t="str">
        <f t="shared" si="388"/>
        <v/>
      </c>
      <c r="I323" s="122" t="str">
        <f t="shared" si="389"/>
        <v/>
      </c>
      <c r="J323" s="7" t="str">
        <f t="shared" si="390"/>
        <v/>
      </c>
      <c r="K323" s="9" t="str">
        <f t="shared" si="391"/>
        <v/>
      </c>
      <c r="L323" s="9" t="str">
        <f>IF(NOT(ISERROR(VLOOKUP(B323,Deflatores!G$42:H$64,2,FALSE))),VLOOKUP(B323,Deflatores!G$42:H$64,2,FALSE),IF(OR(ISBLANK(C323),ISBLANK(B323)),"",VLOOKUP(C323,Deflatores!G$4:H$38,2,FALSE)*H323+VLOOKUP(C323,Deflatores!G$4:I$38,3,FALSE)))</f>
        <v/>
      </c>
      <c r="M323" s="10"/>
      <c r="N323" s="10"/>
      <c r="O323" s="6"/>
    </row>
    <row r="324" spans="1:15" x14ac:dyDescent="0.2">
      <c r="A324" s="126"/>
      <c r="B324" s="4"/>
      <c r="C324" s="4"/>
      <c r="D324" s="7"/>
      <c r="E324" s="7"/>
      <c r="F324" s="8" t="str">
        <f t="shared" si="387"/>
        <v/>
      </c>
      <c r="G324" s="7" t="str">
        <f t="shared" si="393"/>
        <v/>
      </c>
      <c r="H324" s="5" t="str">
        <f t="shared" si="388"/>
        <v/>
      </c>
      <c r="I324" s="122" t="str">
        <f t="shared" si="389"/>
        <v/>
      </c>
      <c r="J324" s="7" t="str">
        <f t="shared" si="390"/>
        <v/>
      </c>
      <c r="K324" s="9" t="str">
        <f t="shared" si="391"/>
        <v/>
      </c>
      <c r="L324" s="9" t="str">
        <f>IF(NOT(ISERROR(VLOOKUP(B324,Deflatores!G$42:H$64,2,FALSE))),VLOOKUP(B324,Deflatores!G$42:H$64,2,FALSE),IF(OR(ISBLANK(C324),ISBLANK(B324)),"",VLOOKUP(C324,Deflatores!G$4:H$38,2,FALSE)*H324+VLOOKUP(C324,Deflatores!G$4:I$38,3,FALSE)))</f>
        <v/>
      </c>
      <c r="M324" s="10"/>
      <c r="N324" s="10"/>
      <c r="O324" s="6"/>
    </row>
    <row r="325" spans="1:15" x14ac:dyDescent="0.2">
      <c r="A325" s="126"/>
      <c r="B325" s="4"/>
      <c r="C325" s="4"/>
      <c r="D325" s="7"/>
      <c r="E325" s="7"/>
      <c r="F325" s="8" t="str">
        <f t="shared" si="387"/>
        <v/>
      </c>
      <c r="G325" s="7" t="str">
        <f t="shared" si="393"/>
        <v/>
      </c>
      <c r="H325" s="5" t="str">
        <f t="shared" si="388"/>
        <v/>
      </c>
      <c r="I325" s="122" t="str">
        <f t="shared" si="389"/>
        <v/>
      </c>
      <c r="J325" s="7" t="str">
        <f t="shared" si="390"/>
        <v/>
      </c>
      <c r="K325" s="9" t="str">
        <f t="shared" si="391"/>
        <v/>
      </c>
      <c r="L325" s="9" t="str">
        <f>IF(NOT(ISERROR(VLOOKUP(B325,Deflatores!G$42:H$64,2,FALSE))),VLOOKUP(B325,Deflatores!G$42:H$64,2,FALSE),IF(OR(ISBLANK(C325),ISBLANK(B325)),"",VLOOKUP(C325,Deflatores!G$4:H$38,2,FALSE)*H325+VLOOKUP(C325,Deflatores!G$4:I$38,3,FALSE)))</f>
        <v/>
      </c>
      <c r="M325" s="10"/>
      <c r="N325" s="10"/>
      <c r="O325" s="6"/>
    </row>
    <row r="326" spans="1:15" x14ac:dyDescent="0.2">
      <c r="A326" s="126"/>
      <c r="B326" s="4"/>
      <c r="C326" s="4"/>
      <c r="D326" s="7"/>
      <c r="E326" s="7"/>
      <c r="F326" s="8" t="str">
        <f t="shared" si="387"/>
        <v/>
      </c>
      <c r="G326" s="7" t="str">
        <f t="shared" si="393"/>
        <v/>
      </c>
      <c r="H326" s="5" t="str">
        <f t="shared" si="388"/>
        <v/>
      </c>
      <c r="I326" s="122" t="str">
        <f t="shared" si="389"/>
        <v/>
      </c>
      <c r="J326" s="7" t="str">
        <f t="shared" si="390"/>
        <v/>
      </c>
      <c r="K326" s="9" t="str">
        <f t="shared" si="391"/>
        <v/>
      </c>
      <c r="L326" s="9" t="str">
        <f>IF(NOT(ISERROR(VLOOKUP(B326,Deflatores!G$42:H$64,2,FALSE))),VLOOKUP(B326,Deflatores!G$42:H$64,2,FALSE),IF(OR(ISBLANK(C326),ISBLANK(B326)),"",VLOOKUP(C326,Deflatores!G$4:H$38,2,FALSE)*H326+VLOOKUP(C326,Deflatores!G$4:I$38,3,FALSE)))</f>
        <v/>
      </c>
      <c r="M326" s="10"/>
      <c r="N326" s="10"/>
      <c r="O326" s="6"/>
    </row>
    <row r="327" spans="1:15" x14ac:dyDescent="0.2">
      <c r="A327" s="128"/>
      <c r="B327" s="4"/>
      <c r="C327" s="4"/>
      <c r="D327" s="7"/>
      <c r="E327" s="7"/>
      <c r="F327" s="8" t="str">
        <f t="shared" si="387"/>
        <v/>
      </c>
      <c r="G327" s="7" t="str">
        <f>CONCATENATE(B327,I327)</f>
        <v/>
      </c>
      <c r="H327" s="5" t="str">
        <f t="shared" si="388"/>
        <v/>
      </c>
      <c r="I327" s="122" t="str">
        <f t="shared" si="389"/>
        <v/>
      </c>
      <c r="J327" s="7" t="str">
        <f t="shared" si="390"/>
        <v/>
      </c>
      <c r="K327" s="9" t="str">
        <f t="shared" si="391"/>
        <v/>
      </c>
      <c r="L327" s="9" t="str">
        <f>IF(NOT(ISERROR(VLOOKUP(B327,Deflatores!G$42:H$64,2,FALSE))),VLOOKUP(B327,Deflatores!G$42:H$64,2,FALSE),IF(OR(ISBLANK(C327),ISBLANK(B327)),"",VLOOKUP(C327,Deflatores!G$4:H$38,2,FALSE)*H327+VLOOKUP(C327,Deflatores!G$4:I$38,3,FALSE)))</f>
        <v/>
      </c>
      <c r="M327" s="10"/>
      <c r="N327" s="10"/>
      <c r="O327" s="6"/>
    </row>
    <row r="328" spans="1:15" x14ac:dyDescent="0.2">
      <c r="A328" s="126"/>
      <c r="B328" s="4"/>
      <c r="C328" s="4"/>
      <c r="D328" s="7"/>
      <c r="E328" s="7"/>
      <c r="F328" s="8" t="str">
        <f t="shared" si="387"/>
        <v/>
      </c>
      <c r="G328" s="7" t="str">
        <f t="shared" si="393"/>
        <v/>
      </c>
      <c r="H328" s="5" t="str">
        <f t="shared" si="388"/>
        <v/>
      </c>
      <c r="I328" s="122" t="str">
        <f t="shared" si="389"/>
        <v/>
      </c>
      <c r="J328" s="7" t="str">
        <f t="shared" si="390"/>
        <v/>
      </c>
      <c r="K328" s="9" t="str">
        <f t="shared" si="391"/>
        <v/>
      </c>
      <c r="L328" s="9" t="str">
        <f>IF(NOT(ISERROR(VLOOKUP(B328,Deflatores!G$42:H$64,2,FALSE))),VLOOKUP(B328,Deflatores!G$42:H$64,2,FALSE),IF(OR(ISBLANK(C328),ISBLANK(B328)),"",VLOOKUP(C328,Deflatores!G$4:H$38,2,FALSE)*H328+VLOOKUP(C328,Deflatores!G$4:I$38,3,FALSE)))</f>
        <v/>
      </c>
      <c r="M328" s="10"/>
      <c r="N328" s="10"/>
      <c r="O328" s="6"/>
    </row>
    <row r="329" spans="1:15" x14ac:dyDescent="0.2">
      <c r="A329" s="126"/>
      <c r="B329" s="4"/>
      <c r="C329" s="4"/>
      <c r="D329" s="7"/>
      <c r="E329" s="7"/>
      <c r="F329" s="8" t="str">
        <f t="shared" si="387"/>
        <v/>
      </c>
      <c r="G329" s="7" t="str">
        <f t="shared" si="393"/>
        <v/>
      </c>
      <c r="H329" s="5" t="str">
        <f t="shared" si="388"/>
        <v/>
      </c>
      <c r="I329" s="122" t="str">
        <f t="shared" si="389"/>
        <v/>
      </c>
      <c r="J329" s="7" t="str">
        <f t="shared" si="390"/>
        <v/>
      </c>
      <c r="K329" s="9" t="str">
        <f t="shared" si="391"/>
        <v/>
      </c>
      <c r="L329" s="9" t="str">
        <f>IF(NOT(ISERROR(VLOOKUP(B329,Deflatores!G$42:H$64,2,FALSE))),VLOOKUP(B329,Deflatores!G$42:H$64,2,FALSE),IF(OR(ISBLANK(C329),ISBLANK(B329)),"",VLOOKUP(C329,Deflatores!G$4:H$38,2,FALSE)*H329+VLOOKUP(C329,Deflatores!G$4:I$38,3,FALSE)))</f>
        <v/>
      </c>
      <c r="M329" s="10"/>
      <c r="N329" s="10"/>
      <c r="O329" s="6"/>
    </row>
    <row r="330" spans="1:15" x14ac:dyDescent="0.2">
      <c r="A330" s="126"/>
      <c r="B330" s="4"/>
      <c r="C330" s="4"/>
      <c r="D330" s="7"/>
      <c r="E330" s="7"/>
      <c r="F330" s="8" t="str">
        <f t="shared" si="387"/>
        <v/>
      </c>
      <c r="G330" s="7" t="str">
        <f t="shared" si="393"/>
        <v/>
      </c>
      <c r="H330" s="5" t="str">
        <f t="shared" si="388"/>
        <v/>
      </c>
      <c r="I330" s="122" t="str">
        <f t="shared" si="389"/>
        <v/>
      </c>
      <c r="J330" s="7" t="str">
        <f t="shared" si="390"/>
        <v/>
      </c>
      <c r="K330" s="9" t="str">
        <f t="shared" si="391"/>
        <v/>
      </c>
      <c r="L330" s="9" t="str">
        <f>IF(NOT(ISERROR(VLOOKUP(B330,Deflatores!G$42:H$64,2,FALSE))),VLOOKUP(B330,Deflatores!G$42:H$64,2,FALSE),IF(OR(ISBLANK(C330),ISBLANK(B330)),"",VLOOKUP(C330,Deflatores!G$4:H$38,2,FALSE)*H330+VLOOKUP(C330,Deflatores!G$4:I$38,3,FALSE)))</f>
        <v/>
      </c>
      <c r="M330" s="10"/>
      <c r="N330" s="10"/>
      <c r="O330" s="6"/>
    </row>
    <row r="331" spans="1:15" x14ac:dyDescent="0.2">
      <c r="A331" s="126"/>
      <c r="B331" s="4"/>
      <c r="C331" s="4"/>
      <c r="D331" s="7"/>
      <c r="E331" s="7"/>
      <c r="F331" s="8" t="str">
        <f t="shared" si="387"/>
        <v/>
      </c>
      <c r="G331" s="7" t="str">
        <f t="shared" si="393"/>
        <v/>
      </c>
      <c r="H331" s="5" t="str">
        <f t="shared" si="388"/>
        <v/>
      </c>
      <c r="I331" s="122" t="str">
        <f t="shared" si="389"/>
        <v/>
      </c>
      <c r="J331" s="7" t="str">
        <f t="shared" si="390"/>
        <v/>
      </c>
      <c r="K331" s="9" t="str">
        <f t="shared" si="391"/>
        <v/>
      </c>
      <c r="L331" s="9" t="str">
        <f>IF(NOT(ISERROR(VLOOKUP(B331,Deflatores!G$42:H$64,2,FALSE))),VLOOKUP(B331,Deflatores!G$42:H$64,2,FALSE),IF(OR(ISBLANK(C331),ISBLANK(B331)),"",VLOOKUP(C331,Deflatores!G$4:H$38,2,FALSE)*H331+VLOOKUP(C331,Deflatores!G$4:I$38,3,FALSE)))</f>
        <v/>
      </c>
      <c r="M331" s="10"/>
      <c r="N331" s="10"/>
      <c r="O331" s="6"/>
    </row>
    <row r="332" spans="1:15" x14ac:dyDescent="0.2">
      <c r="A332" s="126"/>
      <c r="B332" s="4"/>
      <c r="C332" s="4"/>
      <c r="D332" s="7"/>
      <c r="E332" s="7"/>
      <c r="F332" s="8" t="str">
        <f t="shared" si="387"/>
        <v/>
      </c>
      <c r="G332" s="7" t="str">
        <f t="shared" si="393"/>
        <v/>
      </c>
      <c r="H332" s="5" t="str">
        <f t="shared" si="388"/>
        <v/>
      </c>
      <c r="I332" s="122" t="str">
        <f t="shared" si="389"/>
        <v/>
      </c>
      <c r="J332" s="7" t="str">
        <f t="shared" si="390"/>
        <v/>
      </c>
      <c r="K332" s="9" t="str">
        <f t="shared" si="391"/>
        <v/>
      </c>
      <c r="L332" s="9" t="str">
        <f>IF(NOT(ISERROR(VLOOKUP(B332,Deflatores!G$42:H$64,2,FALSE))),VLOOKUP(B332,Deflatores!G$42:H$64,2,FALSE),IF(OR(ISBLANK(C332),ISBLANK(B332)),"",VLOOKUP(C332,Deflatores!G$4:H$38,2,FALSE)*H332+VLOOKUP(C332,Deflatores!G$4:I$38,3,FALSE)))</f>
        <v/>
      </c>
      <c r="M332" s="10"/>
      <c r="N332" s="10"/>
      <c r="O332" s="6"/>
    </row>
    <row r="333" spans="1:15" x14ac:dyDescent="0.2">
      <c r="A333" s="126"/>
      <c r="B333" s="4"/>
      <c r="C333" s="4"/>
      <c r="D333" s="7"/>
      <c r="E333" s="7"/>
      <c r="F333" s="8" t="str">
        <f t="shared" si="387"/>
        <v/>
      </c>
      <c r="G333" s="7" t="str">
        <f t="shared" si="393"/>
        <v/>
      </c>
      <c r="H333" s="5" t="str">
        <f t="shared" si="388"/>
        <v/>
      </c>
      <c r="I333" s="122" t="str">
        <f t="shared" si="389"/>
        <v/>
      </c>
      <c r="J333" s="7" t="str">
        <f t="shared" si="390"/>
        <v/>
      </c>
      <c r="K333" s="9" t="str">
        <f t="shared" si="391"/>
        <v/>
      </c>
      <c r="L333" s="9" t="str">
        <f>IF(NOT(ISERROR(VLOOKUP(B333,Deflatores!G$42:H$64,2,FALSE))),VLOOKUP(B333,Deflatores!G$42:H$64,2,FALSE),IF(OR(ISBLANK(C333),ISBLANK(B333)),"",VLOOKUP(C333,Deflatores!G$4:H$38,2,FALSE)*H333+VLOOKUP(C333,Deflatores!G$4:I$38,3,FALSE)))</f>
        <v/>
      </c>
      <c r="M333" s="10"/>
      <c r="N333" s="10"/>
      <c r="O333" s="6"/>
    </row>
    <row r="334" spans="1:15" x14ac:dyDescent="0.2">
      <c r="A334" s="126"/>
      <c r="B334" s="4"/>
      <c r="C334" s="4"/>
      <c r="D334" s="7"/>
      <c r="E334" s="7"/>
      <c r="F334" s="8" t="str">
        <f t="shared" si="387"/>
        <v/>
      </c>
      <c r="G334" s="7" t="str">
        <f t="shared" si="393"/>
        <v/>
      </c>
      <c r="H334" s="5" t="str">
        <f t="shared" si="388"/>
        <v/>
      </c>
      <c r="I334" s="122" t="str">
        <f t="shared" si="389"/>
        <v/>
      </c>
      <c r="J334" s="7" t="str">
        <f t="shared" si="390"/>
        <v/>
      </c>
      <c r="K334" s="9" t="str">
        <f t="shared" si="391"/>
        <v/>
      </c>
      <c r="L334" s="9" t="str">
        <f>IF(NOT(ISERROR(VLOOKUP(B334,Deflatores!G$42:H$64,2,FALSE))),VLOOKUP(B334,Deflatores!G$42:H$64,2,FALSE),IF(OR(ISBLANK(C334),ISBLANK(B334)),"",VLOOKUP(C334,Deflatores!G$4:H$38,2,FALSE)*H334+VLOOKUP(C334,Deflatores!G$4:I$38,3,FALSE)))</f>
        <v/>
      </c>
      <c r="M334" s="10"/>
      <c r="N334" s="10"/>
      <c r="O334" s="6"/>
    </row>
    <row r="335" spans="1:15" x14ac:dyDescent="0.2">
      <c r="A335" s="128"/>
      <c r="B335" s="4"/>
      <c r="C335" s="4"/>
      <c r="D335" s="7"/>
      <c r="E335" s="7"/>
      <c r="F335" s="8" t="str">
        <f t="shared" si="387"/>
        <v/>
      </c>
      <c r="G335" s="7" t="str">
        <f t="shared" si="393"/>
        <v/>
      </c>
      <c r="H335" s="5" t="str">
        <f t="shared" si="388"/>
        <v/>
      </c>
      <c r="I335" s="122" t="str">
        <f t="shared" si="389"/>
        <v/>
      </c>
      <c r="J335" s="7" t="str">
        <f t="shared" si="390"/>
        <v/>
      </c>
      <c r="K335" s="9" t="str">
        <f t="shared" si="391"/>
        <v/>
      </c>
      <c r="L335" s="9" t="str">
        <f>IF(NOT(ISERROR(VLOOKUP(B335,Deflatores!G$42:H$64,2,FALSE))),VLOOKUP(B335,Deflatores!G$42:H$64,2,FALSE),IF(OR(ISBLANK(C335),ISBLANK(B335)),"",VLOOKUP(C335,Deflatores!G$4:H$38,2,FALSE)*H335+VLOOKUP(C335,Deflatores!G$4:I$38,3,FALSE)))</f>
        <v/>
      </c>
      <c r="M335" s="10"/>
      <c r="N335" s="10"/>
      <c r="O335" s="6"/>
    </row>
    <row r="336" spans="1:15" x14ac:dyDescent="0.2">
      <c r="A336" s="126"/>
      <c r="B336" s="4"/>
      <c r="C336" s="4"/>
      <c r="D336" s="7"/>
      <c r="E336" s="7"/>
      <c r="F336" s="8" t="str">
        <f t="shared" si="387"/>
        <v/>
      </c>
      <c r="G336" s="7" t="str">
        <f t="shared" si="393"/>
        <v/>
      </c>
      <c r="H336" s="5" t="str">
        <f t="shared" si="388"/>
        <v/>
      </c>
      <c r="I336" s="122" t="str">
        <f t="shared" si="389"/>
        <v/>
      </c>
      <c r="J336" s="7" t="str">
        <f t="shared" si="390"/>
        <v/>
      </c>
      <c r="K336" s="9" t="str">
        <f t="shared" si="391"/>
        <v/>
      </c>
      <c r="L336" s="9" t="str">
        <f>IF(NOT(ISERROR(VLOOKUP(B336,Deflatores!G$42:H$64,2,FALSE))),VLOOKUP(B336,Deflatores!G$42:H$64,2,FALSE),IF(OR(ISBLANK(C336),ISBLANK(B336)),"",VLOOKUP(C336,Deflatores!G$4:H$38,2,FALSE)*H336+VLOOKUP(C336,Deflatores!G$4:I$38,3,FALSE)))</f>
        <v/>
      </c>
      <c r="M336" s="10"/>
      <c r="N336" s="10"/>
      <c r="O336" s="6"/>
    </row>
    <row r="337" spans="1:15" x14ac:dyDescent="0.2">
      <c r="A337" s="126"/>
      <c r="B337" s="4"/>
      <c r="C337" s="4"/>
      <c r="D337" s="7"/>
      <c r="E337" s="7"/>
      <c r="F337" s="8" t="str">
        <f t="shared" si="387"/>
        <v/>
      </c>
      <c r="G337" s="7" t="str">
        <f t="shared" si="393"/>
        <v/>
      </c>
      <c r="H337" s="5" t="str">
        <f t="shared" si="388"/>
        <v/>
      </c>
      <c r="I337" s="122" t="str">
        <f t="shared" si="389"/>
        <v/>
      </c>
      <c r="J337" s="7" t="str">
        <f t="shared" si="390"/>
        <v/>
      </c>
      <c r="K337" s="9" t="str">
        <f t="shared" si="391"/>
        <v/>
      </c>
      <c r="L337" s="9" t="str">
        <f>IF(NOT(ISERROR(VLOOKUP(B337,Deflatores!G$42:H$64,2,FALSE))),VLOOKUP(B337,Deflatores!G$42:H$64,2,FALSE),IF(OR(ISBLANK(C337),ISBLANK(B337)),"",VLOOKUP(C337,Deflatores!G$4:H$38,2,FALSE)*H337+VLOOKUP(C337,Deflatores!G$4:I$38,3,FALSE)))</f>
        <v/>
      </c>
      <c r="M337" s="10"/>
      <c r="N337" s="10"/>
      <c r="O337" s="6"/>
    </row>
    <row r="338" spans="1:15" x14ac:dyDescent="0.2">
      <c r="A338" s="126"/>
      <c r="B338" s="4"/>
      <c r="C338" s="4"/>
      <c r="D338" s="7"/>
      <c r="E338" s="7"/>
      <c r="F338" s="8" t="str">
        <f t="shared" si="387"/>
        <v/>
      </c>
      <c r="G338" s="7" t="str">
        <f t="shared" si="393"/>
        <v/>
      </c>
      <c r="H338" s="5" t="str">
        <f t="shared" si="388"/>
        <v/>
      </c>
      <c r="I338" s="122" t="str">
        <f t="shared" si="389"/>
        <v/>
      </c>
      <c r="J338" s="7" t="str">
        <f t="shared" si="390"/>
        <v/>
      </c>
      <c r="K338" s="9" t="str">
        <f t="shared" si="391"/>
        <v/>
      </c>
      <c r="L338" s="9" t="str">
        <f>IF(NOT(ISERROR(VLOOKUP(B338,Deflatores!G$42:H$64,2,FALSE))),VLOOKUP(B338,Deflatores!G$42:H$64,2,FALSE),IF(OR(ISBLANK(C338),ISBLANK(B338)),"",VLOOKUP(C338,Deflatores!G$4:H$38,2,FALSE)*H338+VLOOKUP(C338,Deflatores!G$4:I$38,3,FALSE)))</f>
        <v/>
      </c>
      <c r="M338" s="10"/>
      <c r="N338" s="10"/>
      <c r="O338" s="6"/>
    </row>
    <row r="339" spans="1:15" x14ac:dyDescent="0.2">
      <c r="A339" s="126"/>
      <c r="B339" s="4"/>
      <c r="C339" s="4"/>
      <c r="D339" s="7"/>
      <c r="E339" s="7"/>
      <c r="F339" s="8" t="str">
        <f t="shared" si="387"/>
        <v/>
      </c>
      <c r="G339" s="7" t="str">
        <f t="shared" si="393"/>
        <v/>
      </c>
      <c r="H339" s="5" t="str">
        <f t="shared" si="388"/>
        <v/>
      </c>
      <c r="I339" s="122" t="str">
        <f t="shared" si="389"/>
        <v/>
      </c>
      <c r="J339" s="7" t="str">
        <f t="shared" si="390"/>
        <v/>
      </c>
      <c r="K339" s="9" t="str">
        <f t="shared" si="391"/>
        <v/>
      </c>
      <c r="L339" s="9" t="str">
        <f>IF(NOT(ISERROR(VLOOKUP(B339,Deflatores!G$42:H$64,2,FALSE))),VLOOKUP(B339,Deflatores!G$42:H$64,2,FALSE),IF(OR(ISBLANK(C339),ISBLANK(B339)),"",VLOOKUP(C339,Deflatores!G$4:H$38,2,FALSE)*H339+VLOOKUP(C339,Deflatores!G$4:I$38,3,FALSE)))</f>
        <v/>
      </c>
      <c r="M339" s="10"/>
      <c r="N339" s="10"/>
      <c r="O339" s="6"/>
    </row>
    <row r="340" spans="1:15" x14ac:dyDescent="0.2">
      <c r="A340" s="126"/>
      <c r="B340" s="4"/>
      <c r="C340" s="4"/>
      <c r="D340" s="7"/>
      <c r="E340" s="7"/>
      <c r="F340" s="8" t="str">
        <f t="shared" si="387"/>
        <v/>
      </c>
      <c r="G340" s="7" t="str">
        <f t="shared" si="393"/>
        <v/>
      </c>
      <c r="H340" s="5" t="str">
        <f t="shared" si="388"/>
        <v/>
      </c>
      <c r="I340" s="122" t="str">
        <f t="shared" si="389"/>
        <v/>
      </c>
      <c r="J340" s="7" t="str">
        <f t="shared" si="390"/>
        <v/>
      </c>
      <c r="K340" s="9" t="str">
        <f t="shared" si="391"/>
        <v/>
      </c>
      <c r="L340" s="9" t="str">
        <f>IF(NOT(ISERROR(VLOOKUP(B340,Deflatores!G$42:H$64,2,FALSE))),VLOOKUP(B340,Deflatores!G$42:H$64,2,FALSE),IF(OR(ISBLANK(C340),ISBLANK(B340)),"",VLOOKUP(C340,Deflatores!G$4:H$38,2,FALSE)*H340+VLOOKUP(C340,Deflatores!G$4:I$38,3,FALSE)))</f>
        <v/>
      </c>
      <c r="M340" s="10"/>
      <c r="N340" s="10"/>
      <c r="O340" s="6"/>
    </row>
    <row r="341" spans="1:15" x14ac:dyDescent="0.2">
      <c r="A341" s="126"/>
      <c r="B341" s="4"/>
      <c r="C341" s="4"/>
      <c r="D341" s="7"/>
      <c r="E341" s="7"/>
      <c r="F341" s="8" t="str">
        <f t="shared" si="387"/>
        <v/>
      </c>
      <c r="G341" s="7" t="str">
        <f t="shared" si="393"/>
        <v/>
      </c>
      <c r="H341" s="5" t="str">
        <f t="shared" si="388"/>
        <v/>
      </c>
      <c r="I341" s="122" t="str">
        <f t="shared" si="389"/>
        <v/>
      </c>
      <c r="J341" s="7" t="str">
        <f t="shared" si="390"/>
        <v/>
      </c>
      <c r="K341" s="9" t="str">
        <f t="shared" si="391"/>
        <v/>
      </c>
      <c r="L341" s="9" t="str">
        <f>IF(NOT(ISERROR(VLOOKUP(B341,Deflatores!G$42:H$64,2,FALSE))),VLOOKUP(B341,Deflatores!G$42:H$64,2,FALSE),IF(OR(ISBLANK(C341),ISBLANK(B341)),"",VLOOKUP(C341,Deflatores!G$4:H$38,2,FALSE)*H341+VLOOKUP(C341,Deflatores!G$4:I$38,3,FALSE)))</f>
        <v/>
      </c>
      <c r="M341" s="10"/>
      <c r="N341" s="10"/>
      <c r="O341" s="6"/>
    </row>
    <row r="342" spans="1:15" x14ac:dyDescent="0.2">
      <c r="A342" s="126"/>
      <c r="B342" s="4"/>
      <c r="C342" s="4"/>
      <c r="D342" s="7"/>
      <c r="E342" s="7"/>
      <c r="F342" s="8" t="str">
        <f t="shared" si="387"/>
        <v/>
      </c>
      <c r="G342" s="7" t="str">
        <f t="shared" si="393"/>
        <v/>
      </c>
      <c r="H342" s="5" t="str">
        <f t="shared" si="388"/>
        <v/>
      </c>
      <c r="I342" s="122" t="str">
        <f t="shared" si="389"/>
        <v/>
      </c>
      <c r="J342" s="7" t="str">
        <f t="shared" si="390"/>
        <v/>
      </c>
      <c r="K342" s="9" t="str">
        <f t="shared" si="391"/>
        <v/>
      </c>
      <c r="L342" s="9" t="str">
        <f>IF(NOT(ISERROR(VLOOKUP(B342,Deflatores!G$42:H$64,2,FALSE))),VLOOKUP(B342,Deflatores!G$42:H$64,2,FALSE),IF(OR(ISBLANK(C342),ISBLANK(B342)),"",VLOOKUP(C342,Deflatores!G$4:H$38,2,FALSE)*H342+VLOOKUP(C342,Deflatores!G$4:I$38,3,FALSE)))</f>
        <v/>
      </c>
      <c r="M342" s="10"/>
      <c r="N342" s="10"/>
      <c r="O342" s="6"/>
    </row>
    <row r="343" spans="1:15" x14ac:dyDescent="0.2">
      <c r="A343" s="126"/>
      <c r="B343" s="4"/>
      <c r="C343" s="4"/>
      <c r="D343" s="7"/>
      <c r="E343" s="7"/>
      <c r="F343" s="8" t="str">
        <f t="shared" ref="F343:F382" si="394">IF(ISBLANK(B343),"",IF(I343="L","Baixa",IF(I343="A","Média",IF(I343="","","Alta"))))</f>
        <v/>
      </c>
      <c r="G343" s="7" t="str">
        <f t="shared" si="393"/>
        <v/>
      </c>
      <c r="H343" s="5" t="str">
        <f t="shared" ref="H343:H382" si="395">IF(ISBLANK(B343),"",IF(B343="ALI",IF(I343="L",7,IF(I343="A",10,15)),IF(B343="AIE",IF(I343="L",5,IF(I343="A",7,10)),IF(B343="SE",IF(I343="L",4,IF(I343="A",5,7)),IF(OR(B343="EE",B343="CE"),IF(I343="L",3,IF(I343="A",4,6)),0)))))</f>
        <v/>
      </c>
      <c r="I343" s="122" t="str">
        <f t="shared" si="389"/>
        <v/>
      </c>
      <c r="J343" s="7" t="str">
        <f t="shared" si="390"/>
        <v/>
      </c>
      <c r="K343" s="9" t="str">
        <f t="shared" si="391"/>
        <v/>
      </c>
      <c r="L343" s="9" t="str">
        <f>IF(NOT(ISERROR(VLOOKUP(B343,Deflatores!G$42:H$64,2,FALSE))),VLOOKUP(B343,Deflatores!G$42:H$64,2,FALSE),IF(OR(ISBLANK(C343),ISBLANK(B343)),"",VLOOKUP(C343,Deflatores!G$4:H$38,2,FALSE)*H343+VLOOKUP(C343,Deflatores!G$4:I$38,3,FALSE)))</f>
        <v/>
      </c>
      <c r="M343" s="10"/>
      <c r="N343" s="10"/>
      <c r="O343" s="6"/>
    </row>
    <row r="344" spans="1:15" x14ac:dyDescent="0.2">
      <c r="A344" s="126"/>
      <c r="B344" s="4"/>
      <c r="C344" s="4"/>
      <c r="D344" s="7"/>
      <c r="E344" s="7"/>
      <c r="F344" s="8" t="str">
        <f t="shared" si="394"/>
        <v/>
      </c>
      <c r="G344" s="7" t="str">
        <f t="shared" si="393"/>
        <v/>
      </c>
      <c r="H344" s="5" t="str">
        <f t="shared" si="395"/>
        <v/>
      </c>
      <c r="I344" s="122" t="str">
        <f t="shared" ref="I344:I407" si="396">IF(OR(ISBLANK(D344),ISBLANK(E344)),IF(OR(B344="ALI",B344="AIE"),"L",IF(OR(B344="EE",B344="SE",B344="CE"),"A","")),IF(B344="EE",IF(E344&gt;=3,IF(D344&gt;=5,"H","A"),IF(E344&gt;=2,IF(D344&gt;=16,"H",IF(D344&lt;=4,"L","A")),IF(D344&lt;=15,"L","A"))),IF(OR(B344="SE",B344="CE"),IF(E344&gt;=4,IF(D344&gt;=6,"H","A"),IF(E344&gt;=2,IF(D344&gt;=20,"H",IF(D344&lt;=5,"L","A")),IF(D344&lt;=19,"L","A"))),IF(OR(B344="ALI",B344="AIE"),IF(E344&gt;=6,IF(D344&gt;=20,"H","A"),IF(E344&gt;=2,IF(D344&gt;=51,"H",IF(D344&lt;=19,"L","A")),IF(D344&lt;=50,"L","A"))),""))))</f>
        <v/>
      </c>
      <c r="J344" s="7" t="str">
        <f t="shared" ref="J344:J407" si="397">CONCATENATE(B344,C344)</f>
        <v/>
      </c>
      <c r="K344" s="9" t="str">
        <f t="shared" ref="K344:K407" si="398">IF(OR(H344="",H344=0),L344,H344)</f>
        <v/>
      </c>
      <c r="L344" s="9" t="str">
        <f>IF(NOT(ISERROR(VLOOKUP(B344,Deflatores!G$42:H$64,2,FALSE))),VLOOKUP(B344,Deflatores!G$42:H$64,2,FALSE),IF(OR(ISBLANK(C344),ISBLANK(B344)),"",VLOOKUP(C344,Deflatores!G$4:H$38,2,FALSE)*H344+VLOOKUP(C344,Deflatores!G$4:I$38,3,FALSE)))</f>
        <v/>
      </c>
      <c r="M344" s="10"/>
      <c r="N344" s="10"/>
      <c r="O344" s="6"/>
    </row>
    <row r="345" spans="1:15" x14ac:dyDescent="0.2">
      <c r="A345" s="128"/>
      <c r="B345" s="4"/>
      <c r="C345" s="4"/>
      <c r="D345" s="7"/>
      <c r="E345" s="7"/>
      <c r="F345" s="8" t="str">
        <f t="shared" si="394"/>
        <v/>
      </c>
      <c r="G345" s="7" t="str">
        <f t="shared" si="393"/>
        <v/>
      </c>
      <c r="H345" s="5" t="str">
        <f t="shared" si="395"/>
        <v/>
      </c>
      <c r="I345" s="122" t="str">
        <f t="shared" si="396"/>
        <v/>
      </c>
      <c r="J345" s="7" t="str">
        <f t="shared" si="397"/>
        <v/>
      </c>
      <c r="K345" s="9" t="str">
        <f t="shared" si="398"/>
        <v/>
      </c>
      <c r="L345" s="9" t="str">
        <f>IF(NOT(ISERROR(VLOOKUP(B345,Deflatores!G$42:H$64,2,FALSE))),VLOOKUP(B345,Deflatores!G$42:H$64,2,FALSE),IF(OR(ISBLANK(C345),ISBLANK(B345)),"",VLOOKUP(C345,Deflatores!G$4:H$38,2,FALSE)*H345+VLOOKUP(C345,Deflatores!G$4:I$38,3,FALSE)))</f>
        <v/>
      </c>
      <c r="M345" s="10"/>
      <c r="N345" s="10"/>
      <c r="O345" s="6"/>
    </row>
    <row r="346" spans="1:15" x14ac:dyDescent="0.2">
      <c r="A346" s="126"/>
      <c r="B346" s="4"/>
      <c r="C346" s="4"/>
      <c r="D346" s="7"/>
      <c r="E346" s="7"/>
      <c r="F346" s="8" t="str">
        <f t="shared" si="394"/>
        <v/>
      </c>
      <c r="G346" s="7" t="str">
        <f t="shared" si="393"/>
        <v/>
      </c>
      <c r="H346" s="5" t="str">
        <f t="shared" si="395"/>
        <v/>
      </c>
      <c r="I346" s="122" t="str">
        <f t="shared" si="396"/>
        <v/>
      </c>
      <c r="J346" s="7" t="str">
        <f t="shared" si="397"/>
        <v/>
      </c>
      <c r="K346" s="9" t="str">
        <f t="shared" si="398"/>
        <v/>
      </c>
      <c r="L346" s="9" t="str">
        <f>IF(NOT(ISERROR(VLOOKUP(B346,Deflatores!G$42:H$64,2,FALSE))),VLOOKUP(B346,Deflatores!G$42:H$64,2,FALSE),IF(OR(ISBLANK(C346),ISBLANK(B346)),"",VLOOKUP(C346,Deflatores!G$4:H$38,2,FALSE)*H346+VLOOKUP(C346,Deflatores!G$4:I$38,3,FALSE)))</f>
        <v/>
      </c>
      <c r="M346" s="10"/>
      <c r="N346" s="10"/>
      <c r="O346" s="6"/>
    </row>
    <row r="347" spans="1:15" x14ac:dyDescent="0.2">
      <c r="A347" s="126"/>
      <c r="B347" s="4"/>
      <c r="C347" s="4"/>
      <c r="D347" s="7"/>
      <c r="E347" s="7"/>
      <c r="F347" s="8" t="str">
        <f t="shared" si="394"/>
        <v/>
      </c>
      <c r="G347" s="7" t="str">
        <f t="shared" si="393"/>
        <v/>
      </c>
      <c r="H347" s="5" t="str">
        <f t="shared" si="395"/>
        <v/>
      </c>
      <c r="I347" s="122" t="str">
        <f t="shared" si="396"/>
        <v/>
      </c>
      <c r="J347" s="7" t="str">
        <f t="shared" si="397"/>
        <v/>
      </c>
      <c r="K347" s="9" t="str">
        <f t="shared" si="398"/>
        <v/>
      </c>
      <c r="L347" s="9" t="str">
        <f>IF(NOT(ISERROR(VLOOKUP(B347,Deflatores!G$42:H$64,2,FALSE))),VLOOKUP(B347,Deflatores!G$42:H$64,2,FALSE),IF(OR(ISBLANK(C347),ISBLANK(B347)),"",VLOOKUP(C347,Deflatores!G$4:H$38,2,FALSE)*H347+VLOOKUP(C347,Deflatores!G$4:I$38,3,FALSE)))</f>
        <v/>
      </c>
      <c r="M347" s="10"/>
      <c r="N347" s="10"/>
      <c r="O347" s="6"/>
    </row>
    <row r="348" spans="1:15" x14ac:dyDescent="0.2">
      <c r="A348" s="126"/>
      <c r="B348" s="4"/>
      <c r="C348" s="4"/>
      <c r="D348" s="7"/>
      <c r="E348" s="7"/>
      <c r="F348" s="8" t="str">
        <f t="shared" si="394"/>
        <v/>
      </c>
      <c r="G348" s="7" t="str">
        <f t="shared" si="393"/>
        <v/>
      </c>
      <c r="H348" s="5" t="str">
        <f t="shared" si="395"/>
        <v/>
      </c>
      <c r="I348" s="122" t="str">
        <f t="shared" si="396"/>
        <v/>
      </c>
      <c r="J348" s="7" t="str">
        <f t="shared" si="397"/>
        <v/>
      </c>
      <c r="K348" s="9" t="str">
        <f t="shared" si="398"/>
        <v/>
      </c>
      <c r="L348" s="9" t="str">
        <f>IF(NOT(ISERROR(VLOOKUP(B348,Deflatores!G$42:H$64,2,FALSE))),VLOOKUP(B348,Deflatores!G$42:H$64,2,FALSE),IF(OR(ISBLANK(C348),ISBLANK(B348)),"",VLOOKUP(C348,Deflatores!G$4:H$38,2,FALSE)*H348+VLOOKUP(C348,Deflatores!G$4:I$38,3,FALSE)))</f>
        <v/>
      </c>
      <c r="M348" s="10"/>
      <c r="N348" s="10"/>
      <c r="O348" s="6"/>
    </row>
    <row r="349" spans="1:15" x14ac:dyDescent="0.2">
      <c r="A349" s="128"/>
      <c r="B349" s="4"/>
      <c r="C349" s="4"/>
      <c r="D349" s="7"/>
      <c r="E349" s="7"/>
      <c r="F349" s="8" t="str">
        <f t="shared" si="394"/>
        <v/>
      </c>
      <c r="G349" s="7" t="str">
        <f t="shared" si="393"/>
        <v/>
      </c>
      <c r="H349" s="5" t="str">
        <f t="shared" si="395"/>
        <v/>
      </c>
      <c r="I349" s="122" t="str">
        <f t="shared" si="396"/>
        <v/>
      </c>
      <c r="J349" s="7" t="str">
        <f t="shared" si="397"/>
        <v/>
      </c>
      <c r="K349" s="9" t="str">
        <f t="shared" si="398"/>
        <v/>
      </c>
      <c r="L349" s="9" t="str">
        <f>IF(NOT(ISERROR(VLOOKUP(B349,Deflatores!G$42:H$64,2,FALSE))),VLOOKUP(B349,Deflatores!G$42:H$64,2,FALSE),IF(OR(ISBLANK(C349),ISBLANK(B349)),"",VLOOKUP(C349,Deflatores!G$4:H$38,2,FALSE)*H349+VLOOKUP(C349,Deflatores!G$4:I$38,3,FALSE)))</f>
        <v/>
      </c>
      <c r="M349" s="10"/>
      <c r="N349" s="10"/>
      <c r="O349" s="6"/>
    </row>
    <row r="350" spans="1:15" x14ac:dyDescent="0.2">
      <c r="A350" s="126"/>
      <c r="B350" s="4"/>
      <c r="C350" s="4"/>
      <c r="D350" s="7"/>
      <c r="E350" s="7"/>
      <c r="F350" s="8" t="str">
        <f t="shared" si="394"/>
        <v/>
      </c>
      <c r="G350" s="7" t="str">
        <f t="shared" si="393"/>
        <v/>
      </c>
      <c r="H350" s="5" t="str">
        <f t="shared" si="395"/>
        <v/>
      </c>
      <c r="I350" s="122" t="str">
        <f t="shared" si="396"/>
        <v/>
      </c>
      <c r="J350" s="7" t="str">
        <f t="shared" si="397"/>
        <v/>
      </c>
      <c r="K350" s="9" t="str">
        <f t="shared" si="398"/>
        <v/>
      </c>
      <c r="L350" s="9" t="str">
        <f>IF(NOT(ISERROR(VLOOKUP(B350,Deflatores!G$42:H$64,2,FALSE))),VLOOKUP(B350,Deflatores!G$42:H$64,2,FALSE),IF(OR(ISBLANK(C350),ISBLANK(B350)),"",VLOOKUP(C350,Deflatores!G$4:H$38,2,FALSE)*H350+VLOOKUP(C350,Deflatores!G$4:I$38,3,FALSE)))</f>
        <v/>
      </c>
      <c r="M350" s="10"/>
      <c r="N350" s="10"/>
      <c r="O350" s="6"/>
    </row>
    <row r="351" spans="1:15" x14ac:dyDescent="0.2">
      <c r="A351" s="126"/>
      <c r="B351" s="4"/>
      <c r="C351" s="4"/>
      <c r="D351" s="7"/>
      <c r="E351" s="7"/>
      <c r="F351" s="8" t="str">
        <f t="shared" si="394"/>
        <v/>
      </c>
      <c r="G351" s="7" t="str">
        <f t="shared" si="393"/>
        <v/>
      </c>
      <c r="H351" s="5" t="str">
        <f t="shared" si="395"/>
        <v/>
      </c>
      <c r="I351" s="122" t="str">
        <f t="shared" si="396"/>
        <v/>
      </c>
      <c r="J351" s="7" t="str">
        <f t="shared" si="397"/>
        <v/>
      </c>
      <c r="K351" s="9" t="str">
        <f t="shared" si="398"/>
        <v/>
      </c>
      <c r="L351" s="9" t="str">
        <f>IF(NOT(ISERROR(VLOOKUP(B351,Deflatores!G$42:H$64,2,FALSE))),VLOOKUP(B351,Deflatores!G$42:H$64,2,FALSE),IF(OR(ISBLANK(C351),ISBLANK(B351)),"",VLOOKUP(C351,Deflatores!G$4:H$38,2,FALSE)*H351+VLOOKUP(C351,Deflatores!G$4:I$38,3,FALSE)))</f>
        <v/>
      </c>
      <c r="M351" s="10"/>
      <c r="N351" s="10"/>
      <c r="O351" s="6"/>
    </row>
    <row r="352" spans="1:15" ht="14.25" customHeight="1" x14ac:dyDescent="0.2">
      <c r="A352" s="126"/>
      <c r="B352" s="4"/>
      <c r="C352" s="4"/>
      <c r="D352" s="7"/>
      <c r="E352" s="7"/>
      <c r="F352" s="8" t="str">
        <f t="shared" si="394"/>
        <v/>
      </c>
      <c r="G352" s="7" t="str">
        <f t="shared" si="393"/>
        <v/>
      </c>
      <c r="H352" s="5" t="str">
        <f t="shared" si="395"/>
        <v/>
      </c>
      <c r="I352" s="122" t="str">
        <f t="shared" si="396"/>
        <v/>
      </c>
      <c r="J352" s="7" t="str">
        <f t="shared" si="397"/>
        <v/>
      </c>
      <c r="K352" s="9" t="str">
        <f t="shared" si="398"/>
        <v/>
      </c>
      <c r="L352" s="9" t="str">
        <f>IF(NOT(ISERROR(VLOOKUP(B352,Deflatores!G$42:H$64,2,FALSE))),VLOOKUP(B352,Deflatores!G$42:H$64,2,FALSE),IF(OR(ISBLANK(C352),ISBLANK(B352)),"",VLOOKUP(C352,Deflatores!G$4:H$38,2,FALSE)*H352+VLOOKUP(C352,Deflatores!G$4:I$38,3,FALSE)))</f>
        <v/>
      </c>
      <c r="M352" s="10"/>
      <c r="N352" s="10"/>
      <c r="O352" s="6"/>
    </row>
    <row r="353" spans="1:15" x14ac:dyDescent="0.2">
      <c r="A353" s="126"/>
      <c r="B353" s="4"/>
      <c r="C353" s="4"/>
      <c r="D353" s="7"/>
      <c r="E353" s="7"/>
      <c r="F353" s="8" t="str">
        <f t="shared" si="394"/>
        <v/>
      </c>
      <c r="G353" s="7" t="str">
        <f t="shared" ref="G353:G369" si="399">CONCATENATE(B353,I353)</f>
        <v/>
      </c>
      <c r="H353" s="5" t="str">
        <f t="shared" si="395"/>
        <v/>
      </c>
      <c r="I353" s="122" t="str">
        <f t="shared" si="396"/>
        <v/>
      </c>
      <c r="J353" s="7" t="str">
        <f t="shared" si="397"/>
        <v/>
      </c>
      <c r="K353" s="9" t="str">
        <f t="shared" si="398"/>
        <v/>
      </c>
      <c r="L353" s="9" t="str">
        <f>IF(NOT(ISERROR(VLOOKUP(B353,Deflatores!G$42:H$64,2,FALSE))),VLOOKUP(B353,Deflatores!G$42:H$64,2,FALSE),IF(OR(ISBLANK(C353),ISBLANK(B353)),"",VLOOKUP(C353,Deflatores!G$4:H$38,2,FALSE)*H353+VLOOKUP(C353,Deflatores!G$4:I$38,3,FALSE)))</f>
        <v/>
      </c>
      <c r="M353" s="10"/>
      <c r="N353" s="10"/>
      <c r="O353" s="6"/>
    </row>
    <row r="354" spans="1:15" x14ac:dyDescent="0.2">
      <c r="A354" s="126"/>
      <c r="B354" s="4"/>
      <c r="C354" s="4"/>
      <c r="D354" s="7"/>
      <c r="E354" s="7"/>
      <c r="F354" s="8" t="str">
        <f t="shared" si="394"/>
        <v/>
      </c>
      <c r="G354" s="7" t="str">
        <f t="shared" si="399"/>
        <v/>
      </c>
      <c r="H354" s="5" t="str">
        <f t="shared" si="395"/>
        <v/>
      </c>
      <c r="I354" s="122" t="str">
        <f t="shared" si="396"/>
        <v/>
      </c>
      <c r="J354" s="7" t="str">
        <f t="shared" si="397"/>
        <v/>
      </c>
      <c r="K354" s="9" t="str">
        <f t="shared" si="398"/>
        <v/>
      </c>
      <c r="L354" s="9" t="str">
        <f>IF(NOT(ISERROR(VLOOKUP(B354,Deflatores!G$42:H$64,2,FALSE))),VLOOKUP(B354,Deflatores!G$42:H$64,2,FALSE),IF(OR(ISBLANK(C354),ISBLANK(B354)),"",VLOOKUP(C354,Deflatores!G$4:H$38,2,FALSE)*H354+VLOOKUP(C354,Deflatores!G$4:I$38,3,FALSE)))</f>
        <v/>
      </c>
      <c r="M354" s="10"/>
      <c r="N354" s="10"/>
      <c r="O354" s="6"/>
    </row>
    <row r="355" spans="1:15" x14ac:dyDescent="0.2">
      <c r="A355" s="126"/>
      <c r="B355" s="4"/>
      <c r="C355" s="4"/>
      <c r="D355" s="7"/>
      <c r="E355" s="7"/>
      <c r="F355" s="8" t="str">
        <f t="shared" si="394"/>
        <v/>
      </c>
      <c r="G355" s="7" t="str">
        <f t="shared" si="399"/>
        <v/>
      </c>
      <c r="H355" s="5" t="str">
        <f t="shared" si="395"/>
        <v/>
      </c>
      <c r="I355" s="122" t="str">
        <f t="shared" si="396"/>
        <v/>
      </c>
      <c r="J355" s="7" t="str">
        <f t="shared" si="397"/>
        <v/>
      </c>
      <c r="K355" s="9" t="str">
        <f t="shared" si="398"/>
        <v/>
      </c>
      <c r="L355" s="9" t="str">
        <f>IF(NOT(ISERROR(VLOOKUP(B355,Deflatores!G$42:H$64,2,FALSE))),VLOOKUP(B355,Deflatores!G$42:H$64,2,FALSE),IF(OR(ISBLANK(C355),ISBLANK(B355)),"",VLOOKUP(C355,Deflatores!G$4:H$38,2,FALSE)*H355+VLOOKUP(C355,Deflatores!G$4:I$38,3,FALSE)))</f>
        <v/>
      </c>
      <c r="M355" s="10"/>
      <c r="N355" s="10"/>
      <c r="O355" s="6"/>
    </row>
    <row r="356" spans="1:15" x14ac:dyDescent="0.2">
      <c r="A356" s="126"/>
      <c r="B356" s="4"/>
      <c r="C356" s="4"/>
      <c r="D356" s="7"/>
      <c r="E356" s="7"/>
      <c r="F356" s="8" t="str">
        <f t="shared" si="394"/>
        <v/>
      </c>
      <c r="G356" s="7" t="str">
        <f t="shared" si="399"/>
        <v/>
      </c>
      <c r="H356" s="5" t="str">
        <f t="shared" si="395"/>
        <v/>
      </c>
      <c r="I356" s="122" t="str">
        <f t="shared" si="396"/>
        <v/>
      </c>
      <c r="J356" s="7" t="str">
        <f t="shared" si="397"/>
        <v/>
      </c>
      <c r="K356" s="9" t="str">
        <f t="shared" si="398"/>
        <v/>
      </c>
      <c r="L356" s="9" t="str">
        <f>IF(NOT(ISERROR(VLOOKUP(B356,Deflatores!G$42:H$64,2,FALSE))),VLOOKUP(B356,Deflatores!G$42:H$64,2,FALSE),IF(OR(ISBLANK(C356),ISBLANK(B356)),"",VLOOKUP(C356,Deflatores!G$4:H$38,2,FALSE)*H356+VLOOKUP(C356,Deflatores!G$4:I$38,3,FALSE)))</f>
        <v/>
      </c>
      <c r="M356" s="10"/>
      <c r="N356" s="10"/>
      <c r="O356" s="6"/>
    </row>
    <row r="357" spans="1:15" x14ac:dyDescent="0.2">
      <c r="A357" s="126"/>
      <c r="B357" s="4"/>
      <c r="C357" s="4"/>
      <c r="D357" s="7"/>
      <c r="E357" s="7"/>
      <c r="F357" s="8" t="str">
        <f t="shared" si="394"/>
        <v/>
      </c>
      <c r="G357" s="7" t="str">
        <f t="shared" si="399"/>
        <v/>
      </c>
      <c r="H357" s="5" t="str">
        <f t="shared" si="395"/>
        <v/>
      </c>
      <c r="I357" s="122" t="str">
        <f t="shared" si="396"/>
        <v/>
      </c>
      <c r="J357" s="7" t="str">
        <f t="shared" si="397"/>
        <v/>
      </c>
      <c r="K357" s="9" t="str">
        <f t="shared" si="398"/>
        <v/>
      </c>
      <c r="L357" s="9" t="str">
        <f>IF(NOT(ISERROR(VLOOKUP(B357,Deflatores!G$42:H$64,2,FALSE))),VLOOKUP(B357,Deflatores!G$42:H$64,2,FALSE),IF(OR(ISBLANK(C357),ISBLANK(B357)),"",VLOOKUP(C357,Deflatores!G$4:H$38,2,FALSE)*H357+VLOOKUP(C357,Deflatores!G$4:I$38,3,FALSE)))</f>
        <v/>
      </c>
      <c r="M357" s="10"/>
      <c r="N357" s="10"/>
      <c r="O357" s="6"/>
    </row>
    <row r="358" spans="1:15" ht="14.25" customHeight="1" x14ac:dyDescent="0.2">
      <c r="A358" s="126"/>
      <c r="B358" s="4"/>
      <c r="C358" s="4"/>
      <c r="D358" s="7"/>
      <c r="E358" s="7"/>
      <c r="F358" s="8" t="str">
        <f t="shared" si="394"/>
        <v/>
      </c>
      <c r="G358" s="7" t="str">
        <f t="shared" si="399"/>
        <v/>
      </c>
      <c r="H358" s="5" t="str">
        <f t="shared" si="395"/>
        <v/>
      </c>
      <c r="I358" s="122" t="str">
        <f t="shared" si="396"/>
        <v/>
      </c>
      <c r="J358" s="7" t="str">
        <f t="shared" si="397"/>
        <v/>
      </c>
      <c r="K358" s="9" t="str">
        <f t="shared" si="398"/>
        <v/>
      </c>
      <c r="L358" s="9" t="str">
        <f>IF(NOT(ISERROR(VLOOKUP(B358,Deflatores!G$42:H$64,2,FALSE))),VLOOKUP(B358,Deflatores!G$42:H$64,2,FALSE),IF(OR(ISBLANK(C358),ISBLANK(B358)),"",VLOOKUP(C358,Deflatores!G$4:H$38,2,FALSE)*H358+VLOOKUP(C358,Deflatores!G$4:I$38,3,FALSE)))</f>
        <v/>
      </c>
      <c r="M358" s="10"/>
      <c r="N358" s="10"/>
      <c r="O358" s="6"/>
    </row>
    <row r="359" spans="1:15" ht="14.25" customHeight="1" x14ac:dyDescent="0.2">
      <c r="A359" s="126"/>
      <c r="B359" s="4"/>
      <c r="C359" s="4"/>
      <c r="D359" s="7"/>
      <c r="E359" s="7"/>
      <c r="F359" s="8" t="str">
        <f t="shared" si="394"/>
        <v/>
      </c>
      <c r="G359" s="7" t="str">
        <f t="shared" si="399"/>
        <v/>
      </c>
      <c r="H359" s="5" t="str">
        <f t="shared" si="395"/>
        <v/>
      </c>
      <c r="I359" s="122" t="str">
        <f t="shared" si="396"/>
        <v/>
      </c>
      <c r="J359" s="7" t="str">
        <f t="shared" si="397"/>
        <v/>
      </c>
      <c r="K359" s="9" t="str">
        <f t="shared" si="398"/>
        <v/>
      </c>
      <c r="L359" s="9" t="str">
        <f>IF(NOT(ISERROR(VLOOKUP(B359,Deflatores!G$42:H$64,2,FALSE))),VLOOKUP(B359,Deflatores!G$42:H$64,2,FALSE),IF(OR(ISBLANK(C359),ISBLANK(B359)),"",VLOOKUP(C359,Deflatores!G$4:H$38,2,FALSE)*H359+VLOOKUP(C359,Deflatores!G$4:I$38,3,FALSE)))</f>
        <v/>
      </c>
      <c r="M359" s="10"/>
      <c r="N359" s="10"/>
      <c r="O359" s="6"/>
    </row>
    <row r="360" spans="1:15" ht="14.25" customHeight="1" x14ac:dyDescent="0.2">
      <c r="A360" s="126"/>
      <c r="B360" s="4"/>
      <c r="C360" s="4"/>
      <c r="D360" s="7"/>
      <c r="E360" s="7"/>
      <c r="F360" s="8" t="str">
        <f t="shared" si="394"/>
        <v/>
      </c>
      <c r="G360" s="7" t="str">
        <f t="shared" si="399"/>
        <v/>
      </c>
      <c r="H360" s="5" t="str">
        <f t="shared" si="395"/>
        <v/>
      </c>
      <c r="I360" s="122" t="str">
        <f t="shared" si="396"/>
        <v/>
      </c>
      <c r="J360" s="7" t="str">
        <f t="shared" si="397"/>
        <v/>
      </c>
      <c r="K360" s="9" t="str">
        <f t="shared" si="398"/>
        <v/>
      </c>
      <c r="L360" s="9" t="str">
        <f>IF(NOT(ISERROR(VLOOKUP(B360,Deflatores!G$42:H$64,2,FALSE))),VLOOKUP(B360,Deflatores!G$42:H$64,2,FALSE),IF(OR(ISBLANK(C360),ISBLANK(B360)),"",VLOOKUP(C360,Deflatores!G$4:H$38,2,FALSE)*H360+VLOOKUP(C360,Deflatores!G$4:I$38,3,FALSE)))</f>
        <v/>
      </c>
      <c r="M360" s="10"/>
      <c r="N360" s="10"/>
      <c r="O360" s="6"/>
    </row>
    <row r="361" spans="1:15" ht="14.25" customHeight="1" x14ac:dyDescent="0.2">
      <c r="A361" s="126"/>
      <c r="B361" s="4"/>
      <c r="C361" s="4"/>
      <c r="D361" s="7"/>
      <c r="E361" s="7"/>
      <c r="F361" s="8" t="str">
        <f t="shared" si="394"/>
        <v/>
      </c>
      <c r="G361" s="7" t="str">
        <f t="shared" si="399"/>
        <v/>
      </c>
      <c r="H361" s="5" t="str">
        <f t="shared" si="395"/>
        <v/>
      </c>
      <c r="I361" s="122" t="str">
        <f t="shared" si="396"/>
        <v/>
      </c>
      <c r="J361" s="7" t="str">
        <f t="shared" si="397"/>
        <v/>
      </c>
      <c r="K361" s="9" t="str">
        <f t="shared" si="398"/>
        <v/>
      </c>
      <c r="L361" s="9" t="str">
        <f>IF(NOT(ISERROR(VLOOKUP(B361,Deflatores!G$42:H$64,2,FALSE))),VLOOKUP(B361,Deflatores!G$42:H$64,2,FALSE),IF(OR(ISBLANK(C361),ISBLANK(B361)),"",VLOOKUP(C361,Deflatores!G$4:H$38,2,FALSE)*H361+VLOOKUP(C361,Deflatores!G$4:I$38,3,FALSE)))</f>
        <v/>
      </c>
      <c r="M361" s="10"/>
      <c r="N361" s="10"/>
      <c r="O361" s="6"/>
    </row>
    <row r="362" spans="1:15" ht="14.25" customHeight="1" x14ac:dyDescent="0.2">
      <c r="A362" s="126"/>
      <c r="B362" s="4"/>
      <c r="C362" s="4"/>
      <c r="D362" s="7"/>
      <c r="E362" s="7"/>
      <c r="F362" s="8" t="str">
        <f t="shared" si="394"/>
        <v/>
      </c>
      <c r="G362" s="7" t="str">
        <f t="shared" si="399"/>
        <v/>
      </c>
      <c r="H362" s="5" t="str">
        <f t="shared" si="395"/>
        <v/>
      </c>
      <c r="I362" s="122" t="str">
        <f t="shared" si="396"/>
        <v/>
      </c>
      <c r="J362" s="7" t="str">
        <f t="shared" si="397"/>
        <v/>
      </c>
      <c r="K362" s="9" t="str">
        <f t="shared" si="398"/>
        <v/>
      </c>
      <c r="L362" s="9" t="str">
        <f>IF(NOT(ISERROR(VLOOKUP(B362,Deflatores!G$42:H$64,2,FALSE))),VLOOKUP(B362,Deflatores!G$42:H$64,2,FALSE),IF(OR(ISBLANK(C362),ISBLANK(B362)),"",VLOOKUP(C362,Deflatores!G$4:H$38,2,FALSE)*H362+VLOOKUP(C362,Deflatores!G$4:I$38,3,FALSE)))</f>
        <v/>
      </c>
      <c r="M362" s="10"/>
      <c r="N362" s="10"/>
      <c r="O362" s="6"/>
    </row>
    <row r="363" spans="1:15" ht="14.25" customHeight="1" x14ac:dyDescent="0.2">
      <c r="A363" s="126"/>
      <c r="B363" s="4"/>
      <c r="C363" s="4"/>
      <c r="D363" s="7"/>
      <c r="E363" s="7"/>
      <c r="F363" s="8" t="str">
        <f t="shared" si="394"/>
        <v/>
      </c>
      <c r="G363" s="7" t="str">
        <f t="shared" si="399"/>
        <v/>
      </c>
      <c r="H363" s="5" t="str">
        <f t="shared" si="395"/>
        <v/>
      </c>
      <c r="I363" s="122" t="str">
        <f t="shared" si="396"/>
        <v/>
      </c>
      <c r="J363" s="7" t="str">
        <f t="shared" si="397"/>
        <v/>
      </c>
      <c r="K363" s="9" t="str">
        <f t="shared" si="398"/>
        <v/>
      </c>
      <c r="L363" s="9" t="str">
        <f>IF(NOT(ISERROR(VLOOKUP(B363,Deflatores!G$42:H$64,2,FALSE))),VLOOKUP(B363,Deflatores!G$42:H$64,2,FALSE),IF(OR(ISBLANK(C363),ISBLANK(B363)),"",VLOOKUP(C363,Deflatores!G$4:H$38,2,FALSE)*H363+VLOOKUP(C363,Deflatores!G$4:I$38,3,FALSE)))</f>
        <v/>
      </c>
      <c r="M363" s="10"/>
      <c r="N363" s="10"/>
      <c r="O363" s="6"/>
    </row>
    <row r="364" spans="1:15" ht="14.25" customHeight="1" x14ac:dyDescent="0.2">
      <c r="A364" s="126"/>
      <c r="B364" s="4"/>
      <c r="C364" s="4"/>
      <c r="D364" s="7"/>
      <c r="E364" s="7"/>
      <c r="F364" s="8" t="str">
        <f t="shared" si="394"/>
        <v/>
      </c>
      <c r="G364" s="7" t="str">
        <f t="shared" si="399"/>
        <v/>
      </c>
      <c r="H364" s="5" t="str">
        <f t="shared" si="395"/>
        <v/>
      </c>
      <c r="I364" s="122" t="str">
        <f t="shared" si="396"/>
        <v/>
      </c>
      <c r="J364" s="7" t="str">
        <f t="shared" si="397"/>
        <v/>
      </c>
      <c r="K364" s="9" t="str">
        <f t="shared" si="398"/>
        <v/>
      </c>
      <c r="L364" s="9" t="str">
        <f>IF(NOT(ISERROR(VLOOKUP(B364,Deflatores!G$42:H$64,2,FALSE))),VLOOKUP(B364,Deflatores!G$42:H$64,2,FALSE),IF(OR(ISBLANK(C364),ISBLANK(B364)),"",VLOOKUP(C364,Deflatores!G$4:H$38,2,FALSE)*H364+VLOOKUP(C364,Deflatores!G$4:I$38,3,FALSE)))</f>
        <v/>
      </c>
      <c r="M364" s="10"/>
      <c r="N364" s="10"/>
      <c r="O364" s="6"/>
    </row>
    <row r="365" spans="1:15" ht="14.25" customHeight="1" x14ac:dyDescent="0.2">
      <c r="A365" s="126"/>
      <c r="B365" s="4"/>
      <c r="C365" s="4"/>
      <c r="D365" s="7"/>
      <c r="E365" s="7"/>
      <c r="F365" s="8" t="str">
        <f t="shared" si="394"/>
        <v/>
      </c>
      <c r="G365" s="7" t="str">
        <f t="shared" si="399"/>
        <v/>
      </c>
      <c r="H365" s="5" t="str">
        <f t="shared" si="395"/>
        <v/>
      </c>
      <c r="I365" s="122" t="str">
        <f t="shared" si="396"/>
        <v/>
      </c>
      <c r="J365" s="7" t="str">
        <f t="shared" si="397"/>
        <v/>
      </c>
      <c r="K365" s="9" t="str">
        <f t="shared" si="398"/>
        <v/>
      </c>
      <c r="L365" s="9" t="str">
        <f>IF(NOT(ISERROR(VLOOKUP(B365,Deflatores!G$42:H$64,2,FALSE))),VLOOKUP(B365,Deflatores!G$42:H$64,2,FALSE),IF(OR(ISBLANK(C365),ISBLANK(B365)),"",VLOOKUP(C365,Deflatores!G$4:H$38,2,FALSE)*H365+VLOOKUP(C365,Deflatores!G$4:I$38,3,FALSE)))</f>
        <v/>
      </c>
      <c r="M365" s="10"/>
      <c r="N365" s="10"/>
      <c r="O365" s="6"/>
    </row>
    <row r="366" spans="1:15" ht="14.25" customHeight="1" x14ac:dyDescent="0.2">
      <c r="A366" s="126"/>
      <c r="B366" s="4"/>
      <c r="C366" s="4"/>
      <c r="D366" s="7"/>
      <c r="E366" s="7"/>
      <c r="F366" s="8" t="str">
        <f t="shared" si="394"/>
        <v/>
      </c>
      <c r="G366" s="7" t="str">
        <f t="shared" si="399"/>
        <v/>
      </c>
      <c r="H366" s="5" t="str">
        <f t="shared" si="395"/>
        <v/>
      </c>
      <c r="I366" s="122" t="str">
        <f t="shared" si="396"/>
        <v/>
      </c>
      <c r="J366" s="7" t="str">
        <f t="shared" si="397"/>
        <v/>
      </c>
      <c r="K366" s="9" t="str">
        <f t="shared" si="398"/>
        <v/>
      </c>
      <c r="L366" s="9" t="str">
        <f>IF(NOT(ISERROR(VLOOKUP(B366,Deflatores!G$42:H$64,2,FALSE))),VLOOKUP(B366,Deflatores!G$42:H$64,2,FALSE),IF(OR(ISBLANK(C366),ISBLANK(B366)),"",VLOOKUP(C366,Deflatores!G$4:H$38,2,FALSE)*H366+VLOOKUP(C366,Deflatores!G$4:I$38,3,FALSE)))</f>
        <v/>
      </c>
      <c r="M366" s="10"/>
      <c r="N366" s="10"/>
      <c r="O366" s="6"/>
    </row>
    <row r="367" spans="1:15" ht="14.25" customHeight="1" x14ac:dyDescent="0.2">
      <c r="A367" s="126"/>
      <c r="B367" s="4"/>
      <c r="C367" s="4"/>
      <c r="D367" s="7"/>
      <c r="E367" s="7"/>
      <c r="F367" s="8" t="str">
        <f t="shared" si="394"/>
        <v/>
      </c>
      <c r="G367" s="7" t="str">
        <f t="shared" si="399"/>
        <v/>
      </c>
      <c r="H367" s="5" t="str">
        <f t="shared" si="395"/>
        <v/>
      </c>
      <c r="I367" s="122" t="str">
        <f t="shared" si="396"/>
        <v/>
      </c>
      <c r="J367" s="7" t="str">
        <f t="shared" si="397"/>
        <v/>
      </c>
      <c r="K367" s="9" t="str">
        <f t="shared" si="398"/>
        <v/>
      </c>
      <c r="L367" s="9" t="str">
        <f>IF(NOT(ISERROR(VLOOKUP(B367,Deflatores!G$42:H$64,2,FALSE))),VLOOKUP(B367,Deflatores!G$42:H$64,2,FALSE),IF(OR(ISBLANK(C367),ISBLANK(B367)),"",VLOOKUP(C367,Deflatores!G$4:H$38,2,FALSE)*H367+VLOOKUP(C367,Deflatores!G$4:I$38,3,FALSE)))</f>
        <v/>
      </c>
      <c r="M367" s="10"/>
      <c r="N367" s="10"/>
      <c r="O367" s="6"/>
    </row>
    <row r="368" spans="1:15" ht="14.25" customHeight="1" x14ac:dyDescent="0.2">
      <c r="A368" s="126"/>
      <c r="B368" s="4"/>
      <c r="C368" s="4"/>
      <c r="D368" s="7"/>
      <c r="E368" s="7"/>
      <c r="F368" s="8" t="str">
        <f t="shared" si="394"/>
        <v/>
      </c>
      <c r="G368" s="7" t="str">
        <f t="shared" si="399"/>
        <v/>
      </c>
      <c r="H368" s="5" t="str">
        <f t="shared" si="395"/>
        <v/>
      </c>
      <c r="I368" s="122" t="str">
        <f t="shared" si="396"/>
        <v/>
      </c>
      <c r="J368" s="7" t="str">
        <f t="shared" si="397"/>
        <v/>
      </c>
      <c r="K368" s="9" t="str">
        <f t="shared" si="398"/>
        <v/>
      </c>
      <c r="L368" s="9" t="str">
        <f>IF(NOT(ISERROR(VLOOKUP(B368,Deflatores!G$42:H$64,2,FALSE))),VLOOKUP(B368,Deflatores!G$42:H$64,2,FALSE),IF(OR(ISBLANK(C368),ISBLANK(B368)),"",VLOOKUP(C368,Deflatores!G$4:H$38,2,FALSE)*H368+VLOOKUP(C368,Deflatores!G$4:I$38,3,FALSE)))</f>
        <v/>
      </c>
      <c r="M368" s="10"/>
      <c r="N368" s="10"/>
      <c r="O368" s="6"/>
    </row>
    <row r="369" spans="1:15" ht="14.25" customHeight="1" x14ac:dyDescent="0.2">
      <c r="A369" s="128"/>
      <c r="B369" s="4"/>
      <c r="C369" s="4"/>
      <c r="D369" s="7"/>
      <c r="E369" s="7"/>
      <c r="F369" s="8" t="str">
        <f t="shared" si="394"/>
        <v/>
      </c>
      <c r="G369" s="7" t="str">
        <f t="shared" si="399"/>
        <v/>
      </c>
      <c r="H369" s="5" t="str">
        <f t="shared" si="395"/>
        <v/>
      </c>
      <c r="I369" s="122" t="str">
        <f t="shared" si="396"/>
        <v/>
      </c>
      <c r="J369" s="7" t="str">
        <f t="shared" si="397"/>
        <v/>
      </c>
      <c r="K369" s="9" t="str">
        <f t="shared" si="398"/>
        <v/>
      </c>
      <c r="L369" s="9" t="str">
        <f>IF(NOT(ISERROR(VLOOKUP(B369,Deflatores!G$42:H$64,2,FALSE))),VLOOKUP(B369,Deflatores!G$42:H$64,2,FALSE),IF(OR(ISBLANK(C369),ISBLANK(B369)),"",VLOOKUP(C369,Deflatores!G$4:H$38,2,FALSE)*H369+VLOOKUP(C369,Deflatores!G$4:I$38,3,FALSE)))</f>
        <v/>
      </c>
      <c r="M369" s="10"/>
      <c r="N369" s="10"/>
      <c r="O369" s="6"/>
    </row>
    <row r="370" spans="1:15" x14ac:dyDescent="0.2">
      <c r="A370" s="128"/>
      <c r="B370" s="4"/>
      <c r="C370" s="4"/>
      <c r="D370" s="7"/>
      <c r="E370" s="7"/>
      <c r="F370" s="8" t="str">
        <f t="shared" si="394"/>
        <v/>
      </c>
      <c r="G370" s="7" t="str">
        <f t="shared" si="393"/>
        <v/>
      </c>
      <c r="H370" s="5" t="str">
        <f t="shared" si="395"/>
        <v/>
      </c>
      <c r="I370" s="122" t="str">
        <f t="shared" si="396"/>
        <v/>
      </c>
      <c r="J370" s="7" t="str">
        <f t="shared" si="397"/>
        <v/>
      </c>
      <c r="K370" s="9" t="str">
        <f t="shared" si="398"/>
        <v/>
      </c>
      <c r="L370" s="9" t="str">
        <f>IF(NOT(ISERROR(VLOOKUP(B370,Deflatores!G$42:H$64,2,FALSE))),VLOOKUP(B370,Deflatores!G$42:H$64,2,FALSE),IF(OR(ISBLANK(C370),ISBLANK(B370)),"",VLOOKUP(C370,Deflatores!G$4:H$38,2,FALSE)*H370+VLOOKUP(C370,Deflatores!G$4:I$38,3,FALSE)))</f>
        <v/>
      </c>
      <c r="M370" s="10"/>
      <c r="N370" s="10"/>
      <c r="O370" s="6"/>
    </row>
    <row r="371" spans="1:15" x14ac:dyDescent="0.2">
      <c r="A371" s="126"/>
      <c r="B371" s="4"/>
      <c r="C371" s="4"/>
      <c r="D371" s="7"/>
      <c r="E371" s="7"/>
      <c r="F371" s="8" t="str">
        <f t="shared" si="394"/>
        <v/>
      </c>
      <c r="G371" s="7" t="str">
        <f t="shared" si="393"/>
        <v/>
      </c>
      <c r="H371" s="5" t="str">
        <f t="shared" si="395"/>
        <v/>
      </c>
      <c r="I371" s="122" t="str">
        <f t="shared" si="396"/>
        <v/>
      </c>
      <c r="J371" s="7" t="str">
        <f t="shared" si="397"/>
        <v/>
      </c>
      <c r="K371" s="9" t="str">
        <f t="shared" si="398"/>
        <v/>
      </c>
      <c r="L371" s="9" t="str">
        <f>IF(NOT(ISERROR(VLOOKUP(B371,Deflatores!G$42:H$64,2,FALSE))),VLOOKUP(B371,Deflatores!G$42:H$64,2,FALSE),IF(OR(ISBLANK(C371),ISBLANK(B371)),"",VLOOKUP(C371,Deflatores!G$4:H$38,2,FALSE)*H371+VLOOKUP(C371,Deflatores!G$4:I$38,3,FALSE)))</f>
        <v/>
      </c>
      <c r="M371" s="10"/>
      <c r="N371" s="10"/>
      <c r="O371" s="6"/>
    </row>
    <row r="372" spans="1:15" x14ac:dyDescent="0.2">
      <c r="A372" s="126"/>
      <c r="B372" s="4"/>
      <c r="C372" s="4"/>
      <c r="D372" s="7"/>
      <c r="E372" s="7"/>
      <c r="F372" s="8" t="str">
        <f t="shared" si="394"/>
        <v/>
      </c>
      <c r="G372" s="7" t="str">
        <f t="shared" si="393"/>
        <v/>
      </c>
      <c r="H372" s="5" t="str">
        <f t="shared" si="395"/>
        <v/>
      </c>
      <c r="I372" s="122" t="str">
        <f t="shared" si="396"/>
        <v/>
      </c>
      <c r="J372" s="7" t="str">
        <f t="shared" si="397"/>
        <v/>
      </c>
      <c r="K372" s="9" t="str">
        <f t="shared" si="398"/>
        <v/>
      </c>
      <c r="L372" s="9" t="str">
        <f>IF(NOT(ISERROR(VLOOKUP(B372,Deflatores!G$42:H$64,2,FALSE))),VLOOKUP(B372,Deflatores!G$42:H$64,2,FALSE),IF(OR(ISBLANK(C372),ISBLANK(B372)),"",VLOOKUP(C372,Deflatores!G$4:H$38,2,FALSE)*H372+VLOOKUP(C372,Deflatores!G$4:I$38,3,FALSE)))</f>
        <v/>
      </c>
      <c r="M372" s="10"/>
      <c r="N372" s="10"/>
      <c r="O372" s="6"/>
    </row>
    <row r="373" spans="1:15" x14ac:dyDescent="0.2">
      <c r="A373" s="126"/>
      <c r="B373" s="4"/>
      <c r="C373" s="4"/>
      <c r="D373" s="7"/>
      <c r="E373" s="7"/>
      <c r="F373" s="8" t="str">
        <f t="shared" si="394"/>
        <v/>
      </c>
      <c r="G373" s="7" t="str">
        <f t="shared" si="393"/>
        <v/>
      </c>
      <c r="H373" s="5" t="str">
        <f t="shared" si="395"/>
        <v/>
      </c>
      <c r="I373" s="122" t="str">
        <f t="shared" si="396"/>
        <v/>
      </c>
      <c r="J373" s="7" t="str">
        <f t="shared" si="397"/>
        <v/>
      </c>
      <c r="K373" s="9" t="str">
        <f t="shared" si="398"/>
        <v/>
      </c>
      <c r="L373" s="9" t="str">
        <f>IF(NOT(ISERROR(VLOOKUP(B373,Deflatores!G$42:H$64,2,FALSE))),VLOOKUP(B373,Deflatores!G$42:H$64,2,FALSE),IF(OR(ISBLANK(C373),ISBLANK(B373)),"",VLOOKUP(C373,Deflatores!G$4:H$38,2,FALSE)*H373+VLOOKUP(C373,Deflatores!G$4:I$38,3,FALSE)))</f>
        <v/>
      </c>
      <c r="M373" s="10"/>
      <c r="N373" s="10"/>
      <c r="O373" s="6"/>
    </row>
    <row r="374" spans="1:15" ht="14.25" customHeight="1" x14ac:dyDescent="0.2">
      <c r="A374" s="126"/>
      <c r="B374" s="4"/>
      <c r="C374" s="4"/>
      <c r="D374" s="7"/>
      <c r="E374" s="7"/>
      <c r="F374" s="8" t="str">
        <f t="shared" si="394"/>
        <v/>
      </c>
      <c r="G374" s="7" t="str">
        <f t="shared" si="393"/>
        <v/>
      </c>
      <c r="H374" s="5" t="str">
        <f t="shared" si="395"/>
        <v/>
      </c>
      <c r="I374" s="122" t="str">
        <f t="shared" si="396"/>
        <v/>
      </c>
      <c r="J374" s="7" t="str">
        <f t="shared" si="397"/>
        <v/>
      </c>
      <c r="K374" s="9" t="str">
        <f t="shared" si="398"/>
        <v/>
      </c>
      <c r="L374" s="9" t="str">
        <f>IF(NOT(ISERROR(VLOOKUP(B374,Deflatores!G$42:H$64,2,FALSE))),VLOOKUP(B374,Deflatores!G$42:H$64,2,FALSE),IF(OR(ISBLANK(C374),ISBLANK(B374)),"",VLOOKUP(C374,Deflatores!G$4:H$38,2,FALSE)*H374+VLOOKUP(C374,Deflatores!G$4:I$38,3,FALSE)))</f>
        <v/>
      </c>
      <c r="M374" s="10"/>
      <c r="N374" s="10"/>
      <c r="O374" s="6"/>
    </row>
    <row r="375" spans="1:15" x14ac:dyDescent="0.2">
      <c r="A375" s="126"/>
      <c r="B375" s="4"/>
      <c r="C375" s="4"/>
      <c r="D375" s="7"/>
      <c r="E375" s="7"/>
      <c r="F375" s="8" t="str">
        <f t="shared" si="394"/>
        <v/>
      </c>
      <c r="G375" s="7" t="str">
        <f t="shared" si="393"/>
        <v/>
      </c>
      <c r="H375" s="5" t="str">
        <f t="shared" si="395"/>
        <v/>
      </c>
      <c r="I375" s="122" t="str">
        <f t="shared" si="396"/>
        <v/>
      </c>
      <c r="J375" s="7" t="str">
        <f t="shared" si="397"/>
        <v/>
      </c>
      <c r="K375" s="9" t="str">
        <f t="shared" si="398"/>
        <v/>
      </c>
      <c r="L375" s="9" t="str">
        <f>IF(NOT(ISERROR(VLOOKUP(B375,Deflatores!G$42:H$64,2,FALSE))),VLOOKUP(B375,Deflatores!G$42:H$64,2,FALSE),IF(OR(ISBLANK(C375),ISBLANK(B375)),"",VLOOKUP(C375,Deflatores!G$4:H$38,2,FALSE)*H375+VLOOKUP(C375,Deflatores!G$4:I$38,3,FALSE)))</f>
        <v/>
      </c>
      <c r="M375" s="10"/>
      <c r="N375" s="10"/>
      <c r="O375" s="6"/>
    </row>
    <row r="376" spans="1:15" x14ac:dyDescent="0.2">
      <c r="A376" s="128"/>
      <c r="B376" s="4"/>
      <c r="C376" s="4"/>
      <c r="D376" s="7"/>
      <c r="E376" s="7"/>
      <c r="F376" s="8" t="str">
        <f t="shared" si="394"/>
        <v/>
      </c>
      <c r="G376" s="7" t="str">
        <f t="shared" si="393"/>
        <v/>
      </c>
      <c r="H376" s="5" t="str">
        <f t="shared" si="395"/>
        <v/>
      </c>
      <c r="I376" s="122" t="str">
        <f t="shared" si="396"/>
        <v/>
      </c>
      <c r="J376" s="7" t="str">
        <f t="shared" si="397"/>
        <v/>
      </c>
      <c r="K376" s="9" t="str">
        <f t="shared" si="398"/>
        <v/>
      </c>
      <c r="L376" s="9" t="str">
        <f>IF(NOT(ISERROR(VLOOKUP(B376,Deflatores!G$42:H$64,2,FALSE))),VLOOKUP(B376,Deflatores!G$42:H$64,2,FALSE),IF(OR(ISBLANK(C376),ISBLANK(B376)),"",VLOOKUP(C376,Deflatores!G$4:H$38,2,FALSE)*H376+VLOOKUP(C376,Deflatores!G$4:I$38,3,FALSE)))</f>
        <v/>
      </c>
      <c r="M376" s="10"/>
      <c r="N376" s="10"/>
      <c r="O376" s="6"/>
    </row>
    <row r="377" spans="1:15" x14ac:dyDescent="0.2">
      <c r="A377" s="126"/>
      <c r="B377" s="4"/>
      <c r="C377" s="4"/>
      <c r="D377" s="7"/>
      <c r="E377" s="7"/>
      <c r="F377" s="8" t="str">
        <f t="shared" si="394"/>
        <v/>
      </c>
      <c r="G377" s="7" t="str">
        <f t="shared" si="393"/>
        <v/>
      </c>
      <c r="H377" s="5" t="str">
        <f t="shared" si="395"/>
        <v/>
      </c>
      <c r="I377" s="122" t="str">
        <f t="shared" si="396"/>
        <v/>
      </c>
      <c r="J377" s="7" t="str">
        <f t="shared" si="397"/>
        <v/>
      </c>
      <c r="K377" s="9" t="str">
        <f t="shared" si="398"/>
        <v/>
      </c>
      <c r="L377" s="9" t="str">
        <f>IF(NOT(ISERROR(VLOOKUP(B377,Deflatores!G$42:H$64,2,FALSE))),VLOOKUP(B377,Deflatores!G$42:H$64,2,FALSE),IF(OR(ISBLANK(C377),ISBLANK(B377)),"",VLOOKUP(C377,Deflatores!G$4:H$38,2,FALSE)*H377+VLOOKUP(C377,Deflatores!G$4:I$38,3,FALSE)))</f>
        <v/>
      </c>
      <c r="M377" s="10"/>
      <c r="N377" s="10"/>
      <c r="O377" s="6"/>
    </row>
    <row r="378" spans="1:15" x14ac:dyDescent="0.2">
      <c r="A378" s="126"/>
      <c r="B378" s="4"/>
      <c r="C378" s="4"/>
      <c r="D378" s="7"/>
      <c r="E378" s="7"/>
      <c r="F378" s="8" t="str">
        <f t="shared" si="394"/>
        <v/>
      </c>
      <c r="G378" s="7" t="str">
        <f t="shared" si="393"/>
        <v/>
      </c>
      <c r="H378" s="5" t="str">
        <f t="shared" si="395"/>
        <v/>
      </c>
      <c r="I378" s="122" t="str">
        <f t="shared" si="396"/>
        <v/>
      </c>
      <c r="J378" s="7" t="str">
        <f t="shared" si="397"/>
        <v/>
      </c>
      <c r="K378" s="9" t="str">
        <f t="shared" si="398"/>
        <v/>
      </c>
      <c r="L378" s="9" t="str">
        <f>IF(NOT(ISERROR(VLOOKUP(B378,Deflatores!G$42:H$64,2,FALSE))),VLOOKUP(B378,Deflatores!G$42:H$64,2,FALSE),IF(OR(ISBLANK(C378),ISBLANK(B378)),"",VLOOKUP(C378,Deflatores!G$4:H$38,2,FALSE)*H378+VLOOKUP(C378,Deflatores!G$4:I$38,3,FALSE)))</f>
        <v/>
      </c>
      <c r="M378" s="10"/>
      <c r="N378" s="10"/>
      <c r="O378" s="6"/>
    </row>
    <row r="379" spans="1:15" x14ac:dyDescent="0.2">
      <c r="A379" s="126"/>
      <c r="B379" s="4"/>
      <c r="C379" s="4"/>
      <c r="D379" s="7"/>
      <c r="E379" s="7"/>
      <c r="F379" s="8" t="str">
        <f t="shared" si="394"/>
        <v/>
      </c>
      <c r="G379" s="7" t="str">
        <f t="shared" si="393"/>
        <v/>
      </c>
      <c r="H379" s="5" t="str">
        <f t="shared" si="395"/>
        <v/>
      </c>
      <c r="I379" s="122" t="str">
        <f t="shared" si="396"/>
        <v/>
      </c>
      <c r="J379" s="7" t="str">
        <f t="shared" si="397"/>
        <v/>
      </c>
      <c r="K379" s="9" t="str">
        <f t="shared" si="398"/>
        <v/>
      </c>
      <c r="L379" s="9" t="str">
        <f>IF(NOT(ISERROR(VLOOKUP(B379,Deflatores!G$42:H$64,2,FALSE))),VLOOKUP(B379,Deflatores!G$42:H$64,2,FALSE),IF(OR(ISBLANK(C379),ISBLANK(B379)),"",VLOOKUP(C379,Deflatores!G$4:H$38,2,FALSE)*H379+VLOOKUP(C379,Deflatores!G$4:I$38,3,FALSE)))</f>
        <v/>
      </c>
      <c r="M379" s="10"/>
      <c r="N379" s="10"/>
      <c r="O379" s="6"/>
    </row>
    <row r="380" spans="1:15" x14ac:dyDescent="0.2">
      <c r="A380" s="126"/>
      <c r="B380" s="4"/>
      <c r="C380" s="4"/>
      <c r="D380" s="7"/>
      <c r="E380" s="7"/>
      <c r="F380" s="8" t="str">
        <f t="shared" si="394"/>
        <v/>
      </c>
      <c r="G380" s="7" t="str">
        <f t="shared" si="393"/>
        <v/>
      </c>
      <c r="H380" s="5" t="str">
        <f t="shared" si="395"/>
        <v/>
      </c>
      <c r="I380" s="122" t="str">
        <f t="shared" si="396"/>
        <v/>
      </c>
      <c r="J380" s="7" t="str">
        <f t="shared" si="397"/>
        <v/>
      </c>
      <c r="K380" s="9" t="str">
        <f t="shared" si="398"/>
        <v/>
      </c>
      <c r="L380" s="9" t="str">
        <f>IF(NOT(ISERROR(VLOOKUP(B380,Deflatores!G$42:H$64,2,FALSE))),VLOOKUP(B380,Deflatores!G$42:H$64,2,FALSE),IF(OR(ISBLANK(C380),ISBLANK(B380)),"",VLOOKUP(C380,Deflatores!G$4:H$38,2,FALSE)*H380+VLOOKUP(C380,Deflatores!G$4:I$38,3,FALSE)))</f>
        <v/>
      </c>
      <c r="M380" s="10"/>
      <c r="N380" s="10"/>
      <c r="O380" s="6"/>
    </row>
    <row r="381" spans="1:15" x14ac:dyDescent="0.2">
      <c r="A381" s="126"/>
      <c r="B381" s="4"/>
      <c r="C381" s="4"/>
      <c r="D381" s="7"/>
      <c r="E381" s="7"/>
      <c r="F381" s="8" t="str">
        <f t="shared" si="394"/>
        <v/>
      </c>
      <c r="G381" s="7" t="str">
        <f t="shared" si="393"/>
        <v/>
      </c>
      <c r="H381" s="5" t="str">
        <f t="shared" si="395"/>
        <v/>
      </c>
      <c r="I381" s="122" t="str">
        <f t="shared" si="396"/>
        <v/>
      </c>
      <c r="J381" s="7" t="str">
        <f t="shared" si="397"/>
        <v/>
      </c>
      <c r="K381" s="9" t="str">
        <f t="shared" si="398"/>
        <v/>
      </c>
      <c r="L381" s="9" t="str">
        <f>IF(NOT(ISERROR(VLOOKUP(B381,Deflatores!G$42:H$64,2,FALSE))),VLOOKUP(B381,Deflatores!G$42:H$64,2,FALSE),IF(OR(ISBLANK(C381),ISBLANK(B381)),"",VLOOKUP(C381,Deflatores!G$4:H$38,2,FALSE)*H381+VLOOKUP(C381,Deflatores!G$4:I$38,3,FALSE)))</f>
        <v/>
      </c>
      <c r="M381" s="10"/>
      <c r="N381" s="10"/>
      <c r="O381" s="6"/>
    </row>
    <row r="382" spans="1:15" x14ac:dyDescent="0.2">
      <c r="A382" s="128"/>
      <c r="B382" s="4"/>
      <c r="C382" s="4"/>
      <c r="D382" s="7"/>
      <c r="E382" s="7"/>
      <c r="F382" s="8" t="str">
        <f t="shared" si="394"/>
        <v/>
      </c>
      <c r="G382" s="7" t="str">
        <f t="shared" si="393"/>
        <v/>
      </c>
      <c r="H382" s="5" t="str">
        <f t="shared" si="395"/>
        <v/>
      </c>
      <c r="I382" s="122" t="str">
        <f t="shared" si="396"/>
        <v/>
      </c>
      <c r="J382" s="7" t="str">
        <f t="shared" si="397"/>
        <v/>
      </c>
      <c r="K382" s="9" t="str">
        <f t="shared" si="398"/>
        <v/>
      </c>
      <c r="L382" s="9" t="str">
        <f>IF(NOT(ISERROR(VLOOKUP(B382,Deflatores!G$42:H$64,2,FALSE))),VLOOKUP(B382,Deflatores!G$42:H$64,2,FALSE),IF(OR(ISBLANK(C382),ISBLANK(B382)),"",VLOOKUP(C382,Deflatores!G$4:H$38,2,FALSE)*H382+VLOOKUP(C382,Deflatores!G$4:I$38,3,FALSE)))</f>
        <v/>
      </c>
      <c r="M382" s="10"/>
      <c r="N382" s="10"/>
      <c r="O382" s="6"/>
    </row>
    <row r="383" spans="1:15" x14ac:dyDescent="0.2">
      <c r="A383" s="126"/>
      <c r="B383" s="4"/>
      <c r="C383" s="4"/>
      <c r="D383" s="7"/>
      <c r="E383" s="7"/>
      <c r="F383" s="8" t="str">
        <f t="shared" ref="F323:F391" si="400">IF(ISBLANK(B383),"",IF(I383="L","Baixa",IF(I383="A","Média",IF(I383="","","Alta"))))</f>
        <v/>
      </c>
      <c r="G383" s="7" t="str">
        <f t="shared" si="393"/>
        <v/>
      </c>
      <c r="H383" s="5" t="str">
        <f t="shared" ref="H323:H391" si="401">IF(ISBLANK(B383),"",IF(B383="ALI",IF(I383="L",7,IF(I383="A",10,15)),IF(B383="AIE",IF(I383="L",5,IF(I383="A",7,10)),IF(B383="SE",IF(I383="L",4,IF(I383="A",5,7)),IF(OR(B383="EE",B383="CE"),IF(I383="L",3,IF(I383="A",4,6)),0)))))</f>
        <v/>
      </c>
      <c r="I383" s="122" t="str">
        <f t="shared" si="396"/>
        <v/>
      </c>
      <c r="J383" s="7" t="str">
        <f t="shared" si="397"/>
        <v/>
      </c>
      <c r="K383" s="9" t="str">
        <f t="shared" si="398"/>
        <v/>
      </c>
      <c r="L383" s="9" t="str">
        <f>IF(NOT(ISERROR(VLOOKUP(B383,Deflatores!G$42:H$64,2,FALSE))),VLOOKUP(B383,Deflatores!G$42:H$64,2,FALSE),IF(OR(ISBLANK(C383),ISBLANK(B383)),"",VLOOKUP(C383,Deflatores!G$4:H$38,2,FALSE)*H383+VLOOKUP(C383,Deflatores!G$4:I$38,3,FALSE)))</f>
        <v/>
      </c>
      <c r="M383" s="10"/>
      <c r="N383" s="10"/>
      <c r="O383" s="6"/>
    </row>
    <row r="384" spans="1:15" x14ac:dyDescent="0.2">
      <c r="A384" s="126"/>
      <c r="B384" s="4"/>
      <c r="C384" s="4"/>
      <c r="D384" s="7"/>
      <c r="E384" s="7"/>
      <c r="F384" s="8" t="str">
        <f t="shared" si="400"/>
        <v/>
      </c>
      <c r="G384" s="7" t="str">
        <f t="shared" si="393"/>
        <v/>
      </c>
      <c r="H384" s="5" t="str">
        <f t="shared" si="401"/>
        <v/>
      </c>
      <c r="I384" s="122" t="str">
        <f t="shared" si="396"/>
        <v/>
      </c>
      <c r="J384" s="7" t="str">
        <f t="shared" si="397"/>
        <v/>
      </c>
      <c r="K384" s="9" t="str">
        <f t="shared" si="398"/>
        <v/>
      </c>
      <c r="L384" s="9" t="str">
        <f>IF(NOT(ISERROR(VLOOKUP(B384,Deflatores!G$42:H$64,2,FALSE))),VLOOKUP(B384,Deflatores!G$42:H$64,2,FALSE),IF(OR(ISBLANK(C384),ISBLANK(B384)),"",VLOOKUP(C384,Deflatores!G$4:H$38,2,FALSE)*H384+VLOOKUP(C384,Deflatores!G$4:I$38,3,FALSE)))</f>
        <v/>
      </c>
      <c r="M384" s="10"/>
      <c r="N384" s="10"/>
      <c r="O384" s="6"/>
    </row>
    <row r="385" spans="1:15" x14ac:dyDescent="0.2">
      <c r="A385" s="126"/>
      <c r="B385" s="4"/>
      <c r="C385" s="4"/>
      <c r="D385" s="7"/>
      <c r="E385" s="7"/>
      <c r="F385" s="8" t="str">
        <f t="shared" si="400"/>
        <v/>
      </c>
      <c r="G385" s="7" t="str">
        <f t="shared" si="393"/>
        <v/>
      </c>
      <c r="H385" s="5" t="str">
        <f t="shared" si="401"/>
        <v/>
      </c>
      <c r="I385" s="122" t="str">
        <f t="shared" si="396"/>
        <v/>
      </c>
      <c r="J385" s="7" t="str">
        <f t="shared" si="397"/>
        <v/>
      </c>
      <c r="K385" s="9" t="str">
        <f t="shared" si="398"/>
        <v/>
      </c>
      <c r="L385" s="9" t="str">
        <f>IF(NOT(ISERROR(VLOOKUP(B385,Deflatores!G$42:H$64,2,FALSE))),VLOOKUP(B385,Deflatores!G$42:H$64,2,FALSE),IF(OR(ISBLANK(C385),ISBLANK(B385)),"",VLOOKUP(C385,Deflatores!G$4:H$38,2,FALSE)*H385+VLOOKUP(C385,Deflatores!G$4:I$38,3,FALSE)))</f>
        <v/>
      </c>
      <c r="M385" s="10"/>
      <c r="N385" s="10"/>
      <c r="O385" s="6"/>
    </row>
    <row r="386" spans="1:15" x14ac:dyDescent="0.2">
      <c r="A386" s="126"/>
      <c r="B386" s="4"/>
      <c r="C386" s="4"/>
      <c r="D386" s="7"/>
      <c r="E386" s="7"/>
      <c r="F386" s="8" t="str">
        <f t="shared" si="400"/>
        <v/>
      </c>
      <c r="G386" s="7" t="str">
        <f t="shared" si="393"/>
        <v/>
      </c>
      <c r="H386" s="5" t="str">
        <f t="shared" si="401"/>
        <v/>
      </c>
      <c r="I386" s="122" t="str">
        <f t="shared" si="396"/>
        <v/>
      </c>
      <c r="J386" s="7" t="str">
        <f t="shared" si="397"/>
        <v/>
      </c>
      <c r="K386" s="9" t="str">
        <f t="shared" si="398"/>
        <v/>
      </c>
      <c r="L386" s="9" t="str">
        <f>IF(NOT(ISERROR(VLOOKUP(B386,Deflatores!G$42:H$64,2,FALSE))),VLOOKUP(B386,Deflatores!G$42:H$64,2,FALSE),IF(OR(ISBLANK(C386),ISBLANK(B386)),"",VLOOKUP(C386,Deflatores!G$4:H$38,2,FALSE)*H386+VLOOKUP(C386,Deflatores!G$4:I$38,3,FALSE)))</f>
        <v/>
      </c>
      <c r="M386" s="10"/>
      <c r="N386" s="10"/>
      <c r="O386" s="6"/>
    </row>
    <row r="387" spans="1:15" x14ac:dyDescent="0.2">
      <c r="A387" s="126"/>
      <c r="B387" s="4"/>
      <c r="C387" s="4"/>
      <c r="D387" s="7"/>
      <c r="E387" s="7"/>
      <c r="F387" s="8" t="str">
        <f t="shared" si="400"/>
        <v/>
      </c>
      <c r="G387" s="7" t="str">
        <f t="shared" si="393"/>
        <v/>
      </c>
      <c r="H387" s="5" t="str">
        <f t="shared" si="401"/>
        <v/>
      </c>
      <c r="I387" s="122" t="str">
        <f t="shared" si="396"/>
        <v/>
      </c>
      <c r="J387" s="7" t="str">
        <f t="shared" si="397"/>
        <v/>
      </c>
      <c r="K387" s="9" t="str">
        <f t="shared" si="398"/>
        <v/>
      </c>
      <c r="L387" s="9" t="str">
        <f>IF(NOT(ISERROR(VLOOKUP(B387,Deflatores!G$42:H$64,2,FALSE))),VLOOKUP(B387,Deflatores!G$42:H$64,2,FALSE),IF(OR(ISBLANK(C387),ISBLANK(B387)),"",VLOOKUP(C387,Deflatores!G$4:H$38,2,FALSE)*H387+VLOOKUP(C387,Deflatores!G$4:I$38,3,FALSE)))</f>
        <v/>
      </c>
      <c r="M387" s="10"/>
      <c r="N387" s="10"/>
      <c r="O387" s="6"/>
    </row>
    <row r="388" spans="1:15" ht="13.5" customHeight="1" x14ac:dyDescent="0.2">
      <c r="A388" s="126"/>
      <c r="B388" s="4"/>
      <c r="C388" s="4"/>
      <c r="D388" s="7"/>
      <c r="E388" s="7"/>
      <c r="F388" s="8" t="str">
        <f t="shared" si="400"/>
        <v/>
      </c>
      <c r="G388" s="7" t="str">
        <f t="shared" si="393"/>
        <v/>
      </c>
      <c r="H388" s="5" t="str">
        <f t="shared" si="401"/>
        <v/>
      </c>
      <c r="I388" s="122" t="str">
        <f t="shared" si="396"/>
        <v/>
      </c>
      <c r="J388" s="7" t="str">
        <f t="shared" si="397"/>
        <v/>
      </c>
      <c r="K388" s="9" t="str">
        <f t="shared" si="398"/>
        <v/>
      </c>
      <c r="L388" s="9" t="str">
        <f>IF(NOT(ISERROR(VLOOKUP(B388,Deflatores!G$42:H$64,2,FALSE))),VLOOKUP(B388,Deflatores!G$42:H$64,2,FALSE),IF(OR(ISBLANK(C388),ISBLANK(B388)),"",VLOOKUP(C388,Deflatores!G$4:H$38,2,FALSE)*H388+VLOOKUP(C388,Deflatores!G$4:I$38,3,FALSE)))</f>
        <v/>
      </c>
      <c r="M388" s="10"/>
      <c r="N388" s="10"/>
      <c r="O388" s="6"/>
    </row>
    <row r="389" spans="1:15" ht="14.25" customHeight="1" x14ac:dyDescent="0.2">
      <c r="A389" s="126"/>
      <c r="B389" s="4"/>
      <c r="C389" s="4"/>
      <c r="D389" s="7"/>
      <c r="E389" s="7"/>
      <c r="F389" s="8" t="str">
        <f t="shared" si="400"/>
        <v/>
      </c>
      <c r="G389" s="7" t="str">
        <f t="shared" si="393"/>
        <v/>
      </c>
      <c r="H389" s="5" t="str">
        <f t="shared" si="401"/>
        <v/>
      </c>
      <c r="I389" s="122" t="str">
        <f t="shared" si="396"/>
        <v/>
      </c>
      <c r="J389" s="7" t="str">
        <f t="shared" si="397"/>
        <v/>
      </c>
      <c r="K389" s="9" t="str">
        <f t="shared" si="398"/>
        <v/>
      </c>
      <c r="L389" s="9" t="str">
        <f>IF(NOT(ISERROR(VLOOKUP(B389,Deflatores!G$42:H$64,2,FALSE))),VLOOKUP(B389,Deflatores!G$42:H$64,2,FALSE),IF(OR(ISBLANK(C389),ISBLANK(B389)),"",VLOOKUP(C389,Deflatores!G$4:H$38,2,FALSE)*H389+VLOOKUP(C389,Deflatores!G$4:I$38,3,FALSE)))</f>
        <v/>
      </c>
      <c r="M389" s="10"/>
      <c r="N389" s="10"/>
      <c r="O389" s="6"/>
    </row>
    <row r="390" spans="1:15" ht="15" customHeight="1" x14ac:dyDescent="0.2">
      <c r="A390" s="126"/>
      <c r="B390" s="4"/>
      <c r="C390" s="4"/>
      <c r="D390" s="7"/>
      <c r="E390" s="7"/>
      <c r="F390" s="8" t="str">
        <f t="shared" si="400"/>
        <v/>
      </c>
      <c r="G390" s="7" t="str">
        <f t="shared" si="393"/>
        <v/>
      </c>
      <c r="H390" s="5" t="str">
        <f t="shared" si="401"/>
        <v/>
      </c>
      <c r="I390" s="122" t="str">
        <f t="shared" si="396"/>
        <v/>
      </c>
      <c r="J390" s="7" t="str">
        <f t="shared" si="397"/>
        <v/>
      </c>
      <c r="K390" s="9" t="str">
        <f t="shared" si="398"/>
        <v/>
      </c>
      <c r="L390" s="9" t="str">
        <f>IF(NOT(ISERROR(VLOOKUP(B390,Deflatores!G$42:H$64,2,FALSE))),VLOOKUP(B390,Deflatores!G$42:H$64,2,FALSE),IF(OR(ISBLANK(C390),ISBLANK(B390)),"",VLOOKUP(C390,Deflatores!G$4:H$38,2,FALSE)*H390+VLOOKUP(C390,Deflatores!G$4:I$38,3,FALSE)))</f>
        <v/>
      </c>
      <c r="M390" s="10"/>
      <c r="N390" s="10"/>
      <c r="O390" s="6"/>
    </row>
    <row r="391" spans="1:15" x14ac:dyDescent="0.2">
      <c r="A391" s="126"/>
      <c r="B391" s="4"/>
      <c r="C391" s="4"/>
      <c r="D391" s="7"/>
      <c r="E391" s="7"/>
      <c r="F391" s="8" t="str">
        <f t="shared" si="400"/>
        <v/>
      </c>
      <c r="G391" s="7" t="str">
        <f t="shared" si="393"/>
        <v/>
      </c>
      <c r="H391" s="5" t="str">
        <f t="shared" si="401"/>
        <v/>
      </c>
      <c r="I391" s="122" t="str">
        <f t="shared" si="396"/>
        <v/>
      </c>
      <c r="J391" s="7" t="str">
        <f t="shared" si="397"/>
        <v/>
      </c>
      <c r="K391" s="9" t="str">
        <f t="shared" si="398"/>
        <v/>
      </c>
      <c r="L391" s="9" t="str">
        <f>IF(NOT(ISERROR(VLOOKUP(B391,Deflatores!G$42:H$64,2,FALSE))),VLOOKUP(B391,Deflatores!G$42:H$64,2,FALSE),IF(OR(ISBLANK(C391),ISBLANK(B391)),"",VLOOKUP(C391,Deflatores!G$4:H$38,2,FALSE)*H391+VLOOKUP(C391,Deflatores!G$4:I$38,3,FALSE)))</f>
        <v/>
      </c>
      <c r="M391" s="10"/>
      <c r="N391" s="10"/>
      <c r="O391" s="6"/>
    </row>
    <row r="392" spans="1:15" x14ac:dyDescent="0.2">
      <c r="A392" s="126"/>
      <c r="B392" s="4"/>
      <c r="C392" s="4"/>
      <c r="D392" s="7"/>
      <c r="E392" s="7"/>
      <c r="F392" s="8" t="str">
        <f t="shared" ref="F392:F397" si="402">IF(ISBLANK(B392),"",IF(I392="L","Baixa",IF(I392="A","Média",IF(I392="","","Alta"))))</f>
        <v/>
      </c>
      <c r="G392" s="7" t="str">
        <f t="shared" ref="G392:G397" si="403">CONCATENATE(B392,I392)</f>
        <v/>
      </c>
      <c r="H392" s="5" t="str">
        <f t="shared" ref="H392:H397" si="404">IF(ISBLANK(B392),"",IF(B392="ALI",IF(I392="L",7,IF(I392="A",10,15)),IF(B392="AIE",IF(I392="L",5,IF(I392="A",7,10)),IF(B392="SE",IF(I392="L",4,IF(I392="A",5,7)),IF(OR(B392="EE",B392="CE"),IF(I392="L",3,IF(I392="A",4,6)),0)))))</f>
        <v/>
      </c>
      <c r="I392" s="122" t="str">
        <f t="shared" si="396"/>
        <v/>
      </c>
      <c r="J392" s="7" t="str">
        <f t="shared" si="397"/>
        <v/>
      </c>
      <c r="K392" s="9" t="str">
        <f t="shared" si="398"/>
        <v/>
      </c>
      <c r="L392" s="9" t="str">
        <f>IF(NOT(ISERROR(VLOOKUP(B392,Deflatores!G$42:H$64,2,FALSE))),VLOOKUP(B392,Deflatores!G$42:H$64,2,FALSE),IF(OR(ISBLANK(C392),ISBLANK(B392)),"",VLOOKUP(C392,Deflatores!G$4:H$38,2,FALSE)*H392+VLOOKUP(C392,Deflatores!G$4:I$38,3,FALSE)))</f>
        <v/>
      </c>
      <c r="M392" s="10"/>
      <c r="N392" s="10"/>
      <c r="O392" s="6"/>
    </row>
    <row r="393" spans="1:15" x14ac:dyDescent="0.2">
      <c r="A393" s="126"/>
      <c r="B393" s="4"/>
      <c r="C393" s="4"/>
      <c r="D393" s="7"/>
      <c r="E393" s="7"/>
      <c r="F393" s="8" t="str">
        <f t="shared" si="402"/>
        <v/>
      </c>
      <c r="G393" s="7" t="str">
        <f t="shared" si="403"/>
        <v/>
      </c>
      <c r="H393" s="5" t="str">
        <f t="shared" si="404"/>
        <v/>
      </c>
      <c r="I393" s="122" t="str">
        <f t="shared" si="396"/>
        <v/>
      </c>
      <c r="J393" s="7" t="str">
        <f t="shared" si="397"/>
        <v/>
      </c>
      <c r="K393" s="9" t="str">
        <f t="shared" si="398"/>
        <v/>
      </c>
      <c r="L393" s="9" t="str">
        <f>IF(NOT(ISERROR(VLOOKUP(B393,Deflatores!G$42:H$64,2,FALSE))),VLOOKUP(B393,Deflatores!G$42:H$64,2,FALSE),IF(OR(ISBLANK(C393),ISBLANK(B393)),"",VLOOKUP(C393,Deflatores!G$4:H$38,2,FALSE)*H393+VLOOKUP(C393,Deflatores!G$4:I$38,3,FALSE)))</f>
        <v/>
      </c>
      <c r="M393" s="10"/>
      <c r="N393" s="10"/>
      <c r="O393" s="6"/>
    </row>
    <row r="394" spans="1:15" x14ac:dyDescent="0.2">
      <c r="A394" s="126"/>
      <c r="B394" s="4"/>
      <c r="C394" s="4"/>
      <c r="D394" s="7"/>
      <c r="E394" s="7"/>
      <c r="F394" s="8" t="str">
        <f t="shared" si="402"/>
        <v/>
      </c>
      <c r="G394" s="7" t="str">
        <f t="shared" si="403"/>
        <v/>
      </c>
      <c r="H394" s="5" t="str">
        <f t="shared" si="404"/>
        <v/>
      </c>
      <c r="I394" s="122" t="str">
        <f t="shared" si="396"/>
        <v/>
      </c>
      <c r="J394" s="7" t="str">
        <f t="shared" si="397"/>
        <v/>
      </c>
      <c r="K394" s="9" t="str">
        <f t="shared" si="398"/>
        <v/>
      </c>
      <c r="L394" s="9" t="str">
        <f>IF(NOT(ISERROR(VLOOKUP(B394,Deflatores!G$42:H$64,2,FALSE))),VLOOKUP(B394,Deflatores!G$42:H$64,2,FALSE),IF(OR(ISBLANK(C394),ISBLANK(B394)),"",VLOOKUP(C394,Deflatores!G$4:H$38,2,FALSE)*H394+VLOOKUP(C394,Deflatores!G$4:I$38,3,FALSE)))</f>
        <v/>
      </c>
      <c r="M394" s="10"/>
      <c r="N394" s="10"/>
      <c r="O394" s="6"/>
    </row>
    <row r="395" spans="1:15" x14ac:dyDescent="0.2">
      <c r="A395" s="126"/>
      <c r="B395" s="4"/>
      <c r="C395" s="4"/>
      <c r="D395" s="7"/>
      <c r="E395" s="7"/>
      <c r="F395" s="8" t="str">
        <f t="shared" si="402"/>
        <v/>
      </c>
      <c r="G395" s="7" t="str">
        <f t="shared" si="403"/>
        <v/>
      </c>
      <c r="H395" s="5" t="str">
        <f t="shared" si="404"/>
        <v/>
      </c>
      <c r="I395" s="122" t="str">
        <f t="shared" si="396"/>
        <v/>
      </c>
      <c r="J395" s="7" t="str">
        <f t="shared" si="397"/>
        <v/>
      </c>
      <c r="K395" s="9" t="str">
        <f t="shared" si="398"/>
        <v/>
      </c>
      <c r="L395" s="9" t="str">
        <f>IF(NOT(ISERROR(VLOOKUP(B395,Deflatores!G$42:H$64,2,FALSE))),VLOOKUP(B395,Deflatores!G$42:H$64,2,FALSE),IF(OR(ISBLANK(C395),ISBLANK(B395)),"",VLOOKUP(C395,Deflatores!G$4:H$38,2,FALSE)*H395+VLOOKUP(C395,Deflatores!G$4:I$38,3,FALSE)))</f>
        <v/>
      </c>
      <c r="M395" s="10"/>
      <c r="N395" s="10"/>
      <c r="O395" s="6"/>
    </row>
    <row r="396" spans="1:15" x14ac:dyDescent="0.2">
      <c r="A396" s="126"/>
      <c r="B396" s="4"/>
      <c r="C396" s="4"/>
      <c r="D396" s="7"/>
      <c r="E396" s="7"/>
      <c r="F396" s="8" t="str">
        <f t="shared" si="402"/>
        <v/>
      </c>
      <c r="G396" s="7" t="str">
        <f t="shared" si="403"/>
        <v/>
      </c>
      <c r="H396" s="5" t="str">
        <f t="shared" si="404"/>
        <v/>
      </c>
      <c r="I396" s="122" t="str">
        <f t="shared" si="396"/>
        <v/>
      </c>
      <c r="J396" s="7" t="str">
        <f t="shared" si="397"/>
        <v/>
      </c>
      <c r="K396" s="9" t="str">
        <f t="shared" si="398"/>
        <v/>
      </c>
      <c r="L396" s="9" t="str">
        <f>IF(NOT(ISERROR(VLOOKUP(B396,Deflatores!G$42:H$64,2,FALSE))),VLOOKUP(B396,Deflatores!G$42:H$64,2,FALSE),IF(OR(ISBLANK(C396),ISBLANK(B396)),"",VLOOKUP(C396,Deflatores!G$4:H$38,2,FALSE)*H396+VLOOKUP(C396,Deflatores!G$4:I$38,3,FALSE)))</f>
        <v/>
      </c>
      <c r="M396" s="10"/>
      <c r="N396" s="10"/>
      <c r="O396" s="6"/>
    </row>
    <row r="397" spans="1:15" x14ac:dyDescent="0.2">
      <c r="A397" s="126"/>
      <c r="B397" s="4"/>
      <c r="C397" s="4"/>
      <c r="D397" s="7"/>
      <c r="E397" s="7"/>
      <c r="F397" s="8" t="str">
        <f t="shared" si="402"/>
        <v/>
      </c>
      <c r="G397" s="7" t="str">
        <f t="shared" si="403"/>
        <v/>
      </c>
      <c r="H397" s="5" t="str">
        <f t="shared" si="404"/>
        <v/>
      </c>
      <c r="I397" s="122" t="str">
        <f t="shared" si="396"/>
        <v/>
      </c>
      <c r="J397" s="7" t="str">
        <f t="shared" si="397"/>
        <v/>
      </c>
      <c r="K397" s="9" t="str">
        <f t="shared" si="398"/>
        <v/>
      </c>
      <c r="L397" s="9" t="str">
        <f>IF(NOT(ISERROR(VLOOKUP(B397,Deflatores!G$42:H$64,2,FALSE))),VLOOKUP(B397,Deflatores!G$42:H$64,2,FALSE),IF(OR(ISBLANK(C397),ISBLANK(B397)),"",VLOOKUP(C397,Deflatores!G$4:H$38,2,FALSE)*H397+VLOOKUP(C397,Deflatores!G$4:I$38,3,FALSE)))</f>
        <v/>
      </c>
      <c r="M397" s="10"/>
      <c r="N397" s="10"/>
      <c r="O397" s="6"/>
    </row>
    <row r="398" spans="1:15" x14ac:dyDescent="0.2">
      <c r="A398" s="126"/>
      <c r="B398" s="4"/>
      <c r="C398" s="4"/>
      <c r="D398" s="7"/>
      <c r="E398" s="7"/>
      <c r="F398" s="8" t="str">
        <f>IF(ISBLANK(B398),"",IF(I398="L","Baixa",IF(I398="A","Média",IF(I398="","","Alta"))))</f>
        <v/>
      </c>
      <c r="G398" s="7" t="str">
        <f>CONCATENATE(B398,I398)</f>
        <v/>
      </c>
      <c r="H398" s="5" t="str">
        <f>IF(ISBLANK(B398),"",IF(B398="ALI",IF(I398="L",7,IF(I398="A",10,15)),IF(B398="AIE",IF(I398="L",5,IF(I398="A",7,10)),IF(B398="SE",IF(I398="L",4,IF(I398="A",5,7)),IF(OR(B398="EE",B398="CE"),IF(I398="L",3,IF(I398="A",4,6)),0)))))</f>
        <v/>
      </c>
      <c r="I398" s="122" t="str">
        <f t="shared" si="396"/>
        <v/>
      </c>
      <c r="J398" s="7" t="str">
        <f t="shared" si="397"/>
        <v/>
      </c>
      <c r="K398" s="9" t="str">
        <f t="shared" si="398"/>
        <v/>
      </c>
      <c r="L398" s="9" t="str">
        <f>IF(NOT(ISERROR(VLOOKUP(B398,Deflatores!G$42:H$64,2,FALSE))),VLOOKUP(B398,Deflatores!G$42:H$64,2,FALSE),IF(OR(ISBLANK(C398),ISBLANK(B398)),"",VLOOKUP(C398,Deflatores!G$4:H$38,2,FALSE)*H398+VLOOKUP(C398,Deflatores!G$4:I$38,3,FALSE)))</f>
        <v/>
      </c>
      <c r="M398" s="10"/>
      <c r="N398" s="10"/>
      <c r="O398" s="6"/>
    </row>
    <row r="399" spans="1:15" x14ac:dyDescent="0.2">
      <c r="A399" s="129"/>
      <c r="B399" s="4"/>
      <c r="C399" s="4"/>
      <c r="D399" s="7"/>
      <c r="E399" s="7"/>
      <c r="F399" s="8" t="str">
        <f t="shared" ref="F399:F462" si="405">IF(ISBLANK(B399),"",IF(I399="L","Baixa",IF(I399="A","Média",IF(I399="","","Alta"))))</f>
        <v/>
      </c>
      <c r="G399" s="7" t="str">
        <f t="shared" ref="G399:G462" si="406">CONCATENATE(B399,I399)</f>
        <v/>
      </c>
      <c r="H399" s="5" t="str">
        <f t="shared" ref="H399:H462" si="407">IF(ISBLANK(B399),"",IF(B399="ALI",IF(I399="L",7,IF(I399="A",10,15)),IF(B399="AIE",IF(I399="L",5,IF(I399="A",7,10)),IF(B399="SE",IF(I399="L",4,IF(I399="A",5,7)),IF(OR(B399="EE",B399="CE"),IF(I399="L",3,IF(I399="A",4,6)),0)))))</f>
        <v/>
      </c>
      <c r="I399" s="122" t="str">
        <f t="shared" si="396"/>
        <v/>
      </c>
      <c r="J399" s="7" t="str">
        <f t="shared" si="397"/>
        <v/>
      </c>
      <c r="K399" s="9" t="str">
        <f t="shared" si="398"/>
        <v/>
      </c>
      <c r="L399" s="9" t="str">
        <f>IF(NOT(ISERROR(VLOOKUP(B399,Deflatores!G$42:H$64,2,FALSE))),VLOOKUP(B399,Deflatores!G$42:H$64,2,FALSE),IF(OR(ISBLANK(C399),ISBLANK(B399)),"",VLOOKUP(C399,Deflatores!G$4:H$38,2,FALSE)*H399+VLOOKUP(C399,Deflatores!G$4:I$38,3,FALSE)))</f>
        <v/>
      </c>
      <c r="M399" s="10"/>
      <c r="N399" s="10"/>
      <c r="O399" s="6"/>
    </row>
    <row r="400" spans="1:15" x14ac:dyDescent="0.2">
      <c r="A400" s="128"/>
      <c r="B400" s="4"/>
      <c r="C400" s="4"/>
      <c r="D400" s="7"/>
      <c r="E400" s="7"/>
      <c r="F400" s="8" t="str">
        <f t="shared" si="405"/>
        <v/>
      </c>
      <c r="G400" s="7" t="str">
        <f t="shared" si="406"/>
        <v/>
      </c>
      <c r="H400" s="5" t="str">
        <f t="shared" si="407"/>
        <v/>
      </c>
      <c r="I400" s="122" t="str">
        <f t="shared" si="396"/>
        <v/>
      </c>
      <c r="J400" s="7" t="str">
        <f t="shared" si="397"/>
        <v/>
      </c>
      <c r="K400" s="9" t="str">
        <f t="shared" si="398"/>
        <v/>
      </c>
      <c r="L400" s="9" t="str">
        <f>IF(NOT(ISERROR(VLOOKUP(B400,Deflatores!G$42:H$64,2,FALSE))),VLOOKUP(B400,Deflatores!G$42:H$64,2,FALSE),IF(OR(ISBLANK(C400),ISBLANK(B400)),"",VLOOKUP(C400,Deflatores!G$4:H$38,2,FALSE)*H400+VLOOKUP(C400,Deflatores!G$4:I$38,3,FALSE)))</f>
        <v/>
      </c>
      <c r="M400" s="10"/>
      <c r="N400" s="10"/>
      <c r="O400" s="6"/>
    </row>
    <row r="401" spans="1:15" x14ac:dyDescent="0.2">
      <c r="A401" s="126"/>
      <c r="B401" s="4"/>
      <c r="C401" s="4"/>
      <c r="D401" s="7"/>
      <c r="E401" s="7"/>
      <c r="F401" s="8" t="str">
        <f t="shared" si="405"/>
        <v/>
      </c>
      <c r="G401" s="7" t="str">
        <f t="shared" si="406"/>
        <v/>
      </c>
      <c r="H401" s="5" t="str">
        <f t="shared" si="407"/>
        <v/>
      </c>
      <c r="I401" s="122" t="str">
        <f t="shared" si="396"/>
        <v/>
      </c>
      <c r="J401" s="7" t="str">
        <f t="shared" si="397"/>
        <v/>
      </c>
      <c r="K401" s="9" t="str">
        <f t="shared" si="398"/>
        <v/>
      </c>
      <c r="L401" s="9" t="str">
        <f>IF(NOT(ISERROR(VLOOKUP(B401,Deflatores!G$42:H$64,2,FALSE))),VLOOKUP(B401,Deflatores!G$42:H$64,2,FALSE),IF(OR(ISBLANK(C401),ISBLANK(B401)),"",VLOOKUP(C401,Deflatores!G$4:H$38,2,FALSE)*H401+VLOOKUP(C401,Deflatores!G$4:I$38,3,FALSE)))</f>
        <v/>
      </c>
      <c r="M401" s="10"/>
      <c r="N401" s="10"/>
      <c r="O401" s="6"/>
    </row>
    <row r="402" spans="1:15" x14ac:dyDescent="0.2">
      <c r="A402" s="126"/>
      <c r="B402" s="4"/>
      <c r="C402" s="4"/>
      <c r="D402" s="7"/>
      <c r="E402" s="7"/>
      <c r="F402" s="8" t="str">
        <f t="shared" si="405"/>
        <v/>
      </c>
      <c r="G402" s="7" t="str">
        <f t="shared" si="406"/>
        <v/>
      </c>
      <c r="H402" s="5" t="str">
        <f t="shared" si="407"/>
        <v/>
      </c>
      <c r="I402" s="122" t="str">
        <f t="shared" si="396"/>
        <v/>
      </c>
      <c r="J402" s="7" t="str">
        <f t="shared" si="397"/>
        <v/>
      </c>
      <c r="K402" s="9" t="str">
        <f t="shared" si="398"/>
        <v/>
      </c>
      <c r="L402" s="9" t="str">
        <f>IF(NOT(ISERROR(VLOOKUP(B402,Deflatores!G$42:H$64,2,FALSE))),VLOOKUP(B402,Deflatores!G$42:H$64,2,FALSE),IF(OR(ISBLANK(C402),ISBLANK(B402)),"",VLOOKUP(C402,Deflatores!G$4:H$38,2,FALSE)*H402+VLOOKUP(C402,Deflatores!G$4:I$38,3,FALSE)))</f>
        <v/>
      </c>
      <c r="M402" s="10"/>
      <c r="N402" s="10"/>
      <c r="O402" s="6"/>
    </row>
    <row r="403" spans="1:15" x14ac:dyDescent="0.2">
      <c r="A403" s="126"/>
      <c r="B403" s="4"/>
      <c r="C403" s="4"/>
      <c r="D403" s="7"/>
      <c r="E403" s="7"/>
      <c r="F403" s="8" t="str">
        <f t="shared" si="405"/>
        <v/>
      </c>
      <c r="G403" s="7" t="str">
        <f t="shared" si="406"/>
        <v/>
      </c>
      <c r="H403" s="5" t="str">
        <f t="shared" si="407"/>
        <v/>
      </c>
      <c r="I403" s="122" t="str">
        <f t="shared" si="396"/>
        <v/>
      </c>
      <c r="J403" s="7" t="str">
        <f t="shared" si="397"/>
        <v/>
      </c>
      <c r="K403" s="9" t="str">
        <f t="shared" si="398"/>
        <v/>
      </c>
      <c r="L403" s="9" t="str">
        <f>IF(NOT(ISERROR(VLOOKUP(B403,Deflatores!G$42:H$64,2,FALSE))),VLOOKUP(B403,Deflatores!G$42:H$64,2,FALSE),IF(OR(ISBLANK(C403),ISBLANK(B403)),"",VLOOKUP(C403,Deflatores!G$4:H$38,2,FALSE)*H403+VLOOKUP(C403,Deflatores!G$4:I$38,3,FALSE)))</f>
        <v/>
      </c>
      <c r="M403" s="10"/>
      <c r="N403" s="10"/>
      <c r="O403" s="6"/>
    </row>
    <row r="404" spans="1:15" x14ac:dyDescent="0.2">
      <c r="A404" s="128"/>
      <c r="B404" s="4"/>
      <c r="C404" s="4"/>
      <c r="D404" s="7"/>
      <c r="E404" s="7"/>
      <c r="F404" s="8" t="str">
        <f t="shared" si="405"/>
        <v/>
      </c>
      <c r="G404" s="7" t="str">
        <f t="shared" si="406"/>
        <v/>
      </c>
      <c r="H404" s="5" t="str">
        <f t="shared" si="407"/>
        <v/>
      </c>
      <c r="I404" s="122" t="str">
        <f t="shared" si="396"/>
        <v/>
      </c>
      <c r="J404" s="7" t="str">
        <f t="shared" si="397"/>
        <v/>
      </c>
      <c r="K404" s="9" t="str">
        <f t="shared" si="398"/>
        <v/>
      </c>
      <c r="L404" s="9" t="str">
        <f>IF(NOT(ISERROR(VLOOKUP(B404,Deflatores!G$42:H$64,2,FALSE))),VLOOKUP(B404,Deflatores!G$42:H$64,2,FALSE),IF(OR(ISBLANK(C404),ISBLANK(B404)),"",VLOOKUP(C404,Deflatores!G$4:H$38,2,FALSE)*H404+VLOOKUP(C404,Deflatores!G$4:I$38,3,FALSE)))</f>
        <v/>
      </c>
      <c r="M404" s="10"/>
      <c r="N404" s="10"/>
      <c r="O404" s="6"/>
    </row>
    <row r="405" spans="1:15" x14ac:dyDescent="0.2">
      <c r="A405" s="126"/>
      <c r="B405" s="4"/>
      <c r="C405" s="4"/>
      <c r="D405" s="7"/>
      <c r="E405" s="7"/>
      <c r="F405" s="8" t="str">
        <f t="shared" si="405"/>
        <v/>
      </c>
      <c r="G405" s="7" t="str">
        <f t="shared" si="406"/>
        <v/>
      </c>
      <c r="H405" s="5" t="str">
        <f t="shared" si="407"/>
        <v/>
      </c>
      <c r="I405" s="122" t="str">
        <f t="shared" si="396"/>
        <v/>
      </c>
      <c r="J405" s="7" t="str">
        <f t="shared" si="397"/>
        <v/>
      </c>
      <c r="K405" s="9" t="str">
        <f t="shared" si="398"/>
        <v/>
      </c>
      <c r="L405" s="9" t="str">
        <f>IF(NOT(ISERROR(VLOOKUP(B405,Deflatores!G$42:H$64,2,FALSE))),VLOOKUP(B405,Deflatores!G$42:H$64,2,FALSE),IF(OR(ISBLANK(C405),ISBLANK(B405)),"",VLOOKUP(C405,Deflatores!G$4:H$38,2,FALSE)*H405+VLOOKUP(C405,Deflatores!G$4:I$38,3,FALSE)))</f>
        <v/>
      </c>
      <c r="M405" s="10"/>
      <c r="N405" s="10"/>
      <c r="O405" s="6"/>
    </row>
    <row r="406" spans="1:15" x14ac:dyDescent="0.2">
      <c r="A406" s="126"/>
      <c r="B406" s="4"/>
      <c r="C406" s="4"/>
      <c r="D406" s="7"/>
      <c r="E406" s="7"/>
      <c r="F406" s="8" t="str">
        <f t="shared" si="405"/>
        <v/>
      </c>
      <c r="G406" s="7" t="str">
        <f t="shared" si="406"/>
        <v/>
      </c>
      <c r="H406" s="5" t="str">
        <f t="shared" si="407"/>
        <v/>
      </c>
      <c r="I406" s="122" t="str">
        <f t="shared" si="396"/>
        <v/>
      </c>
      <c r="J406" s="7" t="str">
        <f t="shared" si="397"/>
        <v/>
      </c>
      <c r="K406" s="9" t="str">
        <f t="shared" si="398"/>
        <v/>
      </c>
      <c r="L406" s="9" t="str">
        <f>IF(NOT(ISERROR(VLOOKUP(B406,Deflatores!G$42:H$64,2,FALSE))),VLOOKUP(B406,Deflatores!G$42:H$64,2,FALSE),IF(OR(ISBLANK(C406),ISBLANK(B406)),"",VLOOKUP(C406,Deflatores!G$4:H$38,2,FALSE)*H406+VLOOKUP(C406,Deflatores!G$4:I$38,3,FALSE)))</f>
        <v/>
      </c>
      <c r="M406" s="10"/>
      <c r="N406" s="10"/>
      <c r="O406" s="6"/>
    </row>
    <row r="407" spans="1:15" x14ac:dyDescent="0.2">
      <c r="A407" s="126"/>
      <c r="B407" s="4"/>
      <c r="C407" s="4"/>
      <c r="D407" s="7"/>
      <c r="E407" s="7"/>
      <c r="F407" s="8" t="str">
        <f t="shared" si="405"/>
        <v/>
      </c>
      <c r="G407" s="7" t="str">
        <f t="shared" si="406"/>
        <v/>
      </c>
      <c r="H407" s="5" t="str">
        <f t="shared" si="407"/>
        <v/>
      </c>
      <c r="I407" s="122" t="str">
        <f t="shared" si="396"/>
        <v/>
      </c>
      <c r="J407" s="7" t="str">
        <f t="shared" si="397"/>
        <v/>
      </c>
      <c r="K407" s="9" t="str">
        <f t="shared" si="398"/>
        <v/>
      </c>
      <c r="L407" s="9" t="str">
        <f>IF(NOT(ISERROR(VLOOKUP(B407,Deflatores!G$42:H$64,2,FALSE))),VLOOKUP(B407,Deflatores!G$42:H$64,2,FALSE),IF(OR(ISBLANK(C407),ISBLANK(B407)),"",VLOOKUP(C407,Deflatores!G$4:H$38,2,FALSE)*H407+VLOOKUP(C407,Deflatores!G$4:I$38,3,FALSE)))</f>
        <v/>
      </c>
      <c r="M407" s="10"/>
      <c r="N407" s="10"/>
      <c r="O407" s="6"/>
    </row>
    <row r="408" spans="1:15" x14ac:dyDescent="0.2">
      <c r="A408" s="126"/>
      <c r="B408" s="4"/>
      <c r="C408" s="4"/>
      <c r="D408" s="7"/>
      <c r="E408" s="7"/>
      <c r="F408" s="8" t="str">
        <f t="shared" si="405"/>
        <v/>
      </c>
      <c r="G408" s="7" t="str">
        <f t="shared" si="406"/>
        <v/>
      </c>
      <c r="H408" s="5" t="str">
        <f t="shared" si="407"/>
        <v/>
      </c>
      <c r="I408" s="122" t="str">
        <f t="shared" ref="I408:I471" si="408">IF(OR(ISBLANK(D408),ISBLANK(E408)),IF(OR(B408="ALI",B408="AIE"),"L",IF(OR(B408="EE",B408="SE",B408="CE"),"A","")),IF(B408="EE",IF(E408&gt;=3,IF(D408&gt;=5,"H","A"),IF(E408&gt;=2,IF(D408&gt;=16,"H",IF(D408&lt;=4,"L","A")),IF(D408&lt;=15,"L","A"))),IF(OR(B408="SE",B408="CE"),IF(E408&gt;=4,IF(D408&gt;=6,"H","A"),IF(E408&gt;=2,IF(D408&gt;=20,"H",IF(D408&lt;=5,"L","A")),IF(D408&lt;=19,"L","A"))),IF(OR(B408="ALI",B408="AIE"),IF(E408&gt;=6,IF(D408&gt;=20,"H","A"),IF(E408&gt;=2,IF(D408&gt;=51,"H",IF(D408&lt;=19,"L","A")),IF(D408&lt;=50,"L","A"))),""))))</f>
        <v/>
      </c>
      <c r="J408" s="7" t="str">
        <f t="shared" ref="J408:J471" si="409">CONCATENATE(B408,C408)</f>
        <v/>
      </c>
      <c r="K408" s="9" t="str">
        <f t="shared" ref="K408:K471" si="410">IF(OR(H408="",H408=0),L408,H408)</f>
        <v/>
      </c>
      <c r="L408" s="9" t="str">
        <f>IF(NOT(ISERROR(VLOOKUP(B408,Deflatores!G$42:H$64,2,FALSE))),VLOOKUP(B408,Deflatores!G$42:H$64,2,FALSE),IF(OR(ISBLANK(C408),ISBLANK(B408)),"",VLOOKUP(C408,Deflatores!G$4:H$38,2,FALSE)*H408+VLOOKUP(C408,Deflatores!G$4:I$38,3,FALSE)))</f>
        <v/>
      </c>
      <c r="M408" s="10"/>
      <c r="N408" s="10"/>
      <c r="O408" s="6"/>
    </row>
    <row r="409" spans="1:15" x14ac:dyDescent="0.2">
      <c r="A409" s="126"/>
      <c r="B409" s="4"/>
      <c r="C409" s="4"/>
      <c r="D409" s="7"/>
      <c r="E409" s="7"/>
      <c r="F409" s="8" t="str">
        <f t="shared" si="405"/>
        <v/>
      </c>
      <c r="G409" s="7" t="str">
        <f t="shared" si="406"/>
        <v/>
      </c>
      <c r="H409" s="5" t="str">
        <f t="shared" si="407"/>
        <v/>
      </c>
      <c r="I409" s="122" t="str">
        <f t="shared" si="408"/>
        <v/>
      </c>
      <c r="J409" s="7" t="str">
        <f t="shared" si="409"/>
        <v/>
      </c>
      <c r="K409" s="9" t="str">
        <f t="shared" si="410"/>
        <v/>
      </c>
      <c r="L409" s="9" t="str">
        <f>IF(NOT(ISERROR(VLOOKUP(B409,Deflatores!G$42:H$64,2,FALSE))),VLOOKUP(B409,Deflatores!G$42:H$64,2,FALSE),IF(OR(ISBLANK(C409),ISBLANK(B409)),"",VLOOKUP(C409,Deflatores!G$4:H$38,2,FALSE)*H409+VLOOKUP(C409,Deflatores!G$4:I$38,3,FALSE)))</f>
        <v/>
      </c>
      <c r="M409" s="10"/>
      <c r="N409" s="10"/>
      <c r="O409" s="6"/>
    </row>
    <row r="410" spans="1:15" x14ac:dyDescent="0.2">
      <c r="A410" s="126"/>
      <c r="B410" s="4"/>
      <c r="C410" s="4"/>
      <c r="D410" s="7"/>
      <c r="E410" s="7"/>
      <c r="F410" s="8" t="str">
        <f t="shared" si="405"/>
        <v/>
      </c>
      <c r="G410" s="7" t="str">
        <f t="shared" si="406"/>
        <v/>
      </c>
      <c r="H410" s="5" t="str">
        <f t="shared" si="407"/>
        <v/>
      </c>
      <c r="I410" s="122" t="str">
        <f t="shared" si="408"/>
        <v/>
      </c>
      <c r="J410" s="7" t="str">
        <f t="shared" si="409"/>
        <v/>
      </c>
      <c r="K410" s="9" t="str">
        <f t="shared" si="410"/>
        <v/>
      </c>
      <c r="L410" s="9" t="str">
        <f>IF(NOT(ISERROR(VLOOKUP(B410,Deflatores!G$42:H$64,2,FALSE))),VLOOKUP(B410,Deflatores!G$42:H$64,2,FALSE),IF(OR(ISBLANK(C410),ISBLANK(B410)),"",VLOOKUP(C410,Deflatores!G$4:H$38,2,FALSE)*H410+VLOOKUP(C410,Deflatores!G$4:I$38,3,FALSE)))</f>
        <v/>
      </c>
      <c r="M410" s="10"/>
      <c r="N410" s="10"/>
      <c r="O410" s="6"/>
    </row>
    <row r="411" spans="1:15" x14ac:dyDescent="0.2">
      <c r="A411" s="126"/>
      <c r="B411" s="4"/>
      <c r="C411" s="4"/>
      <c r="D411" s="7"/>
      <c r="E411" s="7"/>
      <c r="F411" s="8" t="str">
        <f t="shared" si="405"/>
        <v/>
      </c>
      <c r="G411" s="7" t="str">
        <f t="shared" si="406"/>
        <v/>
      </c>
      <c r="H411" s="5" t="str">
        <f t="shared" si="407"/>
        <v/>
      </c>
      <c r="I411" s="122" t="str">
        <f t="shared" si="408"/>
        <v/>
      </c>
      <c r="J411" s="7" t="str">
        <f t="shared" si="409"/>
        <v/>
      </c>
      <c r="K411" s="9" t="str">
        <f t="shared" si="410"/>
        <v/>
      </c>
      <c r="L411" s="9" t="str">
        <f>IF(NOT(ISERROR(VLOOKUP(B411,Deflatores!G$42:H$64,2,FALSE))),VLOOKUP(B411,Deflatores!G$42:H$64,2,FALSE),IF(OR(ISBLANK(C411),ISBLANK(B411)),"",VLOOKUP(C411,Deflatores!G$4:H$38,2,FALSE)*H411+VLOOKUP(C411,Deflatores!G$4:I$38,3,FALSE)))</f>
        <v/>
      </c>
      <c r="M411" s="10"/>
      <c r="N411" s="10"/>
      <c r="O411" s="6"/>
    </row>
    <row r="412" spans="1:15" x14ac:dyDescent="0.2">
      <c r="A412" s="126"/>
      <c r="B412" s="4"/>
      <c r="C412" s="4"/>
      <c r="D412" s="7"/>
      <c r="E412" s="7"/>
      <c r="F412" s="8" t="str">
        <f t="shared" si="405"/>
        <v/>
      </c>
      <c r="G412" s="7" t="str">
        <f t="shared" si="406"/>
        <v/>
      </c>
      <c r="H412" s="5" t="str">
        <f t="shared" si="407"/>
        <v/>
      </c>
      <c r="I412" s="122" t="str">
        <f t="shared" si="408"/>
        <v/>
      </c>
      <c r="J412" s="7" t="str">
        <f t="shared" si="409"/>
        <v/>
      </c>
      <c r="K412" s="9" t="str">
        <f t="shared" si="410"/>
        <v/>
      </c>
      <c r="L412" s="9" t="str">
        <f>IF(NOT(ISERROR(VLOOKUP(B412,Deflatores!G$42:H$64,2,FALSE))),VLOOKUP(B412,Deflatores!G$42:H$64,2,FALSE),IF(OR(ISBLANK(C412),ISBLANK(B412)),"",VLOOKUP(C412,Deflatores!G$4:H$38,2,FALSE)*H412+VLOOKUP(C412,Deflatores!G$4:I$38,3,FALSE)))</f>
        <v/>
      </c>
      <c r="M412" s="10"/>
      <c r="N412" s="10"/>
      <c r="O412" s="6"/>
    </row>
    <row r="413" spans="1:15" x14ac:dyDescent="0.2">
      <c r="A413" s="126"/>
      <c r="B413" s="4"/>
      <c r="C413" s="4"/>
      <c r="D413" s="7"/>
      <c r="E413" s="7"/>
      <c r="F413" s="8" t="str">
        <f t="shared" si="405"/>
        <v/>
      </c>
      <c r="G413" s="7" t="str">
        <f t="shared" si="406"/>
        <v/>
      </c>
      <c r="H413" s="5" t="str">
        <f t="shared" si="407"/>
        <v/>
      </c>
      <c r="I413" s="122" t="str">
        <f t="shared" si="408"/>
        <v/>
      </c>
      <c r="J413" s="7" t="str">
        <f t="shared" si="409"/>
        <v/>
      </c>
      <c r="K413" s="9" t="str">
        <f t="shared" si="410"/>
        <v/>
      </c>
      <c r="L413" s="9" t="str">
        <f>IF(NOT(ISERROR(VLOOKUP(B413,Deflatores!G$42:H$64,2,FALSE))),VLOOKUP(B413,Deflatores!G$42:H$64,2,FALSE),IF(OR(ISBLANK(C413),ISBLANK(B413)),"",VLOOKUP(C413,Deflatores!G$4:H$38,2,FALSE)*H413+VLOOKUP(C413,Deflatores!G$4:I$38,3,FALSE)))</f>
        <v/>
      </c>
      <c r="M413" s="10"/>
      <c r="N413" s="10"/>
      <c r="O413" s="6"/>
    </row>
    <row r="414" spans="1:15" x14ac:dyDescent="0.2">
      <c r="A414" s="126"/>
      <c r="B414" s="4"/>
      <c r="C414" s="4"/>
      <c r="D414" s="7"/>
      <c r="E414" s="7"/>
      <c r="F414" s="8" t="str">
        <f t="shared" si="405"/>
        <v/>
      </c>
      <c r="G414" s="7" t="str">
        <f t="shared" si="406"/>
        <v/>
      </c>
      <c r="H414" s="5" t="str">
        <f t="shared" si="407"/>
        <v/>
      </c>
      <c r="I414" s="122" t="str">
        <f t="shared" si="408"/>
        <v/>
      </c>
      <c r="J414" s="7" t="str">
        <f t="shared" si="409"/>
        <v/>
      </c>
      <c r="K414" s="9" t="str">
        <f t="shared" si="410"/>
        <v/>
      </c>
      <c r="L414" s="9" t="str">
        <f>IF(NOT(ISERROR(VLOOKUP(B414,Deflatores!G$42:H$64,2,FALSE))),VLOOKUP(B414,Deflatores!G$42:H$64,2,FALSE),IF(OR(ISBLANK(C414),ISBLANK(B414)),"",VLOOKUP(C414,Deflatores!G$4:H$38,2,FALSE)*H414+VLOOKUP(C414,Deflatores!G$4:I$38,3,FALSE)))</f>
        <v/>
      </c>
      <c r="M414" s="10"/>
      <c r="N414" s="10"/>
      <c r="O414" s="6"/>
    </row>
    <row r="415" spans="1:15" x14ac:dyDescent="0.2">
      <c r="A415" s="126"/>
      <c r="B415" s="4"/>
      <c r="C415" s="4"/>
      <c r="D415" s="7"/>
      <c r="E415" s="7"/>
      <c r="F415" s="8" t="str">
        <f t="shared" si="405"/>
        <v/>
      </c>
      <c r="G415" s="7" t="str">
        <f t="shared" si="406"/>
        <v/>
      </c>
      <c r="H415" s="5" t="str">
        <f t="shared" si="407"/>
        <v/>
      </c>
      <c r="I415" s="122" t="str">
        <f t="shared" si="408"/>
        <v/>
      </c>
      <c r="J415" s="7" t="str">
        <f t="shared" si="409"/>
        <v/>
      </c>
      <c r="K415" s="9" t="str">
        <f t="shared" si="410"/>
        <v/>
      </c>
      <c r="L415" s="9" t="str">
        <f>IF(NOT(ISERROR(VLOOKUP(B415,Deflatores!G$42:H$64,2,FALSE))),VLOOKUP(B415,Deflatores!G$42:H$64,2,FALSE),IF(OR(ISBLANK(C415),ISBLANK(B415)),"",VLOOKUP(C415,Deflatores!G$4:H$38,2,FALSE)*H415+VLOOKUP(C415,Deflatores!G$4:I$38,3,FALSE)))</f>
        <v/>
      </c>
      <c r="M415" s="10"/>
      <c r="N415" s="10"/>
      <c r="O415" s="6"/>
    </row>
    <row r="416" spans="1:15" x14ac:dyDescent="0.2">
      <c r="A416" s="126"/>
      <c r="B416" s="4"/>
      <c r="C416" s="4"/>
      <c r="D416" s="7"/>
      <c r="E416" s="7"/>
      <c r="F416" s="8" t="str">
        <f t="shared" si="405"/>
        <v/>
      </c>
      <c r="G416" s="7" t="str">
        <f t="shared" si="406"/>
        <v/>
      </c>
      <c r="H416" s="5" t="str">
        <f t="shared" si="407"/>
        <v/>
      </c>
      <c r="I416" s="122" t="str">
        <f t="shared" si="408"/>
        <v/>
      </c>
      <c r="J416" s="7" t="str">
        <f t="shared" si="409"/>
        <v/>
      </c>
      <c r="K416" s="9" t="str">
        <f t="shared" si="410"/>
        <v/>
      </c>
      <c r="L416" s="9" t="str">
        <f>IF(NOT(ISERROR(VLOOKUP(B416,Deflatores!G$42:H$64,2,FALSE))),VLOOKUP(B416,Deflatores!G$42:H$64,2,FALSE),IF(OR(ISBLANK(C416),ISBLANK(B416)),"",VLOOKUP(C416,Deflatores!G$4:H$38,2,FALSE)*H416+VLOOKUP(C416,Deflatores!G$4:I$38,3,FALSE)))</f>
        <v/>
      </c>
      <c r="M416" s="10"/>
      <c r="N416" s="10"/>
      <c r="O416" s="6"/>
    </row>
    <row r="417" spans="1:15" x14ac:dyDescent="0.2">
      <c r="A417" s="126"/>
      <c r="B417" s="4"/>
      <c r="C417" s="4"/>
      <c r="D417" s="7"/>
      <c r="E417" s="7"/>
      <c r="F417" s="8" t="str">
        <f t="shared" si="405"/>
        <v/>
      </c>
      <c r="G417" s="7" t="str">
        <f t="shared" si="406"/>
        <v/>
      </c>
      <c r="H417" s="5" t="str">
        <f t="shared" si="407"/>
        <v/>
      </c>
      <c r="I417" s="122" t="str">
        <f t="shared" si="408"/>
        <v/>
      </c>
      <c r="J417" s="7" t="str">
        <f t="shared" si="409"/>
        <v/>
      </c>
      <c r="K417" s="9" t="str">
        <f t="shared" si="410"/>
        <v/>
      </c>
      <c r="L417" s="9" t="str">
        <f>IF(NOT(ISERROR(VLOOKUP(B417,Deflatores!G$42:H$64,2,FALSE))),VLOOKUP(B417,Deflatores!G$42:H$64,2,FALSE),IF(OR(ISBLANK(C417),ISBLANK(B417)),"",VLOOKUP(C417,Deflatores!G$4:H$38,2,FALSE)*H417+VLOOKUP(C417,Deflatores!G$4:I$38,3,FALSE)))</f>
        <v/>
      </c>
      <c r="M417" s="10"/>
      <c r="N417" s="10"/>
      <c r="O417" s="6"/>
    </row>
    <row r="418" spans="1:15" x14ac:dyDescent="0.2">
      <c r="A418" s="126"/>
      <c r="B418" s="4"/>
      <c r="C418" s="4"/>
      <c r="D418" s="7"/>
      <c r="E418" s="7"/>
      <c r="F418" s="8" t="str">
        <f t="shared" si="405"/>
        <v/>
      </c>
      <c r="G418" s="7" t="str">
        <f t="shared" si="406"/>
        <v/>
      </c>
      <c r="H418" s="5" t="str">
        <f t="shared" si="407"/>
        <v/>
      </c>
      <c r="I418" s="122" t="str">
        <f t="shared" si="408"/>
        <v/>
      </c>
      <c r="J418" s="7" t="str">
        <f t="shared" si="409"/>
        <v/>
      </c>
      <c r="K418" s="9" t="str">
        <f t="shared" si="410"/>
        <v/>
      </c>
      <c r="L418" s="9" t="str">
        <f>IF(NOT(ISERROR(VLOOKUP(B418,Deflatores!G$42:H$64,2,FALSE))),VLOOKUP(B418,Deflatores!G$42:H$64,2,FALSE),IF(OR(ISBLANK(C418),ISBLANK(B418)),"",VLOOKUP(C418,Deflatores!G$4:H$38,2,FALSE)*H418+VLOOKUP(C418,Deflatores!G$4:I$38,3,FALSE)))</f>
        <v/>
      </c>
      <c r="M418" s="10"/>
      <c r="N418" s="10"/>
      <c r="O418" s="6"/>
    </row>
    <row r="419" spans="1:15" x14ac:dyDescent="0.2">
      <c r="A419" s="126"/>
      <c r="B419" s="4"/>
      <c r="C419" s="4"/>
      <c r="D419" s="7"/>
      <c r="E419" s="7"/>
      <c r="F419" s="8" t="str">
        <f t="shared" si="405"/>
        <v/>
      </c>
      <c r="G419" s="7" t="str">
        <f t="shared" si="406"/>
        <v/>
      </c>
      <c r="H419" s="5" t="str">
        <f t="shared" si="407"/>
        <v/>
      </c>
      <c r="I419" s="122" t="str">
        <f t="shared" si="408"/>
        <v/>
      </c>
      <c r="J419" s="7" t="str">
        <f t="shared" si="409"/>
        <v/>
      </c>
      <c r="K419" s="9" t="str">
        <f t="shared" si="410"/>
        <v/>
      </c>
      <c r="L419" s="9" t="str">
        <f>IF(NOT(ISERROR(VLOOKUP(B419,Deflatores!G$42:H$64,2,FALSE))),VLOOKUP(B419,Deflatores!G$42:H$64,2,FALSE),IF(OR(ISBLANK(C419),ISBLANK(B419)),"",VLOOKUP(C419,Deflatores!G$4:H$38,2,FALSE)*H419+VLOOKUP(C419,Deflatores!G$4:I$38,3,FALSE)))</f>
        <v/>
      </c>
      <c r="M419" s="10"/>
      <c r="N419" s="10"/>
      <c r="O419" s="6"/>
    </row>
    <row r="420" spans="1:15" x14ac:dyDescent="0.2">
      <c r="A420" s="126"/>
      <c r="B420" s="4"/>
      <c r="C420" s="4"/>
      <c r="D420" s="7"/>
      <c r="E420" s="7"/>
      <c r="F420" s="8" t="str">
        <f t="shared" si="405"/>
        <v/>
      </c>
      <c r="G420" s="7" t="str">
        <f t="shared" si="406"/>
        <v/>
      </c>
      <c r="H420" s="5" t="str">
        <f t="shared" si="407"/>
        <v/>
      </c>
      <c r="I420" s="122" t="str">
        <f t="shared" si="408"/>
        <v/>
      </c>
      <c r="J420" s="7" t="str">
        <f t="shared" si="409"/>
        <v/>
      </c>
      <c r="K420" s="9" t="str">
        <f t="shared" si="410"/>
        <v/>
      </c>
      <c r="L420" s="9" t="str">
        <f>IF(NOT(ISERROR(VLOOKUP(B420,Deflatores!G$42:H$64,2,FALSE))),VLOOKUP(B420,Deflatores!G$42:H$64,2,FALSE),IF(OR(ISBLANK(C420),ISBLANK(B420)),"",VLOOKUP(C420,Deflatores!G$4:H$38,2,FALSE)*H420+VLOOKUP(C420,Deflatores!G$4:I$38,3,FALSE)))</f>
        <v/>
      </c>
      <c r="M420" s="10"/>
      <c r="N420" s="10"/>
      <c r="O420" s="6"/>
    </row>
    <row r="421" spans="1:15" x14ac:dyDescent="0.2">
      <c r="A421" s="126"/>
      <c r="B421" s="4"/>
      <c r="C421" s="4"/>
      <c r="D421" s="7"/>
      <c r="E421" s="7"/>
      <c r="F421" s="8" t="str">
        <f t="shared" si="405"/>
        <v/>
      </c>
      <c r="G421" s="7" t="str">
        <f t="shared" si="406"/>
        <v/>
      </c>
      <c r="H421" s="5" t="str">
        <f t="shared" si="407"/>
        <v/>
      </c>
      <c r="I421" s="122" t="str">
        <f t="shared" si="408"/>
        <v/>
      </c>
      <c r="J421" s="7" t="str">
        <f t="shared" si="409"/>
        <v/>
      </c>
      <c r="K421" s="9" t="str">
        <f t="shared" si="410"/>
        <v/>
      </c>
      <c r="L421" s="9" t="str">
        <f>IF(NOT(ISERROR(VLOOKUP(B421,Deflatores!G$42:H$64,2,FALSE))),VLOOKUP(B421,Deflatores!G$42:H$64,2,FALSE),IF(OR(ISBLANK(C421),ISBLANK(B421)),"",VLOOKUP(C421,Deflatores!G$4:H$38,2,FALSE)*H421+VLOOKUP(C421,Deflatores!G$4:I$38,3,FALSE)))</f>
        <v/>
      </c>
      <c r="M421" s="10"/>
      <c r="N421" s="10"/>
      <c r="O421" s="6"/>
    </row>
    <row r="422" spans="1:15" x14ac:dyDescent="0.2">
      <c r="A422" s="126"/>
      <c r="B422" s="4"/>
      <c r="C422" s="4"/>
      <c r="D422" s="7"/>
      <c r="E422" s="7"/>
      <c r="F422" s="8" t="str">
        <f t="shared" si="405"/>
        <v/>
      </c>
      <c r="G422" s="7" t="str">
        <f t="shared" si="406"/>
        <v/>
      </c>
      <c r="H422" s="5" t="str">
        <f t="shared" si="407"/>
        <v/>
      </c>
      <c r="I422" s="122" t="str">
        <f t="shared" si="408"/>
        <v/>
      </c>
      <c r="J422" s="7" t="str">
        <f t="shared" si="409"/>
        <v/>
      </c>
      <c r="K422" s="9" t="str">
        <f t="shared" si="410"/>
        <v/>
      </c>
      <c r="L422" s="9" t="str">
        <f>IF(NOT(ISERROR(VLOOKUP(B422,Deflatores!G$42:H$64,2,FALSE))),VLOOKUP(B422,Deflatores!G$42:H$64,2,FALSE),IF(OR(ISBLANK(C422),ISBLANK(B422)),"",VLOOKUP(C422,Deflatores!G$4:H$38,2,FALSE)*H422+VLOOKUP(C422,Deflatores!G$4:I$38,3,FALSE)))</f>
        <v/>
      </c>
      <c r="M422" s="10"/>
      <c r="N422" s="10"/>
      <c r="O422" s="6"/>
    </row>
    <row r="423" spans="1:15" x14ac:dyDescent="0.2">
      <c r="A423" s="126"/>
      <c r="B423" s="4"/>
      <c r="C423" s="4"/>
      <c r="D423" s="7"/>
      <c r="E423" s="7"/>
      <c r="F423" s="8" t="str">
        <f t="shared" si="405"/>
        <v/>
      </c>
      <c r="G423" s="7" t="str">
        <f t="shared" si="406"/>
        <v/>
      </c>
      <c r="H423" s="5" t="str">
        <f t="shared" si="407"/>
        <v/>
      </c>
      <c r="I423" s="122" t="str">
        <f t="shared" si="408"/>
        <v/>
      </c>
      <c r="J423" s="7" t="str">
        <f t="shared" si="409"/>
        <v/>
      </c>
      <c r="K423" s="9" t="str">
        <f t="shared" si="410"/>
        <v/>
      </c>
      <c r="L423" s="9" t="str">
        <f>IF(NOT(ISERROR(VLOOKUP(B423,Deflatores!G$42:H$64,2,FALSE))),VLOOKUP(B423,Deflatores!G$42:H$64,2,FALSE),IF(OR(ISBLANK(C423),ISBLANK(B423)),"",VLOOKUP(C423,Deflatores!G$4:H$38,2,FALSE)*H423+VLOOKUP(C423,Deflatores!G$4:I$38,3,FALSE)))</f>
        <v/>
      </c>
      <c r="M423" s="10"/>
      <c r="N423" s="10"/>
      <c r="O423" s="6"/>
    </row>
    <row r="424" spans="1:15" x14ac:dyDescent="0.2">
      <c r="A424" s="126"/>
      <c r="B424" s="4"/>
      <c r="C424" s="4"/>
      <c r="D424" s="7"/>
      <c r="E424" s="7"/>
      <c r="F424" s="8" t="str">
        <f t="shared" si="405"/>
        <v/>
      </c>
      <c r="G424" s="7" t="str">
        <f t="shared" si="406"/>
        <v/>
      </c>
      <c r="H424" s="5" t="str">
        <f t="shared" si="407"/>
        <v/>
      </c>
      <c r="I424" s="122" t="str">
        <f t="shared" si="408"/>
        <v/>
      </c>
      <c r="J424" s="7" t="str">
        <f t="shared" si="409"/>
        <v/>
      </c>
      <c r="K424" s="9" t="str">
        <f t="shared" si="410"/>
        <v/>
      </c>
      <c r="L424" s="9" t="str">
        <f>IF(NOT(ISERROR(VLOOKUP(B424,Deflatores!G$42:H$64,2,FALSE))),VLOOKUP(B424,Deflatores!G$42:H$64,2,FALSE),IF(OR(ISBLANK(C424),ISBLANK(B424)),"",VLOOKUP(C424,Deflatores!G$4:H$38,2,FALSE)*H424+VLOOKUP(C424,Deflatores!G$4:I$38,3,FALSE)))</f>
        <v/>
      </c>
      <c r="M424" s="10"/>
      <c r="N424" s="10"/>
      <c r="O424" s="6"/>
    </row>
    <row r="425" spans="1:15" x14ac:dyDescent="0.2">
      <c r="A425" s="126"/>
      <c r="B425" s="4"/>
      <c r="C425" s="4"/>
      <c r="D425" s="7"/>
      <c r="E425" s="7"/>
      <c r="F425" s="8" t="str">
        <f t="shared" si="405"/>
        <v/>
      </c>
      <c r="G425" s="7" t="str">
        <f t="shared" si="406"/>
        <v/>
      </c>
      <c r="H425" s="5" t="str">
        <f t="shared" si="407"/>
        <v/>
      </c>
      <c r="I425" s="122" t="str">
        <f t="shared" si="408"/>
        <v/>
      </c>
      <c r="J425" s="7" t="str">
        <f t="shared" si="409"/>
        <v/>
      </c>
      <c r="K425" s="9" t="str">
        <f t="shared" si="410"/>
        <v/>
      </c>
      <c r="L425" s="9" t="str">
        <f>IF(NOT(ISERROR(VLOOKUP(B425,Deflatores!G$42:H$64,2,FALSE))),VLOOKUP(B425,Deflatores!G$42:H$64,2,FALSE),IF(OR(ISBLANK(C425),ISBLANK(B425)),"",VLOOKUP(C425,Deflatores!G$4:H$38,2,FALSE)*H425+VLOOKUP(C425,Deflatores!G$4:I$38,3,FALSE)))</f>
        <v/>
      </c>
      <c r="M425" s="10"/>
      <c r="N425" s="10"/>
      <c r="O425" s="6"/>
    </row>
    <row r="426" spans="1:15" x14ac:dyDescent="0.2">
      <c r="A426" s="126"/>
      <c r="B426" s="4"/>
      <c r="C426" s="4"/>
      <c r="D426" s="7"/>
      <c r="E426" s="7"/>
      <c r="F426" s="8" t="str">
        <f t="shared" si="405"/>
        <v/>
      </c>
      <c r="G426" s="7" t="str">
        <f t="shared" si="406"/>
        <v/>
      </c>
      <c r="H426" s="5" t="str">
        <f t="shared" si="407"/>
        <v/>
      </c>
      <c r="I426" s="122" t="str">
        <f t="shared" si="408"/>
        <v/>
      </c>
      <c r="J426" s="7" t="str">
        <f t="shared" si="409"/>
        <v/>
      </c>
      <c r="K426" s="9" t="str">
        <f t="shared" si="410"/>
        <v/>
      </c>
      <c r="L426" s="9" t="str">
        <f>IF(NOT(ISERROR(VLOOKUP(B426,Deflatores!G$42:H$64,2,FALSE))),VLOOKUP(B426,Deflatores!G$42:H$64,2,FALSE),IF(OR(ISBLANK(C426),ISBLANK(B426)),"",VLOOKUP(C426,Deflatores!G$4:H$38,2,FALSE)*H426+VLOOKUP(C426,Deflatores!G$4:I$38,3,FALSE)))</f>
        <v/>
      </c>
      <c r="M426" s="10"/>
      <c r="N426" s="10"/>
      <c r="O426" s="6"/>
    </row>
    <row r="427" spans="1:15" x14ac:dyDescent="0.2">
      <c r="A427" s="126"/>
      <c r="B427" s="4"/>
      <c r="C427" s="4"/>
      <c r="D427" s="7"/>
      <c r="E427" s="7"/>
      <c r="F427" s="8" t="str">
        <f t="shared" si="405"/>
        <v/>
      </c>
      <c r="G427" s="7" t="str">
        <f t="shared" si="406"/>
        <v/>
      </c>
      <c r="H427" s="5" t="str">
        <f t="shared" si="407"/>
        <v/>
      </c>
      <c r="I427" s="122" t="str">
        <f t="shared" si="408"/>
        <v/>
      </c>
      <c r="J427" s="7" t="str">
        <f t="shared" si="409"/>
        <v/>
      </c>
      <c r="K427" s="9" t="str">
        <f t="shared" si="410"/>
        <v/>
      </c>
      <c r="L427" s="9" t="str">
        <f>IF(NOT(ISERROR(VLOOKUP(B427,Deflatores!G$42:H$64,2,FALSE))),VLOOKUP(B427,Deflatores!G$42:H$64,2,FALSE),IF(OR(ISBLANK(C427),ISBLANK(B427)),"",VLOOKUP(C427,Deflatores!G$4:H$38,2,FALSE)*H427+VLOOKUP(C427,Deflatores!G$4:I$38,3,FALSE)))</f>
        <v/>
      </c>
      <c r="M427" s="10"/>
      <c r="N427" s="10"/>
      <c r="O427" s="6"/>
    </row>
    <row r="428" spans="1:15" x14ac:dyDescent="0.2">
      <c r="A428" s="126"/>
      <c r="B428" s="4"/>
      <c r="C428" s="4"/>
      <c r="D428" s="7"/>
      <c r="E428" s="7"/>
      <c r="F428" s="8" t="str">
        <f t="shared" si="405"/>
        <v/>
      </c>
      <c r="G428" s="7" t="str">
        <f t="shared" si="406"/>
        <v/>
      </c>
      <c r="H428" s="5" t="str">
        <f t="shared" si="407"/>
        <v/>
      </c>
      <c r="I428" s="122" t="str">
        <f t="shared" si="408"/>
        <v/>
      </c>
      <c r="J428" s="7" t="str">
        <f t="shared" si="409"/>
        <v/>
      </c>
      <c r="K428" s="9" t="str">
        <f t="shared" si="410"/>
        <v/>
      </c>
      <c r="L428" s="9" t="str">
        <f>IF(NOT(ISERROR(VLOOKUP(B428,Deflatores!G$42:H$64,2,FALSE))),VLOOKUP(B428,Deflatores!G$42:H$64,2,FALSE),IF(OR(ISBLANK(C428),ISBLANK(B428)),"",VLOOKUP(C428,Deflatores!G$4:H$38,2,FALSE)*H428+VLOOKUP(C428,Deflatores!G$4:I$38,3,FALSE)))</f>
        <v/>
      </c>
      <c r="M428" s="10"/>
      <c r="N428" s="10"/>
      <c r="O428" s="6"/>
    </row>
    <row r="429" spans="1:15" x14ac:dyDescent="0.2">
      <c r="A429" s="126"/>
      <c r="B429" s="4"/>
      <c r="C429" s="4"/>
      <c r="D429" s="7"/>
      <c r="E429" s="7"/>
      <c r="F429" s="8" t="str">
        <f t="shared" si="405"/>
        <v/>
      </c>
      <c r="G429" s="7" t="str">
        <f t="shared" si="406"/>
        <v/>
      </c>
      <c r="H429" s="5" t="str">
        <f t="shared" si="407"/>
        <v/>
      </c>
      <c r="I429" s="122" t="str">
        <f t="shared" si="408"/>
        <v/>
      </c>
      <c r="J429" s="7" t="str">
        <f t="shared" si="409"/>
        <v/>
      </c>
      <c r="K429" s="9" t="str">
        <f t="shared" si="410"/>
        <v/>
      </c>
      <c r="L429" s="9" t="str">
        <f>IF(NOT(ISERROR(VLOOKUP(B429,Deflatores!G$42:H$64,2,FALSE))),VLOOKUP(B429,Deflatores!G$42:H$64,2,FALSE),IF(OR(ISBLANK(C429),ISBLANK(B429)),"",VLOOKUP(C429,Deflatores!G$4:H$38,2,FALSE)*H429+VLOOKUP(C429,Deflatores!G$4:I$38,3,FALSE)))</f>
        <v/>
      </c>
      <c r="M429" s="10"/>
      <c r="N429" s="10"/>
      <c r="O429" s="6"/>
    </row>
    <row r="430" spans="1:15" x14ac:dyDescent="0.2">
      <c r="A430" s="126"/>
      <c r="B430" s="4"/>
      <c r="C430" s="4"/>
      <c r="D430" s="7"/>
      <c r="E430" s="7"/>
      <c r="F430" s="8" t="str">
        <f t="shared" si="405"/>
        <v/>
      </c>
      <c r="G430" s="7" t="str">
        <f t="shared" si="406"/>
        <v/>
      </c>
      <c r="H430" s="5" t="str">
        <f t="shared" si="407"/>
        <v/>
      </c>
      <c r="I430" s="122" t="str">
        <f t="shared" si="408"/>
        <v/>
      </c>
      <c r="J430" s="7" t="str">
        <f t="shared" si="409"/>
        <v/>
      </c>
      <c r="K430" s="9" t="str">
        <f t="shared" si="410"/>
        <v/>
      </c>
      <c r="L430" s="9" t="str">
        <f>IF(NOT(ISERROR(VLOOKUP(B430,Deflatores!G$42:H$64,2,FALSE))),VLOOKUP(B430,Deflatores!G$42:H$64,2,FALSE),IF(OR(ISBLANK(C430),ISBLANK(B430)),"",VLOOKUP(C430,Deflatores!G$4:H$38,2,FALSE)*H430+VLOOKUP(C430,Deflatores!G$4:I$38,3,FALSE)))</f>
        <v/>
      </c>
      <c r="M430" s="10"/>
      <c r="N430" s="10"/>
      <c r="O430" s="6"/>
    </row>
    <row r="431" spans="1:15" x14ac:dyDescent="0.2">
      <c r="A431" s="126"/>
      <c r="B431" s="4"/>
      <c r="C431" s="4"/>
      <c r="D431" s="7"/>
      <c r="E431" s="7"/>
      <c r="F431" s="8" t="str">
        <f t="shared" si="405"/>
        <v/>
      </c>
      <c r="G431" s="7" t="str">
        <f t="shared" si="406"/>
        <v/>
      </c>
      <c r="H431" s="5" t="str">
        <f t="shared" si="407"/>
        <v/>
      </c>
      <c r="I431" s="122" t="str">
        <f t="shared" si="408"/>
        <v/>
      </c>
      <c r="J431" s="7" t="str">
        <f t="shared" si="409"/>
        <v/>
      </c>
      <c r="K431" s="9" t="str">
        <f t="shared" si="410"/>
        <v/>
      </c>
      <c r="L431" s="9" t="str">
        <f>IF(NOT(ISERROR(VLOOKUP(B431,Deflatores!G$42:H$64,2,FALSE))),VLOOKUP(B431,Deflatores!G$42:H$64,2,FALSE),IF(OR(ISBLANK(C431),ISBLANK(B431)),"",VLOOKUP(C431,Deflatores!G$4:H$38,2,FALSE)*H431+VLOOKUP(C431,Deflatores!G$4:I$38,3,FALSE)))</f>
        <v/>
      </c>
      <c r="M431" s="10"/>
      <c r="N431" s="10"/>
      <c r="O431" s="6"/>
    </row>
    <row r="432" spans="1:15" x14ac:dyDescent="0.2">
      <c r="A432" s="126"/>
      <c r="B432" s="4"/>
      <c r="C432" s="4"/>
      <c r="D432" s="7"/>
      <c r="E432" s="7"/>
      <c r="F432" s="8" t="str">
        <f t="shared" si="405"/>
        <v/>
      </c>
      <c r="G432" s="7" t="str">
        <f t="shared" si="406"/>
        <v/>
      </c>
      <c r="H432" s="5" t="str">
        <f t="shared" si="407"/>
        <v/>
      </c>
      <c r="I432" s="122" t="str">
        <f t="shared" si="408"/>
        <v/>
      </c>
      <c r="J432" s="7" t="str">
        <f t="shared" si="409"/>
        <v/>
      </c>
      <c r="K432" s="9" t="str">
        <f t="shared" si="410"/>
        <v/>
      </c>
      <c r="L432" s="9" t="str">
        <f>IF(NOT(ISERROR(VLOOKUP(B432,Deflatores!G$42:H$64,2,FALSE))),VLOOKUP(B432,Deflatores!G$42:H$64,2,FALSE),IF(OR(ISBLANK(C432),ISBLANK(B432)),"",VLOOKUP(C432,Deflatores!G$4:H$38,2,FALSE)*H432+VLOOKUP(C432,Deflatores!G$4:I$38,3,FALSE)))</f>
        <v/>
      </c>
      <c r="M432" s="10"/>
      <c r="N432" s="10"/>
      <c r="O432" s="6"/>
    </row>
    <row r="433" spans="1:15" x14ac:dyDescent="0.2">
      <c r="A433" s="126"/>
      <c r="B433" s="4"/>
      <c r="C433" s="4"/>
      <c r="D433" s="7"/>
      <c r="E433" s="7"/>
      <c r="F433" s="8" t="str">
        <f t="shared" si="405"/>
        <v/>
      </c>
      <c r="G433" s="7" t="str">
        <f t="shared" si="406"/>
        <v/>
      </c>
      <c r="H433" s="5" t="str">
        <f t="shared" si="407"/>
        <v/>
      </c>
      <c r="I433" s="122" t="str">
        <f t="shared" si="408"/>
        <v/>
      </c>
      <c r="J433" s="7" t="str">
        <f t="shared" si="409"/>
        <v/>
      </c>
      <c r="K433" s="9" t="str">
        <f t="shared" si="410"/>
        <v/>
      </c>
      <c r="L433" s="9" t="str">
        <f>IF(NOT(ISERROR(VLOOKUP(B433,Deflatores!G$42:H$64,2,FALSE))),VLOOKUP(B433,Deflatores!G$42:H$64,2,FALSE),IF(OR(ISBLANK(C433),ISBLANK(B433)),"",VLOOKUP(C433,Deflatores!G$4:H$38,2,FALSE)*H433+VLOOKUP(C433,Deflatores!G$4:I$38,3,FALSE)))</f>
        <v/>
      </c>
      <c r="M433" s="10"/>
      <c r="N433" s="10"/>
      <c r="O433" s="6"/>
    </row>
    <row r="434" spans="1:15" x14ac:dyDescent="0.2">
      <c r="A434" s="126"/>
      <c r="B434" s="4"/>
      <c r="C434" s="4"/>
      <c r="D434" s="7"/>
      <c r="E434" s="7"/>
      <c r="F434" s="8" t="str">
        <f t="shared" si="405"/>
        <v/>
      </c>
      <c r="G434" s="7" t="str">
        <f t="shared" si="406"/>
        <v/>
      </c>
      <c r="H434" s="5" t="str">
        <f t="shared" si="407"/>
        <v/>
      </c>
      <c r="I434" s="122" t="str">
        <f t="shared" si="408"/>
        <v/>
      </c>
      <c r="J434" s="7" t="str">
        <f t="shared" si="409"/>
        <v/>
      </c>
      <c r="K434" s="9" t="str">
        <f t="shared" si="410"/>
        <v/>
      </c>
      <c r="L434" s="9" t="str">
        <f>IF(NOT(ISERROR(VLOOKUP(B434,Deflatores!G$42:H$64,2,FALSE))),VLOOKUP(B434,Deflatores!G$42:H$64,2,FALSE),IF(OR(ISBLANK(C434),ISBLANK(B434)),"",VLOOKUP(C434,Deflatores!G$4:H$38,2,FALSE)*H434+VLOOKUP(C434,Deflatores!G$4:I$38,3,FALSE)))</f>
        <v/>
      </c>
      <c r="M434" s="10"/>
      <c r="N434" s="10"/>
      <c r="O434" s="6"/>
    </row>
    <row r="435" spans="1:15" x14ac:dyDescent="0.2">
      <c r="A435" s="126"/>
      <c r="B435" s="4"/>
      <c r="C435" s="4"/>
      <c r="D435" s="7"/>
      <c r="E435" s="7"/>
      <c r="F435" s="8" t="str">
        <f t="shared" si="405"/>
        <v/>
      </c>
      <c r="G435" s="7" t="str">
        <f t="shared" si="406"/>
        <v/>
      </c>
      <c r="H435" s="5" t="str">
        <f t="shared" si="407"/>
        <v/>
      </c>
      <c r="I435" s="122" t="str">
        <f t="shared" si="408"/>
        <v/>
      </c>
      <c r="J435" s="7" t="str">
        <f t="shared" si="409"/>
        <v/>
      </c>
      <c r="K435" s="9" t="str">
        <f t="shared" si="410"/>
        <v/>
      </c>
      <c r="L435" s="9" t="str">
        <f>IF(NOT(ISERROR(VLOOKUP(B435,Deflatores!G$42:H$64,2,FALSE))),VLOOKUP(B435,Deflatores!G$42:H$64,2,FALSE),IF(OR(ISBLANK(C435),ISBLANK(B435)),"",VLOOKUP(C435,Deflatores!G$4:H$38,2,FALSE)*H435+VLOOKUP(C435,Deflatores!G$4:I$38,3,FALSE)))</f>
        <v/>
      </c>
      <c r="M435" s="10"/>
      <c r="N435" s="10"/>
      <c r="O435" s="6"/>
    </row>
    <row r="436" spans="1:15" x14ac:dyDescent="0.2">
      <c r="A436" s="126"/>
      <c r="B436" s="4"/>
      <c r="C436" s="4"/>
      <c r="D436" s="7"/>
      <c r="E436" s="7"/>
      <c r="F436" s="8" t="str">
        <f t="shared" si="405"/>
        <v/>
      </c>
      <c r="G436" s="7" t="str">
        <f t="shared" si="406"/>
        <v/>
      </c>
      <c r="H436" s="5" t="str">
        <f t="shared" si="407"/>
        <v/>
      </c>
      <c r="I436" s="122" t="str">
        <f t="shared" si="408"/>
        <v/>
      </c>
      <c r="J436" s="7" t="str">
        <f t="shared" si="409"/>
        <v/>
      </c>
      <c r="K436" s="9" t="str">
        <f t="shared" si="410"/>
        <v/>
      </c>
      <c r="L436" s="9" t="str">
        <f>IF(NOT(ISERROR(VLOOKUP(B436,Deflatores!G$42:H$64,2,FALSE))),VLOOKUP(B436,Deflatores!G$42:H$64,2,FALSE),IF(OR(ISBLANK(C436),ISBLANK(B436)),"",VLOOKUP(C436,Deflatores!G$4:H$38,2,FALSE)*H436+VLOOKUP(C436,Deflatores!G$4:I$38,3,FALSE)))</f>
        <v/>
      </c>
      <c r="M436" s="10"/>
      <c r="N436" s="10"/>
      <c r="O436" s="6"/>
    </row>
    <row r="437" spans="1:15" x14ac:dyDescent="0.2">
      <c r="A437" s="126"/>
      <c r="B437" s="4"/>
      <c r="C437" s="4"/>
      <c r="D437" s="7"/>
      <c r="E437" s="7"/>
      <c r="F437" s="8" t="str">
        <f t="shared" si="405"/>
        <v/>
      </c>
      <c r="G437" s="7" t="str">
        <f t="shared" si="406"/>
        <v/>
      </c>
      <c r="H437" s="5" t="str">
        <f t="shared" si="407"/>
        <v/>
      </c>
      <c r="I437" s="122" t="str">
        <f t="shared" si="408"/>
        <v/>
      </c>
      <c r="J437" s="7" t="str">
        <f t="shared" si="409"/>
        <v/>
      </c>
      <c r="K437" s="9" t="str">
        <f t="shared" si="410"/>
        <v/>
      </c>
      <c r="L437" s="9" t="str">
        <f>IF(NOT(ISERROR(VLOOKUP(B437,Deflatores!G$42:H$64,2,FALSE))),VLOOKUP(B437,Deflatores!G$42:H$64,2,FALSE),IF(OR(ISBLANK(C437),ISBLANK(B437)),"",VLOOKUP(C437,Deflatores!G$4:H$38,2,FALSE)*H437+VLOOKUP(C437,Deflatores!G$4:I$38,3,FALSE)))</f>
        <v/>
      </c>
      <c r="M437" s="10"/>
      <c r="N437" s="10"/>
      <c r="O437" s="6"/>
    </row>
    <row r="438" spans="1:15" x14ac:dyDescent="0.2">
      <c r="A438" s="126"/>
      <c r="B438" s="4"/>
      <c r="C438" s="4"/>
      <c r="D438" s="7"/>
      <c r="E438" s="7"/>
      <c r="F438" s="8" t="str">
        <f t="shared" si="405"/>
        <v/>
      </c>
      <c r="G438" s="7" t="str">
        <f t="shared" si="406"/>
        <v/>
      </c>
      <c r="H438" s="5" t="str">
        <f t="shared" si="407"/>
        <v/>
      </c>
      <c r="I438" s="122" t="str">
        <f t="shared" si="408"/>
        <v/>
      </c>
      <c r="J438" s="7" t="str">
        <f t="shared" si="409"/>
        <v/>
      </c>
      <c r="K438" s="9" t="str">
        <f t="shared" si="410"/>
        <v/>
      </c>
      <c r="L438" s="9" t="str">
        <f>IF(NOT(ISERROR(VLOOKUP(B438,Deflatores!G$42:H$64,2,FALSE))),VLOOKUP(B438,Deflatores!G$42:H$64,2,FALSE),IF(OR(ISBLANK(C438),ISBLANK(B438)),"",VLOOKUP(C438,Deflatores!G$4:H$38,2,FALSE)*H438+VLOOKUP(C438,Deflatores!G$4:I$38,3,FALSE)))</f>
        <v/>
      </c>
      <c r="M438" s="10"/>
      <c r="N438" s="10"/>
      <c r="O438" s="6"/>
    </row>
    <row r="439" spans="1:15" x14ac:dyDescent="0.2">
      <c r="A439" s="126"/>
      <c r="B439" s="4"/>
      <c r="C439" s="4"/>
      <c r="D439" s="7"/>
      <c r="E439" s="7"/>
      <c r="F439" s="8" t="str">
        <f t="shared" si="405"/>
        <v/>
      </c>
      <c r="G439" s="7" t="str">
        <f t="shared" si="406"/>
        <v/>
      </c>
      <c r="H439" s="5" t="str">
        <f t="shared" si="407"/>
        <v/>
      </c>
      <c r="I439" s="122" t="str">
        <f t="shared" si="408"/>
        <v/>
      </c>
      <c r="J439" s="7" t="str">
        <f t="shared" si="409"/>
        <v/>
      </c>
      <c r="K439" s="9" t="str">
        <f t="shared" si="410"/>
        <v/>
      </c>
      <c r="L439" s="9" t="str">
        <f>IF(NOT(ISERROR(VLOOKUP(B439,Deflatores!G$42:H$64,2,FALSE))),VLOOKUP(B439,Deflatores!G$42:H$64,2,FALSE),IF(OR(ISBLANK(C439),ISBLANK(B439)),"",VLOOKUP(C439,Deflatores!G$4:H$38,2,FALSE)*H439+VLOOKUP(C439,Deflatores!G$4:I$38,3,FALSE)))</f>
        <v/>
      </c>
      <c r="M439" s="10"/>
      <c r="N439" s="10"/>
      <c r="O439" s="6"/>
    </row>
    <row r="440" spans="1:15" x14ac:dyDescent="0.2">
      <c r="A440" s="126"/>
      <c r="B440" s="4"/>
      <c r="C440" s="4"/>
      <c r="D440" s="7"/>
      <c r="E440" s="7"/>
      <c r="F440" s="8" t="str">
        <f t="shared" si="405"/>
        <v/>
      </c>
      <c r="G440" s="7" t="str">
        <f t="shared" si="406"/>
        <v/>
      </c>
      <c r="H440" s="5" t="str">
        <f t="shared" si="407"/>
        <v/>
      </c>
      <c r="I440" s="122" t="str">
        <f t="shared" si="408"/>
        <v/>
      </c>
      <c r="J440" s="7" t="str">
        <f t="shared" si="409"/>
        <v/>
      </c>
      <c r="K440" s="9" t="str">
        <f t="shared" si="410"/>
        <v/>
      </c>
      <c r="L440" s="9" t="str">
        <f>IF(NOT(ISERROR(VLOOKUP(B440,Deflatores!G$42:H$64,2,FALSE))),VLOOKUP(B440,Deflatores!G$42:H$64,2,FALSE),IF(OR(ISBLANK(C440),ISBLANK(B440)),"",VLOOKUP(C440,Deflatores!G$4:H$38,2,FALSE)*H440+VLOOKUP(C440,Deflatores!G$4:I$38,3,FALSE)))</f>
        <v/>
      </c>
      <c r="M440" s="10"/>
      <c r="N440" s="10"/>
      <c r="O440" s="6"/>
    </row>
    <row r="441" spans="1:15" x14ac:dyDescent="0.2">
      <c r="A441" s="126"/>
      <c r="B441" s="4"/>
      <c r="C441" s="4"/>
      <c r="D441" s="7"/>
      <c r="E441" s="7"/>
      <c r="F441" s="8" t="str">
        <f t="shared" si="405"/>
        <v/>
      </c>
      <c r="G441" s="7" t="str">
        <f t="shared" si="406"/>
        <v/>
      </c>
      <c r="H441" s="5" t="str">
        <f t="shared" si="407"/>
        <v/>
      </c>
      <c r="I441" s="122" t="str">
        <f t="shared" si="408"/>
        <v/>
      </c>
      <c r="J441" s="7" t="str">
        <f t="shared" si="409"/>
        <v/>
      </c>
      <c r="K441" s="9" t="str">
        <f t="shared" si="410"/>
        <v/>
      </c>
      <c r="L441" s="9" t="str">
        <f>IF(NOT(ISERROR(VLOOKUP(B441,Deflatores!G$42:H$64,2,FALSE))),VLOOKUP(B441,Deflatores!G$42:H$64,2,FALSE),IF(OR(ISBLANK(C441),ISBLANK(B441)),"",VLOOKUP(C441,Deflatores!G$4:H$38,2,FALSE)*H441+VLOOKUP(C441,Deflatores!G$4:I$38,3,FALSE)))</f>
        <v/>
      </c>
      <c r="M441" s="10"/>
      <c r="N441" s="10"/>
      <c r="O441" s="6"/>
    </row>
    <row r="442" spans="1:15" x14ac:dyDescent="0.2">
      <c r="A442" s="126"/>
      <c r="B442" s="4"/>
      <c r="C442" s="4"/>
      <c r="D442" s="7"/>
      <c r="E442" s="7"/>
      <c r="F442" s="8" t="str">
        <f t="shared" si="405"/>
        <v/>
      </c>
      <c r="G442" s="7" t="str">
        <f t="shared" si="406"/>
        <v/>
      </c>
      <c r="H442" s="5" t="str">
        <f t="shared" si="407"/>
        <v/>
      </c>
      <c r="I442" s="122" t="str">
        <f t="shared" si="408"/>
        <v/>
      </c>
      <c r="J442" s="7" t="str">
        <f t="shared" si="409"/>
        <v/>
      </c>
      <c r="K442" s="9" t="str">
        <f t="shared" si="410"/>
        <v/>
      </c>
      <c r="L442" s="9" t="str">
        <f>IF(NOT(ISERROR(VLOOKUP(B442,Deflatores!G$42:H$64,2,FALSE))),VLOOKUP(B442,Deflatores!G$42:H$64,2,FALSE),IF(OR(ISBLANK(C442),ISBLANK(B442)),"",VLOOKUP(C442,Deflatores!G$4:H$38,2,FALSE)*H442+VLOOKUP(C442,Deflatores!G$4:I$38,3,FALSE)))</f>
        <v/>
      </c>
      <c r="M442" s="10"/>
      <c r="N442" s="10"/>
      <c r="O442" s="6"/>
    </row>
    <row r="443" spans="1:15" x14ac:dyDescent="0.2">
      <c r="A443" s="126"/>
      <c r="B443" s="4"/>
      <c r="C443" s="4"/>
      <c r="D443" s="7"/>
      <c r="E443" s="7"/>
      <c r="F443" s="8" t="str">
        <f t="shared" si="405"/>
        <v/>
      </c>
      <c r="G443" s="7" t="str">
        <f t="shared" si="406"/>
        <v/>
      </c>
      <c r="H443" s="5" t="str">
        <f t="shared" si="407"/>
        <v/>
      </c>
      <c r="I443" s="122" t="str">
        <f t="shared" si="408"/>
        <v/>
      </c>
      <c r="J443" s="7" t="str">
        <f t="shared" si="409"/>
        <v/>
      </c>
      <c r="K443" s="9" t="str">
        <f t="shared" si="410"/>
        <v/>
      </c>
      <c r="L443" s="9" t="str">
        <f>IF(NOT(ISERROR(VLOOKUP(B443,Deflatores!G$42:H$64,2,FALSE))),VLOOKUP(B443,Deflatores!G$42:H$64,2,FALSE),IF(OR(ISBLANK(C443),ISBLANK(B443)),"",VLOOKUP(C443,Deflatores!G$4:H$38,2,FALSE)*H443+VLOOKUP(C443,Deflatores!G$4:I$38,3,FALSE)))</f>
        <v/>
      </c>
      <c r="M443" s="10"/>
      <c r="N443" s="10"/>
      <c r="O443" s="6"/>
    </row>
    <row r="444" spans="1:15" x14ac:dyDescent="0.2">
      <c r="A444" s="126"/>
      <c r="B444" s="4"/>
      <c r="C444" s="4"/>
      <c r="D444" s="7"/>
      <c r="E444" s="7"/>
      <c r="F444" s="8" t="str">
        <f t="shared" si="405"/>
        <v/>
      </c>
      <c r="G444" s="7" t="str">
        <f t="shared" si="406"/>
        <v/>
      </c>
      <c r="H444" s="5" t="str">
        <f t="shared" si="407"/>
        <v/>
      </c>
      <c r="I444" s="122" t="str">
        <f t="shared" si="408"/>
        <v/>
      </c>
      <c r="J444" s="7" t="str">
        <f t="shared" si="409"/>
        <v/>
      </c>
      <c r="K444" s="9" t="str">
        <f t="shared" si="410"/>
        <v/>
      </c>
      <c r="L444" s="9" t="str">
        <f>IF(NOT(ISERROR(VLOOKUP(B444,Deflatores!G$42:H$64,2,FALSE))),VLOOKUP(B444,Deflatores!G$42:H$64,2,FALSE),IF(OR(ISBLANK(C444),ISBLANK(B444)),"",VLOOKUP(C444,Deflatores!G$4:H$38,2,FALSE)*H444+VLOOKUP(C444,Deflatores!G$4:I$38,3,FALSE)))</f>
        <v/>
      </c>
      <c r="M444" s="10"/>
      <c r="N444" s="10"/>
      <c r="O444" s="6"/>
    </row>
    <row r="445" spans="1:15" x14ac:dyDescent="0.2">
      <c r="A445" s="126"/>
      <c r="B445" s="4"/>
      <c r="C445" s="4"/>
      <c r="D445" s="7"/>
      <c r="E445" s="7"/>
      <c r="F445" s="8" t="str">
        <f t="shared" si="405"/>
        <v/>
      </c>
      <c r="G445" s="7" t="str">
        <f t="shared" si="406"/>
        <v/>
      </c>
      <c r="H445" s="5" t="str">
        <f t="shared" si="407"/>
        <v/>
      </c>
      <c r="I445" s="122" t="str">
        <f t="shared" si="408"/>
        <v/>
      </c>
      <c r="J445" s="7" t="str">
        <f t="shared" si="409"/>
        <v/>
      </c>
      <c r="K445" s="9" t="str">
        <f t="shared" si="410"/>
        <v/>
      </c>
      <c r="L445" s="9" t="str">
        <f>IF(NOT(ISERROR(VLOOKUP(B445,Deflatores!G$42:H$64,2,FALSE))),VLOOKUP(B445,Deflatores!G$42:H$64,2,FALSE),IF(OR(ISBLANK(C445),ISBLANK(B445)),"",VLOOKUP(C445,Deflatores!G$4:H$38,2,FALSE)*H445+VLOOKUP(C445,Deflatores!G$4:I$38,3,FALSE)))</f>
        <v/>
      </c>
      <c r="M445" s="10"/>
      <c r="N445" s="10"/>
      <c r="O445" s="6"/>
    </row>
    <row r="446" spans="1:15" x14ac:dyDescent="0.2">
      <c r="A446" s="126"/>
      <c r="B446" s="4"/>
      <c r="C446" s="4"/>
      <c r="D446" s="7"/>
      <c r="E446" s="7"/>
      <c r="F446" s="8" t="str">
        <f t="shared" si="405"/>
        <v/>
      </c>
      <c r="G446" s="7" t="str">
        <f t="shared" si="406"/>
        <v/>
      </c>
      <c r="H446" s="5" t="str">
        <f t="shared" si="407"/>
        <v/>
      </c>
      <c r="I446" s="122" t="str">
        <f t="shared" si="408"/>
        <v/>
      </c>
      <c r="J446" s="7" t="str">
        <f t="shared" si="409"/>
        <v/>
      </c>
      <c r="K446" s="9" t="str">
        <f t="shared" si="410"/>
        <v/>
      </c>
      <c r="L446" s="9" t="str">
        <f>IF(NOT(ISERROR(VLOOKUP(B446,Deflatores!G$42:H$64,2,FALSE))),VLOOKUP(B446,Deflatores!G$42:H$64,2,FALSE),IF(OR(ISBLANK(C446),ISBLANK(B446)),"",VLOOKUP(C446,Deflatores!G$4:H$38,2,FALSE)*H446+VLOOKUP(C446,Deflatores!G$4:I$38,3,FALSE)))</f>
        <v/>
      </c>
      <c r="M446" s="10"/>
      <c r="N446" s="10"/>
      <c r="O446" s="6"/>
    </row>
    <row r="447" spans="1:15" x14ac:dyDescent="0.2">
      <c r="A447" s="126"/>
      <c r="B447" s="4"/>
      <c r="C447" s="4"/>
      <c r="D447" s="7"/>
      <c r="E447" s="7"/>
      <c r="F447" s="8" t="str">
        <f t="shared" si="405"/>
        <v/>
      </c>
      <c r="G447" s="7" t="str">
        <f t="shared" si="406"/>
        <v/>
      </c>
      <c r="H447" s="5" t="str">
        <f t="shared" si="407"/>
        <v/>
      </c>
      <c r="I447" s="122" t="str">
        <f t="shared" si="408"/>
        <v/>
      </c>
      <c r="J447" s="7" t="str">
        <f t="shared" si="409"/>
        <v/>
      </c>
      <c r="K447" s="9" t="str">
        <f t="shared" si="410"/>
        <v/>
      </c>
      <c r="L447" s="9" t="str">
        <f>IF(NOT(ISERROR(VLOOKUP(B447,Deflatores!G$42:H$64,2,FALSE))),VLOOKUP(B447,Deflatores!G$42:H$64,2,FALSE),IF(OR(ISBLANK(C447),ISBLANK(B447)),"",VLOOKUP(C447,Deflatores!G$4:H$38,2,FALSE)*H447+VLOOKUP(C447,Deflatores!G$4:I$38,3,FALSE)))</f>
        <v/>
      </c>
      <c r="M447" s="10"/>
      <c r="N447" s="10"/>
      <c r="O447" s="6"/>
    </row>
    <row r="448" spans="1:15" x14ac:dyDescent="0.2">
      <c r="A448" s="126"/>
      <c r="B448" s="4"/>
      <c r="C448" s="4"/>
      <c r="D448" s="7"/>
      <c r="E448" s="7"/>
      <c r="F448" s="8" t="str">
        <f t="shared" si="405"/>
        <v/>
      </c>
      <c r="G448" s="7" t="str">
        <f t="shared" si="406"/>
        <v/>
      </c>
      <c r="H448" s="5" t="str">
        <f t="shared" si="407"/>
        <v/>
      </c>
      <c r="I448" s="122" t="str">
        <f t="shared" si="408"/>
        <v/>
      </c>
      <c r="J448" s="7" t="str">
        <f t="shared" si="409"/>
        <v/>
      </c>
      <c r="K448" s="9" t="str">
        <f t="shared" si="410"/>
        <v/>
      </c>
      <c r="L448" s="9" t="str">
        <f>IF(NOT(ISERROR(VLOOKUP(B448,Deflatores!G$42:H$64,2,FALSE))),VLOOKUP(B448,Deflatores!G$42:H$64,2,FALSE),IF(OR(ISBLANK(C448),ISBLANK(B448)),"",VLOOKUP(C448,Deflatores!G$4:H$38,2,FALSE)*H448+VLOOKUP(C448,Deflatores!G$4:I$38,3,FALSE)))</f>
        <v/>
      </c>
      <c r="M448" s="10"/>
      <c r="N448" s="10"/>
      <c r="O448" s="6"/>
    </row>
    <row r="449" spans="1:15" x14ac:dyDescent="0.2">
      <c r="A449" s="126"/>
      <c r="B449" s="4"/>
      <c r="C449" s="4"/>
      <c r="D449" s="7"/>
      <c r="E449" s="7"/>
      <c r="F449" s="8" t="str">
        <f t="shared" si="405"/>
        <v/>
      </c>
      <c r="G449" s="7" t="str">
        <f t="shared" si="406"/>
        <v/>
      </c>
      <c r="H449" s="5" t="str">
        <f t="shared" si="407"/>
        <v/>
      </c>
      <c r="I449" s="122" t="str">
        <f t="shared" si="408"/>
        <v/>
      </c>
      <c r="J449" s="7" t="str">
        <f t="shared" si="409"/>
        <v/>
      </c>
      <c r="K449" s="9" t="str">
        <f t="shared" si="410"/>
        <v/>
      </c>
      <c r="L449" s="9" t="str">
        <f>IF(NOT(ISERROR(VLOOKUP(B449,Deflatores!G$42:H$64,2,FALSE))),VLOOKUP(B449,Deflatores!G$42:H$64,2,FALSE),IF(OR(ISBLANK(C449),ISBLANK(B449)),"",VLOOKUP(C449,Deflatores!G$4:H$38,2,FALSE)*H449+VLOOKUP(C449,Deflatores!G$4:I$38,3,FALSE)))</f>
        <v/>
      </c>
      <c r="M449" s="10"/>
      <c r="N449" s="10"/>
      <c r="O449" s="6"/>
    </row>
    <row r="450" spans="1:15" x14ac:dyDescent="0.2">
      <c r="A450" s="126"/>
      <c r="B450" s="4"/>
      <c r="C450" s="4"/>
      <c r="D450" s="7"/>
      <c r="E450" s="7"/>
      <c r="F450" s="8" t="str">
        <f t="shared" si="405"/>
        <v/>
      </c>
      <c r="G450" s="7" t="str">
        <f t="shared" si="406"/>
        <v/>
      </c>
      <c r="H450" s="5" t="str">
        <f t="shared" si="407"/>
        <v/>
      </c>
      <c r="I450" s="122" t="str">
        <f t="shared" si="408"/>
        <v/>
      </c>
      <c r="J450" s="7" t="str">
        <f t="shared" si="409"/>
        <v/>
      </c>
      <c r="K450" s="9" t="str">
        <f t="shared" si="410"/>
        <v/>
      </c>
      <c r="L450" s="9" t="str">
        <f>IF(NOT(ISERROR(VLOOKUP(B450,Deflatores!G$42:H$64,2,FALSE))),VLOOKUP(B450,Deflatores!G$42:H$64,2,FALSE),IF(OR(ISBLANK(C450),ISBLANK(B450)),"",VLOOKUP(C450,Deflatores!G$4:H$38,2,FALSE)*H450+VLOOKUP(C450,Deflatores!G$4:I$38,3,FALSE)))</f>
        <v/>
      </c>
      <c r="M450" s="10"/>
      <c r="N450" s="10"/>
      <c r="O450" s="6"/>
    </row>
    <row r="451" spans="1:15" x14ac:dyDescent="0.2">
      <c r="A451" s="126"/>
      <c r="B451" s="4"/>
      <c r="C451" s="4"/>
      <c r="D451" s="7"/>
      <c r="E451" s="7"/>
      <c r="F451" s="8" t="str">
        <f t="shared" si="405"/>
        <v/>
      </c>
      <c r="G451" s="7" t="str">
        <f t="shared" si="406"/>
        <v/>
      </c>
      <c r="H451" s="5" t="str">
        <f t="shared" si="407"/>
        <v/>
      </c>
      <c r="I451" s="122" t="str">
        <f t="shared" si="408"/>
        <v/>
      </c>
      <c r="J451" s="7" t="str">
        <f t="shared" si="409"/>
        <v/>
      </c>
      <c r="K451" s="9" t="str">
        <f t="shared" si="410"/>
        <v/>
      </c>
      <c r="L451" s="9" t="str">
        <f>IF(NOT(ISERROR(VLOOKUP(B451,Deflatores!G$42:H$64,2,FALSE))),VLOOKUP(B451,Deflatores!G$42:H$64,2,FALSE),IF(OR(ISBLANK(C451),ISBLANK(B451)),"",VLOOKUP(C451,Deflatores!G$4:H$38,2,FALSE)*H451+VLOOKUP(C451,Deflatores!G$4:I$38,3,FALSE)))</f>
        <v/>
      </c>
      <c r="M451" s="10"/>
      <c r="N451" s="10"/>
      <c r="O451" s="6"/>
    </row>
    <row r="452" spans="1:15" x14ac:dyDescent="0.2">
      <c r="A452" s="126"/>
      <c r="B452" s="4"/>
      <c r="C452" s="4"/>
      <c r="D452" s="7"/>
      <c r="E452" s="7"/>
      <c r="F452" s="8" t="str">
        <f t="shared" si="405"/>
        <v/>
      </c>
      <c r="G452" s="7" t="str">
        <f t="shared" si="406"/>
        <v/>
      </c>
      <c r="H452" s="5" t="str">
        <f t="shared" si="407"/>
        <v/>
      </c>
      <c r="I452" s="122" t="str">
        <f t="shared" si="408"/>
        <v/>
      </c>
      <c r="J452" s="7" t="str">
        <f t="shared" si="409"/>
        <v/>
      </c>
      <c r="K452" s="9" t="str">
        <f t="shared" si="410"/>
        <v/>
      </c>
      <c r="L452" s="9" t="str">
        <f>IF(NOT(ISERROR(VLOOKUP(B452,Deflatores!G$42:H$64,2,FALSE))),VLOOKUP(B452,Deflatores!G$42:H$64,2,FALSE),IF(OR(ISBLANK(C452),ISBLANK(B452)),"",VLOOKUP(C452,Deflatores!G$4:H$38,2,FALSE)*H452+VLOOKUP(C452,Deflatores!G$4:I$38,3,FALSE)))</f>
        <v/>
      </c>
      <c r="M452" s="10"/>
      <c r="N452" s="10"/>
      <c r="O452" s="6"/>
    </row>
    <row r="453" spans="1:15" x14ac:dyDescent="0.2">
      <c r="A453" s="126"/>
      <c r="B453" s="4"/>
      <c r="C453" s="4"/>
      <c r="D453" s="7"/>
      <c r="E453" s="7"/>
      <c r="F453" s="8" t="str">
        <f t="shared" si="405"/>
        <v/>
      </c>
      <c r="G453" s="7" t="str">
        <f t="shared" si="406"/>
        <v/>
      </c>
      <c r="H453" s="5" t="str">
        <f t="shared" si="407"/>
        <v/>
      </c>
      <c r="I453" s="122" t="str">
        <f t="shared" si="408"/>
        <v/>
      </c>
      <c r="J453" s="7" t="str">
        <f t="shared" si="409"/>
        <v/>
      </c>
      <c r="K453" s="9" t="str">
        <f t="shared" si="410"/>
        <v/>
      </c>
      <c r="L453" s="9" t="str">
        <f>IF(NOT(ISERROR(VLOOKUP(B453,Deflatores!G$42:H$64,2,FALSE))),VLOOKUP(B453,Deflatores!G$42:H$64,2,FALSE),IF(OR(ISBLANK(C453),ISBLANK(B453)),"",VLOOKUP(C453,Deflatores!G$4:H$38,2,FALSE)*H453+VLOOKUP(C453,Deflatores!G$4:I$38,3,FALSE)))</f>
        <v/>
      </c>
      <c r="M453" s="10"/>
      <c r="N453" s="10"/>
      <c r="O453" s="6"/>
    </row>
    <row r="454" spans="1:15" x14ac:dyDescent="0.2">
      <c r="A454" s="126"/>
      <c r="B454" s="4"/>
      <c r="C454" s="4"/>
      <c r="D454" s="7"/>
      <c r="E454" s="7"/>
      <c r="F454" s="8" t="str">
        <f t="shared" si="405"/>
        <v/>
      </c>
      <c r="G454" s="7" t="str">
        <f t="shared" si="406"/>
        <v/>
      </c>
      <c r="H454" s="5" t="str">
        <f t="shared" si="407"/>
        <v/>
      </c>
      <c r="I454" s="122" t="str">
        <f t="shared" si="408"/>
        <v/>
      </c>
      <c r="J454" s="7" t="str">
        <f t="shared" si="409"/>
        <v/>
      </c>
      <c r="K454" s="9" t="str">
        <f t="shared" si="410"/>
        <v/>
      </c>
      <c r="L454" s="9" t="str">
        <f>IF(NOT(ISERROR(VLOOKUP(B454,Deflatores!G$42:H$64,2,FALSE))),VLOOKUP(B454,Deflatores!G$42:H$64,2,FALSE),IF(OR(ISBLANK(C454),ISBLANK(B454)),"",VLOOKUP(C454,Deflatores!G$4:H$38,2,FALSE)*H454+VLOOKUP(C454,Deflatores!G$4:I$38,3,FALSE)))</f>
        <v/>
      </c>
      <c r="M454" s="10"/>
      <c r="N454" s="10"/>
      <c r="O454" s="6"/>
    </row>
    <row r="455" spans="1:15" x14ac:dyDescent="0.2">
      <c r="A455" s="126"/>
      <c r="B455" s="4"/>
      <c r="C455" s="4"/>
      <c r="D455" s="7"/>
      <c r="E455" s="7"/>
      <c r="F455" s="8" t="str">
        <f t="shared" si="405"/>
        <v/>
      </c>
      <c r="G455" s="7" t="str">
        <f t="shared" si="406"/>
        <v/>
      </c>
      <c r="H455" s="5" t="str">
        <f t="shared" si="407"/>
        <v/>
      </c>
      <c r="I455" s="122" t="str">
        <f t="shared" si="408"/>
        <v/>
      </c>
      <c r="J455" s="7" t="str">
        <f t="shared" si="409"/>
        <v/>
      </c>
      <c r="K455" s="9" t="str">
        <f t="shared" si="410"/>
        <v/>
      </c>
      <c r="L455" s="9" t="str">
        <f>IF(NOT(ISERROR(VLOOKUP(B455,Deflatores!G$42:H$64,2,FALSE))),VLOOKUP(B455,Deflatores!G$42:H$64,2,FALSE),IF(OR(ISBLANK(C455),ISBLANK(B455)),"",VLOOKUP(C455,Deflatores!G$4:H$38,2,FALSE)*H455+VLOOKUP(C455,Deflatores!G$4:I$38,3,FALSE)))</f>
        <v/>
      </c>
      <c r="M455" s="10"/>
      <c r="N455" s="10"/>
      <c r="O455" s="6"/>
    </row>
    <row r="456" spans="1:15" x14ac:dyDescent="0.2">
      <c r="A456" s="126"/>
      <c r="B456" s="4"/>
      <c r="C456" s="4"/>
      <c r="D456" s="7"/>
      <c r="E456" s="7"/>
      <c r="F456" s="8" t="str">
        <f t="shared" si="405"/>
        <v/>
      </c>
      <c r="G456" s="7" t="str">
        <f t="shared" si="406"/>
        <v/>
      </c>
      <c r="H456" s="5" t="str">
        <f t="shared" si="407"/>
        <v/>
      </c>
      <c r="I456" s="122" t="str">
        <f t="shared" si="408"/>
        <v/>
      </c>
      <c r="J456" s="7" t="str">
        <f t="shared" si="409"/>
        <v/>
      </c>
      <c r="K456" s="9" t="str">
        <f t="shared" si="410"/>
        <v/>
      </c>
      <c r="L456" s="9" t="str">
        <f>IF(NOT(ISERROR(VLOOKUP(B456,Deflatores!G$42:H$64,2,FALSE))),VLOOKUP(B456,Deflatores!G$42:H$64,2,FALSE),IF(OR(ISBLANK(C456),ISBLANK(B456)),"",VLOOKUP(C456,Deflatores!G$4:H$38,2,FALSE)*H456+VLOOKUP(C456,Deflatores!G$4:I$38,3,FALSE)))</f>
        <v/>
      </c>
      <c r="M456" s="10"/>
      <c r="N456" s="10"/>
      <c r="O456" s="6"/>
    </row>
    <row r="457" spans="1:15" x14ac:dyDescent="0.2">
      <c r="A457" s="126"/>
      <c r="B457" s="4"/>
      <c r="C457" s="4"/>
      <c r="D457" s="7"/>
      <c r="E457" s="7"/>
      <c r="F457" s="8" t="str">
        <f t="shared" si="405"/>
        <v/>
      </c>
      <c r="G457" s="7" t="str">
        <f t="shared" si="406"/>
        <v/>
      </c>
      <c r="H457" s="5" t="str">
        <f t="shared" si="407"/>
        <v/>
      </c>
      <c r="I457" s="122" t="str">
        <f t="shared" si="408"/>
        <v/>
      </c>
      <c r="J457" s="7" t="str">
        <f t="shared" si="409"/>
        <v/>
      </c>
      <c r="K457" s="9" t="str">
        <f t="shared" si="410"/>
        <v/>
      </c>
      <c r="L457" s="9" t="str">
        <f>IF(NOT(ISERROR(VLOOKUP(B457,Deflatores!G$42:H$64,2,FALSE))),VLOOKUP(B457,Deflatores!G$42:H$64,2,FALSE),IF(OR(ISBLANK(C457),ISBLANK(B457)),"",VLOOKUP(C457,Deflatores!G$4:H$38,2,FALSE)*H457+VLOOKUP(C457,Deflatores!G$4:I$38,3,FALSE)))</f>
        <v/>
      </c>
      <c r="M457" s="10"/>
      <c r="N457" s="10"/>
      <c r="O457" s="6"/>
    </row>
    <row r="458" spans="1:15" x14ac:dyDescent="0.2">
      <c r="A458" s="126"/>
      <c r="B458" s="4"/>
      <c r="C458" s="4"/>
      <c r="D458" s="7"/>
      <c r="E458" s="7"/>
      <c r="F458" s="8" t="str">
        <f t="shared" si="405"/>
        <v/>
      </c>
      <c r="G458" s="7" t="str">
        <f t="shared" si="406"/>
        <v/>
      </c>
      <c r="H458" s="5" t="str">
        <f t="shared" si="407"/>
        <v/>
      </c>
      <c r="I458" s="122" t="str">
        <f t="shared" si="408"/>
        <v/>
      </c>
      <c r="J458" s="7" t="str">
        <f t="shared" si="409"/>
        <v/>
      </c>
      <c r="K458" s="9" t="str">
        <f t="shared" si="410"/>
        <v/>
      </c>
      <c r="L458" s="9" t="str">
        <f>IF(NOT(ISERROR(VLOOKUP(B458,Deflatores!G$42:H$64,2,FALSE))),VLOOKUP(B458,Deflatores!G$42:H$64,2,FALSE),IF(OR(ISBLANK(C458),ISBLANK(B458)),"",VLOOKUP(C458,Deflatores!G$4:H$38,2,FALSE)*H458+VLOOKUP(C458,Deflatores!G$4:I$38,3,FALSE)))</f>
        <v/>
      </c>
      <c r="M458" s="10"/>
      <c r="N458" s="10"/>
      <c r="O458" s="6"/>
    </row>
    <row r="459" spans="1:15" x14ac:dyDescent="0.2">
      <c r="A459" s="126"/>
      <c r="B459" s="4"/>
      <c r="C459" s="4"/>
      <c r="D459" s="7"/>
      <c r="E459" s="7"/>
      <c r="F459" s="8" t="str">
        <f t="shared" si="405"/>
        <v/>
      </c>
      <c r="G459" s="7" t="str">
        <f t="shared" si="406"/>
        <v/>
      </c>
      <c r="H459" s="5" t="str">
        <f t="shared" si="407"/>
        <v/>
      </c>
      <c r="I459" s="122" t="str">
        <f t="shared" si="408"/>
        <v/>
      </c>
      <c r="J459" s="7" t="str">
        <f t="shared" si="409"/>
        <v/>
      </c>
      <c r="K459" s="9" t="str">
        <f t="shared" si="410"/>
        <v/>
      </c>
      <c r="L459" s="9" t="str">
        <f>IF(NOT(ISERROR(VLOOKUP(B459,Deflatores!G$42:H$64,2,FALSE))),VLOOKUP(B459,Deflatores!G$42:H$64,2,FALSE),IF(OR(ISBLANK(C459),ISBLANK(B459)),"",VLOOKUP(C459,Deflatores!G$4:H$38,2,FALSE)*H459+VLOOKUP(C459,Deflatores!G$4:I$38,3,FALSE)))</f>
        <v/>
      </c>
      <c r="M459" s="10"/>
      <c r="N459" s="10"/>
      <c r="O459" s="6"/>
    </row>
    <row r="460" spans="1:15" x14ac:dyDescent="0.2">
      <c r="A460" s="126"/>
      <c r="B460" s="4"/>
      <c r="C460" s="4"/>
      <c r="D460" s="7"/>
      <c r="E460" s="7"/>
      <c r="F460" s="8" t="str">
        <f t="shared" si="405"/>
        <v/>
      </c>
      <c r="G460" s="7" t="str">
        <f t="shared" si="406"/>
        <v/>
      </c>
      <c r="H460" s="5" t="str">
        <f t="shared" si="407"/>
        <v/>
      </c>
      <c r="I460" s="122" t="str">
        <f t="shared" si="408"/>
        <v/>
      </c>
      <c r="J460" s="7" t="str">
        <f t="shared" si="409"/>
        <v/>
      </c>
      <c r="K460" s="9" t="str">
        <f t="shared" si="410"/>
        <v/>
      </c>
      <c r="L460" s="9" t="str">
        <f>IF(NOT(ISERROR(VLOOKUP(B460,Deflatores!G$42:H$64,2,FALSE))),VLOOKUP(B460,Deflatores!G$42:H$64,2,FALSE),IF(OR(ISBLANK(C460),ISBLANK(B460)),"",VLOOKUP(C460,Deflatores!G$4:H$38,2,FALSE)*H460+VLOOKUP(C460,Deflatores!G$4:I$38,3,FALSE)))</f>
        <v/>
      </c>
      <c r="M460" s="10"/>
      <c r="N460" s="10"/>
      <c r="O460" s="6"/>
    </row>
    <row r="461" spans="1:15" x14ac:dyDescent="0.2">
      <c r="A461" s="126"/>
      <c r="B461" s="4"/>
      <c r="C461" s="4"/>
      <c r="D461" s="7"/>
      <c r="E461" s="7"/>
      <c r="F461" s="8" t="str">
        <f t="shared" si="405"/>
        <v/>
      </c>
      <c r="G461" s="7" t="str">
        <f t="shared" si="406"/>
        <v/>
      </c>
      <c r="H461" s="5" t="str">
        <f t="shared" si="407"/>
        <v/>
      </c>
      <c r="I461" s="122" t="str">
        <f t="shared" si="408"/>
        <v/>
      </c>
      <c r="J461" s="7" t="str">
        <f t="shared" si="409"/>
        <v/>
      </c>
      <c r="K461" s="9" t="str">
        <f t="shared" si="410"/>
        <v/>
      </c>
      <c r="L461" s="9" t="str">
        <f>IF(NOT(ISERROR(VLOOKUP(B461,Deflatores!G$42:H$64,2,FALSE))),VLOOKUP(B461,Deflatores!G$42:H$64,2,FALSE),IF(OR(ISBLANK(C461),ISBLANK(B461)),"",VLOOKUP(C461,Deflatores!G$4:H$38,2,FALSE)*H461+VLOOKUP(C461,Deflatores!G$4:I$38,3,FALSE)))</f>
        <v/>
      </c>
      <c r="M461" s="10"/>
      <c r="N461" s="10"/>
      <c r="O461" s="6"/>
    </row>
    <row r="462" spans="1:15" x14ac:dyDescent="0.2">
      <c r="A462" s="126"/>
      <c r="B462" s="4"/>
      <c r="C462" s="4"/>
      <c r="D462" s="7"/>
      <c r="E462" s="7"/>
      <c r="F462" s="8" t="str">
        <f t="shared" si="405"/>
        <v/>
      </c>
      <c r="G462" s="7" t="str">
        <f t="shared" si="406"/>
        <v/>
      </c>
      <c r="H462" s="5" t="str">
        <f t="shared" si="407"/>
        <v/>
      </c>
      <c r="I462" s="122" t="str">
        <f t="shared" si="408"/>
        <v/>
      </c>
      <c r="J462" s="7" t="str">
        <f t="shared" si="409"/>
        <v/>
      </c>
      <c r="K462" s="9" t="str">
        <f t="shared" si="410"/>
        <v/>
      </c>
      <c r="L462" s="9" t="str">
        <f>IF(NOT(ISERROR(VLOOKUP(B462,Deflatores!G$42:H$64,2,FALSE))),VLOOKUP(B462,Deflatores!G$42:H$64,2,FALSE),IF(OR(ISBLANK(C462),ISBLANK(B462)),"",VLOOKUP(C462,Deflatores!G$4:H$38,2,FALSE)*H462+VLOOKUP(C462,Deflatores!G$4:I$38,3,FALSE)))</f>
        <v/>
      </c>
      <c r="M462" s="10"/>
      <c r="N462" s="10"/>
      <c r="O462" s="6"/>
    </row>
    <row r="463" spans="1:15" x14ac:dyDescent="0.2">
      <c r="A463" s="126"/>
      <c r="B463" s="4"/>
      <c r="C463" s="4"/>
      <c r="D463" s="7"/>
      <c r="E463" s="7"/>
      <c r="F463" s="8" t="str">
        <f t="shared" ref="F463:F526" si="411">IF(ISBLANK(B463),"",IF(I463="L","Baixa",IF(I463="A","Média",IF(I463="","","Alta"))))</f>
        <v/>
      </c>
      <c r="G463" s="7" t="str">
        <f t="shared" ref="G463:G526" si="412">CONCATENATE(B463,I463)</f>
        <v/>
      </c>
      <c r="H463" s="5" t="str">
        <f t="shared" ref="H463:H526" si="413">IF(ISBLANK(B463),"",IF(B463="ALI",IF(I463="L",7,IF(I463="A",10,15)),IF(B463="AIE",IF(I463="L",5,IF(I463="A",7,10)),IF(B463="SE",IF(I463="L",4,IF(I463="A",5,7)),IF(OR(B463="EE",B463="CE"),IF(I463="L",3,IF(I463="A",4,6)),0)))))</f>
        <v/>
      </c>
      <c r="I463" s="122" t="str">
        <f t="shared" si="408"/>
        <v/>
      </c>
      <c r="J463" s="7" t="str">
        <f t="shared" si="409"/>
        <v/>
      </c>
      <c r="K463" s="9" t="str">
        <f t="shared" si="410"/>
        <v/>
      </c>
      <c r="L463" s="9" t="str">
        <f>IF(NOT(ISERROR(VLOOKUP(B463,Deflatores!G$42:H$64,2,FALSE))),VLOOKUP(B463,Deflatores!G$42:H$64,2,FALSE),IF(OR(ISBLANK(C463),ISBLANK(B463)),"",VLOOKUP(C463,Deflatores!G$4:H$38,2,FALSE)*H463+VLOOKUP(C463,Deflatores!G$4:I$38,3,FALSE)))</f>
        <v/>
      </c>
      <c r="M463" s="10"/>
      <c r="N463" s="10"/>
      <c r="O463" s="6"/>
    </row>
    <row r="464" spans="1:15" x14ac:dyDescent="0.2">
      <c r="A464" s="126"/>
      <c r="B464" s="4"/>
      <c r="C464" s="4"/>
      <c r="D464" s="7"/>
      <c r="E464" s="7"/>
      <c r="F464" s="8" t="str">
        <f t="shared" si="411"/>
        <v/>
      </c>
      <c r="G464" s="7" t="str">
        <f t="shared" si="412"/>
        <v/>
      </c>
      <c r="H464" s="5" t="str">
        <f t="shared" si="413"/>
        <v/>
      </c>
      <c r="I464" s="122" t="str">
        <f t="shared" si="408"/>
        <v/>
      </c>
      <c r="J464" s="7" t="str">
        <f t="shared" si="409"/>
        <v/>
      </c>
      <c r="K464" s="9" t="str">
        <f t="shared" si="410"/>
        <v/>
      </c>
      <c r="L464" s="9" t="str">
        <f>IF(NOT(ISERROR(VLOOKUP(B464,Deflatores!G$42:H$64,2,FALSE))),VLOOKUP(B464,Deflatores!G$42:H$64,2,FALSE),IF(OR(ISBLANK(C464),ISBLANK(B464)),"",VLOOKUP(C464,Deflatores!G$4:H$38,2,FALSE)*H464+VLOOKUP(C464,Deflatores!G$4:I$38,3,FALSE)))</f>
        <v/>
      </c>
      <c r="M464" s="10"/>
      <c r="N464" s="10"/>
      <c r="O464" s="6"/>
    </row>
    <row r="465" spans="1:15" x14ac:dyDescent="0.2">
      <c r="A465" s="126"/>
      <c r="B465" s="4"/>
      <c r="C465" s="4"/>
      <c r="D465" s="7"/>
      <c r="E465" s="7"/>
      <c r="F465" s="8" t="str">
        <f t="shared" si="411"/>
        <v/>
      </c>
      <c r="G465" s="7" t="str">
        <f t="shared" si="412"/>
        <v/>
      </c>
      <c r="H465" s="5" t="str">
        <f t="shared" si="413"/>
        <v/>
      </c>
      <c r="I465" s="122" t="str">
        <f t="shared" si="408"/>
        <v/>
      </c>
      <c r="J465" s="7" t="str">
        <f t="shared" si="409"/>
        <v/>
      </c>
      <c r="K465" s="9" t="str">
        <f t="shared" si="410"/>
        <v/>
      </c>
      <c r="L465" s="9" t="str">
        <f>IF(NOT(ISERROR(VLOOKUP(B465,Deflatores!G$42:H$64,2,FALSE))),VLOOKUP(B465,Deflatores!G$42:H$64,2,FALSE),IF(OR(ISBLANK(C465),ISBLANK(B465)),"",VLOOKUP(C465,Deflatores!G$4:H$38,2,FALSE)*H465+VLOOKUP(C465,Deflatores!G$4:I$38,3,FALSE)))</f>
        <v/>
      </c>
      <c r="M465" s="10"/>
      <c r="N465" s="10"/>
      <c r="O465" s="6"/>
    </row>
    <row r="466" spans="1:15" x14ac:dyDescent="0.2">
      <c r="A466" s="126"/>
      <c r="B466" s="4"/>
      <c r="C466" s="4"/>
      <c r="D466" s="7"/>
      <c r="E466" s="7"/>
      <c r="F466" s="8" t="str">
        <f t="shared" si="411"/>
        <v/>
      </c>
      <c r="G466" s="7" t="str">
        <f t="shared" si="412"/>
        <v/>
      </c>
      <c r="H466" s="5" t="str">
        <f t="shared" si="413"/>
        <v/>
      </c>
      <c r="I466" s="122" t="str">
        <f t="shared" si="408"/>
        <v/>
      </c>
      <c r="J466" s="7" t="str">
        <f t="shared" si="409"/>
        <v/>
      </c>
      <c r="K466" s="9" t="str">
        <f t="shared" si="410"/>
        <v/>
      </c>
      <c r="L466" s="9" t="str">
        <f>IF(NOT(ISERROR(VLOOKUP(B466,Deflatores!G$42:H$64,2,FALSE))),VLOOKUP(B466,Deflatores!G$42:H$64,2,FALSE),IF(OR(ISBLANK(C466),ISBLANK(B466)),"",VLOOKUP(C466,Deflatores!G$4:H$38,2,FALSE)*H466+VLOOKUP(C466,Deflatores!G$4:I$38,3,FALSE)))</f>
        <v/>
      </c>
      <c r="M466" s="10"/>
      <c r="N466" s="10"/>
      <c r="O466" s="6"/>
    </row>
    <row r="467" spans="1:15" x14ac:dyDescent="0.2">
      <c r="A467" s="126"/>
      <c r="B467" s="4"/>
      <c r="C467" s="4"/>
      <c r="D467" s="7"/>
      <c r="E467" s="7"/>
      <c r="F467" s="8" t="str">
        <f t="shared" si="411"/>
        <v/>
      </c>
      <c r="G467" s="7" t="str">
        <f t="shared" si="412"/>
        <v/>
      </c>
      <c r="H467" s="5" t="str">
        <f t="shared" si="413"/>
        <v/>
      </c>
      <c r="I467" s="122" t="str">
        <f t="shared" si="408"/>
        <v/>
      </c>
      <c r="J467" s="7" t="str">
        <f t="shared" si="409"/>
        <v/>
      </c>
      <c r="K467" s="9" t="str">
        <f t="shared" si="410"/>
        <v/>
      </c>
      <c r="L467" s="9" t="str">
        <f>IF(NOT(ISERROR(VLOOKUP(B467,Deflatores!G$42:H$64,2,FALSE))),VLOOKUP(B467,Deflatores!G$42:H$64,2,FALSE),IF(OR(ISBLANK(C467),ISBLANK(B467)),"",VLOOKUP(C467,Deflatores!G$4:H$38,2,FALSE)*H467+VLOOKUP(C467,Deflatores!G$4:I$38,3,FALSE)))</f>
        <v/>
      </c>
      <c r="M467" s="10"/>
      <c r="N467" s="10"/>
      <c r="O467" s="6"/>
    </row>
    <row r="468" spans="1:15" x14ac:dyDescent="0.2">
      <c r="A468" s="126"/>
      <c r="B468" s="4"/>
      <c r="C468" s="4"/>
      <c r="D468" s="7"/>
      <c r="E468" s="7"/>
      <c r="F468" s="8" t="str">
        <f t="shared" si="411"/>
        <v/>
      </c>
      <c r="G468" s="7" t="str">
        <f t="shared" si="412"/>
        <v/>
      </c>
      <c r="H468" s="5" t="str">
        <f t="shared" si="413"/>
        <v/>
      </c>
      <c r="I468" s="122" t="str">
        <f t="shared" si="408"/>
        <v/>
      </c>
      <c r="J468" s="7" t="str">
        <f t="shared" si="409"/>
        <v/>
      </c>
      <c r="K468" s="9" t="str">
        <f t="shared" si="410"/>
        <v/>
      </c>
      <c r="L468" s="9" t="str">
        <f>IF(NOT(ISERROR(VLOOKUP(B468,Deflatores!G$42:H$64,2,FALSE))),VLOOKUP(B468,Deflatores!G$42:H$64,2,FALSE),IF(OR(ISBLANK(C468),ISBLANK(B468)),"",VLOOKUP(C468,Deflatores!G$4:H$38,2,FALSE)*H468+VLOOKUP(C468,Deflatores!G$4:I$38,3,FALSE)))</f>
        <v/>
      </c>
      <c r="M468" s="10"/>
      <c r="N468" s="10"/>
      <c r="O468" s="6"/>
    </row>
    <row r="469" spans="1:15" x14ac:dyDescent="0.2">
      <c r="A469" s="126"/>
      <c r="B469" s="4"/>
      <c r="C469" s="4"/>
      <c r="D469" s="7"/>
      <c r="E469" s="7"/>
      <c r="F469" s="8" t="str">
        <f t="shared" si="411"/>
        <v/>
      </c>
      <c r="G469" s="7" t="str">
        <f t="shared" si="412"/>
        <v/>
      </c>
      <c r="H469" s="5" t="str">
        <f t="shared" si="413"/>
        <v/>
      </c>
      <c r="I469" s="122" t="str">
        <f t="shared" si="408"/>
        <v/>
      </c>
      <c r="J469" s="7" t="str">
        <f t="shared" si="409"/>
        <v/>
      </c>
      <c r="K469" s="9" t="str">
        <f t="shared" si="410"/>
        <v/>
      </c>
      <c r="L469" s="9" t="str">
        <f>IF(NOT(ISERROR(VLOOKUP(B469,Deflatores!G$42:H$64,2,FALSE))),VLOOKUP(B469,Deflatores!G$42:H$64,2,FALSE),IF(OR(ISBLANK(C469),ISBLANK(B469)),"",VLOOKUP(C469,Deflatores!G$4:H$38,2,FALSE)*H469+VLOOKUP(C469,Deflatores!G$4:I$38,3,FALSE)))</f>
        <v/>
      </c>
      <c r="M469" s="10"/>
      <c r="N469" s="10"/>
      <c r="O469" s="6"/>
    </row>
    <row r="470" spans="1:15" x14ac:dyDescent="0.2">
      <c r="A470" s="126"/>
      <c r="B470" s="4"/>
      <c r="C470" s="4"/>
      <c r="D470" s="7"/>
      <c r="E470" s="7"/>
      <c r="F470" s="8" t="str">
        <f t="shared" si="411"/>
        <v/>
      </c>
      <c r="G470" s="7" t="str">
        <f t="shared" si="412"/>
        <v/>
      </c>
      <c r="H470" s="5" t="str">
        <f t="shared" si="413"/>
        <v/>
      </c>
      <c r="I470" s="122" t="str">
        <f t="shared" si="408"/>
        <v/>
      </c>
      <c r="J470" s="7" t="str">
        <f t="shared" si="409"/>
        <v/>
      </c>
      <c r="K470" s="9" t="str">
        <f t="shared" si="410"/>
        <v/>
      </c>
      <c r="L470" s="9" t="str">
        <f>IF(NOT(ISERROR(VLOOKUP(B470,Deflatores!G$42:H$64,2,FALSE))),VLOOKUP(B470,Deflatores!G$42:H$64,2,FALSE),IF(OR(ISBLANK(C470),ISBLANK(B470)),"",VLOOKUP(C470,Deflatores!G$4:H$38,2,FALSE)*H470+VLOOKUP(C470,Deflatores!G$4:I$38,3,FALSE)))</f>
        <v/>
      </c>
      <c r="M470" s="10"/>
      <c r="N470" s="10"/>
      <c r="O470" s="6"/>
    </row>
    <row r="471" spans="1:15" x14ac:dyDescent="0.2">
      <c r="A471" s="126"/>
      <c r="B471" s="4"/>
      <c r="C471" s="4"/>
      <c r="D471" s="7"/>
      <c r="E471" s="7"/>
      <c r="F471" s="8" t="str">
        <f t="shared" si="411"/>
        <v/>
      </c>
      <c r="G471" s="7" t="str">
        <f t="shared" si="412"/>
        <v/>
      </c>
      <c r="H471" s="5" t="str">
        <f t="shared" si="413"/>
        <v/>
      </c>
      <c r="I471" s="122" t="str">
        <f t="shared" si="408"/>
        <v/>
      </c>
      <c r="J471" s="7" t="str">
        <f t="shared" si="409"/>
        <v/>
      </c>
      <c r="K471" s="9" t="str">
        <f t="shared" si="410"/>
        <v/>
      </c>
      <c r="L471" s="9" t="str">
        <f>IF(NOT(ISERROR(VLOOKUP(B471,Deflatores!G$42:H$64,2,FALSE))),VLOOKUP(B471,Deflatores!G$42:H$64,2,FALSE),IF(OR(ISBLANK(C471),ISBLANK(B471)),"",VLOOKUP(C471,Deflatores!G$4:H$38,2,FALSE)*H471+VLOOKUP(C471,Deflatores!G$4:I$38,3,FALSE)))</f>
        <v/>
      </c>
      <c r="M471" s="10"/>
      <c r="N471" s="10"/>
      <c r="O471" s="6"/>
    </row>
    <row r="472" spans="1:15" x14ac:dyDescent="0.2">
      <c r="A472" s="126"/>
      <c r="B472" s="4"/>
      <c r="C472" s="4"/>
      <c r="D472" s="7"/>
      <c r="E472" s="7"/>
      <c r="F472" s="8" t="str">
        <f t="shared" si="411"/>
        <v/>
      </c>
      <c r="G472" s="7" t="str">
        <f t="shared" si="412"/>
        <v/>
      </c>
      <c r="H472" s="5" t="str">
        <f t="shared" si="413"/>
        <v/>
      </c>
      <c r="I472" s="122" t="str">
        <f t="shared" ref="I472:I535" si="414">IF(OR(ISBLANK(D472),ISBLANK(E472)),IF(OR(B472="ALI",B472="AIE"),"L",IF(OR(B472="EE",B472="SE",B472="CE"),"A","")),IF(B472="EE",IF(E472&gt;=3,IF(D472&gt;=5,"H","A"),IF(E472&gt;=2,IF(D472&gt;=16,"H",IF(D472&lt;=4,"L","A")),IF(D472&lt;=15,"L","A"))),IF(OR(B472="SE",B472="CE"),IF(E472&gt;=4,IF(D472&gt;=6,"H","A"),IF(E472&gt;=2,IF(D472&gt;=20,"H",IF(D472&lt;=5,"L","A")),IF(D472&lt;=19,"L","A"))),IF(OR(B472="ALI",B472="AIE"),IF(E472&gt;=6,IF(D472&gt;=20,"H","A"),IF(E472&gt;=2,IF(D472&gt;=51,"H",IF(D472&lt;=19,"L","A")),IF(D472&lt;=50,"L","A"))),""))))</f>
        <v/>
      </c>
      <c r="J472" s="7" t="str">
        <f t="shared" ref="J472:J535" si="415">CONCATENATE(B472,C472)</f>
        <v/>
      </c>
      <c r="K472" s="9" t="str">
        <f t="shared" ref="K472:K535" si="416">IF(OR(H472="",H472=0),L472,H472)</f>
        <v/>
      </c>
      <c r="L472" s="9" t="str">
        <f>IF(NOT(ISERROR(VLOOKUP(B472,Deflatores!G$42:H$64,2,FALSE))),VLOOKUP(B472,Deflatores!G$42:H$64,2,FALSE),IF(OR(ISBLANK(C472),ISBLANK(B472)),"",VLOOKUP(C472,Deflatores!G$4:H$38,2,FALSE)*H472+VLOOKUP(C472,Deflatores!G$4:I$38,3,FALSE)))</f>
        <v/>
      </c>
      <c r="M472" s="10"/>
      <c r="N472" s="10"/>
      <c r="O472" s="6"/>
    </row>
    <row r="473" spans="1:15" x14ac:dyDescent="0.2">
      <c r="A473" s="126"/>
      <c r="B473" s="4"/>
      <c r="C473" s="4"/>
      <c r="D473" s="7"/>
      <c r="E473" s="7"/>
      <c r="F473" s="8" t="str">
        <f t="shared" si="411"/>
        <v/>
      </c>
      <c r="G473" s="7" t="str">
        <f t="shared" si="412"/>
        <v/>
      </c>
      <c r="H473" s="5" t="str">
        <f t="shared" si="413"/>
        <v/>
      </c>
      <c r="I473" s="122" t="str">
        <f t="shared" si="414"/>
        <v/>
      </c>
      <c r="J473" s="7" t="str">
        <f t="shared" si="415"/>
        <v/>
      </c>
      <c r="K473" s="9" t="str">
        <f t="shared" si="416"/>
        <v/>
      </c>
      <c r="L473" s="9" t="str">
        <f>IF(NOT(ISERROR(VLOOKUP(B473,Deflatores!G$42:H$64,2,FALSE))),VLOOKUP(B473,Deflatores!G$42:H$64,2,FALSE),IF(OR(ISBLANK(C473),ISBLANK(B473)),"",VLOOKUP(C473,Deflatores!G$4:H$38,2,FALSE)*H473+VLOOKUP(C473,Deflatores!G$4:I$38,3,FALSE)))</f>
        <v/>
      </c>
      <c r="M473" s="10"/>
      <c r="N473" s="10"/>
      <c r="O473" s="6"/>
    </row>
    <row r="474" spans="1:15" x14ac:dyDescent="0.2">
      <c r="A474" s="126"/>
      <c r="B474" s="4"/>
      <c r="C474" s="4"/>
      <c r="D474" s="7"/>
      <c r="E474" s="7"/>
      <c r="F474" s="8" t="str">
        <f t="shared" si="411"/>
        <v/>
      </c>
      <c r="G474" s="7" t="str">
        <f t="shared" si="412"/>
        <v/>
      </c>
      <c r="H474" s="5" t="str">
        <f t="shared" si="413"/>
        <v/>
      </c>
      <c r="I474" s="122" t="str">
        <f t="shared" si="414"/>
        <v/>
      </c>
      <c r="J474" s="7" t="str">
        <f t="shared" si="415"/>
        <v/>
      </c>
      <c r="K474" s="9" t="str">
        <f t="shared" si="416"/>
        <v/>
      </c>
      <c r="L474" s="9" t="str">
        <f>IF(NOT(ISERROR(VLOOKUP(B474,Deflatores!G$42:H$64,2,FALSE))),VLOOKUP(B474,Deflatores!G$42:H$64,2,FALSE),IF(OR(ISBLANK(C474),ISBLANK(B474)),"",VLOOKUP(C474,Deflatores!G$4:H$38,2,FALSE)*H474+VLOOKUP(C474,Deflatores!G$4:I$38,3,FALSE)))</f>
        <v/>
      </c>
      <c r="M474" s="10"/>
      <c r="N474" s="10"/>
      <c r="O474" s="6"/>
    </row>
    <row r="475" spans="1:15" x14ac:dyDescent="0.2">
      <c r="A475" s="126"/>
      <c r="B475" s="4"/>
      <c r="C475" s="4"/>
      <c r="D475" s="7"/>
      <c r="E475" s="7"/>
      <c r="F475" s="8" t="str">
        <f t="shared" si="411"/>
        <v/>
      </c>
      <c r="G475" s="7" t="str">
        <f t="shared" si="412"/>
        <v/>
      </c>
      <c r="H475" s="5" t="str">
        <f t="shared" si="413"/>
        <v/>
      </c>
      <c r="I475" s="122" t="str">
        <f t="shared" si="414"/>
        <v/>
      </c>
      <c r="J475" s="7" t="str">
        <f t="shared" si="415"/>
        <v/>
      </c>
      <c r="K475" s="9" t="str">
        <f t="shared" si="416"/>
        <v/>
      </c>
      <c r="L475" s="9" t="str">
        <f>IF(NOT(ISERROR(VLOOKUP(B475,Deflatores!G$42:H$64,2,FALSE))),VLOOKUP(B475,Deflatores!G$42:H$64,2,FALSE),IF(OR(ISBLANK(C475),ISBLANK(B475)),"",VLOOKUP(C475,Deflatores!G$4:H$38,2,FALSE)*H475+VLOOKUP(C475,Deflatores!G$4:I$38,3,FALSE)))</f>
        <v/>
      </c>
      <c r="M475" s="10"/>
      <c r="N475" s="10"/>
      <c r="O475" s="6"/>
    </row>
    <row r="476" spans="1:15" x14ac:dyDescent="0.2">
      <c r="A476" s="126"/>
      <c r="B476" s="4"/>
      <c r="C476" s="4"/>
      <c r="D476" s="7"/>
      <c r="E476" s="7"/>
      <c r="F476" s="8" t="str">
        <f t="shared" si="411"/>
        <v/>
      </c>
      <c r="G476" s="7" t="str">
        <f t="shared" si="412"/>
        <v/>
      </c>
      <c r="H476" s="5" t="str">
        <f t="shared" si="413"/>
        <v/>
      </c>
      <c r="I476" s="122" t="str">
        <f t="shared" si="414"/>
        <v/>
      </c>
      <c r="J476" s="7" t="str">
        <f t="shared" si="415"/>
        <v/>
      </c>
      <c r="K476" s="9" t="str">
        <f t="shared" si="416"/>
        <v/>
      </c>
      <c r="L476" s="9" t="str">
        <f>IF(NOT(ISERROR(VLOOKUP(B476,Deflatores!G$42:H$64,2,FALSE))),VLOOKUP(B476,Deflatores!G$42:H$64,2,FALSE),IF(OR(ISBLANK(C476),ISBLANK(B476)),"",VLOOKUP(C476,Deflatores!G$4:H$38,2,FALSE)*H476+VLOOKUP(C476,Deflatores!G$4:I$38,3,FALSE)))</f>
        <v/>
      </c>
      <c r="M476" s="10"/>
      <c r="N476" s="10"/>
      <c r="O476" s="6"/>
    </row>
    <row r="477" spans="1:15" x14ac:dyDescent="0.2">
      <c r="A477" s="126"/>
      <c r="B477" s="4"/>
      <c r="C477" s="4"/>
      <c r="D477" s="7"/>
      <c r="E477" s="7"/>
      <c r="F477" s="8" t="str">
        <f t="shared" si="411"/>
        <v/>
      </c>
      <c r="G477" s="7" t="str">
        <f t="shared" si="412"/>
        <v/>
      </c>
      <c r="H477" s="5" t="str">
        <f t="shared" si="413"/>
        <v/>
      </c>
      <c r="I477" s="122" t="str">
        <f t="shared" si="414"/>
        <v/>
      </c>
      <c r="J477" s="7" t="str">
        <f t="shared" si="415"/>
        <v/>
      </c>
      <c r="K477" s="9" t="str">
        <f t="shared" si="416"/>
        <v/>
      </c>
      <c r="L477" s="9" t="str">
        <f>IF(NOT(ISERROR(VLOOKUP(B477,Deflatores!G$42:H$64,2,FALSE))),VLOOKUP(B477,Deflatores!G$42:H$64,2,FALSE),IF(OR(ISBLANK(C477),ISBLANK(B477)),"",VLOOKUP(C477,Deflatores!G$4:H$38,2,FALSE)*H477+VLOOKUP(C477,Deflatores!G$4:I$38,3,FALSE)))</f>
        <v/>
      </c>
      <c r="M477" s="10"/>
      <c r="N477" s="10"/>
      <c r="O477" s="6"/>
    </row>
    <row r="478" spans="1:15" x14ac:dyDescent="0.2">
      <c r="A478" s="126"/>
      <c r="B478" s="4"/>
      <c r="C478" s="4"/>
      <c r="D478" s="7"/>
      <c r="E478" s="7"/>
      <c r="F478" s="8" t="str">
        <f t="shared" si="411"/>
        <v/>
      </c>
      <c r="G478" s="7" t="str">
        <f t="shared" si="412"/>
        <v/>
      </c>
      <c r="H478" s="5" t="str">
        <f t="shared" si="413"/>
        <v/>
      </c>
      <c r="I478" s="122" t="str">
        <f t="shared" si="414"/>
        <v/>
      </c>
      <c r="J478" s="7" t="str">
        <f t="shared" si="415"/>
        <v/>
      </c>
      <c r="K478" s="9" t="str">
        <f t="shared" si="416"/>
        <v/>
      </c>
      <c r="L478" s="9" t="str">
        <f>IF(NOT(ISERROR(VLOOKUP(B478,Deflatores!G$42:H$64,2,FALSE))),VLOOKUP(B478,Deflatores!G$42:H$64,2,FALSE),IF(OR(ISBLANK(C478),ISBLANK(B478)),"",VLOOKUP(C478,Deflatores!G$4:H$38,2,FALSE)*H478+VLOOKUP(C478,Deflatores!G$4:I$38,3,FALSE)))</f>
        <v/>
      </c>
      <c r="M478" s="10"/>
      <c r="N478" s="10"/>
      <c r="O478" s="6"/>
    </row>
    <row r="479" spans="1:15" x14ac:dyDescent="0.2">
      <c r="A479" s="126"/>
      <c r="B479" s="4"/>
      <c r="C479" s="4"/>
      <c r="D479" s="7"/>
      <c r="E479" s="7"/>
      <c r="F479" s="8" t="str">
        <f t="shared" si="411"/>
        <v/>
      </c>
      <c r="G479" s="7" t="str">
        <f t="shared" si="412"/>
        <v/>
      </c>
      <c r="H479" s="5" t="str">
        <f t="shared" si="413"/>
        <v/>
      </c>
      <c r="I479" s="122" t="str">
        <f t="shared" si="414"/>
        <v/>
      </c>
      <c r="J479" s="7" t="str">
        <f t="shared" si="415"/>
        <v/>
      </c>
      <c r="K479" s="9" t="str">
        <f t="shared" si="416"/>
        <v/>
      </c>
      <c r="L479" s="9" t="str">
        <f>IF(NOT(ISERROR(VLOOKUP(B479,Deflatores!G$42:H$64,2,FALSE))),VLOOKUP(B479,Deflatores!G$42:H$64,2,FALSE),IF(OR(ISBLANK(C479),ISBLANK(B479)),"",VLOOKUP(C479,Deflatores!G$4:H$38,2,FALSE)*H479+VLOOKUP(C479,Deflatores!G$4:I$38,3,FALSE)))</f>
        <v/>
      </c>
      <c r="M479" s="10"/>
      <c r="N479" s="10"/>
      <c r="O479" s="6"/>
    </row>
    <row r="480" spans="1:15" x14ac:dyDescent="0.2">
      <c r="A480" s="126"/>
      <c r="B480" s="4"/>
      <c r="C480" s="4"/>
      <c r="D480" s="7"/>
      <c r="E480" s="7"/>
      <c r="F480" s="8" t="str">
        <f t="shared" si="411"/>
        <v/>
      </c>
      <c r="G480" s="7" t="str">
        <f t="shared" si="412"/>
        <v/>
      </c>
      <c r="H480" s="5" t="str">
        <f t="shared" si="413"/>
        <v/>
      </c>
      <c r="I480" s="122" t="str">
        <f t="shared" si="414"/>
        <v/>
      </c>
      <c r="J480" s="7" t="str">
        <f t="shared" si="415"/>
        <v/>
      </c>
      <c r="K480" s="9" t="str">
        <f t="shared" si="416"/>
        <v/>
      </c>
      <c r="L480" s="9" t="str">
        <f>IF(NOT(ISERROR(VLOOKUP(B480,Deflatores!G$42:H$64,2,FALSE))),VLOOKUP(B480,Deflatores!G$42:H$64,2,FALSE),IF(OR(ISBLANK(C480),ISBLANK(B480)),"",VLOOKUP(C480,Deflatores!G$4:H$38,2,FALSE)*H480+VLOOKUP(C480,Deflatores!G$4:I$38,3,FALSE)))</f>
        <v/>
      </c>
      <c r="M480" s="10"/>
      <c r="N480" s="10"/>
      <c r="O480" s="6"/>
    </row>
    <row r="481" spans="1:15" x14ac:dyDescent="0.2">
      <c r="A481" s="126"/>
      <c r="B481" s="4"/>
      <c r="C481" s="4"/>
      <c r="D481" s="7"/>
      <c r="E481" s="7"/>
      <c r="F481" s="8" t="str">
        <f t="shared" si="411"/>
        <v/>
      </c>
      <c r="G481" s="7" t="str">
        <f t="shared" si="412"/>
        <v/>
      </c>
      <c r="H481" s="5" t="str">
        <f t="shared" si="413"/>
        <v/>
      </c>
      <c r="I481" s="122" t="str">
        <f t="shared" si="414"/>
        <v/>
      </c>
      <c r="J481" s="7" t="str">
        <f t="shared" si="415"/>
        <v/>
      </c>
      <c r="K481" s="9" t="str">
        <f t="shared" si="416"/>
        <v/>
      </c>
      <c r="L481" s="9" t="str">
        <f>IF(NOT(ISERROR(VLOOKUP(B481,Deflatores!G$42:H$64,2,FALSE))),VLOOKUP(B481,Deflatores!G$42:H$64,2,FALSE),IF(OR(ISBLANK(C481),ISBLANK(B481)),"",VLOOKUP(C481,Deflatores!G$4:H$38,2,FALSE)*H481+VLOOKUP(C481,Deflatores!G$4:I$38,3,FALSE)))</f>
        <v/>
      </c>
      <c r="M481" s="10"/>
      <c r="N481" s="10"/>
      <c r="O481" s="6"/>
    </row>
    <row r="482" spans="1:15" x14ac:dyDescent="0.2">
      <c r="A482" s="126"/>
      <c r="B482" s="4"/>
      <c r="C482" s="4"/>
      <c r="D482" s="7"/>
      <c r="E482" s="7"/>
      <c r="F482" s="8" t="str">
        <f t="shared" si="411"/>
        <v/>
      </c>
      <c r="G482" s="7" t="str">
        <f t="shared" si="412"/>
        <v/>
      </c>
      <c r="H482" s="5" t="str">
        <f t="shared" si="413"/>
        <v/>
      </c>
      <c r="I482" s="122" t="str">
        <f t="shared" si="414"/>
        <v/>
      </c>
      <c r="J482" s="7" t="str">
        <f t="shared" si="415"/>
        <v/>
      </c>
      <c r="K482" s="9" t="str">
        <f t="shared" si="416"/>
        <v/>
      </c>
      <c r="L482" s="9" t="str">
        <f>IF(NOT(ISERROR(VLOOKUP(B482,Deflatores!G$42:H$64,2,FALSE))),VLOOKUP(B482,Deflatores!G$42:H$64,2,FALSE),IF(OR(ISBLANK(C482),ISBLANK(B482)),"",VLOOKUP(C482,Deflatores!G$4:H$38,2,FALSE)*H482+VLOOKUP(C482,Deflatores!G$4:I$38,3,FALSE)))</f>
        <v/>
      </c>
      <c r="M482" s="10"/>
      <c r="N482" s="10"/>
      <c r="O482" s="6"/>
    </row>
    <row r="483" spans="1:15" x14ac:dyDescent="0.2">
      <c r="A483" s="126"/>
      <c r="B483" s="4"/>
      <c r="C483" s="4"/>
      <c r="D483" s="7"/>
      <c r="E483" s="7"/>
      <c r="F483" s="8" t="str">
        <f t="shared" si="411"/>
        <v/>
      </c>
      <c r="G483" s="7" t="str">
        <f t="shared" si="412"/>
        <v/>
      </c>
      <c r="H483" s="5" t="str">
        <f t="shared" si="413"/>
        <v/>
      </c>
      <c r="I483" s="122" t="str">
        <f t="shared" si="414"/>
        <v/>
      </c>
      <c r="J483" s="7" t="str">
        <f t="shared" si="415"/>
        <v/>
      </c>
      <c r="K483" s="9" t="str">
        <f t="shared" si="416"/>
        <v/>
      </c>
      <c r="L483" s="9" t="str">
        <f>IF(NOT(ISERROR(VLOOKUP(B483,Deflatores!G$42:H$64,2,FALSE))),VLOOKUP(B483,Deflatores!G$42:H$64,2,FALSE),IF(OR(ISBLANK(C483),ISBLANK(B483)),"",VLOOKUP(C483,Deflatores!G$4:H$38,2,FALSE)*H483+VLOOKUP(C483,Deflatores!G$4:I$38,3,FALSE)))</f>
        <v/>
      </c>
      <c r="M483" s="10"/>
      <c r="N483" s="10"/>
      <c r="O483" s="6"/>
    </row>
    <row r="484" spans="1:15" x14ac:dyDescent="0.2">
      <c r="A484" s="126"/>
      <c r="B484" s="4"/>
      <c r="C484" s="4"/>
      <c r="D484" s="7"/>
      <c r="E484" s="7"/>
      <c r="F484" s="8" t="str">
        <f t="shared" si="411"/>
        <v/>
      </c>
      <c r="G484" s="7" t="str">
        <f t="shared" si="412"/>
        <v/>
      </c>
      <c r="H484" s="5" t="str">
        <f t="shared" si="413"/>
        <v/>
      </c>
      <c r="I484" s="122" t="str">
        <f t="shared" si="414"/>
        <v/>
      </c>
      <c r="J484" s="7" t="str">
        <f t="shared" si="415"/>
        <v/>
      </c>
      <c r="K484" s="9" t="str">
        <f t="shared" si="416"/>
        <v/>
      </c>
      <c r="L484" s="9" t="str">
        <f>IF(NOT(ISERROR(VLOOKUP(B484,Deflatores!G$42:H$64,2,FALSE))),VLOOKUP(B484,Deflatores!G$42:H$64,2,FALSE),IF(OR(ISBLANK(C484),ISBLANK(B484)),"",VLOOKUP(C484,Deflatores!G$4:H$38,2,FALSE)*H484+VLOOKUP(C484,Deflatores!G$4:I$38,3,FALSE)))</f>
        <v/>
      </c>
      <c r="M484" s="10"/>
      <c r="N484" s="10"/>
      <c r="O484" s="6"/>
    </row>
    <row r="485" spans="1:15" x14ac:dyDescent="0.2">
      <c r="A485" s="126"/>
      <c r="B485" s="4"/>
      <c r="C485" s="4"/>
      <c r="D485" s="7"/>
      <c r="E485" s="7"/>
      <c r="F485" s="8" t="str">
        <f t="shared" si="411"/>
        <v/>
      </c>
      <c r="G485" s="7" t="str">
        <f t="shared" si="412"/>
        <v/>
      </c>
      <c r="H485" s="5" t="str">
        <f t="shared" si="413"/>
        <v/>
      </c>
      <c r="I485" s="122" t="str">
        <f t="shared" si="414"/>
        <v/>
      </c>
      <c r="J485" s="7" t="str">
        <f t="shared" si="415"/>
        <v/>
      </c>
      <c r="K485" s="9" t="str">
        <f t="shared" si="416"/>
        <v/>
      </c>
      <c r="L485" s="9" t="str">
        <f>IF(NOT(ISERROR(VLOOKUP(B485,Deflatores!G$42:H$64,2,FALSE))),VLOOKUP(B485,Deflatores!G$42:H$64,2,FALSE),IF(OR(ISBLANK(C485),ISBLANK(B485)),"",VLOOKUP(C485,Deflatores!G$4:H$38,2,FALSE)*H485+VLOOKUP(C485,Deflatores!G$4:I$38,3,FALSE)))</f>
        <v/>
      </c>
      <c r="M485" s="10"/>
      <c r="N485" s="10"/>
      <c r="O485" s="6"/>
    </row>
    <row r="486" spans="1:15" x14ac:dyDescent="0.2">
      <c r="A486" s="126"/>
      <c r="B486" s="4"/>
      <c r="C486" s="4"/>
      <c r="D486" s="7"/>
      <c r="E486" s="7"/>
      <c r="F486" s="8" t="str">
        <f t="shared" si="411"/>
        <v/>
      </c>
      <c r="G486" s="7" t="str">
        <f t="shared" si="412"/>
        <v/>
      </c>
      <c r="H486" s="5" t="str">
        <f t="shared" si="413"/>
        <v/>
      </c>
      <c r="I486" s="122" t="str">
        <f t="shared" si="414"/>
        <v/>
      </c>
      <c r="J486" s="7" t="str">
        <f t="shared" si="415"/>
        <v/>
      </c>
      <c r="K486" s="9" t="str">
        <f t="shared" si="416"/>
        <v/>
      </c>
      <c r="L486" s="9" t="str">
        <f>IF(NOT(ISERROR(VLOOKUP(B486,Deflatores!G$42:H$64,2,FALSE))),VLOOKUP(B486,Deflatores!G$42:H$64,2,FALSE),IF(OR(ISBLANK(C486),ISBLANK(B486)),"",VLOOKUP(C486,Deflatores!G$4:H$38,2,FALSE)*H486+VLOOKUP(C486,Deflatores!G$4:I$38,3,FALSE)))</f>
        <v/>
      </c>
      <c r="M486" s="10"/>
      <c r="N486" s="10"/>
      <c r="O486" s="6"/>
    </row>
    <row r="487" spans="1:15" x14ac:dyDescent="0.2">
      <c r="A487" s="126"/>
      <c r="B487" s="4"/>
      <c r="C487" s="4"/>
      <c r="D487" s="7"/>
      <c r="E487" s="7"/>
      <c r="F487" s="8" t="str">
        <f t="shared" si="411"/>
        <v/>
      </c>
      <c r="G487" s="7" t="str">
        <f t="shared" si="412"/>
        <v/>
      </c>
      <c r="H487" s="5" t="str">
        <f t="shared" si="413"/>
        <v/>
      </c>
      <c r="I487" s="122" t="str">
        <f t="shared" si="414"/>
        <v/>
      </c>
      <c r="J487" s="7" t="str">
        <f t="shared" si="415"/>
        <v/>
      </c>
      <c r="K487" s="9" t="str">
        <f t="shared" si="416"/>
        <v/>
      </c>
      <c r="L487" s="9" t="str">
        <f>IF(NOT(ISERROR(VLOOKUP(B487,Deflatores!G$42:H$64,2,FALSE))),VLOOKUP(B487,Deflatores!G$42:H$64,2,FALSE),IF(OR(ISBLANK(C487),ISBLANK(B487)),"",VLOOKUP(C487,Deflatores!G$4:H$38,2,FALSE)*H487+VLOOKUP(C487,Deflatores!G$4:I$38,3,FALSE)))</f>
        <v/>
      </c>
      <c r="M487" s="10"/>
      <c r="N487" s="10"/>
      <c r="O487" s="6"/>
    </row>
    <row r="488" spans="1:15" x14ac:dyDescent="0.2">
      <c r="A488" s="126"/>
      <c r="B488" s="4"/>
      <c r="C488" s="4"/>
      <c r="D488" s="7"/>
      <c r="E488" s="7"/>
      <c r="F488" s="8" t="str">
        <f t="shared" si="411"/>
        <v/>
      </c>
      <c r="G488" s="7" t="str">
        <f t="shared" si="412"/>
        <v/>
      </c>
      <c r="H488" s="5" t="str">
        <f t="shared" si="413"/>
        <v/>
      </c>
      <c r="I488" s="122" t="str">
        <f t="shared" si="414"/>
        <v/>
      </c>
      <c r="J488" s="7" t="str">
        <f t="shared" si="415"/>
        <v/>
      </c>
      <c r="K488" s="9" t="str">
        <f t="shared" si="416"/>
        <v/>
      </c>
      <c r="L488" s="9" t="str">
        <f>IF(NOT(ISERROR(VLOOKUP(B488,Deflatores!G$42:H$64,2,FALSE))),VLOOKUP(B488,Deflatores!G$42:H$64,2,FALSE),IF(OR(ISBLANK(C488),ISBLANK(B488)),"",VLOOKUP(C488,Deflatores!G$4:H$38,2,FALSE)*H488+VLOOKUP(C488,Deflatores!G$4:I$38,3,FALSE)))</f>
        <v/>
      </c>
      <c r="M488" s="10"/>
      <c r="N488" s="10"/>
      <c r="O488" s="6"/>
    </row>
    <row r="489" spans="1:15" x14ac:dyDescent="0.2">
      <c r="A489" s="126"/>
      <c r="B489" s="4"/>
      <c r="C489" s="4"/>
      <c r="D489" s="7"/>
      <c r="E489" s="7"/>
      <c r="F489" s="8" t="str">
        <f t="shared" si="411"/>
        <v/>
      </c>
      <c r="G489" s="7" t="str">
        <f t="shared" si="412"/>
        <v/>
      </c>
      <c r="H489" s="5" t="str">
        <f t="shared" si="413"/>
        <v/>
      </c>
      <c r="I489" s="122" t="str">
        <f t="shared" si="414"/>
        <v/>
      </c>
      <c r="J489" s="7" t="str">
        <f t="shared" si="415"/>
        <v/>
      </c>
      <c r="K489" s="9" t="str">
        <f t="shared" si="416"/>
        <v/>
      </c>
      <c r="L489" s="9" t="str">
        <f>IF(NOT(ISERROR(VLOOKUP(B489,Deflatores!G$42:H$64,2,FALSE))),VLOOKUP(B489,Deflatores!G$42:H$64,2,FALSE),IF(OR(ISBLANK(C489),ISBLANK(B489)),"",VLOOKUP(C489,Deflatores!G$4:H$38,2,FALSE)*H489+VLOOKUP(C489,Deflatores!G$4:I$38,3,FALSE)))</f>
        <v/>
      </c>
      <c r="M489" s="10"/>
      <c r="N489" s="10"/>
      <c r="O489" s="6"/>
    </row>
    <row r="490" spans="1:15" x14ac:dyDescent="0.2">
      <c r="A490" s="126"/>
      <c r="B490" s="4"/>
      <c r="C490" s="4"/>
      <c r="D490" s="7"/>
      <c r="E490" s="7"/>
      <c r="F490" s="8" t="str">
        <f t="shared" si="411"/>
        <v/>
      </c>
      <c r="G490" s="7" t="str">
        <f t="shared" si="412"/>
        <v/>
      </c>
      <c r="H490" s="5" t="str">
        <f t="shared" si="413"/>
        <v/>
      </c>
      <c r="I490" s="122" t="str">
        <f t="shared" si="414"/>
        <v/>
      </c>
      <c r="J490" s="7" t="str">
        <f t="shared" si="415"/>
        <v/>
      </c>
      <c r="K490" s="9" t="str">
        <f t="shared" si="416"/>
        <v/>
      </c>
      <c r="L490" s="9" t="str">
        <f>IF(NOT(ISERROR(VLOOKUP(B490,Deflatores!G$42:H$64,2,FALSE))),VLOOKUP(B490,Deflatores!G$42:H$64,2,FALSE),IF(OR(ISBLANK(C490),ISBLANK(B490)),"",VLOOKUP(C490,Deflatores!G$4:H$38,2,FALSE)*H490+VLOOKUP(C490,Deflatores!G$4:I$38,3,FALSE)))</f>
        <v/>
      </c>
      <c r="M490" s="10"/>
      <c r="N490" s="10"/>
      <c r="O490" s="6"/>
    </row>
    <row r="491" spans="1:15" x14ac:dyDescent="0.2">
      <c r="A491" s="126"/>
      <c r="B491" s="4"/>
      <c r="C491" s="4"/>
      <c r="D491" s="7"/>
      <c r="E491" s="7"/>
      <c r="F491" s="8" t="str">
        <f t="shared" si="411"/>
        <v/>
      </c>
      <c r="G491" s="7" t="str">
        <f t="shared" si="412"/>
        <v/>
      </c>
      <c r="H491" s="5" t="str">
        <f t="shared" si="413"/>
        <v/>
      </c>
      <c r="I491" s="122" t="str">
        <f t="shared" si="414"/>
        <v/>
      </c>
      <c r="J491" s="7" t="str">
        <f t="shared" si="415"/>
        <v/>
      </c>
      <c r="K491" s="9" t="str">
        <f t="shared" si="416"/>
        <v/>
      </c>
      <c r="L491" s="9" t="str">
        <f>IF(NOT(ISERROR(VLOOKUP(B491,Deflatores!G$42:H$64,2,FALSE))),VLOOKUP(B491,Deflatores!G$42:H$64,2,FALSE),IF(OR(ISBLANK(C491),ISBLANK(B491)),"",VLOOKUP(C491,Deflatores!G$4:H$38,2,FALSE)*H491+VLOOKUP(C491,Deflatores!G$4:I$38,3,FALSE)))</f>
        <v/>
      </c>
      <c r="M491" s="10"/>
      <c r="N491" s="10"/>
      <c r="O491" s="6"/>
    </row>
    <row r="492" spans="1:15" x14ac:dyDescent="0.2">
      <c r="A492" s="126"/>
      <c r="B492" s="4"/>
      <c r="C492" s="4"/>
      <c r="D492" s="7"/>
      <c r="E492" s="7"/>
      <c r="F492" s="8" t="str">
        <f t="shared" si="411"/>
        <v/>
      </c>
      <c r="G492" s="7" t="str">
        <f t="shared" si="412"/>
        <v/>
      </c>
      <c r="H492" s="5" t="str">
        <f t="shared" si="413"/>
        <v/>
      </c>
      <c r="I492" s="122" t="str">
        <f t="shared" si="414"/>
        <v/>
      </c>
      <c r="J492" s="7" t="str">
        <f t="shared" si="415"/>
        <v/>
      </c>
      <c r="K492" s="9" t="str">
        <f t="shared" si="416"/>
        <v/>
      </c>
      <c r="L492" s="9" t="str">
        <f>IF(NOT(ISERROR(VLOOKUP(B492,Deflatores!G$42:H$64,2,FALSE))),VLOOKUP(B492,Deflatores!G$42:H$64,2,FALSE),IF(OR(ISBLANK(C492),ISBLANK(B492)),"",VLOOKUP(C492,Deflatores!G$4:H$38,2,FALSE)*H492+VLOOKUP(C492,Deflatores!G$4:I$38,3,FALSE)))</f>
        <v/>
      </c>
      <c r="M492" s="10"/>
      <c r="N492" s="10"/>
      <c r="O492" s="6"/>
    </row>
    <row r="493" spans="1:15" x14ac:dyDescent="0.2">
      <c r="A493" s="126"/>
      <c r="B493" s="4"/>
      <c r="C493" s="4"/>
      <c r="D493" s="7"/>
      <c r="E493" s="7"/>
      <c r="F493" s="8" t="str">
        <f t="shared" si="411"/>
        <v/>
      </c>
      <c r="G493" s="7" t="str">
        <f t="shared" si="412"/>
        <v/>
      </c>
      <c r="H493" s="5" t="str">
        <f t="shared" si="413"/>
        <v/>
      </c>
      <c r="I493" s="122" t="str">
        <f t="shared" si="414"/>
        <v/>
      </c>
      <c r="J493" s="7" t="str">
        <f t="shared" si="415"/>
        <v/>
      </c>
      <c r="K493" s="9" t="str">
        <f t="shared" si="416"/>
        <v/>
      </c>
      <c r="L493" s="9" t="str">
        <f>IF(NOT(ISERROR(VLOOKUP(B493,Deflatores!G$42:H$64,2,FALSE))),VLOOKUP(B493,Deflatores!G$42:H$64,2,FALSE),IF(OR(ISBLANK(C493),ISBLANK(B493)),"",VLOOKUP(C493,Deflatores!G$4:H$38,2,FALSE)*H493+VLOOKUP(C493,Deflatores!G$4:I$38,3,FALSE)))</f>
        <v/>
      </c>
      <c r="M493" s="10"/>
      <c r="N493" s="10"/>
      <c r="O493" s="6"/>
    </row>
    <row r="494" spans="1:15" x14ac:dyDescent="0.2">
      <c r="A494" s="126"/>
      <c r="B494" s="4"/>
      <c r="C494" s="4"/>
      <c r="D494" s="7"/>
      <c r="E494" s="7"/>
      <c r="F494" s="8" t="str">
        <f t="shared" si="411"/>
        <v/>
      </c>
      <c r="G494" s="7" t="str">
        <f t="shared" si="412"/>
        <v/>
      </c>
      <c r="H494" s="5" t="str">
        <f t="shared" si="413"/>
        <v/>
      </c>
      <c r="I494" s="122" t="str">
        <f t="shared" si="414"/>
        <v/>
      </c>
      <c r="J494" s="7" t="str">
        <f t="shared" si="415"/>
        <v/>
      </c>
      <c r="K494" s="9" t="str">
        <f t="shared" si="416"/>
        <v/>
      </c>
      <c r="L494" s="9" t="str">
        <f>IF(NOT(ISERROR(VLOOKUP(B494,Deflatores!G$42:H$64,2,FALSE))),VLOOKUP(B494,Deflatores!G$42:H$64,2,FALSE),IF(OR(ISBLANK(C494),ISBLANK(B494)),"",VLOOKUP(C494,Deflatores!G$4:H$38,2,FALSE)*H494+VLOOKUP(C494,Deflatores!G$4:I$38,3,FALSE)))</f>
        <v/>
      </c>
      <c r="M494" s="10"/>
      <c r="N494" s="10"/>
      <c r="O494" s="6"/>
    </row>
    <row r="495" spans="1:15" x14ac:dyDescent="0.2">
      <c r="A495" s="126"/>
      <c r="B495" s="4"/>
      <c r="C495" s="4"/>
      <c r="D495" s="7"/>
      <c r="E495" s="7"/>
      <c r="F495" s="8" t="str">
        <f t="shared" si="411"/>
        <v/>
      </c>
      <c r="G495" s="7" t="str">
        <f t="shared" si="412"/>
        <v/>
      </c>
      <c r="H495" s="5" t="str">
        <f t="shared" si="413"/>
        <v/>
      </c>
      <c r="I495" s="122" t="str">
        <f t="shared" si="414"/>
        <v/>
      </c>
      <c r="J495" s="7" t="str">
        <f t="shared" si="415"/>
        <v/>
      </c>
      <c r="K495" s="9" t="str">
        <f t="shared" si="416"/>
        <v/>
      </c>
      <c r="L495" s="9" t="str">
        <f>IF(NOT(ISERROR(VLOOKUP(B495,Deflatores!G$42:H$64,2,FALSE))),VLOOKUP(B495,Deflatores!G$42:H$64,2,FALSE),IF(OR(ISBLANK(C495),ISBLANK(B495)),"",VLOOKUP(C495,Deflatores!G$4:H$38,2,FALSE)*H495+VLOOKUP(C495,Deflatores!G$4:I$38,3,FALSE)))</f>
        <v/>
      </c>
      <c r="M495" s="10"/>
      <c r="N495" s="10"/>
      <c r="O495" s="6"/>
    </row>
    <row r="496" spans="1:15" x14ac:dyDescent="0.2">
      <c r="A496" s="126"/>
      <c r="B496" s="4"/>
      <c r="C496" s="4"/>
      <c r="D496" s="7"/>
      <c r="E496" s="7"/>
      <c r="F496" s="8" t="str">
        <f t="shared" si="411"/>
        <v/>
      </c>
      <c r="G496" s="7" t="str">
        <f t="shared" si="412"/>
        <v/>
      </c>
      <c r="H496" s="5" t="str">
        <f t="shared" si="413"/>
        <v/>
      </c>
      <c r="I496" s="122" t="str">
        <f t="shared" si="414"/>
        <v/>
      </c>
      <c r="J496" s="7" t="str">
        <f t="shared" si="415"/>
        <v/>
      </c>
      <c r="K496" s="9" t="str">
        <f t="shared" si="416"/>
        <v/>
      </c>
      <c r="L496" s="9" t="str">
        <f>IF(NOT(ISERROR(VLOOKUP(B496,Deflatores!G$42:H$64,2,FALSE))),VLOOKUP(B496,Deflatores!G$42:H$64,2,FALSE),IF(OR(ISBLANK(C496),ISBLANK(B496)),"",VLOOKUP(C496,Deflatores!G$4:H$38,2,FALSE)*H496+VLOOKUP(C496,Deflatores!G$4:I$38,3,FALSE)))</f>
        <v/>
      </c>
      <c r="M496" s="10"/>
      <c r="N496" s="10"/>
      <c r="O496" s="6"/>
    </row>
    <row r="497" spans="1:15" x14ac:dyDescent="0.2">
      <c r="A497" s="126"/>
      <c r="B497" s="4"/>
      <c r="C497" s="4"/>
      <c r="D497" s="7"/>
      <c r="E497" s="7"/>
      <c r="F497" s="8" t="str">
        <f t="shared" si="411"/>
        <v/>
      </c>
      <c r="G497" s="7" t="str">
        <f t="shared" si="412"/>
        <v/>
      </c>
      <c r="H497" s="5" t="str">
        <f t="shared" si="413"/>
        <v/>
      </c>
      <c r="I497" s="122" t="str">
        <f t="shared" si="414"/>
        <v/>
      </c>
      <c r="J497" s="7" t="str">
        <f t="shared" si="415"/>
        <v/>
      </c>
      <c r="K497" s="9" t="str">
        <f t="shared" si="416"/>
        <v/>
      </c>
      <c r="L497" s="9" t="str">
        <f>IF(NOT(ISERROR(VLOOKUP(B497,Deflatores!G$42:H$64,2,FALSE))),VLOOKUP(B497,Deflatores!G$42:H$64,2,FALSE),IF(OR(ISBLANK(C497),ISBLANK(B497)),"",VLOOKUP(C497,Deflatores!G$4:H$38,2,FALSE)*H497+VLOOKUP(C497,Deflatores!G$4:I$38,3,FALSE)))</f>
        <v/>
      </c>
      <c r="M497" s="10"/>
      <c r="N497" s="10"/>
      <c r="O497" s="6"/>
    </row>
    <row r="498" spans="1:15" x14ac:dyDescent="0.2">
      <c r="A498" s="126"/>
      <c r="B498" s="4"/>
      <c r="C498" s="4"/>
      <c r="D498" s="7"/>
      <c r="E498" s="7"/>
      <c r="F498" s="8" t="str">
        <f t="shared" si="411"/>
        <v/>
      </c>
      <c r="G498" s="7" t="str">
        <f t="shared" si="412"/>
        <v/>
      </c>
      <c r="H498" s="5" t="str">
        <f t="shared" si="413"/>
        <v/>
      </c>
      <c r="I498" s="122" t="str">
        <f t="shared" si="414"/>
        <v/>
      </c>
      <c r="J498" s="7" t="str">
        <f t="shared" si="415"/>
        <v/>
      </c>
      <c r="K498" s="9" t="str">
        <f t="shared" si="416"/>
        <v/>
      </c>
      <c r="L498" s="9" t="str">
        <f>IF(NOT(ISERROR(VLOOKUP(B498,Deflatores!G$42:H$64,2,FALSE))),VLOOKUP(B498,Deflatores!G$42:H$64,2,FALSE),IF(OR(ISBLANK(C498),ISBLANK(B498)),"",VLOOKUP(C498,Deflatores!G$4:H$38,2,FALSE)*H498+VLOOKUP(C498,Deflatores!G$4:I$38,3,FALSE)))</f>
        <v/>
      </c>
      <c r="M498" s="10"/>
      <c r="N498" s="10"/>
      <c r="O498" s="6"/>
    </row>
    <row r="499" spans="1:15" x14ac:dyDescent="0.2">
      <c r="A499" s="126"/>
      <c r="B499" s="4"/>
      <c r="C499" s="4"/>
      <c r="D499" s="7"/>
      <c r="E499" s="7"/>
      <c r="F499" s="8" t="str">
        <f t="shared" si="411"/>
        <v/>
      </c>
      <c r="G499" s="7" t="str">
        <f t="shared" si="412"/>
        <v/>
      </c>
      <c r="H499" s="5" t="str">
        <f t="shared" si="413"/>
        <v/>
      </c>
      <c r="I499" s="122" t="str">
        <f t="shared" si="414"/>
        <v/>
      </c>
      <c r="J499" s="7" t="str">
        <f t="shared" si="415"/>
        <v/>
      </c>
      <c r="K499" s="9" t="str">
        <f t="shared" si="416"/>
        <v/>
      </c>
      <c r="L499" s="9" t="str">
        <f>IF(NOT(ISERROR(VLOOKUP(B499,Deflatores!G$42:H$64,2,FALSE))),VLOOKUP(B499,Deflatores!G$42:H$64,2,FALSE),IF(OR(ISBLANK(C499),ISBLANK(B499)),"",VLOOKUP(C499,Deflatores!G$4:H$38,2,FALSE)*H499+VLOOKUP(C499,Deflatores!G$4:I$38,3,FALSE)))</f>
        <v/>
      </c>
      <c r="M499" s="10"/>
      <c r="N499" s="10"/>
      <c r="O499" s="6"/>
    </row>
    <row r="500" spans="1:15" x14ac:dyDescent="0.2">
      <c r="A500" s="126"/>
      <c r="B500" s="4"/>
      <c r="C500" s="4"/>
      <c r="D500" s="7"/>
      <c r="E500" s="7"/>
      <c r="F500" s="8" t="str">
        <f t="shared" si="411"/>
        <v/>
      </c>
      <c r="G500" s="7" t="str">
        <f t="shared" si="412"/>
        <v/>
      </c>
      <c r="H500" s="5" t="str">
        <f t="shared" si="413"/>
        <v/>
      </c>
      <c r="I500" s="122" t="str">
        <f t="shared" si="414"/>
        <v/>
      </c>
      <c r="J500" s="7" t="str">
        <f t="shared" si="415"/>
        <v/>
      </c>
      <c r="K500" s="9" t="str">
        <f t="shared" si="416"/>
        <v/>
      </c>
      <c r="L500" s="9" t="str">
        <f>IF(NOT(ISERROR(VLOOKUP(B500,Deflatores!G$42:H$64,2,FALSE))),VLOOKUP(B500,Deflatores!G$42:H$64,2,FALSE),IF(OR(ISBLANK(C500),ISBLANK(B500)),"",VLOOKUP(C500,Deflatores!G$4:H$38,2,FALSE)*H500+VLOOKUP(C500,Deflatores!G$4:I$38,3,FALSE)))</f>
        <v/>
      </c>
      <c r="M500" s="10"/>
      <c r="N500" s="10"/>
      <c r="O500" s="6"/>
    </row>
    <row r="501" spans="1:15" x14ac:dyDescent="0.2">
      <c r="A501" s="126"/>
      <c r="B501" s="4"/>
      <c r="C501" s="4"/>
      <c r="D501" s="7"/>
      <c r="E501" s="7"/>
      <c r="F501" s="8" t="str">
        <f t="shared" si="411"/>
        <v/>
      </c>
      <c r="G501" s="7" t="str">
        <f t="shared" si="412"/>
        <v/>
      </c>
      <c r="H501" s="5" t="str">
        <f t="shared" si="413"/>
        <v/>
      </c>
      <c r="I501" s="122" t="str">
        <f t="shared" si="414"/>
        <v/>
      </c>
      <c r="J501" s="7" t="str">
        <f t="shared" si="415"/>
        <v/>
      </c>
      <c r="K501" s="9" t="str">
        <f t="shared" si="416"/>
        <v/>
      </c>
      <c r="L501" s="9" t="str">
        <f>IF(NOT(ISERROR(VLOOKUP(B501,Deflatores!G$42:H$64,2,FALSE))),VLOOKUP(B501,Deflatores!G$42:H$64,2,FALSE),IF(OR(ISBLANK(C501),ISBLANK(B501)),"",VLOOKUP(C501,Deflatores!G$4:H$38,2,FALSE)*H501+VLOOKUP(C501,Deflatores!G$4:I$38,3,FALSE)))</f>
        <v/>
      </c>
      <c r="M501" s="10"/>
      <c r="N501" s="10"/>
      <c r="O501" s="6"/>
    </row>
    <row r="502" spans="1:15" x14ac:dyDescent="0.2">
      <c r="A502" s="126"/>
      <c r="B502" s="4"/>
      <c r="C502" s="4"/>
      <c r="D502" s="7"/>
      <c r="E502" s="7"/>
      <c r="F502" s="8" t="str">
        <f t="shared" si="411"/>
        <v/>
      </c>
      <c r="G502" s="7" t="str">
        <f t="shared" si="412"/>
        <v/>
      </c>
      <c r="H502" s="5" t="str">
        <f t="shared" si="413"/>
        <v/>
      </c>
      <c r="I502" s="122" t="str">
        <f t="shared" si="414"/>
        <v/>
      </c>
      <c r="J502" s="7" t="str">
        <f t="shared" si="415"/>
        <v/>
      </c>
      <c r="K502" s="9" t="str">
        <f t="shared" si="416"/>
        <v/>
      </c>
      <c r="L502" s="9" t="str">
        <f>IF(NOT(ISERROR(VLOOKUP(B502,Deflatores!G$42:H$64,2,FALSE))),VLOOKUP(B502,Deflatores!G$42:H$64,2,FALSE),IF(OR(ISBLANK(C502),ISBLANK(B502)),"",VLOOKUP(C502,Deflatores!G$4:H$38,2,FALSE)*H502+VLOOKUP(C502,Deflatores!G$4:I$38,3,FALSE)))</f>
        <v/>
      </c>
      <c r="M502" s="10"/>
      <c r="N502" s="10"/>
      <c r="O502" s="6"/>
    </row>
    <row r="503" spans="1:15" x14ac:dyDescent="0.2">
      <c r="A503" s="126"/>
      <c r="B503" s="4"/>
      <c r="C503" s="4"/>
      <c r="D503" s="7"/>
      <c r="E503" s="7"/>
      <c r="F503" s="8" t="str">
        <f t="shared" si="411"/>
        <v/>
      </c>
      <c r="G503" s="7" t="str">
        <f t="shared" si="412"/>
        <v/>
      </c>
      <c r="H503" s="5" t="str">
        <f t="shared" si="413"/>
        <v/>
      </c>
      <c r="I503" s="122" t="str">
        <f t="shared" si="414"/>
        <v/>
      </c>
      <c r="J503" s="7" t="str">
        <f t="shared" si="415"/>
        <v/>
      </c>
      <c r="K503" s="9" t="str">
        <f t="shared" si="416"/>
        <v/>
      </c>
      <c r="L503" s="9" t="str">
        <f>IF(NOT(ISERROR(VLOOKUP(B503,Deflatores!G$42:H$64,2,FALSE))),VLOOKUP(B503,Deflatores!G$42:H$64,2,FALSE),IF(OR(ISBLANK(C503),ISBLANK(B503)),"",VLOOKUP(C503,Deflatores!G$4:H$38,2,FALSE)*H503+VLOOKUP(C503,Deflatores!G$4:I$38,3,FALSE)))</f>
        <v/>
      </c>
      <c r="M503" s="10"/>
      <c r="N503" s="10"/>
      <c r="O503" s="6"/>
    </row>
    <row r="504" spans="1:15" x14ac:dyDescent="0.2">
      <c r="A504" s="126"/>
      <c r="B504" s="4"/>
      <c r="C504" s="4"/>
      <c r="D504" s="7"/>
      <c r="E504" s="7"/>
      <c r="F504" s="8" t="str">
        <f t="shared" si="411"/>
        <v/>
      </c>
      <c r="G504" s="7" t="str">
        <f t="shared" si="412"/>
        <v/>
      </c>
      <c r="H504" s="5" t="str">
        <f t="shared" si="413"/>
        <v/>
      </c>
      <c r="I504" s="122" t="str">
        <f t="shared" si="414"/>
        <v/>
      </c>
      <c r="J504" s="7" t="str">
        <f t="shared" si="415"/>
        <v/>
      </c>
      <c r="K504" s="9" t="str">
        <f t="shared" si="416"/>
        <v/>
      </c>
      <c r="L504" s="9" t="str">
        <f>IF(NOT(ISERROR(VLOOKUP(B504,Deflatores!G$42:H$64,2,FALSE))),VLOOKUP(B504,Deflatores!G$42:H$64,2,FALSE),IF(OR(ISBLANK(C504),ISBLANK(B504)),"",VLOOKUP(C504,Deflatores!G$4:H$38,2,FALSE)*H504+VLOOKUP(C504,Deflatores!G$4:I$38,3,FALSE)))</f>
        <v/>
      </c>
      <c r="M504" s="10"/>
      <c r="N504" s="10"/>
      <c r="O504" s="6"/>
    </row>
    <row r="505" spans="1:15" x14ac:dyDescent="0.2">
      <c r="A505" s="126"/>
      <c r="B505" s="4"/>
      <c r="C505" s="4"/>
      <c r="D505" s="7"/>
      <c r="E505" s="7"/>
      <c r="F505" s="8" t="str">
        <f t="shared" si="411"/>
        <v/>
      </c>
      <c r="G505" s="7" t="str">
        <f t="shared" si="412"/>
        <v/>
      </c>
      <c r="H505" s="5" t="str">
        <f t="shared" si="413"/>
        <v/>
      </c>
      <c r="I505" s="122" t="str">
        <f t="shared" si="414"/>
        <v/>
      </c>
      <c r="J505" s="7" t="str">
        <f t="shared" si="415"/>
        <v/>
      </c>
      <c r="K505" s="9" t="str">
        <f t="shared" si="416"/>
        <v/>
      </c>
      <c r="L505" s="9" t="str">
        <f>IF(NOT(ISERROR(VLOOKUP(B505,Deflatores!G$42:H$64,2,FALSE))),VLOOKUP(B505,Deflatores!G$42:H$64,2,FALSE),IF(OR(ISBLANK(C505),ISBLANK(B505)),"",VLOOKUP(C505,Deflatores!G$4:H$38,2,FALSE)*H505+VLOOKUP(C505,Deflatores!G$4:I$38,3,FALSE)))</f>
        <v/>
      </c>
      <c r="M505" s="10"/>
      <c r="N505" s="10"/>
      <c r="O505" s="6"/>
    </row>
    <row r="506" spans="1:15" x14ac:dyDescent="0.2">
      <c r="A506" s="126"/>
      <c r="B506" s="4"/>
      <c r="C506" s="4"/>
      <c r="D506" s="7"/>
      <c r="E506" s="7"/>
      <c r="F506" s="8" t="str">
        <f t="shared" si="411"/>
        <v/>
      </c>
      <c r="G506" s="7" t="str">
        <f t="shared" si="412"/>
        <v/>
      </c>
      <c r="H506" s="5" t="str">
        <f t="shared" si="413"/>
        <v/>
      </c>
      <c r="I506" s="122" t="str">
        <f t="shared" si="414"/>
        <v/>
      </c>
      <c r="J506" s="7" t="str">
        <f t="shared" si="415"/>
        <v/>
      </c>
      <c r="K506" s="9" t="str">
        <f t="shared" si="416"/>
        <v/>
      </c>
      <c r="L506" s="9" t="str">
        <f>IF(NOT(ISERROR(VLOOKUP(B506,Deflatores!G$42:H$64,2,FALSE))),VLOOKUP(B506,Deflatores!G$42:H$64,2,FALSE),IF(OR(ISBLANK(C506),ISBLANK(B506)),"",VLOOKUP(C506,Deflatores!G$4:H$38,2,FALSE)*H506+VLOOKUP(C506,Deflatores!G$4:I$38,3,FALSE)))</f>
        <v/>
      </c>
      <c r="M506" s="10"/>
      <c r="N506" s="10"/>
      <c r="O506" s="6"/>
    </row>
    <row r="507" spans="1:15" x14ac:dyDescent="0.2">
      <c r="A507" s="126"/>
      <c r="B507" s="4"/>
      <c r="C507" s="4"/>
      <c r="D507" s="7"/>
      <c r="E507" s="7"/>
      <c r="F507" s="8" t="str">
        <f t="shared" si="411"/>
        <v/>
      </c>
      <c r="G507" s="7" t="str">
        <f t="shared" si="412"/>
        <v/>
      </c>
      <c r="H507" s="5" t="str">
        <f t="shared" si="413"/>
        <v/>
      </c>
      <c r="I507" s="122" t="str">
        <f t="shared" si="414"/>
        <v/>
      </c>
      <c r="J507" s="7" t="str">
        <f t="shared" si="415"/>
        <v/>
      </c>
      <c r="K507" s="9" t="str">
        <f t="shared" si="416"/>
        <v/>
      </c>
      <c r="L507" s="9" t="str">
        <f>IF(NOT(ISERROR(VLOOKUP(B507,Deflatores!G$42:H$64,2,FALSE))),VLOOKUP(B507,Deflatores!G$42:H$64,2,FALSE),IF(OR(ISBLANK(C507),ISBLANK(B507)),"",VLOOKUP(C507,Deflatores!G$4:H$38,2,FALSE)*H507+VLOOKUP(C507,Deflatores!G$4:I$38,3,FALSE)))</f>
        <v/>
      </c>
      <c r="M507" s="10"/>
      <c r="N507" s="10"/>
      <c r="O507" s="6"/>
    </row>
    <row r="508" spans="1:15" x14ac:dyDescent="0.2">
      <c r="A508" s="126"/>
      <c r="B508" s="4"/>
      <c r="C508" s="4"/>
      <c r="D508" s="7"/>
      <c r="E508" s="7"/>
      <c r="F508" s="8" t="str">
        <f t="shared" si="411"/>
        <v/>
      </c>
      <c r="G508" s="7" t="str">
        <f t="shared" si="412"/>
        <v/>
      </c>
      <c r="H508" s="5" t="str">
        <f t="shared" si="413"/>
        <v/>
      </c>
      <c r="I508" s="122" t="str">
        <f t="shared" si="414"/>
        <v/>
      </c>
      <c r="J508" s="7" t="str">
        <f t="shared" si="415"/>
        <v/>
      </c>
      <c r="K508" s="9" t="str">
        <f t="shared" si="416"/>
        <v/>
      </c>
      <c r="L508" s="9" t="str">
        <f>IF(NOT(ISERROR(VLOOKUP(B508,Deflatores!G$42:H$64,2,FALSE))),VLOOKUP(B508,Deflatores!G$42:H$64,2,FALSE),IF(OR(ISBLANK(C508),ISBLANK(B508)),"",VLOOKUP(C508,Deflatores!G$4:H$38,2,FALSE)*H508+VLOOKUP(C508,Deflatores!G$4:I$38,3,FALSE)))</f>
        <v/>
      </c>
      <c r="M508" s="10"/>
      <c r="N508" s="10"/>
      <c r="O508" s="6"/>
    </row>
    <row r="509" spans="1:15" x14ac:dyDescent="0.2">
      <c r="A509" s="126"/>
      <c r="B509" s="4"/>
      <c r="C509" s="4"/>
      <c r="D509" s="7"/>
      <c r="E509" s="7"/>
      <c r="F509" s="8" t="str">
        <f t="shared" si="411"/>
        <v/>
      </c>
      <c r="G509" s="7" t="str">
        <f t="shared" si="412"/>
        <v/>
      </c>
      <c r="H509" s="5" t="str">
        <f t="shared" si="413"/>
        <v/>
      </c>
      <c r="I509" s="122" t="str">
        <f t="shared" si="414"/>
        <v/>
      </c>
      <c r="J509" s="7" t="str">
        <f t="shared" si="415"/>
        <v/>
      </c>
      <c r="K509" s="9" t="str">
        <f t="shared" si="416"/>
        <v/>
      </c>
      <c r="L509" s="9" t="str">
        <f>IF(NOT(ISERROR(VLOOKUP(B509,Deflatores!G$42:H$64,2,FALSE))),VLOOKUP(B509,Deflatores!G$42:H$64,2,FALSE),IF(OR(ISBLANK(C509),ISBLANK(B509)),"",VLOOKUP(C509,Deflatores!G$4:H$38,2,FALSE)*H509+VLOOKUP(C509,Deflatores!G$4:I$38,3,FALSE)))</f>
        <v/>
      </c>
      <c r="M509" s="10"/>
      <c r="N509" s="10"/>
      <c r="O509" s="6"/>
    </row>
    <row r="510" spans="1:15" x14ac:dyDescent="0.2">
      <c r="A510" s="126"/>
      <c r="B510" s="4"/>
      <c r="C510" s="4"/>
      <c r="D510" s="7"/>
      <c r="E510" s="7"/>
      <c r="F510" s="8" t="str">
        <f t="shared" si="411"/>
        <v/>
      </c>
      <c r="G510" s="7" t="str">
        <f t="shared" si="412"/>
        <v/>
      </c>
      <c r="H510" s="5" t="str">
        <f t="shared" si="413"/>
        <v/>
      </c>
      <c r="I510" s="122" t="str">
        <f t="shared" si="414"/>
        <v/>
      </c>
      <c r="J510" s="7" t="str">
        <f t="shared" si="415"/>
        <v/>
      </c>
      <c r="K510" s="9" t="str">
        <f t="shared" si="416"/>
        <v/>
      </c>
      <c r="L510" s="9" t="str">
        <f>IF(NOT(ISERROR(VLOOKUP(B510,Deflatores!G$42:H$64,2,FALSE))),VLOOKUP(B510,Deflatores!G$42:H$64,2,FALSE),IF(OR(ISBLANK(C510),ISBLANK(B510)),"",VLOOKUP(C510,Deflatores!G$4:H$38,2,FALSE)*H510+VLOOKUP(C510,Deflatores!G$4:I$38,3,FALSE)))</f>
        <v/>
      </c>
      <c r="M510" s="10"/>
      <c r="N510" s="10"/>
      <c r="O510" s="6"/>
    </row>
    <row r="511" spans="1:15" x14ac:dyDescent="0.2">
      <c r="A511" s="126"/>
      <c r="B511" s="4"/>
      <c r="C511" s="4"/>
      <c r="D511" s="7"/>
      <c r="E511" s="7"/>
      <c r="F511" s="8" t="str">
        <f t="shared" si="411"/>
        <v/>
      </c>
      <c r="G511" s="7" t="str">
        <f t="shared" si="412"/>
        <v/>
      </c>
      <c r="H511" s="5" t="str">
        <f t="shared" si="413"/>
        <v/>
      </c>
      <c r="I511" s="122" t="str">
        <f t="shared" si="414"/>
        <v/>
      </c>
      <c r="J511" s="7" t="str">
        <f t="shared" si="415"/>
        <v/>
      </c>
      <c r="K511" s="9" t="str">
        <f t="shared" si="416"/>
        <v/>
      </c>
      <c r="L511" s="9" t="str">
        <f>IF(NOT(ISERROR(VLOOKUP(B511,Deflatores!G$42:H$64,2,FALSE))),VLOOKUP(B511,Deflatores!G$42:H$64,2,FALSE),IF(OR(ISBLANK(C511),ISBLANK(B511)),"",VLOOKUP(C511,Deflatores!G$4:H$38,2,FALSE)*H511+VLOOKUP(C511,Deflatores!G$4:I$38,3,FALSE)))</f>
        <v/>
      </c>
      <c r="M511" s="10"/>
      <c r="N511" s="10"/>
      <c r="O511" s="6"/>
    </row>
    <row r="512" spans="1:15" x14ac:dyDescent="0.2">
      <c r="A512" s="126"/>
      <c r="B512" s="4"/>
      <c r="C512" s="4"/>
      <c r="D512" s="7"/>
      <c r="E512" s="7"/>
      <c r="F512" s="8" t="str">
        <f t="shared" si="411"/>
        <v/>
      </c>
      <c r="G512" s="7" t="str">
        <f t="shared" si="412"/>
        <v/>
      </c>
      <c r="H512" s="5" t="str">
        <f t="shared" si="413"/>
        <v/>
      </c>
      <c r="I512" s="122" t="str">
        <f t="shared" si="414"/>
        <v/>
      </c>
      <c r="J512" s="7" t="str">
        <f t="shared" si="415"/>
        <v/>
      </c>
      <c r="K512" s="9" t="str">
        <f t="shared" si="416"/>
        <v/>
      </c>
      <c r="L512" s="9" t="str">
        <f>IF(NOT(ISERROR(VLOOKUP(B512,Deflatores!G$42:H$64,2,FALSE))),VLOOKUP(B512,Deflatores!G$42:H$64,2,FALSE),IF(OR(ISBLANK(C512),ISBLANK(B512)),"",VLOOKUP(C512,Deflatores!G$4:H$38,2,FALSE)*H512+VLOOKUP(C512,Deflatores!G$4:I$38,3,FALSE)))</f>
        <v/>
      </c>
      <c r="M512" s="10"/>
      <c r="N512" s="10"/>
      <c r="O512" s="6"/>
    </row>
    <row r="513" spans="1:15" x14ac:dyDescent="0.2">
      <c r="A513" s="126"/>
      <c r="B513" s="4"/>
      <c r="C513" s="4"/>
      <c r="D513" s="7"/>
      <c r="E513" s="7"/>
      <c r="F513" s="8" t="str">
        <f t="shared" si="411"/>
        <v/>
      </c>
      <c r="G513" s="7" t="str">
        <f t="shared" si="412"/>
        <v/>
      </c>
      <c r="H513" s="5" t="str">
        <f t="shared" si="413"/>
        <v/>
      </c>
      <c r="I513" s="122" t="str">
        <f t="shared" si="414"/>
        <v/>
      </c>
      <c r="J513" s="7" t="str">
        <f t="shared" si="415"/>
        <v/>
      </c>
      <c r="K513" s="9" t="str">
        <f t="shared" si="416"/>
        <v/>
      </c>
      <c r="L513" s="9" t="str">
        <f>IF(NOT(ISERROR(VLOOKUP(B513,Deflatores!G$42:H$64,2,FALSE))),VLOOKUP(B513,Deflatores!G$42:H$64,2,FALSE),IF(OR(ISBLANK(C513),ISBLANK(B513)),"",VLOOKUP(C513,Deflatores!G$4:H$38,2,FALSE)*H513+VLOOKUP(C513,Deflatores!G$4:I$38,3,FALSE)))</f>
        <v/>
      </c>
      <c r="M513" s="10"/>
      <c r="N513" s="10"/>
      <c r="O513" s="6"/>
    </row>
    <row r="514" spans="1:15" x14ac:dyDescent="0.2">
      <c r="A514" s="126"/>
      <c r="B514" s="4"/>
      <c r="C514" s="4"/>
      <c r="D514" s="7"/>
      <c r="E514" s="7"/>
      <c r="F514" s="8" t="str">
        <f t="shared" si="411"/>
        <v/>
      </c>
      <c r="G514" s="7" t="str">
        <f t="shared" si="412"/>
        <v/>
      </c>
      <c r="H514" s="5" t="str">
        <f t="shared" si="413"/>
        <v/>
      </c>
      <c r="I514" s="122" t="str">
        <f t="shared" si="414"/>
        <v/>
      </c>
      <c r="J514" s="7" t="str">
        <f t="shared" si="415"/>
        <v/>
      </c>
      <c r="K514" s="9" t="str">
        <f t="shared" si="416"/>
        <v/>
      </c>
      <c r="L514" s="9" t="str">
        <f>IF(NOT(ISERROR(VLOOKUP(B514,Deflatores!G$42:H$64,2,FALSE))),VLOOKUP(B514,Deflatores!G$42:H$64,2,FALSE),IF(OR(ISBLANK(C514),ISBLANK(B514)),"",VLOOKUP(C514,Deflatores!G$4:H$38,2,FALSE)*H514+VLOOKUP(C514,Deflatores!G$4:I$38,3,FALSE)))</f>
        <v/>
      </c>
      <c r="M514" s="10"/>
      <c r="N514" s="10"/>
      <c r="O514" s="6"/>
    </row>
    <row r="515" spans="1:15" x14ac:dyDescent="0.2">
      <c r="A515" s="126"/>
      <c r="B515" s="4"/>
      <c r="C515" s="4"/>
      <c r="D515" s="7"/>
      <c r="E515" s="7"/>
      <c r="F515" s="8" t="str">
        <f t="shared" si="411"/>
        <v/>
      </c>
      <c r="G515" s="7" t="str">
        <f t="shared" si="412"/>
        <v/>
      </c>
      <c r="H515" s="5" t="str">
        <f t="shared" si="413"/>
        <v/>
      </c>
      <c r="I515" s="122" t="str">
        <f t="shared" si="414"/>
        <v/>
      </c>
      <c r="J515" s="7" t="str">
        <f t="shared" si="415"/>
        <v/>
      </c>
      <c r="K515" s="9" t="str">
        <f t="shared" si="416"/>
        <v/>
      </c>
      <c r="L515" s="9" t="str">
        <f>IF(NOT(ISERROR(VLOOKUP(B515,Deflatores!G$42:H$64,2,FALSE))),VLOOKUP(B515,Deflatores!G$42:H$64,2,FALSE),IF(OR(ISBLANK(C515),ISBLANK(B515)),"",VLOOKUP(C515,Deflatores!G$4:H$38,2,FALSE)*H515+VLOOKUP(C515,Deflatores!G$4:I$38,3,FALSE)))</f>
        <v/>
      </c>
      <c r="M515" s="10"/>
      <c r="N515" s="10"/>
      <c r="O515" s="6"/>
    </row>
    <row r="516" spans="1:15" x14ac:dyDescent="0.2">
      <c r="A516" s="126"/>
      <c r="B516" s="4"/>
      <c r="C516" s="4"/>
      <c r="D516" s="7"/>
      <c r="E516" s="7"/>
      <c r="F516" s="8" t="str">
        <f t="shared" si="411"/>
        <v/>
      </c>
      <c r="G516" s="7" t="str">
        <f t="shared" si="412"/>
        <v/>
      </c>
      <c r="H516" s="5" t="str">
        <f t="shared" si="413"/>
        <v/>
      </c>
      <c r="I516" s="122" t="str">
        <f t="shared" si="414"/>
        <v/>
      </c>
      <c r="J516" s="7" t="str">
        <f t="shared" si="415"/>
        <v/>
      </c>
      <c r="K516" s="9" t="str">
        <f t="shared" si="416"/>
        <v/>
      </c>
      <c r="L516" s="9" t="str">
        <f>IF(NOT(ISERROR(VLOOKUP(B516,Deflatores!G$42:H$64,2,FALSE))),VLOOKUP(B516,Deflatores!G$42:H$64,2,FALSE),IF(OR(ISBLANK(C516),ISBLANK(B516)),"",VLOOKUP(C516,Deflatores!G$4:H$38,2,FALSE)*H516+VLOOKUP(C516,Deflatores!G$4:I$38,3,FALSE)))</f>
        <v/>
      </c>
      <c r="M516" s="10"/>
      <c r="N516" s="10"/>
      <c r="O516" s="6"/>
    </row>
    <row r="517" spans="1:15" x14ac:dyDescent="0.2">
      <c r="A517" s="126"/>
      <c r="B517" s="4"/>
      <c r="C517" s="4"/>
      <c r="D517" s="7"/>
      <c r="E517" s="7"/>
      <c r="F517" s="8" t="str">
        <f t="shared" si="411"/>
        <v/>
      </c>
      <c r="G517" s="7" t="str">
        <f t="shared" si="412"/>
        <v/>
      </c>
      <c r="H517" s="5" t="str">
        <f t="shared" si="413"/>
        <v/>
      </c>
      <c r="I517" s="122" t="str">
        <f t="shared" si="414"/>
        <v/>
      </c>
      <c r="J517" s="7" t="str">
        <f t="shared" si="415"/>
        <v/>
      </c>
      <c r="K517" s="9" t="str">
        <f t="shared" si="416"/>
        <v/>
      </c>
      <c r="L517" s="9" t="str">
        <f>IF(NOT(ISERROR(VLOOKUP(B517,Deflatores!G$42:H$64,2,FALSE))),VLOOKUP(B517,Deflatores!G$42:H$64,2,FALSE),IF(OR(ISBLANK(C517),ISBLANK(B517)),"",VLOOKUP(C517,Deflatores!G$4:H$38,2,FALSE)*H517+VLOOKUP(C517,Deflatores!G$4:I$38,3,FALSE)))</f>
        <v/>
      </c>
      <c r="M517" s="10"/>
      <c r="N517" s="10"/>
      <c r="O517" s="6"/>
    </row>
    <row r="518" spans="1:15" x14ac:dyDescent="0.2">
      <c r="A518" s="126"/>
      <c r="B518" s="4"/>
      <c r="C518" s="4"/>
      <c r="D518" s="7"/>
      <c r="E518" s="7"/>
      <c r="F518" s="8" t="str">
        <f t="shared" si="411"/>
        <v/>
      </c>
      <c r="G518" s="7" t="str">
        <f t="shared" si="412"/>
        <v/>
      </c>
      <c r="H518" s="5" t="str">
        <f t="shared" si="413"/>
        <v/>
      </c>
      <c r="I518" s="122" t="str">
        <f t="shared" si="414"/>
        <v/>
      </c>
      <c r="J518" s="7" t="str">
        <f t="shared" si="415"/>
        <v/>
      </c>
      <c r="K518" s="9" t="str">
        <f t="shared" si="416"/>
        <v/>
      </c>
      <c r="L518" s="9" t="str">
        <f>IF(NOT(ISERROR(VLOOKUP(B518,Deflatores!G$42:H$64,2,FALSE))),VLOOKUP(B518,Deflatores!G$42:H$64,2,FALSE),IF(OR(ISBLANK(C518),ISBLANK(B518)),"",VLOOKUP(C518,Deflatores!G$4:H$38,2,FALSE)*H518+VLOOKUP(C518,Deflatores!G$4:I$38,3,FALSE)))</f>
        <v/>
      </c>
      <c r="M518" s="10"/>
      <c r="N518" s="10"/>
      <c r="O518" s="6"/>
    </row>
    <row r="519" spans="1:15" x14ac:dyDescent="0.2">
      <c r="A519" s="126"/>
      <c r="B519" s="4"/>
      <c r="C519" s="4"/>
      <c r="D519" s="7"/>
      <c r="E519" s="7"/>
      <c r="F519" s="8" t="str">
        <f t="shared" si="411"/>
        <v/>
      </c>
      <c r="G519" s="7" t="str">
        <f t="shared" si="412"/>
        <v/>
      </c>
      <c r="H519" s="5" t="str">
        <f t="shared" si="413"/>
        <v/>
      </c>
      <c r="I519" s="122" t="str">
        <f t="shared" si="414"/>
        <v/>
      </c>
      <c r="J519" s="7" t="str">
        <f t="shared" si="415"/>
        <v/>
      </c>
      <c r="K519" s="9" t="str">
        <f t="shared" si="416"/>
        <v/>
      </c>
      <c r="L519" s="9" t="str">
        <f>IF(NOT(ISERROR(VLOOKUP(B519,Deflatores!G$42:H$64,2,FALSE))),VLOOKUP(B519,Deflatores!G$42:H$64,2,FALSE),IF(OR(ISBLANK(C519),ISBLANK(B519)),"",VLOOKUP(C519,Deflatores!G$4:H$38,2,FALSE)*H519+VLOOKUP(C519,Deflatores!G$4:I$38,3,FALSE)))</f>
        <v/>
      </c>
      <c r="M519" s="10"/>
      <c r="N519" s="10"/>
      <c r="O519" s="6"/>
    </row>
    <row r="520" spans="1:15" x14ac:dyDescent="0.2">
      <c r="A520" s="126"/>
      <c r="B520" s="4"/>
      <c r="C520" s="4"/>
      <c r="D520" s="7"/>
      <c r="E520" s="7"/>
      <c r="F520" s="8" t="str">
        <f t="shared" si="411"/>
        <v/>
      </c>
      <c r="G520" s="7" t="str">
        <f t="shared" si="412"/>
        <v/>
      </c>
      <c r="H520" s="5" t="str">
        <f t="shared" si="413"/>
        <v/>
      </c>
      <c r="I520" s="122" t="str">
        <f t="shared" si="414"/>
        <v/>
      </c>
      <c r="J520" s="7" t="str">
        <f t="shared" si="415"/>
        <v/>
      </c>
      <c r="K520" s="9" t="str">
        <f t="shared" si="416"/>
        <v/>
      </c>
      <c r="L520" s="9" t="str">
        <f>IF(NOT(ISERROR(VLOOKUP(B520,Deflatores!G$42:H$64,2,FALSE))),VLOOKUP(B520,Deflatores!G$42:H$64,2,FALSE),IF(OR(ISBLANK(C520),ISBLANK(B520)),"",VLOOKUP(C520,Deflatores!G$4:H$38,2,FALSE)*H520+VLOOKUP(C520,Deflatores!G$4:I$38,3,FALSE)))</f>
        <v/>
      </c>
      <c r="M520" s="10"/>
      <c r="N520" s="10"/>
      <c r="O520" s="6"/>
    </row>
    <row r="521" spans="1:15" x14ac:dyDescent="0.2">
      <c r="A521" s="126"/>
      <c r="B521" s="4"/>
      <c r="C521" s="4"/>
      <c r="D521" s="7"/>
      <c r="E521" s="7"/>
      <c r="F521" s="8" t="str">
        <f t="shared" si="411"/>
        <v/>
      </c>
      <c r="G521" s="7" t="str">
        <f t="shared" si="412"/>
        <v/>
      </c>
      <c r="H521" s="5" t="str">
        <f t="shared" si="413"/>
        <v/>
      </c>
      <c r="I521" s="122" t="str">
        <f t="shared" si="414"/>
        <v/>
      </c>
      <c r="J521" s="7" t="str">
        <f t="shared" si="415"/>
        <v/>
      </c>
      <c r="K521" s="9" t="str">
        <f t="shared" si="416"/>
        <v/>
      </c>
      <c r="L521" s="9" t="str">
        <f>IF(NOT(ISERROR(VLOOKUP(B521,Deflatores!G$42:H$64,2,FALSE))),VLOOKUP(B521,Deflatores!G$42:H$64,2,FALSE),IF(OR(ISBLANK(C521),ISBLANK(B521)),"",VLOOKUP(C521,Deflatores!G$4:H$38,2,FALSE)*H521+VLOOKUP(C521,Deflatores!G$4:I$38,3,FALSE)))</f>
        <v/>
      </c>
      <c r="M521" s="10"/>
      <c r="N521" s="10"/>
      <c r="O521" s="6"/>
    </row>
    <row r="522" spans="1:15" x14ac:dyDescent="0.2">
      <c r="A522" s="126"/>
      <c r="B522" s="4"/>
      <c r="C522" s="4"/>
      <c r="D522" s="7"/>
      <c r="E522" s="7"/>
      <c r="F522" s="8" t="str">
        <f t="shared" si="411"/>
        <v/>
      </c>
      <c r="G522" s="7" t="str">
        <f t="shared" si="412"/>
        <v/>
      </c>
      <c r="H522" s="5" t="str">
        <f t="shared" si="413"/>
        <v/>
      </c>
      <c r="I522" s="122" t="str">
        <f t="shared" si="414"/>
        <v/>
      </c>
      <c r="J522" s="7" t="str">
        <f t="shared" si="415"/>
        <v/>
      </c>
      <c r="K522" s="9" t="str">
        <f t="shared" si="416"/>
        <v/>
      </c>
      <c r="L522" s="9" t="str">
        <f>IF(NOT(ISERROR(VLOOKUP(B522,Deflatores!G$42:H$64,2,FALSE))),VLOOKUP(B522,Deflatores!G$42:H$64,2,FALSE),IF(OR(ISBLANK(C522),ISBLANK(B522)),"",VLOOKUP(C522,Deflatores!G$4:H$38,2,FALSE)*H522+VLOOKUP(C522,Deflatores!G$4:I$38,3,FALSE)))</f>
        <v/>
      </c>
      <c r="M522" s="10"/>
      <c r="N522" s="10"/>
      <c r="O522" s="6"/>
    </row>
    <row r="523" spans="1:15" x14ac:dyDescent="0.2">
      <c r="A523" s="126"/>
      <c r="B523" s="4"/>
      <c r="C523" s="4"/>
      <c r="D523" s="7"/>
      <c r="E523" s="7"/>
      <c r="F523" s="8" t="str">
        <f t="shared" si="411"/>
        <v/>
      </c>
      <c r="G523" s="7" t="str">
        <f t="shared" si="412"/>
        <v/>
      </c>
      <c r="H523" s="5" t="str">
        <f t="shared" si="413"/>
        <v/>
      </c>
      <c r="I523" s="122" t="str">
        <f t="shared" si="414"/>
        <v/>
      </c>
      <c r="J523" s="7" t="str">
        <f t="shared" si="415"/>
        <v/>
      </c>
      <c r="K523" s="9" t="str">
        <f t="shared" si="416"/>
        <v/>
      </c>
      <c r="L523" s="9" t="str">
        <f>IF(NOT(ISERROR(VLOOKUP(B523,Deflatores!G$42:H$64,2,FALSE))),VLOOKUP(B523,Deflatores!G$42:H$64,2,FALSE),IF(OR(ISBLANK(C523),ISBLANK(B523)),"",VLOOKUP(C523,Deflatores!G$4:H$38,2,FALSE)*H523+VLOOKUP(C523,Deflatores!G$4:I$38,3,FALSE)))</f>
        <v/>
      </c>
      <c r="M523" s="10"/>
      <c r="N523" s="10"/>
      <c r="O523" s="6"/>
    </row>
    <row r="524" spans="1:15" x14ac:dyDescent="0.2">
      <c r="A524" s="126"/>
      <c r="B524" s="4"/>
      <c r="C524" s="4"/>
      <c r="D524" s="7"/>
      <c r="E524" s="7"/>
      <c r="F524" s="8" t="str">
        <f t="shared" si="411"/>
        <v/>
      </c>
      <c r="G524" s="7" t="str">
        <f t="shared" si="412"/>
        <v/>
      </c>
      <c r="H524" s="5" t="str">
        <f t="shared" si="413"/>
        <v/>
      </c>
      <c r="I524" s="122" t="str">
        <f t="shared" si="414"/>
        <v/>
      </c>
      <c r="J524" s="7" t="str">
        <f t="shared" si="415"/>
        <v/>
      </c>
      <c r="K524" s="9" t="str">
        <f t="shared" si="416"/>
        <v/>
      </c>
      <c r="L524" s="9" t="str">
        <f>IF(NOT(ISERROR(VLOOKUP(B524,Deflatores!G$42:H$64,2,FALSE))),VLOOKUP(B524,Deflatores!G$42:H$64,2,FALSE),IF(OR(ISBLANK(C524),ISBLANK(B524)),"",VLOOKUP(C524,Deflatores!G$4:H$38,2,FALSE)*H524+VLOOKUP(C524,Deflatores!G$4:I$38,3,FALSE)))</f>
        <v/>
      </c>
      <c r="M524" s="10"/>
      <c r="N524" s="10"/>
      <c r="O524" s="6"/>
    </row>
    <row r="525" spans="1:15" x14ac:dyDescent="0.2">
      <c r="A525" s="126"/>
      <c r="B525" s="4"/>
      <c r="C525" s="4"/>
      <c r="D525" s="7"/>
      <c r="E525" s="7"/>
      <c r="F525" s="8" t="str">
        <f t="shared" si="411"/>
        <v/>
      </c>
      <c r="G525" s="7" t="str">
        <f t="shared" si="412"/>
        <v/>
      </c>
      <c r="H525" s="5" t="str">
        <f t="shared" si="413"/>
        <v/>
      </c>
      <c r="I525" s="122" t="str">
        <f t="shared" si="414"/>
        <v/>
      </c>
      <c r="J525" s="7" t="str">
        <f t="shared" si="415"/>
        <v/>
      </c>
      <c r="K525" s="9" t="str">
        <f t="shared" si="416"/>
        <v/>
      </c>
      <c r="L525" s="9" t="str">
        <f>IF(NOT(ISERROR(VLOOKUP(B525,Deflatores!G$42:H$64,2,FALSE))),VLOOKUP(B525,Deflatores!G$42:H$64,2,FALSE),IF(OR(ISBLANK(C525),ISBLANK(B525)),"",VLOOKUP(C525,Deflatores!G$4:H$38,2,FALSE)*H525+VLOOKUP(C525,Deflatores!G$4:I$38,3,FALSE)))</f>
        <v/>
      </c>
      <c r="M525" s="10"/>
      <c r="N525" s="10"/>
      <c r="O525" s="6"/>
    </row>
    <row r="526" spans="1:15" x14ac:dyDescent="0.2">
      <c r="A526" s="126"/>
      <c r="B526" s="4"/>
      <c r="C526" s="4"/>
      <c r="D526" s="7"/>
      <c r="E526" s="7"/>
      <c r="F526" s="8" t="str">
        <f t="shared" si="411"/>
        <v/>
      </c>
      <c r="G526" s="7" t="str">
        <f t="shared" si="412"/>
        <v/>
      </c>
      <c r="H526" s="5" t="str">
        <f t="shared" si="413"/>
        <v/>
      </c>
      <c r="I526" s="122" t="str">
        <f t="shared" si="414"/>
        <v/>
      </c>
      <c r="J526" s="7" t="str">
        <f t="shared" si="415"/>
        <v/>
      </c>
      <c r="K526" s="9" t="str">
        <f t="shared" si="416"/>
        <v/>
      </c>
      <c r="L526" s="9" t="str">
        <f>IF(NOT(ISERROR(VLOOKUP(B526,Deflatores!G$42:H$64,2,FALSE))),VLOOKUP(B526,Deflatores!G$42:H$64,2,FALSE),IF(OR(ISBLANK(C526),ISBLANK(B526)),"",VLOOKUP(C526,Deflatores!G$4:H$38,2,FALSE)*H526+VLOOKUP(C526,Deflatores!G$4:I$38,3,FALSE)))</f>
        <v/>
      </c>
      <c r="M526" s="10"/>
      <c r="N526" s="10"/>
      <c r="O526" s="6"/>
    </row>
    <row r="527" spans="1:15" x14ac:dyDescent="0.2">
      <c r="A527" s="126"/>
      <c r="B527" s="4"/>
      <c r="C527" s="4"/>
      <c r="D527" s="7"/>
      <c r="E527" s="7"/>
      <c r="F527" s="8" t="str">
        <f t="shared" ref="F527:F590" si="417">IF(ISBLANK(B527),"",IF(I527="L","Baixa",IF(I527="A","Média",IF(I527="","","Alta"))))</f>
        <v/>
      </c>
      <c r="G527" s="7" t="str">
        <f t="shared" ref="G527:G590" si="418">CONCATENATE(B527,I527)</f>
        <v/>
      </c>
      <c r="H527" s="5" t="str">
        <f t="shared" ref="H527:H590" si="419">IF(ISBLANK(B527),"",IF(B527="ALI",IF(I527="L",7,IF(I527="A",10,15)),IF(B527="AIE",IF(I527="L",5,IF(I527="A",7,10)),IF(B527="SE",IF(I527="L",4,IF(I527="A",5,7)),IF(OR(B527="EE",B527="CE"),IF(I527="L",3,IF(I527="A",4,6)),0)))))</f>
        <v/>
      </c>
      <c r="I527" s="122" t="str">
        <f t="shared" si="414"/>
        <v/>
      </c>
      <c r="J527" s="7" t="str">
        <f t="shared" si="415"/>
        <v/>
      </c>
      <c r="K527" s="9" t="str">
        <f t="shared" si="416"/>
        <v/>
      </c>
      <c r="L527" s="9" t="str">
        <f>IF(NOT(ISERROR(VLOOKUP(B527,Deflatores!G$42:H$64,2,FALSE))),VLOOKUP(B527,Deflatores!G$42:H$64,2,FALSE),IF(OR(ISBLANK(C527),ISBLANK(B527)),"",VLOOKUP(C527,Deflatores!G$4:H$38,2,FALSE)*H527+VLOOKUP(C527,Deflatores!G$4:I$38,3,FALSE)))</f>
        <v/>
      </c>
      <c r="M527" s="10"/>
      <c r="N527" s="10"/>
      <c r="O527" s="6"/>
    </row>
    <row r="528" spans="1:15" x14ac:dyDescent="0.2">
      <c r="A528" s="126"/>
      <c r="B528" s="4"/>
      <c r="C528" s="4"/>
      <c r="D528" s="7"/>
      <c r="E528" s="7"/>
      <c r="F528" s="8" t="str">
        <f t="shared" si="417"/>
        <v/>
      </c>
      <c r="G528" s="7" t="str">
        <f t="shared" si="418"/>
        <v/>
      </c>
      <c r="H528" s="5" t="str">
        <f t="shared" si="419"/>
        <v/>
      </c>
      <c r="I528" s="122" t="str">
        <f t="shared" si="414"/>
        <v/>
      </c>
      <c r="J528" s="7" t="str">
        <f t="shared" si="415"/>
        <v/>
      </c>
      <c r="K528" s="9" t="str">
        <f t="shared" si="416"/>
        <v/>
      </c>
      <c r="L528" s="9" t="str">
        <f>IF(NOT(ISERROR(VLOOKUP(B528,Deflatores!G$42:H$64,2,FALSE))),VLOOKUP(B528,Deflatores!G$42:H$64,2,FALSE),IF(OR(ISBLANK(C528),ISBLANK(B528)),"",VLOOKUP(C528,Deflatores!G$4:H$38,2,FALSE)*H528+VLOOKUP(C528,Deflatores!G$4:I$38,3,FALSE)))</f>
        <v/>
      </c>
      <c r="M528" s="10"/>
      <c r="N528" s="10"/>
      <c r="O528" s="6"/>
    </row>
    <row r="529" spans="1:15" x14ac:dyDescent="0.2">
      <c r="A529" s="126"/>
      <c r="B529" s="4"/>
      <c r="C529" s="4"/>
      <c r="D529" s="7"/>
      <c r="E529" s="7"/>
      <c r="F529" s="8" t="str">
        <f t="shared" si="417"/>
        <v/>
      </c>
      <c r="G529" s="7" t="str">
        <f t="shared" si="418"/>
        <v/>
      </c>
      <c r="H529" s="5" t="str">
        <f t="shared" si="419"/>
        <v/>
      </c>
      <c r="I529" s="122" t="str">
        <f t="shared" si="414"/>
        <v/>
      </c>
      <c r="J529" s="7" t="str">
        <f t="shared" si="415"/>
        <v/>
      </c>
      <c r="K529" s="9" t="str">
        <f t="shared" si="416"/>
        <v/>
      </c>
      <c r="L529" s="9" t="str">
        <f>IF(NOT(ISERROR(VLOOKUP(B529,Deflatores!G$42:H$64,2,FALSE))),VLOOKUP(B529,Deflatores!G$42:H$64,2,FALSE),IF(OR(ISBLANK(C529),ISBLANK(B529)),"",VLOOKUP(C529,Deflatores!G$4:H$38,2,FALSE)*H529+VLOOKUP(C529,Deflatores!G$4:I$38,3,FALSE)))</f>
        <v/>
      </c>
      <c r="M529" s="10"/>
      <c r="N529" s="10"/>
      <c r="O529" s="6"/>
    </row>
    <row r="530" spans="1:15" x14ac:dyDescent="0.2">
      <c r="A530" s="126"/>
      <c r="B530" s="4"/>
      <c r="C530" s="4"/>
      <c r="D530" s="7"/>
      <c r="E530" s="7"/>
      <c r="F530" s="8" t="str">
        <f t="shared" si="417"/>
        <v/>
      </c>
      <c r="G530" s="7" t="str">
        <f t="shared" si="418"/>
        <v/>
      </c>
      <c r="H530" s="5" t="str">
        <f t="shared" si="419"/>
        <v/>
      </c>
      <c r="I530" s="122" t="str">
        <f t="shared" si="414"/>
        <v/>
      </c>
      <c r="J530" s="7" t="str">
        <f t="shared" si="415"/>
        <v/>
      </c>
      <c r="K530" s="9" t="str">
        <f t="shared" si="416"/>
        <v/>
      </c>
      <c r="L530" s="9" t="str">
        <f>IF(NOT(ISERROR(VLOOKUP(B530,Deflatores!G$42:H$64,2,FALSE))),VLOOKUP(B530,Deflatores!G$42:H$64,2,FALSE),IF(OR(ISBLANK(C530),ISBLANK(B530)),"",VLOOKUP(C530,Deflatores!G$4:H$38,2,FALSE)*H530+VLOOKUP(C530,Deflatores!G$4:I$38,3,FALSE)))</f>
        <v/>
      </c>
      <c r="M530" s="10"/>
      <c r="N530" s="10"/>
      <c r="O530" s="6"/>
    </row>
    <row r="531" spans="1:15" x14ac:dyDescent="0.2">
      <c r="A531" s="126"/>
      <c r="B531" s="4"/>
      <c r="C531" s="4"/>
      <c r="D531" s="7"/>
      <c r="E531" s="7"/>
      <c r="F531" s="8" t="str">
        <f t="shared" si="417"/>
        <v/>
      </c>
      <c r="G531" s="7" t="str">
        <f t="shared" si="418"/>
        <v/>
      </c>
      <c r="H531" s="5" t="str">
        <f t="shared" si="419"/>
        <v/>
      </c>
      <c r="I531" s="122" t="str">
        <f t="shared" si="414"/>
        <v/>
      </c>
      <c r="J531" s="7" t="str">
        <f t="shared" si="415"/>
        <v/>
      </c>
      <c r="K531" s="9" t="str">
        <f t="shared" si="416"/>
        <v/>
      </c>
      <c r="L531" s="9" t="str">
        <f>IF(NOT(ISERROR(VLOOKUP(B531,Deflatores!G$42:H$64,2,FALSE))),VLOOKUP(B531,Deflatores!G$42:H$64,2,FALSE),IF(OR(ISBLANK(C531),ISBLANK(B531)),"",VLOOKUP(C531,Deflatores!G$4:H$38,2,FALSE)*H531+VLOOKUP(C531,Deflatores!G$4:I$38,3,FALSE)))</f>
        <v/>
      </c>
      <c r="M531" s="10"/>
      <c r="N531" s="10"/>
      <c r="O531" s="6"/>
    </row>
    <row r="532" spans="1:15" x14ac:dyDescent="0.2">
      <c r="A532" s="126"/>
      <c r="B532" s="4"/>
      <c r="C532" s="4"/>
      <c r="D532" s="7"/>
      <c r="E532" s="7"/>
      <c r="F532" s="8" t="str">
        <f t="shared" si="417"/>
        <v/>
      </c>
      <c r="G532" s="7" t="str">
        <f t="shared" si="418"/>
        <v/>
      </c>
      <c r="H532" s="5" t="str">
        <f t="shared" si="419"/>
        <v/>
      </c>
      <c r="I532" s="122" t="str">
        <f t="shared" si="414"/>
        <v/>
      </c>
      <c r="J532" s="7" t="str">
        <f t="shared" si="415"/>
        <v/>
      </c>
      <c r="K532" s="9" t="str">
        <f t="shared" si="416"/>
        <v/>
      </c>
      <c r="L532" s="9" t="str">
        <f>IF(NOT(ISERROR(VLOOKUP(B532,Deflatores!G$42:H$64,2,FALSE))),VLOOKUP(B532,Deflatores!G$42:H$64,2,FALSE),IF(OR(ISBLANK(C532),ISBLANK(B532)),"",VLOOKUP(C532,Deflatores!G$4:H$38,2,FALSE)*H532+VLOOKUP(C532,Deflatores!G$4:I$38,3,FALSE)))</f>
        <v/>
      </c>
      <c r="M532" s="10"/>
      <c r="N532" s="10"/>
      <c r="O532" s="6"/>
    </row>
    <row r="533" spans="1:15" x14ac:dyDescent="0.2">
      <c r="A533" s="126"/>
      <c r="B533" s="4"/>
      <c r="C533" s="4"/>
      <c r="D533" s="7"/>
      <c r="E533" s="7"/>
      <c r="F533" s="8" t="str">
        <f t="shared" si="417"/>
        <v/>
      </c>
      <c r="G533" s="7" t="str">
        <f t="shared" si="418"/>
        <v/>
      </c>
      <c r="H533" s="5" t="str">
        <f t="shared" si="419"/>
        <v/>
      </c>
      <c r="I533" s="122" t="str">
        <f t="shared" si="414"/>
        <v/>
      </c>
      <c r="J533" s="7" t="str">
        <f t="shared" si="415"/>
        <v/>
      </c>
      <c r="K533" s="9" t="str">
        <f t="shared" si="416"/>
        <v/>
      </c>
      <c r="L533" s="9" t="str">
        <f>IF(NOT(ISERROR(VLOOKUP(B533,Deflatores!G$42:H$64,2,FALSE))),VLOOKUP(B533,Deflatores!G$42:H$64,2,FALSE),IF(OR(ISBLANK(C533),ISBLANK(B533)),"",VLOOKUP(C533,Deflatores!G$4:H$38,2,FALSE)*H533+VLOOKUP(C533,Deflatores!G$4:I$38,3,FALSE)))</f>
        <v/>
      </c>
      <c r="M533" s="10"/>
      <c r="N533" s="10"/>
      <c r="O533" s="6"/>
    </row>
    <row r="534" spans="1:15" x14ac:dyDescent="0.2">
      <c r="A534" s="126"/>
      <c r="B534" s="4"/>
      <c r="C534" s="4"/>
      <c r="D534" s="7"/>
      <c r="E534" s="7"/>
      <c r="F534" s="8" t="str">
        <f t="shared" si="417"/>
        <v/>
      </c>
      <c r="G534" s="7" t="str">
        <f t="shared" si="418"/>
        <v/>
      </c>
      <c r="H534" s="5" t="str">
        <f t="shared" si="419"/>
        <v/>
      </c>
      <c r="I534" s="122" t="str">
        <f t="shared" si="414"/>
        <v/>
      </c>
      <c r="J534" s="7" t="str">
        <f t="shared" si="415"/>
        <v/>
      </c>
      <c r="K534" s="9" t="str">
        <f t="shared" si="416"/>
        <v/>
      </c>
      <c r="L534" s="9" t="str">
        <f>IF(NOT(ISERROR(VLOOKUP(B534,Deflatores!G$42:H$64,2,FALSE))),VLOOKUP(B534,Deflatores!G$42:H$64,2,FALSE),IF(OR(ISBLANK(C534),ISBLANK(B534)),"",VLOOKUP(C534,Deflatores!G$4:H$38,2,FALSE)*H534+VLOOKUP(C534,Deflatores!G$4:I$38,3,FALSE)))</f>
        <v/>
      </c>
      <c r="M534" s="10"/>
      <c r="N534" s="10"/>
      <c r="O534" s="6"/>
    </row>
    <row r="535" spans="1:15" x14ac:dyDescent="0.2">
      <c r="A535" s="126"/>
      <c r="B535" s="4"/>
      <c r="C535" s="4"/>
      <c r="D535" s="7"/>
      <c r="E535" s="7"/>
      <c r="F535" s="8" t="str">
        <f t="shared" si="417"/>
        <v/>
      </c>
      <c r="G535" s="7" t="str">
        <f t="shared" si="418"/>
        <v/>
      </c>
      <c r="H535" s="5" t="str">
        <f t="shared" si="419"/>
        <v/>
      </c>
      <c r="I535" s="122" t="str">
        <f t="shared" si="414"/>
        <v/>
      </c>
      <c r="J535" s="7" t="str">
        <f t="shared" si="415"/>
        <v/>
      </c>
      <c r="K535" s="9" t="str">
        <f t="shared" si="416"/>
        <v/>
      </c>
      <c r="L535" s="9" t="str">
        <f>IF(NOT(ISERROR(VLOOKUP(B535,Deflatores!G$42:H$64,2,FALSE))),VLOOKUP(B535,Deflatores!G$42:H$64,2,FALSE),IF(OR(ISBLANK(C535),ISBLANK(B535)),"",VLOOKUP(C535,Deflatores!G$4:H$38,2,FALSE)*H535+VLOOKUP(C535,Deflatores!G$4:I$38,3,FALSE)))</f>
        <v/>
      </c>
      <c r="M535" s="10"/>
      <c r="N535" s="10"/>
      <c r="O535" s="6"/>
    </row>
    <row r="536" spans="1:15" x14ac:dyDescent="0.2">
      <c r="A536" s="126"/>
      <c r="B536" s="4"/>
      <c r="C536" s="4"/>
      <c r="D536" s="7"/>
      <c r="E536" s="7"/>
      <c r="F536" s="8" t="str">
        <f t="shared" si="417"/>
        <v/>
      </c>
      <c r="G536" s="7" t="str">
        <f t="shared" si="418"/>
        <v/>
      </c>
      <c r="H536" s="5" t="str">
        <f t="shared" si="419"/>
        <v/>
      </c>
      <c r="I536" s="122" t="str">
        <f t="shared" ref="I536:I599" si="420">IF(OR(ISBLANK(D536),ISBLANK(E536)),IF(OR(B536="ALI",B536="AIE"),"L",IF(OR(B536="EE",B536="SE",B536="CE"),"A","")),IF(B536="EE",IF(E536&gt;=3,IF(D536&gt;=5,"H","A"),IF(E536&gt;=2,IF(D536&gt;=16,"H",IF(D536&lt;=4,"L","A")),IF(D536&lt;=15,"L","A"))),IF(OR(B536="SE",B536="CE"),IF(E536&gt;=4,IF(D536&gt;=6,"H","A"),IF(E536&gt;=2,IF(D536&gt;=20,"H",IF(D536&lt;=5,"L","A")),IF(D536&lt;=19,"L","A"))),IF(OR(B536="ALI",B536="AIE"),IF(E536&gt;=6,IF(D536&gt;=20,"H","A"),IF(E536&gt;=2,IF(D536&gt;=51,"H",IF(D536&lt;=19,"L","A")),IF(D536&lt;=50,"L","A"))),""))))</f>
        <v/>
      </c>
      <c r="J536" s="7" t="str">
        <f t="shared" ref="J536:J599" si="421">CONCATENATE(B536,C536)</f>
        <v/>
      </c>
      <c r="K536" s="9" t="str">
        <f t="shared" ref="K536:K599" si="422">IF(OR(H536="",H536=0),L536,H536)</f>
        <v/>
      </c>
      <c r="L536" s="9" t="str">
        <f>IF(NOT(ISERROR(VLOOKUP(B536,Deflatores!G$42:H$64,2,FALSE))),VLOOKUP(B536,Deflatores!G$42:H$64,2,FALSE),IF(OR(ISBLANK(C536),ISBLANK(B536)),"",VLOOKUP(C536,Deflatores!G$4:H$38,2,FALSE)*H536+VLOOKUP(C536,Deflatores!G$4:I$38,3,FALSE)))</f>
        <v/>
      </c>
      <c r="M536" s="10"/>
      <c r="N536" s="10"/>
      <c r="O536" s="6"/>
    </row>
    <row r="537" spans="1:15" x14ac:dyDescent="0.2">
      <c r="A537" s="126"/>
      <c r="B537" s="4"/>
      <c r="C537" s="4"/>
      <c r="D537" s="7"/>
      <c r="E537" s="7"/>
      <c r="F537" s="8" t="str">
        <f t="shared" si="417"/>
        <v/>
      </c>
      <c r="G537" s="7" t="str">
        <f t="shared" si="418"/>
        <v/>
      </c>
      <c r="H537" s="5" t="str">
        <f t="shared" si="419"/>
        <v/>
      </c>
      <c r="I537" s="122" t="str">
        <f t="shared" si="420"/>
        <v/>
      </c>
      <c r="J537" s="7" t="str">
        <f t="shared" si="421"/>
        <v/>
      </c>
      <c r="K537" s="9" t="str">
        <f t="shared" si="422"/>
        <v/>
      </c>
      <c r="L537" s="9" t="str">
        <f>IF(NOT(ISERROR(VLOOKUP(B537,Deflatores!G$42:H$64,2,FALSE))),VLOOKUP(B537,Deflatores!G$42:H$64,2,FALSE),IF(OR(ISBLANK(C537),ISBLANK(B537)),"",VLOOKUP(C537,Deflatores!G$4:H$38,2,FALSE)*H537+VLOOKUP(C537,Deflatores!G$4:I$38,3,FALSE)))</f>
        <v/>
      </c>
      <c r="M537" s="10"/>
      <c r="N537" s="10"/>
      <c r="O537" s="6"/>
    </row>
    <row r="538" spans="1:15" x14ac:dyDescent="0.2">
      <c r="A538" s="126"/>
      <c r="B538" s="4"/>
      <c r="C538" s="4"/>
      <c r="D538" s="7"/>
      <c r="E538" s="7"/>
      <c r="F538" s="8" t="str">
        <f t="shared" si="417"/>
        <v/>
      </c>
      <c r="G538" s="7" t="str">
        <f t="shared" si="418"/>
        <v/>
      </c>
      <c r="H538" s="5" t="str">
        <f t="shared" si="419"/>
        <v/>
      </c>
      <c r="I538" s="122" t="str">
        <f t="shared" si="420"/>
        <v/>
      </c>
      <c r="J538" s="7" t="str">
        <f t="shared" si="421"/>
        <v/>
      </c>
      <c r="K538" s="9" t="str">
        <f t="shared" si="422"/>
        <v/>
      </c>
      <c r="L538" s="9" t="str">
        <f>IF(NOT(ISERROR(VLOOKUP(B538,Deflatores!G$42:H$64,2,FALSE))),VLOOKUP(B538,Deflatores!G$42:H$64,2,FALSE),IF(OR(ISBLANK(C538),ISBLANK(B538)),"",VLOOKUP(C538,Deflatores!G$4:H$38,2,FALSE)*H538+VLOOKUP(C538,Deflatores!G$4:I$38,3,FALSE)))</f>
        <v/>
      </c>
      <c r="M538" s="10"/>
      <c r="N538" s="10"/>
      <c r="O538" s="6"/>
    </row>
    <row r="539" spans="1:15" x14ac:dyDescent="0.2">
      <c r="A539" s="126"/>
      <c r="B539" s="4"/>
      <c r="C539" s="4"/>
      <c r="D539" s="7"/>
      <c r="E539" s="7"/>
      <c r="F539" s="8" t="str">
        <f t="shared" si="417"/>
        <v/>
      </c>
      <c r="G539" s="7" t="str">
        <f t="shared" si="418"/>
        <v/>
      </c>
      <c r="H539" s="5" t="str">
        <f t="shared" si="419"/>
        <v/>
      </c>
      <c r="I539" s="122" t="str">
        <f t="shared" si="420"/>
        <v/>
      </c>
      <c r="J539" s="7" t="str">
        <f t="shared" si="421"/>
        <v/>
      </c>
      <c r="K539" s="9" t="str">
        <f t="shared" si="422"/>
        <v/>
      </c>
      <c r="L539" s="9" t="str">
        <f>IF(NOT(ISERROR(VLOOKUP(B539,Deflatores!G$42:H$64,2,FALSE))),VLOOKUP(B539,Deflatores!G$42:H$64,2,FALSE),IF(OR(ISBLANK(C539),ISBLANK(B539)),"",VLOOKUP(C539,Deflatores!G$4:H$38,2,FALSE)*H539+VLOOKUP(C539,Deflatores!G$4:I$38,3,FALSE)))</f>
        <v/>
      </c>
      <c r="M539" s="10"/>
      <c r="N539" s="10"/>
      <c r="O539" s="6"/>
    </row>
    <row r="540" spans="1:15" x14ac:dyDescent="0.2">
      <c r="A540" s="126"/>
      <c r="B540" s="4"/>
      <c r="C540" s="4"/>
      <c r="D540" s="7"/>
      <c r="E540" s="7"/>
      <c r="F540" s="8" t="str">
        <f t="shared" si="417"/>
        <v/>
      </c>
      <c r="G540" s="7" t="str">
        <f t="shared" si="418"/>
        <v/>
      </c>
      <c r="H540" s="5" t="str">
        <f t="shared" si="419"/>
        <v/>
      </c>
      <c r="I540" s="122" t="str">
        <f t="shared" si="420"/>
        <v/>
      </c>
      <c r="J540" s="7" t="str">
        <f t="shared" si="421"/>
        <v/>
      </c>
      <c r="K540" s="9" t="str">
        <f t="shared" si="422"/>
        <v/>
      </c>
      <c r="L540" s="9" t="str">
        <f>IF(NOT(ISERROR(VLOOKUP(B540,Deflatores!G$42:H$64,2,FALSE))),VLOOKUP(B540,Deflatores!G$42:H$64,2,FALSE),IF(OR(ISBLANK(C540),ISBLANK(B540)),"",VLOOKUP(C540,Deflatores!G$4:H$38,2,FALSE)*H540+VLOOKUP(C540,Deflatores!G$4:I$38,3,FALSE)))</f>
        <v/>
      </c>
      <c r="M540" s="10"/>
      <c r="N540" s="10"/>
      <c r="O540" s="6"/>
    </row>
    <row r="541" spans="1:15" x14ac:dyDescent="0.2">
      <c r="A541" s="126"/>
      <c r="B541" s="4"/>
      <c r="C541" s="4"/>
      <c r="D541" s="7"/>
      <c r="E541" s="7"/>
      <c r="F541" s="8" t="str">
        <f t="shared" si="417"/>
        <v/>
      </c>
      <c r="G541" s="7" t="str">
        <f t="shared" si="418"/>
        <v/>
      </c>
      <c r="H541" s="5" t="str">
        <f t="shared" si="419"/>
        <v/>
      </c>
      <c r="I541" s="122" t="str">
        <f t="shared" si="420"/>
        <v/>
      </c>
      <c r="J541" s="7" t="str">
        <f t="shared" si="421"/>
        <v/>
      </c>
      <c r="K541" s="9" t="str">
        <f t="shared" si="422"/>
        <v/>
      </c>
      <c r="L541" s="9" t="str">
        <f>IF(NOT(ISERROR(VLOOKUP(B541,Deflatores!G$42:H$64,2,FALSE))),VLOOKUP(B541,Deflatores!G$42:H$64,2,FALSE),IF(OR(ISBLANK(C541),ISBLANK(B541)),"",VLOOKUP(C541,Deflatores!G$4:H$38,2,FALSE)*H541+VLOOKUP(C541,Deflatores!G$4:I$38,3,FALSE)))</f>
        <v/>
      </c>
      <c r="M541" s="10"/>
      <c r="N541" s="10"/>
      <c r="O541" s="6"/>
    </row>
    <row r="542" spans="1:15" x14ac:dyDescent="0.2">
      <c r="A542" s="126"/>
      <c r="B542" s="4"/>
      <c r="C542" s="4"/>
      <c r="D542" s="7"/>
      <c r="E542" s="7"/>
      <c r="F542" s="8" t="str">
        <f t="shared" si="417"/>
        <v/>
      </c>
      <c r="G542" s="7" t="str">
        <f t="shared" si="418"/>
        <v/>
      </c>
      <c r="H542" s="5" t="str">
        <f t="shared" si="419"/>
        <v/>
      </c>
      <c r="I542" s="122" t="str">
        <f t="shared" si="420"/>
        <v/>
      </c>
      <c r="J542" s="7" t="str">
        <f t="shared" si="421"/>
        <v/>
      </c>
      <c r="K542" s="9" t="str">
        <f t="shared" si="422"/>
        <v/>
      </c>
      <c r="L542" s="9" t="str">
        <f>IF(NOT(ISERROR(VLOOKUP(B542,Deflatores!G$42:H$64,2,FALSE))),VLOOKUP(B542,Deflatores!G$42:H$64,2,FALSE),IF(OR(ISBLANK(C542),ISBLANK(B542)),"",VLOOKUP(C542,Deflatores!G$4:H$38,2,FALSE)*H542+VLOOKUP(C542,Deflatores!G$4:I$38,3,FALSE)))</f>
        <v/>
      </c>
      <c r="M542" s="10"/>
      <c r="N542" s="10"/>
      <c r="O542" s="6"/>
    </row>
    <row r="543" spans="1:15" x14ac:dyDescent="0.2">
      <c r="A543" s="126"/>
      <c r="B543" s="4"/>
      <c r="C543" s="4"/>
      <c r="D543" s="7"/>
      <c r="E543" s="7"/>
      <c r="F543" s="8" t="str">
        <f t="shared" si="417"/>
        <v/>
      </c>
      <c r="G543" s="7" t="str">
        <f t="shared" si="418"/>
        <v/>
      </c>
      <c r="H543" s="5" t="str">
        <f t="shared" si="419"/>
        <v/>
      </c>
      <c r="I543" s="122" t="str">
        <f t="shared" si="420"/>
        <v/>
      </c>
      <c r="J543" s="7" t="str">
        <f t="shared" si="421"/>
        <v/>
      </c>
      <c r="K543" s="9" t="str">
        <f t="shared" si="422"/>
        <v/>
      </c>
      <c r="L543" s="9" t="str">
        <f>IF(NOT(ISERROR(VLOOKUP(B543,Deflatores!G$42:H$64,2,FALSE))),VLOOKUP(B543,Deflatores!G$42:H$64,2,FALSE),IF(OR(ISBLANK(C543),ISBLANK(B543)),"",VLOOKUP(C543,Deflatores!G$4:H$38,2,FALSE)*H543+VLOOKUP(C543,Deflatores!G$4:I$38,3,FALSE)))</f>
        <v/>
      </c>
      <c r="M543" s="10"/>
      <c r="N543" s="10"/>
      <c r="O543" s="6"/>
    </row>
    <row r="544" spans="1:15" x14ac:dyDescent="0.2">
      <c r="A544" s="126"/>
      <c r="B544" s="4"/>
      <c r="C544" s="4"/>
      <c r="D544" s="7"/>
      <c r="E544" s="7"/>
      <c r="F544" s="8" t="str">
        <f t="shared" si="417"/>
        <v/>
      </c>
      <c r="G544" s="7" t="str">
        <f t="shared" si="418"/>
        <v/>
      </c>
      <c r="H544" s="5" t="str">
        <f t="shared" si="419"/>
        <v/>
      </c>
      <c r="I544" s="122" t="str">
        <f t="shared" si="420"/>
        <v/>
      </c>
      <c r="J544" s="7" t="str">
        <f t="shared" si="421"/>
        <v/>
      </c>
      <c r="K544" s="9" t="str">
        <f t="shared" si="422"/>
        <v/>
      </c>
      <c r="L544" s="9" t="str">
        <f>IF(NOT(ISERROR(VLOOKUP(B544,Deflatores!G$42:H$64,2,FALSE))),VLOOKUP(B544,Deflatores!G$42:H$64,2,FALSE),IF(OR(ISBLANK(C544),ISBLANK(B544)),"",VLOOKUP(C544,Deflatores!G$4:H$38,2,FALSE)*H544+VLOOKUP(C544,Deflatores!G$4:I$38,3,FALSE)))</f>
        <v/>
      </c>
      <c r="M544" s="10"/>
      <c r="N544" s="10"/>
      <c r="O544" s="6"/>
    </row>
    <row r="545" spans="1:15" x14ac:dyDescent="0.2">
      <c r="A545" s="126"/>
      <c r="B545" s="4"/>
      <c r="C545" s="4"/>
      <c r="D545" s="7"/>
      <c r="E545" s="7"/>
      <c r="F545" s="8" t="str">
        <f t="shared" si="417"/>
        <v/>
      </c>
      <c r="G545" s="7" t="str">
        <f t="shared" si="418"/>
        <v/>
      </c>
      <c r="H545" s="5" t="str">
        <f t="shared" si="419"/>
        <v/>
      </c>
      <c r="I545" s="122" t="str">
        <f t="shared" si="420"/>
        <v/>
      </c>
      <c r="J545" s="7" t="str">
        <f t="shared" si="421"/>
        <v/>
      </c>
      <c r="K545" s="9" t="str">
        <f t="shared" si="422"/>
        <v/>
      </c>
      <c r="L545" s="9" t="str">
        <f>IF(NOT(ISERROR(VLOOKUP(B545,Deflatores!G$42:H$64,2,FALSE))),VLOOKUP(B545,Deflatores!G$42:H$64,2,FALSE),IF(OR(ISBLANK(C545),ISBLANK(B545)),"",VLOOKUP(C545,Deflatores!G$4:H$38,2,FALSE)*H545+VLOOKUP(C545,Deflatores!G$4:I$38,3,FALSE)))</f>
        <v/>
      </c>
      <c r="M545" s="10"/>
      <c r="N545" s="10"/>
      <c r="O545" s="6"/>
    </row>
    <row r="546" spans="1:15" x14ac:dyDescent="0.2">
      <c r="A546" s="126"/>
      <c r="B546" s="4"/>
      <c r="C546" s="4"/>
      <c r="D546" s="7"/>
      <c r="E546" s="7"/>
      <c r="F546" s="8" t="str">
        <f t="shared" si="417"/>
        <v/>
      </c>
      <c r="G546" s="7" t="str">
        <f t="shared" si="418"/>
        <v/>
      </c>
      <c r="H546" s="5" t="str">
        <f t="shared" si="419"/>
        <v/>
      </c>
      <c r="I546" s="122" t="str">
        <f t="shared" si="420"/>
        <v/>
      </c>
      <c r="J546" s="7" t="str">
        <f t="shared" si="421"/>
        <v/>
      </c>
      <c r="K546" s="9" t="str">
        <f t="shared" si="422"/>
        <v/>
      </c>
      <c r="L546" s="9" t="str">
        <f>IF(NOT(ISERROR(VLOOKUP(B546,Deflatores!G$42:H$64,2,FALSE))),VLOOKUP(B546,Deflatores!G$42:H$64,2,FALSE),IF(OR(ISBLANK(C546),ISBLANK(B546)),"",VLOOKUP(C546,Deflatores!G$4:H$38,2,FALSE)*H546+VLOOKUP(C546,Deflatores!G$4:I$38,3,FALSE)))</f>
        <v/>
      </c>
      <c r="M546" s="10"/>
      <c r="N546" s="10"/>
      <c r="O546" s="6"/>
    </row>
    <row r="547" spans="1:15" x14ac:dyDescent="0.2">
      <c r="A547" s="126"/>
      <c r="B547" s="4"/>
      <c r="C547" s="4"/>
      <c r="D547" s="7"/>
      <c r="E547" s="7"/>
      <c r="F547" s="8" t="str">
        <f t="shared" si="417"/>
        <v/>
      </c>
      <c r="G547" s="7" t="str">
        <f t="shared" si="418"/>
        <v/>
      </c>
      <c r="H547" s="5" t="str">
        <f t="shared" si="419"/>
        <v/>
      </c>
      <c r="I547" s="122" t="str">
        <f t="shared" si="420"/>
        <v/>
      </c>
      <c r="J547" s="7" t="str">
        <f t="shared" si="421"/>
        <v/>
      </c>
      <c r="K547" s="9" t="str">
        <f t="shared" si="422"/>
        <v/>
      </c>
      <c r="L547" s="9" t="str">
        <f>IF(NOT(ISERROR(VLOOKUP(B547,Deflatores!G$42:H$64,2,FALSE))),VLOOKUP(B547,Deflatores!G$42:H$64,2,FALSE),IF(OR(ISBLANK(C547),ISBLANK(B547)),"",VLOOKUP(C547,Deflatores!G$4:H$38,2,FALSE)*H547+VLOOKUP(C547,Deflatores!G$4:I$38,3,FALSE)))</f>
        <v/>
      </c>
      <c r="M547" s="10"/>
      <c r="N547" s="10"/>
      <c r="O547" s="6"/>
    </row>
    <row r="548" spans="1:15" x14ac:dyDescent="0.2">
      <c r="A548" s="126"/>
      <c r="B548" s="4"/>
      <c r="C548" s="4"/>
      <c r="D548" s="7"/>
      <c r="E548" s="7"/>
      <c r="F548" s="8" t="str">
        <f t="shared" si="417"/>
        <v/>
      </c>
      <c r="G548" s="7" t="str">
        <f t="shared" si="418"/>
        <v/>
      </c>
      <c r="H548" s="5" t="str">
        <f t="shared" si="419"/>
        <v/>
      </c>
      <c r="I548" s="122" t="str">
        <f t="shared" si="420"/>
        <v/>
      </c>
      <c r="J548" s="7" t="str">
        <f t="shared" si="421"/>
        <v/>
      </c>
      <c r="K548" s="9" t="str">
        <f t="shared" si="422"/>
        <v/>
      </c>
      <c r="L548" s="9" t="str">
        <f>IF(NOT(ISERROR(VLOOKUP(B548,Deflatores!G$42:H$64,2,FALSE))),VLOOKUP(B548,Deflatores!G$42:H$64,2,FALSE),IF(OR(ISBLANK(C548),ISBLANK(B548)),"",VLOOKUP(C548,Deflatores!G$4:H$38,2,FALSE)*H548+VLOOKUP(C548,Deflatores!G$4:I$38,3,FALSE)))</f>
        <v/>
      </c>
      <c r="M548" s="10"/>
      <c r="N548" s="10"/>
      <c r="O548" s="6"/>
    </row>
    <row r="549" spans="1:15" x14ac:dyDescent="0.2">
      <c r="A549" s="126"/>
      <c r="B549" s="4"/>
      <c r="C549" s="4"/>
      <c r="D549" s="7"/>
      <c r="E549" s="7"/>
      <c r="F549" s="8" t="str">
        <f t="shared" si="417"/>
        <v/>
      </c>
      <c r="G549" s="7" t="str">
        <f t="shared" si="418"/>
        <v/>
      </c>
      <c r="H549" s="5" t="str">
        <f t="shared" si="419"/>
        <v/>
      </c>
      <c r="I549" s="122" t="str">
        <f t="shared" si="420"/>
        <v/>
      </c>
      <c r="J549" s="7" t="str">
        <f t="shared" si="421"/>
        <v/>
      </c>
      <c r="K549" s="9" t="str">
        <f t="shared" si="422"/>
        <v/>
      </c>
      <c r="L549" s="9" t="str">
        <f>IF(NOT(ISERROR(VLOOKUP(B549,Deflatores!G$42:H$64,2,FALSE))),VLOOKUP(B549,Deflatores!G$42:H$64,2,FALSE),IF(OR(ISBLANK(C549),ISBLANK(B549)),"",VLOOKUP(C549,Deflatores!G$4:H$38,2,FALSE)*H549+VLOOKUP(C549,Deflatores!G$4:I$38,3,FALSE)))</f>
        <v/>
      </c>
      <c r="M549" s="10"/>
      <c r="N549" s="10"/>
      <c r="O549" s="6"/>
    </row>
    <row r="550" spans="1:15" x14ac:dyDescent="0.2">
      <c r="A550" s="126"/>
      <c r="B550" s="4"/>
      <c r="C550" s="4"/>
      <c r="D550" s="7"/>
      <c r="E550" s="7"/>
      <c r="F550" s="8" t="str">
        <f t="shared" si="417"/>
        <v/>
      </c>
      <c r="G550" s="7" t="str">
        <f t="shared" si="418"/>
        <v/>
      </c>
      <c r="H550" s="5" t="str">
        <f t="shared" si="419"/>
        <v/>
      </c>
      <c r="I550" s="122" t="str">
        <f t="shared" si="420"/>
        <v/>
      </c>
      <c r="J550" s="7" t="str">
        <f t="shared" si="421"/>
        <v/>
      </c>
      <c r="K550" s="9" t="str">
        <f t="shared" si="422"/>
        <v/>
      </c>
      <c r="L550" s="9" t="str">
        <f>IF(NOT(ISERROR(VLOOKUP(B550,Deflatores!G$42:H$64,2,FALSE))),VLOOKUP(B550,Deflatores!G$42:H$64,2,FALSE),IF(OR(ISBLANK(C550),ISBLANK(B550)),"",VLOOKUP(C550,Deflatores!G$4:H$38,2,FALSE)*H550+VLOOKUP(C550,Deflatores!G$4:I$38,3,FALSE)))</f>
        <v/>
      </c>
      <c r="M550" s="10"/>
      <c r="N550" s="10"/>
      <c r="O550" s="6"/>
    </row>
    <row r="551" spans="1:15" x14ac:dyDescent="0.2">
      <c r="A551" s="126"/>
      <c r="B551" s="4"/>
      <c r="C551" s="4"/>
      <c r="D551" s="7"/>
      <c r="E551" s="7"/>
      <c r="F551" s="8" t="str">
        <f t="shared" si="417"/>
        <v/>
      </c>
      <c r="G551" s="7" t="str">
        <f t="shared" si="418"/>
        <v/>
      </c>
      <c r="H551" s="5" t="str">
        <f t="shared" si="419"/>
        <v/>
      </c>
      <c r="I551" s="122" t="str">
        <f t="shared" si="420"/>
        <v/>
      </c>
      <c r="J551" s="7" t="str">
        <f t="shared" si="421"/>
        <v/>
      </c>
      <c r="K551" s="9" t="str">
        <f t="shared" si="422"/>
        <v/>
      </c>
      <c r="L551" s="9" t="str">
        <f>IF(NOT(ISERROR(VLOOKUP(B551,Deflatores!G$42:H$64,2,FALSE))),VLOOKUP(B551,Deflatores!G$42:H$64,2,FALSE),IF(OR(ISBLANK(C551),ISBLANK(B551)),"",VLOOKUP(C551,Deflatores!G$4:H$38,2,FALSE)*H551+VLOOKUP(C551,Deflatores!G$4:I$38,3,FALSE)))</f>
        <v/>
      </c>
      <c r="M551" s="10"/>
      <c r="N551" s="10"/>
      <c r="O551" s="6"/>
    </row>
    <row r="552" spans="1:15" x14ac:dyDescent="0.2">
      <c r="A552" s="126"/>
      <c r="B552" s="4"/>
      <c r="C552" s="4"/>
      <c r="D552" s="7"/>
      <c r="E552" s="7"/>
      <c r="F552" s="8" t="str">
        <f t="shared" si="417"/>
        <v/>
      </c>
      <c r="G552" s="7" t="str">
        <f t="shared" si="418"/>
        <v/>
      </c>
      <c r="H552" s="5" t="str">
        <f t="shared" si="419"/>
        <v/>
      </c>
      <c r="I552" s="122" t="str">
        <f t="shared" si="420"/>
        <v/>
      </c>
      <c r="J552" s="7" t="str">
        <f t="shared" si="421"/>
        <v/>
      </c>
      <c r="K552" s="9" t="str">
        <f t="shared" si="422"/>
        <v/>
      </c>
      <c r="L552" s="9" t="str">
        <f>IF(NOT(ISERROR(VLOOKUP(B552,Deflatores!G$42:H$64,2,FALSE))),VLOOKUP(B552,Deflatores!G$42:H$64,2,FALSE),IF(OR(ISBLANK(C552),ISBLANK(B552)),"",VLOOKUP(C552,Deflatores!G$4:H$38,2,FALSE)*H552+VLOOKUP(C552,Deflatores!G$4:I$38,3,FALSE)))</f>
        <v/>
      </c>
      <c r="M552" s="10"/>
      <c r="N552" s="10"/>
      <c r="O552" s="6"/>
    </row>
    <row r="553" spans="1:15" x14ac:dyDescent="0.2">
      <c r="A553" s="126"/>
      <c r="B553" s="4"/>
      <c r="C553" s="4"/>
      <c r="D553" s="7"/>
      <c r="E553" s="7"/>
      <c r="F553" s="8" t="str">
        <f t="shared" si="417"/>
        <v/>
      </c>
      <c r="G553" s="7" t="str">
        <f t="shared" si="418"/>
        <v/>
      </c>
      <c r="H553" s="5" t="str">
        <f t="shared" si="419"/>
        <v/>
      </c>
      <c r="I553" s="122" t="str">
        <f t="shared" si="420"/>
        <v/>
      </c>
      <c r="J553" s="7" t="str">
        <f t="shared" si="421"/>
        <v/>
      </c>
      <c r="K553" s="9" t="str">
        <f t="shared" si="422"/>
        <v/>
      </c>
      <c r="L553" s="9" t="str">
        <f>IF(NOT(ISERROR(VLOOKUP(B553,Deflatores!G$42:H$64,2,FALSE))),VLOOKUP(B553,Deflatores!G$42:H$64,2,FALSE),IF(OR(ISBLANK(C553),ISBLANK(B553)),"",VLOOKUP(C553,Deflatores!G$4:H$38,2,FALSE)*H553+VLOOKUP(C553,Deflatores!G$4:I$38,3,FALSE)))</f>
        <v/>
      </c>
      <c r="M553" s="10"/>
      <c r="N553" s="10"/>
      <c r="O553" s="6"/>
    </row>
    <row r="554" spans="1:15" x14ac:dyDescent="0.2">
      <c r="A554" s="126"/>
      <c r="B554" s="4"/>
      <c r="C554" s="4"/>
      <c r="D554" s="7"/>
      <c r="E554" s="7"/>
      <c r="F554" s="8" t="str">
        <f t="shared" si="417"/>
        <v/>
      </c>
      <c r="G554" s="7" t="str">
        <f t="shared" si="418"/>
        <v/>
      </c>
      <c r="H554" s="5" t="str">
        <f t="shared" si="419"/>
        <v/>
      </c>
      <c r="I554" s="122" t="str">
        <f t="shared" si="420"/>
        <v/>
      </c>
      <c r="J554" s="7" t="str">
        <f t="shared" si="421"/>
        <v/>
      </c>
      <c r="K554" s="9" t="str">
        <f t="shared" si="422"/>
        <v/>
      </c>
      <c r="L554" s="9" t="str">
        <f>IF(NOT(ISERROR(VLOOKUP(B554,Deflatores!G$42:H$64,2,FALSE))),VLOOKUP(B554,Deflatores!G$42:H$64,2,FALSE),IF(OR(ISBLANK(C554),ISBLANK(B554)),"",VLOOKUP(C554,Deflatores!G$4:H$38,2,FALSE)*H554+VLOOKUP(C554,Deflatores!G$4:I$38,3,FALSE)))</f>
        <v/>
      </c>
      <c r="M554" s="10"/>
      <c r="N554" s="10"/>
      <c r="O554" s="6"/>
    </row>
    <row r="555" spans="1:15" x14ac:dyDescent="0.2">
      <c r="A555" s="126"/>
      <c r="B555" s="4"/>
      <c r="C555" s="4"/>
      <c r="D555" s="7"/>
      <c r="E555" s="7"/>
      <c r="F555" s="8" t="str">
        <f t="shared" si="417"/>
        <v/>
      </c>
      <c r="G555" s="7" t="str">
        <f t="shared" si="418"/>
        <v/>
      </c>
      <c r="H555" s="5" t="str">
        <f t="shared" si="419"/>
        <v/>
      </c>
      <c r="I555" s="122" t="str">
        <f t="shared" si="420"/>
        <v/>
      </c>
      <c r="J555" s="7" t="str">
        <f t="shared" si="421"/>
        <v/>
      </c>
      <c r="K555" s="9" t="str">
        <f t="shared" si="422"/>
        <v/>
      </c>
      <c r="L555" s="9" t="str">
        <f>IF(NOT(ISERROR(VLOOKUP(B555,Deflatores!G$42:H$64,2,FALSE))),VLOOKUP(B555,Deflatores!G$42:H$64,2,FALSE),IF(OR(ISBLANK(C555),ISBLANK(B555)),"",VLOOKUP(C555,Deflatores!G$4:H$38,2,FALSE)*H555+VLOOKUP(C555,Deflatores!G$4:I$38,3,FALSE)))</f>
        <v/>
      </c>
      <c r="M555" s="10"/>
      <c r="N555" s="10"/>
      <c r="O555" s="6"/>
    </row>
    <row r="556" spans="1:15" x14ac:dyDescent="0.2">
      <c r="A556" s="126"/>
      <c r="B556" s="4"/>
      <c r="C556" s="4"/>
      <c r="D556" s="7"/>
      <c r="E556" s="7"/>
      <c r="F556" s="8" t="str">
        <f t="shared" si="417"/>
        <v/>
      </c>
      <c r="G556" s="7" t="str">
        <f t="shared" si="418"/>
        <v/>
      </c>
      <c r="H556" s="5" t="str">
        <f t="shared" si="419"/>
        <v/>
      </c>
      <c r="I556" s="122" t="str">
        <f t="shared" si="420"/>
        <v/>
      </c>
      <c r="J556" s="7" t="str">
        <f t="shared" si="421"/>
        <v/>
      </c>
      <c r="K556" s="9" t="str">
        <f t="shared" si="422"/>
        <v/>
      </c>
      <c r="L556" s="9" t="str">
        <f>IF(NOT(ISERROR(VLOOKUP(B556,Deflatores!G$42:H$64,2,FALSE))),VLOOKUP(B556,Deflatores!G$42:H$64,2,FALSE),IF(OR(ISBLANK(C556),ISBLANK(B556)),"",VLOOKUP(C556,Deflatores!G$4:H$38,2,FALSE)*H556+VLOOKUP(C556,Deflatores!G$4:I$38,3,FALSE)))</f>
        <v/>
      </c>
      <c r="M556" s="10"/>
      <c r="N556" s="10"/>
      <c r="O556" s="6"/>
    </row>
    <row r="557" spans="1:15" x14ac:dyDescent="0.2">
      <c r="A557" s="126"/>
      <c r="B557" s="4"/>
      <c r="C557" s="4"/>
      <c r="D557" s="7"/>
      <c r="E557" s="7"/>
      <c r="F557" s="8" t="str">
        <f t="shared" si="417"/>
        <v/>
      </c>
      <c r="G557" s="7" t="str">
        <f t="shared" si="418"/>
        <v/>
      </c>
      <c r="H557" s="5" t="str">
        <f t="shared" si="419"/>
        <v/>
      </c>
      <c r="I557" s="122" t="str">
        <f t="shared" si="420"/>
        <v/>
      </c>
      <c r="J557" s="7" t="str">
        <f t="shared" si="421"/>
        <v/>
      </c>
      <c r="K557" s="9" t="str">
        <f t="shared" si="422"/>
        <v/>
      </c>
      <c r="L557" s="9" t="str">
        <f>IF(NOT(ISERROR(VLOOKUP(B557,Deflatores!G$42:H$64,2,FALSE))),VLOOKUP(B557,Deflatores!G$42:H$64,2,FALSE),IF(OR(ISBLANK(C557),ISBLANK(B557)),"",VLOOKUP(C557,Deflatores!G$4:H$38,2,FALSE)*H557+VLOOKUP(C557,Deflatores!G$4:I$38,3,FALSE)))</f>
        <v/>
      </c>
      <c r="M557" s="10"/>
      <c r="N557" s="10"/>
      <c r="O557" s="6"/>
    </row>
    <row r="558" spans="1:15" x14ac:dyDescent="0.2">
      <c r="A558" s="126"/>
      <c r="B558" s="4"/>
      <c r="C558" s="4"/>
      <c r="D558" s="7"/>
      <c r="E558" s="7"/>
      <c r="F558" s="8" t="str">
        <f t="shared" si="417"/>
        <v/>
      </c>
      <c r="G558" s="7" t="str">
        <f t="shared" si="418"/>
        <v/>
      </c>
      <c r="H558" s="5" t="str">
        <f t="shared" si="419"/>
        <v/>
      </c>
      <c r="I558" s="122" t="str">
        <f t="shared" si="420"/>
        <v/>
      </c>
      <c r="J558" s="7" t="str">
        <f t="shared" si="421"/>
        <v/>
      </c>
      <c r="K558" s="9" t="str">
        <f t="shared" si="422"/>
        <v/>
      </c>
      <c r="L558" s="9" t="str">
        <f>IF(NOT(ISERROR(VLOOKUP(B558,Deflatores!G$42:H$64,2,FALSE))),VLOOKUP(B558,Deflatores!G$42:H$64,2,FALSE),IF(OR(ISBLANK(C558),ISBLANK(B558)),"",VLOOKUP(C558,Deflatores!G$4:H$38,2,FALSE)*H558+VLOOKUP(C558,Deflatores!G$4:I$38,3,FALSE)))</f>
        <v/>
      </c>
      <c r="M558" s="10"/>
      <c r="N558" s="10"/>
      <c r="O558" s="6"/>
    </row>
    <row r="559" spans="1:15" x14ac:dyDescent="0.2">
      <c r="A559" s="126"/>
      <c r="B559" s="4"/>
      <c r="C559" s="4"/>
      <c r="D559" s="7"/>
      <c r="E559" s="7"/>
      <c r="F559" s="8" t="str">
        <f t="shared" si="417"/>
        <v/>
      </c>
      <c r="G559" s="7" t="str">
        <f t="shared" si="418"/>
        <v/>
      </c>
      <c r="H559" s="5" t="str">
        <f t="shared" si="419"/>
        <v/>
      </c>
      <c r="I559" s="122" t="str">
        <f t="shared" si="420"/>
        <v/>
      </c>
      <c r="J559" s="7" t="str">
        <f t="shared" si="421"/>
        <v/>
      </c>
      <c r="K559" s="9" t="str">
        <f t="shared" si="422"/>
        <v/>
      </c>
      <c r="L559" s="9" t="str">
        <f>IF(NOT(ISERROR(VLOOKUP(B559,Deflatores!G$42:H$64,2,FALSE))),VLOOKUP(B559,Deflatores!G$42:H$64,2,FALSE),IF(OR(ISBLANK(C559),ISBLANK(B559)),"",VLOOKUP(C559,Deflatores!G$4:H$38,2,FALSE)*H559+VLOOKUP(C559,Deflatores!G$4:I$38,3,FALSE)))</f>
        <v/>
      </c>
      <c r="M559" s="10"/>
      <c r="N559" s="10"/>
      <c r="O559" s="6"/>
    </row>
    <row r="560" spans="1:15" x14ac:dyDescent="0.2">
      <c r="A560" s="126"/>
      <c r="B560" s="4"/>
      <c r="C560" s="4"/>
      <c r="D560" s="7"/>
      <c r="E560" s="7"/>
      <c r="F560" s="8" t="str">
        <f t="shared" si="417"/>
        <v/>
      </c>
      <c r="G560" s="7" t="str">
        <f t="shared" si="418"/>
        <v/>
      </c>
      <c r="H560" s="5" t="str">
        <f t="shared" si="419"/>
        <v/>
      </c>
      <c r="I560" s="122" t="str">
        <f t="shared" si="420"/>
        <v/>
      </c>
      <c r="J560" s="7" t="str">
        <f t="shared" si="421"/>
        <v/>
      </c>
      <c r="K560" s="9" t="str">
        <f t="shared" si="422"/>
        <v/>
      </c>
      <c r="L560" s="9" t="str">
        <f>IF(NOT(ISERROR(VLOOKUP(B560,Deflatores!G$42:H$64,2,FALSE))),VLOOKUP(B560,Deflatores!G$42:H$64,2,FALSE),IF(OR(ISBLANK(C560),ISBLANK(B560)),"",VLOOKUP(C560,Deflatores!G$4:H$38,2,FALSE)*H560+VLOOKUP(C560,Deflatores!G$4:I$38,3,FALSE)))</f>
        <v/>
      </c>
      <c r="M560" s="10"/>
      <c r="N560" s="10"/>
      <c r="O560" s="6"/>
    </row>
    <row r="561" spans="1:15" x14ac:dyDescent="0.2">
      <c r="A561" s="126"/>
      <c r="B561" s="4"/>
      <c r="C561" s="4"/>
      <c r="D561" s="7"/>
      <c r="E561" s="7"/>
      <c r="F561" s="8" t="str">
        <f t="shared" si="417"/>
        <v/>
      </c>
      <c r="G561" s="7" t="str">
        <f t="shared" si="418"/>
        <v/>
      </c>
      <c r="H561" s="5" t="str">
        <f t="shared" si="419"/>
        <v/>
      </c>
      <c r="I561" s="122" t="str">
        <f t="shared" si="420"/>
        <v/>
      </c>
      <c r="J561" s="7" t="str">
        <f t="shared" si="421"/>
        <v/>
      </c>
      <c r="K561" s="9" t="str">
        <f t="shared" si="422"/>
        <v/>
      </c>
      <c r="L561" s="9" t="str">
        <f>IF(NOT(ISERROR(VLOOKUP(B561,Deflatores!G$42:H$64,2,FALSE))),VLOOKUP(B561,Deflatores!G$42:H$64,2,FALSE),IF(OR(ISBLANK(C561),ISBLANK(B561)),"",VLOOKUP(C561,Deflatores!G$4:H$38,2,FALSE)*H561+VLOOKUP(C561,Deflatores!G$4:I$38,3,FALSE)))</f>
        <v/>
      </c>
      <c r="M561" s="10"/>
      <c r="N561" s="10"/>
      <c r="O561" s="6"/>
    </row>
    <row r="562" spans="1:15" x14ac:dyDescent="0.2">
      <c r="A562" s="126"/>
      <c r="B562" s="4"/>
      <c r="C562" s="4"/>
      <c r="D562" s="7"/>
      <c r="E562" s="7"/>
      <c r="F562" s="8" t="str">
        <f t="shared" si="417"/>
        <v/>
      </c>
      <c r="G562" s="7" t="str">
        <f t="shared" si="418"/>
        <v/>
      </c>
      <c r="H562" s="5" t="str">
        <f t="shared" si="419"/>
        <v/>
      </c>
      <c r="I562" s="122" t="str">
        <f t="shared" si="420"/>
        <v/>
      </c>
      <c r="J562" s="7" t="str">
        <f t="shared" si="421"/>
        <v/>
      </c>
      <c r="K562" s="9" t="str">
        <f t="shared" si="422"/>
        <v/>
      </c>
      <c r="L562" s="9" t="str">
        <f>IF(NOT(ISERROR(VLOOKUP(B562,Deflatores!G$42:H$64,2,FALSE))),VLOOKUP(B562,Deflatores!G$42:H$64,2,FALSE),IF(OR(ISBLANK(C562),ISBLANK(B562)),"",VLOOKUP(C562,Deflatores!G$4:H$38,2,FALSE)*H562+VLOOKUP(C562,Deflatores!G$4:I$38,3,FALSE)))</f>
        <v/>
      </c>
      <c r="M562" s="10"/>
      <c r="N562" s="10"/>
      <c r="O562" s="6"/>
    </row>
    <row r="563" spans="1:15" x14ac:dyDescent="0.2">
      <c r="A563" s="126"/>
      <c r="B563" s="4"/>
      <c r="C563" s="4"/>
      <c r="D563" s="7"/>
      <c r="E563" s="7"/>
      <c r="F563" s="8" t="str">
        <f t="shared" si="417"/>
        <v/>
      </c>
      <c r="G563" s="7" t="str">
        <f t="shared" si="418"/>
        <v/>
      </c>
      <c r="H563" s="5" t="str">
        <f t="shared" si="419"/>
        <v/>
      </c>
      <c r="I563" s="122" t="str">
        <f t="shared" si="420"/>
        <v/>
      </c>
      <c r="J563" s="7" t="str">
        <f t="shared" si="421"/>
        <v/>
      </c>
      <c r="K563" s="9" t="str">
        <f t="shared" si="422"/>
        <v/>
      </c>
      <c r="L563" s="9" t="str">
        <f>IF(NOT(ISERROR(VLOOKUP(B563,Deflatores!G$42:H$64,2,FALSE))),VLOOKUP(B563,Deflatores!G$42:H$64,2,FALSE),IF(OR(ISBLANK(C563),ISBLANK(B563)),"",VLOOKUP(C563,Deflatores!G$4:H$38,2,FALSE)*H563+VLOOKUP(C563,Deflatores!G$4:I$38,3,FALSE)))</f>
        <v/>
      </c>
      <c r="M563" s="10"/>
      <c r="N563" s="10"/>
      <c r="O563" s="6"/>
    </row>
    <row r="564" spans="1:15" x14ac:dyDescent="0.2">
      <c r="A564" s="126"/>
      <c r="B564" s="4"/>
      <c r="C564" s="4"/>
      <c r="D564" s="7"/>
      <c r="E564" s="7"/>
      <c r="F564" s="8" t="str">
        <f t="shared" si="417"/>
        <v/>
      </c>
      <c r="G564" s="7" t="str">
        <f t="shared" si="418"/>
        <v/>
      </c>
      <c r="H564" s="5" t="str">
        <f t="shared" si="419"/>
        <v/>
      </c>
      <c r="I564" s="122" t="str">
        <f t="shared" si="420"/>
        <v/>
      </c>
      <c r="J564" s="7" t="str">
        <f t="shared" si="421"/>
        <v/>
      </c>
      <c r="K564" s="9" t="str">
        <f t="shared" si="422"/>
        <v/>
      </c>
      <c r="L564" s="9" t="str">
        <f>IF(NOT(ISERROR(VLOOKUP(B564,Deflatores!G$42:H$64,2,FALSE))),VLOOKUP(B564,Deflatores!G$42:H$64,2,FALSE),IF(OR(ISBLANK(C564),ISBLANK(B564)),"",VLOOKUP(C564,Deflatores!G$4:H$38,2,FALSE)*H564+VLOOKUP(C564,Deflatores!G$4:I$38,3,FALSE)))</f>
        <v/>
      </c>
      <c r="M564" s="10"/>
      <c r="N564" s="10"/>
      <c r="O564" s="6"/>
    </row>
    <row r="565" spans="1:15" x14ac:dyDescent="0.2">
      <c r="A565" s="126"/>
      <c r="B565" s="4"/>
      <c r="C565" s="4"/>
      <c r="D565" s="7"/>
      <c r="E565" s="7"/>
      <c r="F565" s="8" t="str">
        <f t="shared" si="417"/>
        <v/>
      </c>
      <c r="G565" s="7" t="str">
        <f t="shared" si="418"/>
        <v/>
      </c>
      <c r="H565" s="5" t="str">
        <f t="shared" si="419"/>
        <v/>
      </c>
      <c r="I565" s="122" t="str">
        <f t="shared" si="420"/>
        <v/>
      </c>
      <c r="J565" s="7" t="str">
        <f t="shared" si="421"/>
        <v/>
      </c>
      <c r="K565" s="9" t="str">
        <f t="shared" si="422"/>
        <v/>
      </c>
      <c r="L565" s="9" t="str">
        <f>IF(NOT(ISERROR(VLOOKUP(B565,Deflatores!G$42:H$64,2,FALSE))),VLOOKUP(B565,Deflatores!G$42:H$64,2,FALSE),IF(OR(ISBLANK(C565),ISBLANK(B565)),"",VLOOKUP(C565,Deflatores!G$4:H$38,2,FALSE)*H565+VLOOKUP(C565,Deflatores!G$4:I$38,3,FALSE)))</f>
        <v/>
      </c>
      <c r="M565" s="10"/>
      <c r="N565" s="10"/>
      <c r="O565" s="6"/>
    </row>
    <row r="566" spans="1:15" x14ac:dyDescent="0.2">
      <c r="A566" s="126"/>
      <c r="B566" s="4"/>
      <c r="C566" s="4"/>
      <c r="D566" s="7"/>
      <c r="E566" s="7"/>
      <c r="F566" s="8" t="str">
        <f t="shared" si="417"/>
        <v/>
      </c>
      <c r="G566" s="7" t="str">
        <f t="shared" si="418"/>
        <v/>
      </c>
      <c r="H566" s="5" t="str">
        <f t="shared" si="419"/>
        <v/>
      </c>
      <c r="I566" s="122" t="str">
        <f t="shared" si="420"/>
        <v/>
      </c>
      <c r="J566" s="7" t="str">
        <f t="shared" si="421"/>
        <v/>
      </c>
      <c r="K566" s="9" t="str">
        <f t="shared" si="422"/>
        <v/>
      </c>
      <c r="L566" s="9" t="str">
        <f>IF(NOT(ISERROR(VLOOKUP(B566,Deflatores!G$42:H$64,2,FALSE))),VLOOKUP(B566,Deflatores!G$42:H$64,2,FALSE),IF(OR(ISBLANK(C566),ISBLANK(B566)),"",VLOOKUP(C566,Deflatores!G$4:H$38,2,FALSE)*H566+VLOOKUP(C566,Deflatores!G$4:I$38,3,FALSE)))</f>
        <v/>
      </c>
      <c r="M566" s="10"/>
      <c r="N566" s="10"/>
      <c r="O566" s="6"/>
    </row>
    <row r="567" spans="1:15" x14ac:dyDescent="0.2">
      <c r="A567" s="126"/>
      <c r="B567" s="4"/>
      <c r="C567" s="4"/>
      <c r="D567" s="7"/>
      <c r="E567" s="7"/>
      <c r="F567" s="8" t="str">
        <f t="shared" si="417"/>
        <v/>
      </c>
      <c r="G567" s="7" t="str">
        <f t="shared" si="418"/>
        <v/>
      </c>
      <c r="H567" s="5" t="str">
        <f t="shared" si="419"/>
        <v/>
      </c>
      <c r="I567" s="122" t="str">
        <f t="shared" si="420"/>
        <v/>
      </c>
      <c r="J567" s="7" t="str">
        <f t="shared" si="421"/>
        <v/>
      </c>
      <c r="K567" s="9" t="str">
        <f t="shared" si="422"/>
        <v/>
      </c>
      <c r="L567" s="9" t="str">
        <f>IF(NOT(ISERROR(VLOOKUP(B567,Deflatores!G$42:H$64,2,FALSE))),VLOOKUP(B567,Deflatores!G$42:H$64,2,FALSE),IF(OR(ISBLANK(C567),ISBLANK(B567)),"",VLOOKUP(C567,Deflatores!G$4:H$38,2,FALSE)*H567+VLOOKUP(C567,Deflatores!G$4:I$38,3,FALSE)))</f>
        <v/>
      </c>
      <c r="M567" s="10"/>
      <c r="N567" s="10"/>
      <c r="O567" s="6"/>
    </row>
    <row r="568" spans="1:15" x14ac:dyDescent="0.2">
      <c r="A568" s="126"/>
      <c r="B568" s="4"/>
      <c r="C568" s="4"/>
      <c r="D568" s="7"/>
      <c r="E568" s="7"/>
      <c r="F568" s="8" t="str">
        <f t="shared" si="417"/>
        <v/>
      </c>
      <c r="G568" s="7" t="str">
        <f t="shared" si="418"/>
        <v/>
      </c>
      <c r="H568" s="5" t="str">
        <f t="shared" si="419"/>
        <v/>
      </c>
      <c r="I568" s="122" t="str">
        <f t="shared" si="420"/>
        <v/>
      </c>
      <c r="J568" s="7" t="str">
        <f t="shared" si="421"/>
        <v/>
      </c>
      <c r="K568" s="9" t="str">
        <f t="shared" si="422"/>
        <v/>
      </c>
      <c r="L568" s="9" t="str">
        <f>IF(NOT(ISERROR(VLOOKUP(B568,Deflatores!G$42:H$64,2,FALSE))),VLOOKUP(B568,Deflatores!G$42:H$64,2,FALSE),IF(OR(ISBLANK(C568),ISBLANK(B568)),"",VLOOKUP(C568,Deflatores!G$4:H$38,2,FALSE)*H568+VLOOKUP(C568,Deflatores!G$4:I$38,3,FALSE)))</f>
        <v/>
      </c>
      <c r="M568" s="10"/>
      <c r="N568" s="10"/>
      <c r="O568" s="6"/>
    </row>
    <row r="569" spans="1:15" x14ac:dyDescent="0.2">
      <c r="A569" s="126"/>
      <c r="B569" s="4"/>
      <c r="C569" s="4"/>
      <c r="D569" s="7"/>
      <c r="E569" s="7"/>
      <c r="F569" s="8" t="str">
        <f t="shared" si="417"/>
        <v/>
      </c>
      <c r="G569" s="7" t="str">
        <f t="shared" si="418"/>
        <v/>
      </c>
      <c r="H569" s="5" t="str">
        <f t="shared" si="419"/>
        <v/>
      </c>
      <c r="I569" s="122" t="str">
        <f t="shared" si="420"/>
        <v/>
      </c>
      <c r="J569" s="7" t="str">
        <f t="shared" si="421"/>
        <v/>
      </c>
      <c r="K569" s="9" t="str">
        <f t="shared" si="422"/>
        <v/>
      </c>
      <c r="L569" s="9" t="str">
        <f>IF(NOT(ISERROR(VLOOKUP(B569,Deflatores!G$42:H$64,2,FALSE))),VLOOKUP(B569,Deflatores!G$42:H$64,2,FALSE),IF(OR(ISBLANK(C569),ISBLANK(B569)),"",VLOOKUP(C569,Deflatores!G$4:H$38,2,FALSE)*H569+VLOOKUP(C569,Deflatores!G$4:I$38,3,FALSE)))</f>
        <v/>
      </c>
      <c r="M569" s="10"/>
      <c r="N569" s="10"/>
      <c r="O569" s="6"/>
    </row>
    <row r="570" spans="1:15" x14ac:dyDescent="0.2">
      <c r="A570" s="126"/>
      <c r="B570" s="4"/>
      <c r="C570" s="4"/>
      <c r="D570" s="7"/>
      <c r="E570" s="7"/>
      <c r="F570" s="8" t="str">
        <f t="shared" si="417"/>
        <v/>
      </c>
      <c r="G570" s="7" t="str">
        <f t="shared" si="418"/>
        <v/>
      </c>
      <c r="H570" s="5" t="str">
        <f t="shared" si="419"/>
        <v/>
      </c>
      <c r="I570" s="122" t="str">
        <f t="shared" si="420"/>
        <v/>
      </c>
      <c r="J570" s="7" t="str">
        <f t="shared" si="421"/>
        <v/>
      </c>
      <c r="K570" s="9" t="str">
        <f t="shared" si="422"/>
        <v/>
      </c>
      <c r="L570" s="9" t="str">
        <f>IF(NOT(ISERROR(VLOOKUP(B570,Deflatores!G$42:H$64,2,FALSE))),VLOOKUP(B570,Deflatores!G$42:H$64,2,FALSE),IF(OR(ISBLANK(C570),ISBLANK(B570)),"",VLOOKUP(C570,Deflatores!G$4:H$38,2,FALSE)*H570+VLOOKUP(C570,Deflatores!G$4:I$38,3,FALSE)))</f>
        <v/>
      </c>
      <c r="M570" s="10"/>
      <c r="N570" s="10"/>
      <c r="O570" s="6"/>
    </row>
    <row r="571" spans="1:15" x14ac:dyDescent="0.2">
      <c r="A571" s="126"/>
      <c r="B571" s="4"/>
      <c r="C571" s="4"/>
      <c r="D571" s="7"/>
      <c r="E571" s="7"/>
      <c r="F571" s="8" t="str">
        <f t="shared" si="417"/>
        <v/>
      </c>
      <c r="G571" s="7" t="str">
        <f t="shared" si="418"/>
        <v/>
      </c>
      <c r="H571" s="5" t="str">
        <f t="shared" si="419"/>
        <v/>
      </c>
      <c r="I571" s="122" t="str">
        <f t="shared" si="420"/>
        <v/>
      </c>
      <c r="J571" s="7" t="str">
        <f t="shared" si="421"/>
        <v/>
      </c>
      <c r="K571" s="9" t="str">
        <f t="shared" si="422"/>
        <v/>
      </c>
      <c r="L571" s="9" t="str">
        <f>IF(NOT(ISERROR(VLOOKUP(B571,Deflatores!G$42:H$64,2,FALSE))),VLOOKUP(B571,Deflatores!G$42:H$64,2,FALSE),IF(OR(ISBLANK(C571),ISBLANK(B571)),"",VLOOKUP(C571,Deflatores!G$4:H$38,2,FALSE)*H571+VLOOKUP(C571,Deflatores!G$4:I$38,3,FALSE)))</f>
        <v/>
      </c>
      <c r="M571" s="10"/>
      <c r="N571" s="10"/>
      <c r="O571" s="6"/>
    </row>
    <row r="572" spans="1:15" x14ac:dyDescent="0.2">
      <c r="A572" s="126"/>
      <c r="B572" s="4"/>
      <c r="C572" s="4"/>
      <c r="D572" s="7"/>
      <c r="E572" s="7"/>
      <c r="F572" s="8" t="str">
        <f t="shared" si="417"/>
        <v/>
      </c>
      <c r="G572" s="7" t="str">
        <f t="shared" si="418"/>
        <v/>
      </c>
      <c r="H572" s="5" t="str">
        <f t="shared" si="419"/>
        <v/>
      </c>
      <c r="I572" s="122" t="str">
        <f t="shared" si="420"/>
        <v/>
      </c>
      <c r="J572" s="7" t="str">
        <f t="shared" si="421"/>
        <v/>
      </c>
      <c r="K572" s="9" t="str">
        <f t="shared" si="422"/>
        <v/>
      </c>
      <c r="L572" s="9" t="str">
        <f>IF(NOT(ISERROR(VLOOKUP(B572,Deflatores!G$42:H$64,2,FALSE))),VLOOKUP(B572,Deflatores!G$42:H$64,2,FALSE),IF(OR(ISBLANK(C572),ISBLANK(B572)),"",VLOOKUP(C572,Deflatores!G$4:H$38,2,FALSE)*H572+VLOOKUP(C572,Deflatores!G$4:I$38,3,FALSE)))</f>
        <v/>
      </c>
      <c r="M572" s="10"/>
      <c r="N572" s="10"/>
      <c r="O572" s="6"/>
    </row>
    <row r="573" spans="1:15" x14ac:dyDescent="0.2">
      <c r="A573" s="126"/>
      <c r="B573" s="4"/>
      <c r="C573" s="4"/>
      <c r="D573" s="7"/>
      <c r="E573" s="7"/>
      <c r="F573" s="8" t="str">
        <f t="shared" si="417"/>
        <v/>
      </c>
      <c r="G573" s="7" t="str">
        <f t="shared" si="418"/>
        <v/>
      </c>
      <c r="H573" s="5" t="str">
        <f t="shared" si="419"/>
        <v/>
      </c>
      <c r="I573" s="122" t="str">
        <f t="shared" si="420"/>
        <v/>
      </c>
      <c r="J573" s="7" t="str">
        <f t="shared" si="421"/>
        <v/>
      </c>
      <c r="K573" s="9" t="str">
        <f t="shared" si="422"/>
        <v/>
      </c>
      <c r="L573" s="9" t="str">
        <f>IF(NOT(ISERROR(VLOOKUP(B573,Deflatores!G$42:H$64,2,FALSE))),VLOOKUP(B573,Deflatores!G$42:H$64,2,FALSE),IF(OR(ISBLANK(C573),ISBLANK(B573)),"",VLOOKUP(C573,Deflatores!G$4:H$38,2,FALSE)*H573+VLOOKUP(C573,Deflatores!G$4:I$38,3,FALSE)))</f>
        <v/>
      </c>
      <c r="M573" s="10"/>
      <c r="N573" s="10"/>
      <c r="O573" s="6"/>
    </row>
    <row r="574" spans="1:15" x14ac:dyDescent="0.2">
      <c r="A574" s="126"/>
      <c r="B574" s="4"/>
      <c r="C574" s="4"/>
      <c r="D574" s="7"/>
      <c r="E574" s="7"/>
      <c r="F574" s="8" t="str">
        <f t="shared" si="417"/>
        <v/>
      </c>
      <c r="G574" s="7" t="str">
        <f t="shared" si="418"/>
        <v/>
      </c>
      <c r="H574" s="5" t="str">
        <f t="shared" si="419"/>
        <v/>
      </c>
      <c r="I574" s="122" t="str">
        <f t="shared" si="420"/>
        <v/>
      </c>
      <c r="J574" s="7" t="str">
        <f t="shared" si="421"/>
        <v/>
      </c>
      <c r="K574" s="9" t="str">
        <f t="shared" si="422"/>
        <v/>
      </c>
      <c r="L574" s="9" t="str">
        <f>IF(NOT(ISERROR(VLOOKUP(B574,Deflatores!G$42:H$64,2,FALSE))),VLOOKUP(B574,Deflatores!G$42:H$64,2,FALSE),IF(OR(ISBLANK(C574),ISBLANK(B574)),"",VLOOKUP(C574,Deflatores!G$4:H$38,2,FALSE)*H574+VLOOKUP(C574,Deflatores!G$4:I$38,3,FALSE)))</f>
        <v/>
      </c>
      <c r="M574" s="10"/>
      <c r="N574" s="10"/>
      <c r="O574" s="6"/>
    </row>
    <row r="575" spans="1:15" x14ac:dyDescent="0.2">
      <c r="A575" s="126"/>
      <c r="B575" s="4"/>
      <c r="C575" s="4"/>
      <c r="D575" s="7"/>
      <c r="E575" s="7"/>
      <c r="F575" s="8" t="str">
        <f t="shared" si="417"/>
        <v/>
      </c>
      <c r="G575" s="7" t="str">
        <f t="shared" si="418"/>
        <v/>
      </c>
      <c r="H575" s="5" t="str">
        <f t="shared" si="419"/>
        <v/>
      </c>
      <c r="I575" s="122" t="str">
        <f t="shared" si="420"/>
        <v/>
      </c>
      <c r="J575" s="7" t="str">
        <f t="shared" si="421"/>
        <v/>
      </c>
      <c r="K575" s="9" t="str">
        <f t="shared" si="422"/>
        <v/>
      </c>
      <c r="L575" s="9" t="str">
        <f>IF(NOT(ISERROR(VLOOKUP(B575,Deflatores!G$42:H$64,2,FALSE))),VLOOKUP(B575,Deflatores!G$42:H$64,2,FALSE),IF(OR(ISBLANK(C575),ISBLANK(B575)),"",VLOOKUP(C575,Deflatores!G$4:H$38,2,FALSE)*H575+VLOOKUP(C575,Deflatores!G$4:I$38,3,FALSE)))</f>
        <v/>
      </c>
      <c r="M575" s="10"/>
      <c r="N575" s="10"/>
      <c r="O575" s="6"/>
    </row>
    <row r="576" spans="1:15" x14ac:dyDescent="0.2">
      <c r="A576" s="126"/>
      <c r="B576" s="4"/>
      <c r="C576" s="4"/>
      <c r="D576" s="7"/>
      <c r="E576" s="7"/>
      <c r="F576" s="8" t="str">
        <f t="shared" si="417"/>
        <v/>
      </c>
      <c r="G576" s="7" t="str">
        <f t="shared" si="418"/>
        <v/>
      </c>
      <c r="H576" s="5" t="str">
        <f t="shared" si="419"/>
        <v/>
      </c>
      <c r="I576" s="122" t="str">
        <f t="shared" si="420"/>
        <v/>
      </c>
      <c r="J576" s="7" t="str">
        <f t="shared" si="421"/>
        <v/>
      </c>
      <c r="K576" s="9" t="str">
        <f t="shared" si="422"/>
        <v/>
      </c>
      <c r="L576" s="9" t="str">
        <f>IF(NOT(ISERROR(VLOOKUP(B576,Deflatores!G$42:H$64,2,FALSE))),VLOOKUP(B576,Deflatores!G$42:H$64,2,FALSE),IF(OR(ISBLANK(C576),ISBLANK(B576)),"",VLOOKUP(C576,Deflatores!G$4:H$38,2,FALSE)*H576+VLOOKUP(C576,Deflatores!G$4:I$38,3,FALSE)))</f>
        <v/>
      </c>
      <c r="M576" s="10"/>
      <c r="N576" s="10"/>
      <c r="O576" s="6"/>
    </row>
    <row r="577" spans="1:15" x14ac:dyDescent="0.2">
      <c r="A577" s="126"/>
      <c r="B577" s="4"/>
      <c r="C577" s="4"/>
      <c r="D577" s="7"/>
      <c r="E577" s="7"/>
      <c r="F577" s="8" t="str">
        <f t="shared" si="417"/>
        <v/>
      </c>
      <c r="G577" s="7" t="str">
        <f t="shared" si="418"/>
        <v/>
      </c>
      <c r="H577" s="5" t="str">
        <f t="shared" si="419"/>
        <v/>
      </c>
      <c r="I577" s="122" t="str">
        <f t="shared" si="420"/>
        <v/>
      </c>
      <c r="J577" s="7" t="str">
        <f t="shared" si="421"/>
        <v/>
      </c>
      <c r="K577" s="9" t="str">
        <f t="shared" si="422"/>
        <v/>
      </c>
      <c r="L577" s="9" t="str">
        <f>IF(NOT(ISERROR(VLOOKUP(B577,Deflatores!G$42:H$64,2,FALSE))),VLOOKUP(B577,Deflatores!G$42:H$64,2,FALSE),IF(OR(ISBLANK(C577),ISBLANK(B577)),"",VLOOKUP(C577,Deflatores!G$4:H$38,2,FALSE)*H577+VLOOKUP(C577,Deflatores!G$4:I$38,3,FALSE)))</f>
        <v/>
      </c>
      <c r="M577" s="10"/>
      <c r="N577" s="10"/>
      <c r="O577" s="6"/>
    </row>
    <row r="578" spans="1:15" x14ac:dyDescent="0.2">
      <c r="A578" s="126"/>
      <c r="B578" s="4"/>
      <c r="C578" s="4"/>
      <c r="D578" s="7"/>
      <c r="E578" s="7"/>
      <c r="F578" s="8" t="str">
        <f t="shared" si="417"/>
        <v/>
      </c>
      <c r="G578" s="7" t="str">
        <f t="shared" si="418"/>
        <v/>
      </c>
      <c r="H578" s="5" t="str">
        <f t="shared" si="419"/>
        <v/>
      </c>
      <c r="I578" s="122" t="str">
        <f t="shared" si="420"/>
        <v/>
      </c>
      <c r="J578" s="7" t="str">
        <f t="shared" si="421"/>
        <v/>
      </c>
      <c r="K578" s="9" t="str">
        <f t="shared" si="422"/>
        <v/>
      </c>
      <c r="L578" s="9" t="str">
        <f>IF(NOT(ISERROR(VLOOKUP(B578,Deflatores!G$42:H$64,2,FALSE))),VLOOKUP(B578,Deflatores!G$42:H$64,2,FALSE),IF(OR(ISBLANK(C578),ISBLANK(B578)),"",VLOOKUP(C578,Deflatores!G$4:H$38,2,FALSE)*H578+VLOOKUP(C578,Deflatores!G$4:I$38,3,FALSE)))</f>
        <v/>
      </c>
      <c r="M578" s="10"/>
      <c r="N578" s="10"/>
      <c r="O578" s="6"/>
    </row>
    <row r="579" spans="1:15" x14ac:dyDescent="0.2">
      <c r="A579" s="126"/>
      <c r="B579" s="4"/>
      <c r="C579" s="4"/>
      <c r="D579" s="7"/>
      <c r="E579" s="7"/>
      <c r="F579" s="8" t="str">
        <f t="shared" si="417"/>
        <v/>
      </c>
      <c r="G579" s="7" t="str">
        <f t="shared" si="418"/>
        <v/>
      </c>
      <c r="H579" s="5" t="str">
        <f t="shared" si="419"/>
        <v/>
      </c>
      <c r="I579" s="122" t="str">
        <f t="shared" si="420"/>
        <v/>
      </c>
      <c r="J579" s="7" t="str">
        <f t="shared" si="421"/>
        <v/>
      </c>
      <c r="K579" s="9" t="str">
        <f t="shared" si="422"/>
        <v/>
      </c>
      <c r="L579" s="9" t="str">
        <f>IF(NOT(ISERROR(VLOOKUP(B579,Deflatores!G$42:H$64,2,FALSE))),VLOOKUP(B579,Deflatores!G$42:H$64,2,FALSE),IF(OR(ISBLANK(C579),ISBLANK(B579)),"",VLOOKUP(C579,Deflatores!G$4:H$38,2,FALSE)*H579+VLOOKUP(C579,Deflatores!G$4:I$38,3,FALSE)))</f>
        <v/>
      </c>
      <c r="M579" s="10"/>
      <c r="N579" s="10"/>
      <c r="O579" s="6"/>
    </row>
    <row r="580" spans="1:15" x14ac:dyDescent="0.2">
      <c r="A580" s="126"/>
      <c r="B580" s="4"/>
      <c r="C580" s="4"/>
      <c r="D580" s="7"/>
      <c r="E580" s="7"/>
      <c r="F580" s="8" t="str">
        <f t="shared" si="417"/>
        <v/>
      </c>
      <c r="G580" s="7" t="str">
        <f t="shared" si="418"/>
        <v/>
      </c>
      <c r="H580" s="5" t="str">
        <f t="shared" si="419"/>
        <v/>
      </c>
      <c r="I580" s="122" t="str">
        <f t="shared" si="420"/>
        <v/>
      </c>
      <c r="J580" s="7" t="str">
        <f t="shared" si="421"/>
        <v/>
      </c>
      <c r="K580" s="9" t="str">
        <f t="shared" si="422"/>
        <v/>
      </c>
      <c r="L580" s="9" t="str">
        <f>IF(NOT(ISERROR(VLOOKUP(B580,Deflatores!G$42:H$64,2,FALSE))),VLOOKUP(B580,Deflatores!G$42:H$64,2,FALSE),IF(OR(ISBLANK(C580),ISBLANK(B580)),"",VLOOKUP(C580,Deflatores!G$4:H$38,2,FALSE)*H580+VLOOKUP(C580,Deflatores!G$4:I$38,3,FALSE)))</f>
        <v/>
      </c>
      <c r="M580" s="10"/>
      <c r="N580" s="10"/>
      <c r="O580" s="6"/>
    </row>
    <row r="581" spans="1:15" x14ac:dyDescent="0.2">
      <c r="A581" s="126"/>
      <c r="B581" s="4"/>
      <c r="C581" s="4"/>
      <c r="D581" s="7"/>
      <c r="E581" s="7"/>
      <c r="F581" s="8" t="str">
        <f t="shared" si="417"/>
        <v/>
      </c>
      <c r="G581" s="7" t="str">
        <f t="shared" si="418"/>
        <v/>
      </c>
      <c r="H581" s="5" t="str">
        <f t="shared" si="419"/>
        <v/>
      </c>
      <c r="I581" s="122" t="str">
        <f t="shared" si="420"/>
        <v/>
      </c>
      <c r="J581" s="7" t="str">
        <f t="shared" si="421"/>
        <v/>
      </c>
      <c r="K581" s="9" t="str">
        <f t="shared" si="422"/>
        <v/>
      </c>
      <c r="L581" s="9" t="str">
        <f>IF(NOT(ISERROR(VLOOKUP(B581,Deflatores!G$42:H$64,2,FALSE))),VLOOKUP(B581,Deflatores!G$42:H$64,2,FALSE),IF(OR(ISBLANK(C581),ISBLANK(B581)),"",VLOOKUP(C581,Deflatores!G$4:H$38,2,FALSE)*H581+VLOOKUP(C581,Deflatores!G$4:I$38,3,FALSE)))</f>
        <v/>
      </c>
      <c r="M581" s="10"/>
      <c r="N581" s="10"/>
      <c r="O581" s="6"/>
    </row>
    <row r="582" spans="1:15" x14ac:dyDescent="0.2">
      <c r="A582" s="126"/>
      <c r="B582" s="4"/>
      <c r="C582" s="4"/>
      <c r="D582" s="7"/>
      <c r="E582" s="7"/>
      <c r="F582" s="8" t="str">
        <f t="shared" si="417"/>
        <v/>
      </c>
      <c r="G582" s="7" t="str">
        <f t="shared" si="418"/>
        <v/>
      </c>
      <c r="H582" s="5" t="str">
        <f t="shared" si="419"/>
        <v/>
      </c>
      <c r="I582" s="122" t="str">
        <f t="shared" si="420"/>
        <v/>
      </c>
      <c r="J582" s="7" t="str">
        <f t="shared" si="421"/>
        <v/>
      </c>
      <c r="K582" s="9" t="str">
        <f t="shared" si="422"/>
        <v/>
      </c>
      <c r="L582" s="9" t="str">
        <f>IF(NOT(ISERROR(VLOOKUP(B582,Deflatores!G$42:H$64,2,FALSE))),VLOOKUP(B582,Deflatores!G$42:H$64,2,FALSE),IF(OR(ISBLANK(C582),ISBLANK(B582)),"",VLOOKUP(C582,Deflatores!G$4:H$38,2,FALSE)*H582+VLOOKUP(C582,Deflatores!G$4:I$38,3,FALSE)))</f>
        <v/>
      </c>
      <c r="M582" s="10"/>
      <c r="N582" s="10"/>
      <c r="O582" s="6"/>
    </row>
    <row r="583" spans="1:15" x14ac:dyDescent="0.2">
      <c r="A583" s="126"/>
      <c r="B583" s="4"/>
      <c r="C583" s="4"/>
      <c r="D583" s="7"/>
      <c r="E583" s="7"/>
      <c r="F583" s="8" t="str">
        <f t="shared" si="417"/>
        <v/>
      </c>
      <c r="G583" s="7" t="str">
        <f t="shared" si="418"/>
        <v/>
      </c>
      <c r="H583" s="5" t="str">
        <f t="shared" si="419"/>
        <v/>
      </c>
      <c r="I583" s="122" t="str">
        <f t="shared" si="420"/>
        <v/>
      </c>
      <c r="J583" s="7" t="str">
        <f t="shared" si="421"/>
        <v/>
      </c>
      <c r="K583" s="9" t="str">
        <f t="shared" si="422"/>
        <v/>
      </c>
      <c r="L583" s="9" t="str">
        <f>IF(NOT(ISERROR(VLOOKUP(B583,Deflatores!G$42:H$64,2,FALSE))),VLOOKUP(B583,Deflatores!G$42:H$64,2,FALSE),IF(OR(ISBLANK(C583),ISBLANK(B583)),"",VLOOKUP(C583,Deflatores!G$4:H$38,2,FALSE)*H583+VLOOKUP(C583,Deflatores!G$4:I$38,3,FALSE)))</f>
        <v/>
      </c>
      <c r="M583" s="10"/>
      <c r="N583" s="10"/>
      <c r="O583" s="6"/>
    </row>
    <row r="584" spans="1:15" x14ac:dyDescent="0.2">
      <c r="A584" s="126"/>
      <c r="B584" s="4"/>
      <c r="C584" s="4"/>
      <c r="D584" s="7"/>
      <c r="E584" s="7"/>
      <c r="F584" s="8" t="str">
        <f t="shared" si="417"/>
        <v/>
      </c>
      <c r="G584" s="7" t="str">
        <f t="shared" si="418"/>
        <v/>
      </c>
      <c r="H584" s="5" t="str">
        <f t="shared" si="419"/>
        <v/>
      </c>
      <c r="I584" s="122" t="str">
        <f t="shared" si="420"/>
        <v/>
      </c>
      <c r="J584" s="7" t="str">
        <f t="shared" si="421"/>
        <v/>
      </c>
      <c r="K584" s="9" t="str">
        <f t="shared" si="422"/>
        <v/>
      </c>
      <c r="L584" s="9" t="str">
        <f>IF(NOT(ISERROR(VLOOKUP(B584,Deflatores!G$42:H$64,2,FALSE))),VLOOKUP(B584,Deflatores!G$42:H$64,2,FALSE),IF(OR(ISBLANK(C584),ISBLANK(B584)),"",VLOOKUP(C584,Deflatores!G$4:H$38,2,FALSE)*H584+VLOOKUP(C584,Deflatores!G$4:I$38,3,FALSE)))</f>
        <v/>
      </c>
      <c r="M584" s="10"/>
      <c r="N584" s="10"/>
      <c r="O584" s="6"/>
    </row>
    <row r="585" spans="1:15" x14ac:dyDescent="0.2">
      <c r="A585" s="126"/>
      <c r="B585" s="4"/>
      <c r="C585" s="4"/>
      <c r="D585" s="7"/>
      <c r="E585" s="7"/>
      <c r="F585" s="8" t="str">
        <f t="shared" si="417"/>
        <v/>
      </c>
      <c r="G585" s="7" t="str">
        <f t="shared" si="418"/>
        <v/>
      </c>
      <c r="H585" s="5" t="str">
        <f t="shared" si="419"/>
        <v/>
      </c>
      <c r="I585" s="122" t="str">
        <f t="shared" si="420"/>
        <v/>
      </c>
      <c r="J585" s="7" t="str">
        <f t="shared" si="421"/>
        <v/>
      </c>
      <c r="K585" s="9" t="str">
        <f t="shared" si="422"/>
        <v/>
      </c>
      <c r="L585" s="9" t="str">
        <f>IF(NOT(ISERROR(VLOOKUP(B585,Deflatores!G$42:H$64,2,FALSE))),VLOOKUP(B585,Deflatores!G$42:H$64,2,FALSE),IF(OR(ISBLANK(C585),ISBLANK(B585)),"",VLOOKUP(C585,Deflatores!G$4:H$38,2,FALSE)*H585+VLOOKUP(C585,Deflatores!G$4:I$38,3,FALSE)))</f>
        <v/>
      </c>
      <c r="M585" s="10"/>
      <c r="N585" s="10"/>
      <c r="O585" s="6"/>
    </row>
    <row r="586" spans="1:15" x14ac:dyDescent="0.2">
      <c r="A586" s="126"/>
      <c r="B586" s="4"/>
      <c r="C586" s="4"/>
      <c r="D586" s="7"/>
      <c r="E586" s="7"/>
      <c r="F586" s="8" t="str">
        <f t="shared" si="417"/>
        <v/>
      </c>
      <c r="G586" s="7" t="str">
        <f t="shared" si="418"/>
        <v/>
      </c>
      <c r="H586" s="5" t="str">
        <f t="shared" si="419"/>
        <v/>
      </c>
      <c r="I586" s="122" t="str">
        <f t="shared" si="420"/>
        <v/>
      </c>
      <c r="J586" s="7" t="str">
        <f t="shared" si="421"/>
        <v/>
      </c>
      <c r="K586" s="9" t="str">
        <f t="shared" si="422"/>
        <v/>
      </c>
      <c r="L586" s="9" t="str">
        <f>IF(NOT(ISERROR(VLOOKUP(B586,Deflatores!G$42:H$64,2,FALSE))),VLOOKUP(B586,Deflatores!G$42:H$64,2,FALSE),IF(OR(ISBLANK(C586),ISBLANK(B586)),"",VLOOKUP(C586,Deflatores!G$4:H$38,2,FALSE)*H586+VLOOKUP(C586,Deflatores!G$4:I$38,3,FALSE)))</f>
        <v/>
      </c>
      <c r="M586" s="10"/>
      <c r="N586" s="10"/>
      <c r="O586" s="6"/>
    </row>
    <row r="587" spans="1:15" x14ac:dyDescent="0.2">
      <c r="A587" s="126"/>
      <c r="B587" s="4"/>
      <c r="C587" s="4"/>
      <c r="D587" s="7"/>
      <c r="E587" s="7"/>
      <c r="F587" s="8" t="str">
        <f t="shared" si="417"/>
        <v/>
      </c>
      <c r="G587" s="7" t="str">
        <f t="shared" si="418"/>
        <v/>
      </c>
      <c r="H587" s="5" t="str">
        <f t="shared" si="419"/>
        <v/>
      </c>
      <c r="I587" s="122" t="str">
        <f t="shared" si="420"/>
        <v/>
      </c>
      <c r="J587" s="7" t="str">
        <f t="shared" si="421"/>
        <v/>
      </c>
      <c r="K587" s="9" t="str">
        <f t="shared" si="422"/>
        <v/>
      </c>
      <c r="L587" s="9" t="str">
        <f>IF(NOT(ISERROR(VLOOKUP(B587,Deflatores!G$42:H$64,2,FALSE))),VLOOKUP(B587,Deflatores!G$42:H$64,2,FALSE),IF(OR(ISBLANK(C587),ISBLANK(B587)),"",VLOOKUP(C587,Deflatores!G$4:H$38,2,FALSE)*H587+VLOOKUP(C587,Deflatores!G$4:I$38,3,FALSE)))</f>
        <v/>
      </c>
      <c r="M587" s="10"/>
      <c r="N587" s="10"/>
      <c r="O587" s="6"/>
    </row>
    <row r="588" spans="1:15" x14ac:dyDescent="0.2">
      <c r="A588" s="126"/>
      <c r="B588" s="4"/>
      <c r="C588" s="4"/>
      <c r="D588" s="7"/>
      <c r="E588" s="7"/>
      <c r="F588" s="8" t="str">
        <f t="shared" si="417"/>
        <v/>
      </c>
      <c r="G588" s="7" t="str">
        <f t="shared" si="418"/>
        <v/>
      </c>
      <c r="H588" s="5" t="str">
        <f t="shared" si="419"/>
        <v/>
      </c>
      <c r="I588" s="122" t="str">
        <f t="shared" si="420"/>
        <v/>
      </c>
      <c r="J588" s="7" t="str">
        <f t="shared" si="421"/>
        <v/>
      </c>
      <c r="K588" s="9" t="str">
        <f t="shared" si="422"/>
        <v/>
      </c>
      <c r="L588" s="9" t="str">
        <f>IF(NOT(ISERROR(VLOOKUP(B588,Deflatores!G$42:H$64,2,FALSE))),VLOOKUP(B588,Deflatores!G$42:H$64,2,FALSE),IF(OR(ISBLANK(C588),ISBLANK(B588)),"",VLOOKUP(C588,Deflatores!G$4:H$38,2,FALSE)*H588+VLOOKUP(C588,Deflatores!G$4:I$38,3,FALSE)))</f>
        <v/>
      </c>
      <c r="M588" s="10"/>
      <c r="N588" s="10"/>
      <c r="O588" s="6"/>
    </row>
    <row r="589" spans="1:15" x14ac:dyDescent="0.2">
      <c r="A589" s="126"/>
      <c r="B589" s="4"/>
      <c r="C589" s="4"/>
      <c r="D589" s="7"/>
      <c r="E589" s="7"/>
      <c r="F589" s="8" t="str">
        <f t="shared" si="417"/>
        <v/>
      </c>
      <c r="G589" s="7" t="str">
        <f t="shared" si="418"/>
        <v/>
      </c>
      <c r="H589" s="5" t="str">
        <f t="shared" si="419"/>
        <v/>
      </c>
      <c r="I589" s="122" t="str">
        <f t="shared" si="420"/>
        <v/>
      </c>
      <c r="J589" s="7" t="str">
        <f t="shared" si="421"/>
        <v/>
      </c>
      <c r="K589" s="9" t="str">
        <f t="shared" si="422"/>
        <v/>
      </c>
      <c r="L589" s="9" t="str">
        <f>IF(NOT(ISERROR(VLOOKUP(B589,Deflatores!G$42:H$64,2,FALSE))),VLOOKUP(B589,Deflatores!G$42:H$64,2,FALSE),IF(OR(ISBLANK(C589),ISBLANK(B589)),"",VLOOKUP(C589,Deflatores!G$4:H$38,2,FALSE)*H589+VLOOKUP(C589,Deflatores!G$4:I$38,3,FALSE)))</f>
        <v/>
      </c>
      <c r="M589" s="10"/>
      <c r="N589" s="10"/>
      <c r="O589" s="6"/>
    </row>
    <row r="590" spans="1:15" x14ac:dyDescent="0.2">
      <c r="A590" s="126"/>
      <c r="B590" s="4"/>
      <c r="C590" s="4"/>
      <c r="D590" s="7"/>
      <c r="E590" s="7"/>
      <c r="F590" s="8" t="str">
        <f t="shared" si="417"/>
        <v/>
      </c>
      <c r="G590" s="7" t="str">
        <f t="shared" si="418"/>
        <v/>
      </c>
      <c r="H590" s="5" t="str">
        <f t="shared" si="419"/>
        <v/>
      </c>
      <c r="I590" s="122" t="str">
        <f t="shared" si="420"/>
        <v/>
      </c>
      <c r="J590" s="7" t="str">
        <f t="shared" si="421"/>
        <v/>
      </c>
      <c r="K590" s="9" t="str">
        <f t="shared" si="422"/>
        <v/>
      </c>
      <c r="L590" s="9" t="str">
        <f>IF(NOT(ISERROR(VLOOKUP(B590,Deflatores!G$42:H$64,2,FALSE))),VLOOKUP(B590,Deflatores!G$42:H$64,2,FALSE),IF(OR(ISBLANK(C590),ISBLANK(B590)),"",VLOOKUP(C590,Deflatores!G$4:H$38,2,FALSE)*H590+VLOOKUP(C590,Deflatores!G$4:I$38,3,FALSE)))</f>
        <v/>
      </c>
      <c r="M590" s="10"/>
      <c r="N590" s="10"/>
      <c r="O590" s="6"/>
    </row>
    <row r="591" spans="1:15" x14ac:dyDescent="0.2">
      <c r="A591" s="126"/>
      <c r="B591" s="4"/>
      <c r="C591" s="4"/>
      <c r="D591" s="7"/>
      <c r="E591" s="7"/>
      <c r="F591" s="8" t="str">
        <f t="shared" ref="F591:F654" si="423">IF(ISBLANK(B591),"",IF(I591="L","Baixa",IF(I591="A","Média",IF(I591="","","Alta"))))</f>
        <v/>
      </c>
      <c r="G591" s="7" t="str">
        <f t="shared" ref="G591:G654" si="424">CONCATENATE(B591,I591)</f>
        <v/>
      </c>
      <c r="H591" s="5" t="str">
        <f t="shared" ref="H591:H654" si="425">IF(ISBLANK(B591),"",IF(B591="ALI",IF(I591="L",7,IF(I591="A",10,15)),IF(B591="AIE",IF(I591="L",5,IF(I591="A",7,10)),IF(B591="SE",IF(I591="L",4,IF(I591="A",5,7)),IF(OR(B591="EE",B591="CE"),IF(I591="L",3,IF(I591="A",4,6)),0)))))</f>
        <v/>
      </c>
      <c r="I591" s="122" t="str">
        <f t="shared" si="420"/>
        <v/>
      </c>
      <c r="J591" s="7" t="str">
        <f t="shared" si="421"/>
        <v/>
      </c>
      <c r="K591" s="9" t="str">
        <f t="shared" si="422"/>
        <v/>
      </c>
      <c r="L591" s="9" t="str">
        <f>IF(NOT(ISERROR(VLOOKUP(B591,Deflatores!G$42:H$64,2,FALSE))),VLOOKUP(B591,Deflatores!G$42:H$64,2,FALSE),IF(OR(ISBLANK(C591),ISBLANK(B591)),"",VLOOKUP(C591,Deflatores!G$4:H$38,2,FALSE)*H591+VLOOKUP(C591,Deflatores!G$4:I$38,3,FALSE)))</f>
        <v/>
      </c>
      <c r="M591" s="10"/>
      <c r="N591" s="10"/>
      <c r="O591" s="6"/>
    </row>
    <row r="592" spans="1:15" x14ac:dyDescent="0.2">
      <c r="A592" s="126"/>
      <c r="B592" s="4"/>
      <c r="C592" s="4"/>
      <c r="D592" s="7"/>
      <c r="E592" s="7"/>
      <c r="F592" s="8" t="str">
        <f t="shared" si="423"/>
        <v/>
      </c>
      <c r="G592" s="7" t="str">
        <f t="shared" si="424"/>
        <v/>
      </c>
      <c r="H592" s="5" t="str">
        <f t="shared" si="425"/>
        <v/>
      </c>
      <c r="I592" s="122" t="str">
        <f t="shared" si="420"/>
        <v/>
      </c>
      <c r="J592" s="7" t="str">
        <f t="shared" si="421"/>
        <v/>
      </c>
      <c r="K592" s="9" t="str">
        <f t="shared" si="422"/>
        <v/>
      </c>
      <c r="L592" s="9" t="str">
        <f>IF(NOT(ISERROR(VLOOKUP(B592,Deflatores!G$42:H$64,2,FALSE))),VLOOKUP(B592,Deflatores!G$42:H$64,2,FALSE),IF(OR(ISBLANK(C592),ISBLANK(B592)),"",VLOOKUP(C592,Deflatores!G$4:H$38,2,FALSE)*H592+VLOOKUP(C592,Deflatores!G$4:I$38,3,FALSE)))</f>
        <v/>
      </c>
      <c r="M592" s="10"/>
      <c r="N592" s="10"/>
      <c r="O592" s="6"/>
    </row>
    <row r="593" spans="1:15" x14ac:dyDescent="0.2">
      <c r="A593" s="126"/>
      <c r="B593" s="4"/>
      <c r="C593" s="4"/>
      <c r="D593" s="7"/>
      <c r="E593" s="7"/>
      <c r="F593" s="8" t="str">
        <f t="shared" si="423"/>
        <v/>
      </c>
      <c r="G593" s="7" t="str">
        <f t="shared" si="424"/>
        <v/>
      </c>
      <c r="H593" s="5" t="str">
        <f t="shared" si="425"/>
        <v/>
      </c>
      <c r="I593" s="122" t="str">
        <f t="shared" si="420"/>
        <v/>
      </c>
      <c r="J593" s="7" t="str">
        <f t="shared" si="421"/>
        <v/>
      </c>
      <c r="K593" s="9" t="str">
        <f t="shared" si="422"/>
        <v/>
      </c>
      <c r="L593" s="9" t="str">
        <f>IF(NOT(ISERROR(VLOOKUP(B593,Deflatores!G$42:H$64,2,FALSE))),VLOOKUP(B593,Deflatores!G$42:H$64,2,FALSE),IF(OR(ISBLANK(C593),ISBLANK(B593)),"",VLOOKUP(C593,Deflatores!G$4:H$38,2,FALSE)*H593+VLOOKUP(C593,Deflatores!G$4:I$38,3,FALSE)))</f>
        <v/>
      </c>
      <c r="M593" s="10"/>
      <c r="N593" s="10"/>
      <c r="O593" s="6"/>
    </row>
    <row r="594" spans="1:15" x14ac:dyDescent="0.2">
      <c r="A594" s="126"/>
      <c r="B594" s="4"/>
      <c r="C594" s="4"/>
      <c r="D594" s="7"/>
      <c r="E594" s="7"/>
      <c r="F594" s="8" t="str">
        <f t="shared" si="423"/>
        <v/>
      </c>
      <c r="G594" s="7" t="str">
        <f t="shared" si="424"/>
        <v/>
      </c>
      <c r="H594" s="5" t="str">
        <f t="shared" si="425"/>
        <v/>
      </c>
      <c r="I594" s="122" t="str">
        <f t="shared" si="420"/>
        <v/>
      </c>
      <c r="J594" s="7" t="str">
        <f t="shared" si="421"/>
        <v/>
      </c>
      <c r="K594" s="9" t="str">
        <f t="shared" si="422"/>
        <v/>
      </c>
      <c r="L594" s="9" t="str">
        <f>IF(NOT(ISERROR(VLOOKUP(B594,Deflatores!G$42:H$64,2,FALSE))),VLOOKUP(B594,Deflatores!G$42:H$64,2,FALSE),IF(OR(ISBLANK(C594),ISBLANK(B594)),"",VLOOKUP(C594,Deflatores!G$4:H$38,2,FALSE)*H594+VLOOKUP(C594,Deflatores!G$4:I$38,3,FALSE)))</f>
        <v/>
      </c>
      <c r="M594" s="10"/>
      <c r="N594" s="10"/>
      <c r="O594" s="6"/>
    </row>
    <row r="595" spans="1:15" x14ac:dyDescent="0.2">
      <c r="A595" s="126"/>
      <c r="B595" s="4"/>
      <c r="C595" s="4"/>
      <c r="D595" s="7"/>
      <c r="E595" s="7"/>
      <c r="F595" s="8" t="str">
        <f t="shared" si="423"/>
        <v/>
      </c>
      <c r="G595" s="7" t="str">
        <f t="shared" si="424"/>
        <v/>
      </c>
      <c r="H595" s="5" t="str">
        <f t="shared" si="425"/>
        <v/>
      </c>
      <c r="I595" s="122" t="str">
        <f t="shared" si="420"/>
        <v/>
      </c>
      <c r="J595" s="7" t="str">
        <f t="shared" si="421"/>
        <v/>
      </c>
      <c r="K595" s="9" t="str">
        <f t="shared" si="422"/>
        <v/>
      </c>
      <c r="L595" s="9" t="str">
        <f>IF(NOT(ISERROR(VLOOKUP(B595,Deflatores!G$42:H$64,2,FALSE))),VLOOKUP(B595,Deflatores!G$42:H$64,2,FALSE),IF(OR(ISBLANK(C595),ISBLANK(B595)),"",VLOOKUP(C595,Deflatores!G$4:H$38,2,FALSE)*H595+VLOOKUP(C595,Deflatores!G$4:I$38,3,FALSE)))</f>
        <v/>
      </c>
      <c r="M595" s="10"/>
      <c r="N595" s="10"/>
      <c r="O595" s="6"/>
    </row>
    <row r="596" spans="1:15" x14ac:dyDescent="0.2">
      <c r="A596" s="126"/>
      <c r="B596" s="4"/>
      <c r="C596" s="4"/>
      <c r="D596" s="7"/>
      <c r="E596" s="7"/>
      <c r="F596" s="8" t="str">
        <f t="shared" si="423"/>
        <v/>
      </c>
      <c r="G596" s="7" t="str">
        <f t="shared" si="424"/>
        <v/>
      </c>
      <c r="H596" s="5" t="str">
        <f t="shared" si="425"/>
        <v/>
      </c>
      <c r="I596" s="122" t="str">
        <f t="shared" si="420"/>
        <v/>
      </c>
      <c r="J596" s="7" t="str">
        <f t="shared" si="421"/>
        <v/>
      </c>
      <c r="K596" s="9" t="str">
        <f t="shared" si="422"/>
        <v/>
      </c>
      <c r="L596" s="9" t="str">
        <f>IF(NOT(ISERROR(VLOOKUP(B596,Deflatores!G$42:H$64,2,FALSE))),VLOOKUP(B596,Deflatores!G$42:H$64,2,FALSE),IF(OR(ISBLANK(C596),ISBLANK(B596)),"",VLOOKUP(C596,Deflatores!G$4:H$38,2,FALSE)*H596+VLOOKUP(C596,Deflatores!G$4:I$38,3,FALSE)))</f>
        <v/>
      </c>
      <c r="M596" s="10"/>
      <c r="N596" s="10"/>
      <c r="O596" s="6"/>
    </row>
    <row r="597" spans="1:15" x14ac:dyDescent="0.2">
      <c r="A597" s="126"/>
      <c r="B597" s="4"/>
      <c r="C597" s="4"/>
      <c r="D597" s="7"/>
      <c r="E597" s="7"/>
      <c r="F597" s="8" t="str">
        <f t="shared" si="423"/>
        <v/>
      </c>
      <c r="G597" s="7" t="str">
        <f t="shared" si="424"/>
        <v/>
      </c>
      <c r="H597" s="5" t="str">
        <f t="shared" si="425"/>
        <v/>
      </c>
      <c r="I597" s="122" t="str">
        <f t="shared" si="420"/>
        <v/>
      </c>
      <c r="J597" s="7" t="str">
        <f t="shared" si="421"/>
        <v/>
      </c>
      <c r="K597" s="9" t="str">
        <f t="shared" si="422"/>
        <v/>
      </c>
      <c r="L597" s="9" t="str">
        <f>IF(NOT(ISERROR(VLOOKUP(B597,Deflatores!G$42:H$64,2,FALSE))),VLOOKUP(B597,Deflatores!G$42:H$64,2,FALSE),IF(OR(ISBLANK(C597),ISBLANK(B597)),"",VLOOKUP(C597,Deflatores!G$4:H$38,2,FALSE)*H597+VLOOKUP(C597,Deflatores!G$4:I$38,3,FALSE)))</f>
        <v/>
      </c>
      <c r="M597" s="10"/>
      <c r="N597" s="10"/>
      <c r="O597" s="6"/>
    </row>
    <row r="598" spans="1:15" x14ac:dyDescent="0.2">
      <c r="A598" s="126"/>
      <c r="B598" s="4"/>
      <c r="C598" s="4"/>
      <c r="D598" s="7"/>
      <c r="E598" s="7"/>
      <c r="F598" s="8" t="str">
        <f t="shared" si="423"/>
        <v/>
      </c>
      <c r="G598" s="7" t="str">
        <f t="shared" si="424"/>
        <v/>
      </c>
      <c r="H598" s="5" t="str">
        <f t="shared" si="425"/>
        <v/>
      </c>
      <c r="I598" s="122" t="str">
        <f t="shared" si="420"/>
        <v/>
      </c>
      <c r="J598" s="7" t="str">
        <f t="shared" si="421"/>
        <v/>
      </c>
      <c r="K598" s="9" t="str">
        <f t="shared" si="422"/>
        <v/>
      </c>
      <c r="L598" s="9" t="str">
        <f>IF(NOT(ISERROR(VLOOKUP(B598,Deflatores!G$42:H$64,2,FALSE))),VLOOKUP(B598,Deflatores!G$42:H$64,2,FALSE),IF(OR(ISBLANK(C598),ISBLANK(B598)),"",VLOOKUP(C598,Deflatores!G$4:H$38,2,FALSE)*H598+VLOOKUP(C598,Deflatores!G$4:I$38,3,FALSE)))</f>
        <v/>
      </c>
      <c r="M598" s="10"/>
      <c r="N598" s="10"/>
      <c r="O598" s="6"/>
    </row>
    <row r="599" spans="1:15" x14ac:dyDescent="0.2">
      <c r="A599" s="126"/>
      <c r="B599" s="4"/>
      <c r="C599" s="4"/>
      <c r="D599" s="7"/>
      <c r="E599" s="7"/>
      <c r="F599" s="8" t="str">
        <f t="shared" si="423"/>
        <v/>
      </c>
      <c r="G599" s="7" t="str">
        <f t="shared" si="424"/>
        <v/>
      </c>
      <c r="H599" s="5" t="str">
        <f t="shared" si="425"/>
        <v/>
      </c>
      <c r="I599" s="122" t="str">
        <f t="shared" si="420"/>
        <v/>
      </c>
      <c r="J599" s="7" t="str">
        <f t="shared" si="421"/>
        <v/>
      </c>
      <c r="K599" s="9" t="str">
        <f t="shared" si="422"/>
        <v/>
      </c>
      <c r="L599" s="9" t="str">
        <f>IF(NOT(ISERROR(VLOOKUP(B599,Deflatores!G$42:H$64,2,FALSE))),VLOOKUP(B599,Deflatores!G$42:H$64,2,FALSE),IF(OR(ISBLANK(C599),ISBLANK(B599)),"",VLOOKUP(C599,Deflatores!G$4:H$38,2,FALSE)*H599+VLOOKUP(C599,Deflatores!G$4:I$38,3,FALSE)))</f>
        <v/>
      </c>
      <c r="M599" s="10"/>
      <c r="N599" s="10"/>
      <c r="O599" s="6"/>
    </row>
    <row r="600" spans="1:15" x14ac:dyDescent="0.2">
      <c r="A600" s="126"/>
      <c r="B600" s="4"/>
      <c r="C600" s="4"/>
      <c r="D600" s="7"/>
      <c r="E600" s="7"/>
      <c r="F600" s="8" t="str">
        <f t="shared" si="423"/>
        <v/>
      </c>
      <c r="G600" s="7" t="str">
        <f t="shared" si="424"/>
        <v/>
      </c>
      <c r="H600" s="5" t="str">
        <f t="shared" si="425"/>
        <v/>
      </c>
      <c r="I600" s="122" t="str">
        <f t="shared" ref="I600:I614" si="426">IF(OR(ISBLANK(D600),ISBLANK(E600)),IF(OR(B600="ALI",B600="AIE"),"L",IF(OR(B600="EE",B600="SE",B600="CE"),"A","")),IF(B600="EE",IF(E600&gt;=3,IF(D600&gt;=5,"H","A"),IF(E600&gt;=2,IF(D600&gt;=16,"H",IF(D600&lt;=4,"L","A")),IF(D600&lt;=15,"L","A"))),IF(OR(B600="SE",B600="CE"),IF(E600&gt;=4,IF(D600&gt;=6,"H","A"),IF(E600&gt;=2,IF(D600&gt;=20,"H",IF(D600&lt;=5,"L","A")),IF(D600&lt;=19,"L","A"))),IF(OR(B600="ALI",B600="AIE"),IF(E600&gt;=6,IF(D600&gt;=20,"H","A"),IF(E600&gt;=2,IF(D600&gt;=51,"H",IF(D600&lt;=19,"L","A")),IF(D600&lt;=50,"L","A"))),""))))</f>
        <v/>
      </c>
      <c r="J600" s="7" t="str">
        <f t="shared" ref="J600:J614" si="427">CONCATENATE(B600,C600)</f>
        <v/>
      </c>
      <c r="K600" s="9" t="str">
        <f t="shared" ref="K600:K614" si="428">IF(OR(H600="",H600=0),L600,H600)</f>
        <v/>
      </c>
      <c r="L600" s="9" t="str">
        <f>IF(NOT(ISERROR(VLOOKUP(B600,Deflatores!G$42:H$64,2,FALSE))),VLOOKUP(B600,Deflatores!G$42:H$64,2,FALSE),IF(OR(ISBLANK(C600),ISBLANK(B600)),"",VLOOKUP(C600,Deflatores!G$4:H$38,2,FALSE)*H600+VLOOKUP(C600,Deflatores!G$4:I$38,3,FALSE)))</f>
        <v/>
      </c>
      <c r="M600" s="10"/>
      <c r="N600" s="10"/>
      <c r="O600" s="6"/>
    </row>
    <row r="601" spans="1:15" x14ac:dyDescent="0.2">
      <c r="A601" s="126"/>
      <c r="B601" s="4"/>
      <c r="C601" s="4"/>
      <c r="D601" s="7"/>
      <c r="E601" s="7"/>
      <c r="F601" s="8" t="str">
        <f t="shared" si="423"/>
        <v/>
      </c>
      <c r="G601" s="7" t="str">
        <f t="shared" si="424"/>
        <v/>
      </c>
      <c r="H601" s="5" t="str">
        <f t="shared" si="425"/>
        <v/>
      </c>
      <c r="I601" s="122" t="str">
        <f t="shared" si="426"/>
        <v/>
      </c>
      <c r="J601" s="7" t="str">
        <f t="shared" si="427"/>
        <v/>
      </c>
      <c r="K601" s="9" t="str">
        <f t="shared" si="428"/>
        <v/>
      </c>
      <c r="L601" s="9" t="str">
        <f>IF(NOT(ISERROR(VLOOKUP(B601,Deflatores!G$42:H$64,2,FALSE))),VLOOKUP(B601,Deflatores!G$42:H$64,2,FALSE),IF(OR(ISBLANK(C601),ISBLANK(B601)),"",VLOOKUP(C601,Deflatores!G$4:H$38,2,FALSE)*H601+VLOOKUP(C601,Deflatores!G$4:I$38,3,FALSE)))</f>
        <v/>
      </c>
      <c r="M601" s="10"/>
      <c r="N601" s="10"/>
      <c r="O601" s="6"/>
    </row>
    <row r="602" spans="1:15" x14ac:dyDescent="0.2">
      <c r="A602" s="126"/>
      <c r="B602" s="4"/>
      <c r="C602" s="4"/>
      <c r="D602" s="7"/>
      <c r="E602" s="7"/>
      <c r="F602" s="8" t="str">
        <f t="shared" si="423"/>
        <v/>
      </c>
      <c r="G602" s="7" t="str">
        <f t="shared" si="424"/>
        <v/>
      </c>
      <c r="H602" s="5" t="str">
        <f t="shared" si="425"/>
        <v/>
      </c>
      <c r="I602" s="122" t="str">
        <f t="shared" si="426"/>
        <v/>
      </c>
      <c r="J602" s="7" t="str">
        <f t="shared" si="427"/>
        <v/>
      </c>
      <c r="K602" s="9" t="str">
        <f t="shared" si="428"/>
        <v/>
      </c>
      <c r="L602" s="9" t="str">
        <f>IF(NOT(ISERROR(VLOOKUP(B602,Deflatores!G$42:H$64,2,FALSE))),VLOOKUP(B602,Deflatores!G$42:H$64,2,FALSE),IF(OR(ISBLANK(C602),ISBLANK(B602)),"",VLOOKUP(C602,Deflatores!G$4:H$38,2,FALSE)*H602+VLOOKUP(C602,Deflatores!G$4:I$38,3,FALSE)))</f>
        <v/>
      </c>
      <c r="M602" s="10"/>
      <c r="N602" s="10"/>
      <c r="O602" s="6"/>
    </row>
    <row r="603" spans="1:15" x14ac:dyDescent="0.2">
      <c r="A603" s="126"/>
      <c r="B603" s="4"/>
      <c r="C603" s="4"/>
      <c r="D603" s="7"/>
      <c r="E603" s="7"/>
      <c r="F603" s="8" t="str">
        <f t="shared" si="423"/>
        <v/>
      </c>
      <c r="G603" s="7" t="str">
        <f t="shared" si="424"/>
        <v/>
      </c>
      <c r="H603" s="5" t="str">
        <f t="shared" si="425"/>
        <v/>
      </c>
      <c r="I603" s="122" t="str">
        <f t="shared" si="426"/>
        <v/>
      </c>
      <c r="J603" s="7" t="str">
        <f t="shared" si="427"/>
        <v/>
      </c>
      <c r="K603" s="9" t="str">
        <f t="shared" si="428"/>
        <v/>
      </c>
      <c r="L603" s="9" t="str">
        <f>IF(NOT(ISERROR(VLOOKUP(B603,Deflatores!G$42:H$64,2,FALSE))),VLOOKUP(B603,Deflatores!G$42:H$64,2,FALSE),IF(OR(ISBLANK(C603),ISBLANK(B603)),"",VLOOKUP(C603,Deflatores!G$4:H$38,2,FALSE)*H603+VLOOKUP(C603,Deflatores!G$4:I$38,3,FALSE)))</f>
        <v/>
      </c>
      <c r="M603" s="10"/>
      <c r="N603" s="10"/>
      <c r="O603" s="6"/>
    </row>
    <row r="604" spans="1:15" x14ac:dyDescent="0.2">
      <c r="A604" s="126"/>
      <c r="B604" s="4"/>
      <c r="C604" s="4"/>
      <c r="D604" s="7"/>
      <c r="E604" s="7"/>
      <c r="F604" s="8" t="str">
        <f t="shared" si="423"/>
        <v/>
      </c>
      <c r="G604" s="7" t="str">
        <f t="shared" si="424"/>
        <v/>
      </c>
      <c r="H604" s="5" t="str">
        <f t="shared" si="425"/>
        <v/>
      </c>
      <c r="I604" s="122" t="str">
        <f t="shared" si="426"/>
        <v/>
      </c>
      <c r="J604" s="7" t="str">
        <f t="shared" si="427"/>
        <v/>
      </c>
      <c r="K604" s="9" t="str">
        <f t="shared" si="428"/>
        <v/>
      </c>
      <c r="L604" s="9" t="str">
        <f>IF(NOT(ISERROR(VLOOKUP(B604,Deflatores!G$42:H$64,2,FALSE))),VLOOKUP(B604,Deflatores!G$42:H$64,2,FALSE),IF(OR(ISBLANK(C604),ISBLANK(B604)),"",VLOOKUP(C604,Deflatores!G$4:H$38,2,FALSE)*H604+VLOOKUP(C604,Deflatores!G$4:I$38,3,FALSE)))</f>
        <v/>
      </c>
      <c r="M604" s="10"/>
      <c r="N604" s="10"/>
      <c r="O604" s="6"/>
    </row>
    <row r="605" spans="1:15" x14ac:dyDescent="0.2">
      <c r="A605" s="126"/>
      <c r="B605" s="4"/>
      <c r="C605" s="4"/>
      <c r="D605" s="7"/>
      <c r="E605" s="7"/>
      <c r="F605" s="8" t="str">
        <f t="shared" si="423"/>
        <v/>
      </c>
      <c r="G605" s="7" t="str">
        <f t="shared" si="424"/>
        <v/>
      </c>
      <c r="H605" s="5" t="str">
        <f t="shared" si="425"/>
        <v/>
      </c>
      <c r="I605" s="122" t="str">
        <f t="shared" si="426"/>
        <v/>
      </c>
      <c r="J605" s="7" t="str">
        <f t="shared" si="427"/>
        <v/>
      </c>
      <c r="K605" s="9" t="str">
        <f t="shared" si="428"/>
        <v/>
      </c>
      <c r="L605" s="9" t="str">
        <f>IF(NOT(ISERROR(VLOOKUP(B605,Deflatores!G$42:H$64,2,FALSE))),VLOOKUP(B605,Deflatores!G$42:H$64,2,FALSE),IF(OR(ISBLANK(C605),ISBLANK(B605)),"",VLOOKUP(C605,Deflatores!G$4:H$38,2,FALSE)*H605+VLOOKUP(C605,Deflatores!G$4:I$38,3,FALSE)))</f>
        <v/>
      </c>
      <c r="M605" s="10"/>
      <c r="N605" s="10"/>
      <c r="O605" s="6"/>
    </row>
    <row r="606" spans="1:15" x14ac:dyDescent="0.2">
      <c r="A606" s="126"/>
      <c r="B606" s="4"/>
      <c r="C606" s="4"/>
      <c r="D606" s="7"/>
      <c r="E606" s="7"/>
      <c r="F606" s="8" t="str">
        <f t="shared" si="423"/>
        <v/>
      </c>
      <c r="G606" s="7" t="str">
        <f t="shared" si="424"/>
        <v/>
      </c>
      <c r="H606" s="5" t="str">
        <f t="shared" si="425"/>
        <v/>
      </c>
      <c r="I606" s="122" t="str">
        <f t="shared" si="426"/>
        <v/>
      </c>
      <c r="J606" s="7" t="str">
        <f t="shared" si="427"/>
        <v/>
      </c>
      <c r="K606" s="9" t="str">
        <f t="shared" si="428"/>
        <v/>
      </c>
      <c r="L606" s="9" t="str">
        <f>IF(NOT(ISERROR(VLOOKUP(B606,Deflatores!G$42:H$64,2,FALSE))),VLOOKUP(B606,Deflatores!G$42:H$64,2,FALSE),IF(OR(ISBLANK(C606),ISBLANK(B606)),"",VLOOKUP(C606,Deflatores!G$4:H$38,2,FALSE)*H606+VLOOKUP(C606,Deflatores!G$4:I$38,3,FALSE)))</f>
        <v/>
      </c>
      <c r="M606" s="10"/>
      <c r="N606" s="10"/>
      <c r="O606" s="6"/>
    </row>
    <row r="607" spans="1:15" x14ac:dyDescent="0.2">
      <c r="A607" s="126"/>
      <c r="B607" s="4"/>
      <c r="C607" s="4"/>
      <c r="D607" s="7"/>
      <c r="E607" s="7"/>
      <c r="F607" s="8" t="str">
        <f t="shared" si="423"/>
        <v/>
      </c>
      <c r="G607" s="7" t="str">
        <f t="shared" si="424"/>
        <v/>
      </c>
      <c r="H607" s="5" t="str">
        <f t="shared" si="425"/>
        <v/>
      </c>
      <c r="I607" s="122" t="str">
        <f t="shared" si="426"/>
        <v/>
      </c>
      <c r="J607" s="7" t="str">
        <f t="shared" si="427"/>
        <v/>
      </c>
      <c r="K607" s="9" t="str">
        <f t="shared" si="428"/>
        <v/>
      </c>
      <c r="L607" s="9" t="str">
        <f>IF(NOT(ISERROR(VLOOKUP(B607,Deflatores!G$42:H$64,2,FALSE))),VLOOKUP(B607,Deflatores!G$42:H$64,2,FALSE),IF(OR(ISBLANK(C607),ISBLANK(B607)),"",VLOOKUP(C607,Deflatores!G$4:H$38,2,FALSE)*H607+VLOOKUP(C607,Deflatores!G$4:I$38,3,FALSE)))</f>
        <v/>
      </c>
      <c r="M607" s="10"/>
      <c r="N607" s="10"/>
      <c r="O607" s="6"/>
    </row>
    <row r="608" spans="1:15" x14ac:dyDescent="0.2">
      <c r="A608" s="126"/>
      <c r="B608" s="4"/>
      <c r="C608" s="4"/>
      <c r="D608" s="7"/>
      <c r="E608" s="7"/>
      <c r="F608" s="8" t="str">
        <f t="shared" si="423"/>
        <v/>
      </c>
      <c r="G608" s="7" t="str">
        <f t="shared" si="424"/>
        <v/>
      </c>
      <c r="H608" s="5" t="str">
        <f t="shared" si="425"/>
        <v/>
      </c>
      <c r="I608" s="122" t="str">
        <f t="shared" si="426"/>
        <v/>
      </c>
      <c r="J608" s="7" t="str">
        <f t="shared" si="427"/>
        <v/>
      </c>
      <c r="K608" s="9" t="str">
        <f t="shared" si="428"/>
        <v/>
      </c>
      <c r="L608" s="9" t="str">
        <f>IF(NOT(ISERROR(VLOOKUP(B608,Deflatores!G$42:H$64,2,FALSE))),VLOOKUP(B608,Deflatores!G$42:H$64,2,FALSE),IF(OR(ISBLANK(C608),ISBLANK(B608)),"",VLOOKUP(C608,Deflatores!G$4:H$38,2,FALSE)*H608+VLOOKUP(C608,Deflatores!G$4:I$38,3,FALSE)))</f>
        <v/>
      </c>
      <c r="M608" s="10"/>
      <c r="N608" s="10"/>
      <c r="O608" s="6"/>
    </row>
    <row r="609" spans="1:15" x14ac:dyDescent="0.2">
      <c r="A609" s="126"/>
      <c r="B609" s="4"/>
      <c r="C609" s="4"/>
      <c r="D609" s="7"/>
      <c r="E609" s="7"/>
      <c r="F609" s="8" t="str">
        <f t="shared" si="423"/>
        <v/>
      </c>
      <c r="G609" s="7" t="str">
        <f t="shared" si="424"/>
        <v/>
      </c>
      <c r="H609" s="5" t="str">
        <f t="shared" si="425"/>
        <v/>
      </c>
      <c r="I609" s="122" t="str">
        <f t="shared" si="426"/>
        <v/>
      </c>
      <c r="J609" s="7" t="str">
        <f t="shared" si="427"/>
        <v/>
      </c>
      <c r="K609" s="9" t="str">
        <f t="shared" si="428"/>
        <v/>
      </c>
      <c r="L609" s="9" t="str">
        <f>IF(NOT(ISERROR(VLOOKUP(B609,Deflatores!G$42:H$64,2,FALSE))),VLOOKUP(B609,Deflatores!G$42:H$64,2,FALSE),IF(OR(ISBLANK(C609),ISBLANK(B609)),"",VLOOKUP(C609,Deflatores!G$4:H$38,2,FALSE)*H609+VLOOKUP(C609,Deflatores!G$4:I$38,3,FALSE)))</f>
        <v/>
      </c>
      <c r="M609" s="10"/>
      <c r="N609" s="10"/>
      <c r="O609" s="6"/>
    </row>
    <row r="610" spans="1:15" x14ac:dyDescent="0.2">
      <c r="A610" s="126"/>
      <c r="B610" s="4"/>
      <c r="C610" s="4"/>
      <c r="D610" s="7"/>
      <c r="E610" s="7"/>
      <c r="F610" s="8" t="str">
        <f t="shared" si="423"/>
        <v/>
      </c>
      <c r="G610" s="7" t="str">
        <f t="shared" si="424"/>
        <v/>
      </c>
      <c r="H610" s="5" t="str">
        <f t="shared" si="425"/>
        <v/>
      </c>
      <c r="I610" s="122" t="str">
        <f t="shared" si="426"/>
        <v/>
      </c>
      <c r="J610" s="7" t="str">
        <f t="shared" si="427"/>
        <v/>
      </c>
      <c r="K610" s="9" t="str">
        <f t="shared" si="428"/>
        <v/>
      </c>
      <c r="L610" s="9" t="str">
        <f>IF(NOT(ISERROR(VLOOKUP(B610,Deflatores!G$42:H$64,2,FALSE))),VLOOKUP(B610,Deflatores!G$42:H$64,2,FALSE),IF(OR(ISBLANK(C610),ISBLANK(B610)),"",VLOOKUP(C610,Deflatores!G$4:H$38,2,FALSE)*H610+VLOOKUP(C610,Deflatores!G$4:I$38,3,FALSE)))</f>
        <v/>
      </c>
      <c r="M610" s="10"/>
      <c r="N610" s="10"/>
      <c r="O610" s="6"/>
    </row>
    <row r="611" spans="1:15" x14ac:dyDescent="0.2">
      <c r="A611" s="126"/>
      <c r="B611" s="4"/>
      <c r="C611" s="4"/>
      <c r="D611" s="7"/>
      <c r="E611" s="7"/>
      <c r="F611" s="8" t="str">
        <f t="shared" si="423"/>
        <v/>
      </c>
      <c r="G611" s="7" t="str">
        <f t="shared" si="424"/>
        <v/>
      </c>
      <c r="H611" s="5" t="str">
        <f t="shared" si="425"/>
        <v/>
      </c>
      <c r="I611" s="122" t="str">
        <f t="shared" si="426"/>
        <v/>
      </c>
      <c r="J611" s="7" t="str">
        <f t="shared" si="427"/>
        <v/>
      </c>
      <c r="K611" s="9" t="str">
        <f t="shared" si="428"/>
        <v/>
      </c>
      <c r="L611" s="9" t="str">
        <f>IF(NOT(ISERROR(VLOOKUP(B611,Deflatores!G$42:H$64,2,FALSE))),VLOOKUP(B611,Deflatores!G$42:H$64,2,FALSE),IF(OR(ISBLANK(C611),ISBLANK(B611)),"",VLOOKUP(C611,Deflatores!G$4:H$38,2,FALSE)*H611+VLOOKUP(C611,Deflatores!G$4:I$38,3,FALSE)))</f>
        <v/>
      </c>
      <c r="M611" s="10"/>
      <c r="N611" s="10"/>
      <c r="O611" s="6"/>
    </row>
    <row r="612" spans="1:15" x14ac:dyDescent="0.2">
      <c r="A612" s="126"/>
      <c r="B612" s="4"/>
      <c r="C612" s="4"/>
      <c r="D612" s="7"/>
      <c r="E612" s="7"/>
      <c r="F612" s="8" t="str">
        <f t="shared" si="423"/>
        <v/>
      </c>
      <c r="G612" s="7" t="str">
        <f t="shared" si="424"/>
        <v/>
      </c>
      <c r="H612" s="5" t="str">
        <f t="shared" si="425"/>
        <v/>
      </c>
      <c r="I612" s="122" t="str">
        <f t="shared" si="426"/>
        <v/>
      </c>
      <c r="J612" s="7" t="str">
        <f t="shared" si="427"/>
        <v/>
      </c>
      <c r="K612" s="9" t="str">
        <f t="shared" si="428"/>
        <v/>
      </c>
      <c r="L612" s="9" t="str">
        <f>IF(NOT(ISERROR(VLOOKUP(B612,Deflatores!G$42:H$64,2,FALSE))),VLOOKUP(B612,Deflatores!G$42:H$64,2,FALSE),IF(OR(ISBLANK(C612),ISBLANK(B612)),"",VLOOKUP(C612,Deflatores!G$4:H$38,2,FALSE)*H612+VLOOKUP(C612,Deflatores!G$4:I$38,3,FALSE)))</f>
        <v/>
      </c>
      <c r="M612" s="10"/>
      <c r="N612" s="10"/>
      <c r="O612" s="6"/>
    </row>
    <row r="613" spans="1:15" x14ac:dyDescent="0.2">
      <c r="A613" s="126"/>
      <c r="B613" s="4"/>
      <c r="C613" s="4"/>
      <c r="D613" s="7"/>
      <c r="E613" s="7"/>
      <c r="F613" s="8" t="str">
        <f t="shared" si="423"/>
        <v/>
      </c>
      <c r="G613" s="7" t="str">
        <f t="shared" si="424"/>
        <v/>
      </c>
      <c r="H613" s="5" t="str">
        <f t="shared" si="425"/>
        <v/>
      </c>
      <c r="I613" s="122" t="str">
        <f t="shared" si="426"/>
        <v/>
      </c>
      <c r="J613" s="7" t="str">
        <f t="shared" si="427"/>
        <v/>
      </c>
      <c r="K613" s="9" t="str">
        <f t="shared" si="428"/>
        <v/>
      </c>
      <c r="L613" s="9" t="str">
        <f>IF(NOT(ISERROR(VLOOKUP(B613,Deflatores!G$42:H$64,2,FALSE))),VLOOKUP(B613,Deflatores!G$42:H$64,2,FALSE),IF(OR(ISBLANK(C613),ISBLANK(B613)),"",VLOOKUP(C613,Deflatores!G$4:H$38,2,FALSE)*H613+VLOOKUP(C613,Deflatores!G$4:I$38,3,FALSE)))</f>
        <v/>
      </c>
      <c r="M613" s="10"/>
      <c r="N613" s="10"/>
      <c r="O613" s="6"/>
    </row>
    <row r="614" spans="1:15" x14ac:dyDescent="0.2">
      <c r="A614" s="126"/>
      <c r="B614" s="4"/>
      <c r="C614" s="4"/>
      <c r="D614" s="7"/>
      <c r="E614" s="7"/>
      <c r="F614" s="8" t="str">
        <f t="shared" si="423"/>
        <v/>
      </c>
      <c r="G614" s="7" t="str">
        <f t="shared" si="424"/>
        <v/>
      </c>
      <c r="H614" s="5" t="str">
        <f t="shared" si="425"/>
        <v/>
      </c>
      <c r="I614" s="122" t="str">
        <f t="shared" si="426"/>
        <v/>
      </c>
      <c r="J614" s="7" t="str">
        <f t="shared" si="427"/>
        <v/>
      </c>
      <c r="K614" s="9" t="str">
        <f t="shared" si="428"/>
        <v/>
      </c>
      <c r="L614" s="9" t="str">
        <f>IF(NOT(ISERROR(VLOOKUP(B614,Deflatores!G$42:H$64,2,FALSE))),VLOOKUP(B614,Deflatores!G$42:H$64,2,FALSE),IF(OR(ISBLANK(C614),ISBLANK(B614)),"",VLOOKUP(C614,Deflatores!G$4:H$38,2,FALSE)*H614+VLOOKUP(C614,Deflatores!G$4:I$38,3,FALSE)))</f>
        <v/>
      </c>
      <c r="M614" s="10"/>
      <c r="N614" s="10"/>
      <c r="O614" s="6"/>
    </row>
    <row r="615" spans="1:15" x14ac:dyDescent="0.2">
      <c r="A615" s="126"/>
      <c r="B615" s="4"/>
      <c r="C615" s="4"/>
      <c r="D615" s="7"/>
      <c r="E615" s="7"/>
      <c r="F615" s="8" t="str">
        <f t="shared" si="423"/>
        <v/>
      </c>
      <c r="G615" s="7" t="str">
        <f t="shared" si="424"/>
        <v/>
      </c>
      <c r="H615" s="5" t="str">
        <f t="shared" si="425"/>
        <v/>
      </c>
      <c r="I615" s="122" t="str">
        <f t="shared" ref="I591:I654" si="429">IF(OR(ISBLANK(D615),ISBLANK(E615)),IF(OR(B615="ALI",B615="AIE"),"L",IF(OR(B615="EE",B615="SE",B615="CE"),"A","")),IF(B615="EE",IF(E615&gt;=3,IF(D615&gt;=5,"H","A"),IF(E615&gt;=2,IF(D615&gt;=16,"H",IF(D615&lt;=4,"L","A")),IF(D615&lt;=15,"L","A"))),IF(OR(B615="SE",B615="CE"),IF(E615&gt;=4,IF(D615&gt;=6,"H","A"),IF(E615&gt;=2,IF(D615&gt;=20,"H",IF(D615&lt;=5,"L","A")),IF(D615&lt;=19,"L","A"))),IF(OR(B615="ALI",B615="AIE"),IF(E615&gt;=6,IF(D615&gt;=20,"H","A"),IF(E615&gt;=2,IF(D615&gt;=51,"H",IF(D615&lt;=19,"L","A")),IF(D615&lt;=50,"L","A"))),""))))</f>
        <v/>
      </c>
      <c r="J615" s="7" t="str">
        <f t="shared" ref="J591:J654" si="430">CONCATENATE(B615,C615)</f>
        <v/>
      </c>
      <c r="K615" s="9" t="str">
        <f t="shared" ref="K593:K656" si="431">IF(OR(H615="",H615=0),L615,H615)</f>
        <v/>
      </c>
      <c r="L615" s="9" t="str">
        <f>IF(NOT(ISERROR(VLOOKUP(B615,Deflatores!G$42:H$64,2,FALSE))),VLOOKUP(B615,Deflatores!G$42:H$64,2,FALSE),IF(OR(ISBLANK(C615),ISBLANK(B615)),"",VLOOKUP(C615,Deflatores!G$4:H$38,2,FALSE)*H615+VLOOKUP(C615,Deflatores!G$4:I$38,3,FALSE)))</f>
        <v/>
      </c>
      <c r="M615" s="10"/>
      <c r="N615" s="10"/>
      <c r="O615" s="6"/>
    </row>
    <row r="616" spans="1:15" x14ac:dyDescent="0.2">
      <c r="A616" s="126"/>
      <c r="B616" s="4"/>
      <c r="C616" s="4"/>
      <c r="D616" s="7"/>
      <c r="E616" s="7"/>
      <c r="F616" s="8" t="str">
        <f t="shared" si="423"/>
        <v/>
      </c>
      <c r="G616" s="7" t="str">
        <f t="shared" si="424"/>
        <v/>
      </c>
      <c r="H616" s="5" t="str">
        <f t="shared" si="425"/>
        <v/>
      </c>
      <c r="I616" s="122" t="str">
        <f t="shared" si="429"/>
        <v/>
      </c>
      <c r="J616" s="7" t="str">
        <f t="shared" si="430"/>
        <v/>
      </c>
      <c r="K616" s="9" t="str">
        <f t="shared" si="431"/>
        <v/>
      </c>
      <c r="L616" s="9" t="str">
        <f>IF(NOT(ISERROR(VLOOKUP(B616,Deflatores!G$42:H$64,2,FALSE))),VLOOKUP(B616,Deflatores!G$42:H$64,2,FALSE),IF(OR(ISBLANK(C616),ISBLANK(B616)),"",VLOOKUP(C616,Deflatores!G$4:H$38,2,FALSE)*H616+VLOOKUP(C616,Deflatores!G$4:I$38,3,FALSE)))</f>
        <v/>
      </c>
      <c r="M616" s="10"/>
      <c r="N616" s="10"/>
      <c r="O616" s="6"/>
    </row>
    <row r="617" spans="1:15" x14ac:dyDescent="0.2">
      <c r="A617" s="126"/>
      <c r="B617" s="4"/>
      <c r="C617" s="4"/>
      <c r="D617" s="7"/>
      <c r="E617" s="7"/>
      <c r="F617" s="8" t="str">
        <f t="shared" si="423"/>
        <v/>
      </c>
      <c r="G617" s="7" t="str">
        <f t="shared" si="424"/>
        <v/>
      </c>
      <c r="H617" s="5" t="str">
        <f t="shared" si="425"/>
        <v/>
      </c>
      <c r="I617" s="122" t="str">
        <f t="shared" si="429"/>
        <v/>
      </c>
      <c r="J617" s="7" t="str">
        <f t="shared" si="430"/>
        <v/>
      </c>
      <c r="K617" s="9" t="str">
        <f t="shared" si="431"/>
        <v/>
      </c>
      <c r="L617" s="9" t="str">
        <f>IF(NOT(ISERROR(VLOOKUP(B617,Deflatores!G$42:H$64,2,FALSE))),VLOOKUP(B617,Deflatores!G$42:H$64,2,FALSE),IF(OR(ISBLANK(C617),ISBLANK(B617)),"",VLOOKUP(C617,Deflatores!G$4:H$38,2,FALSE)*H617+VLOOKUP(C617,Deflatores!G$4:I$38,3,FALSE)))</f>
        <v/>
      </c>
      <c r="M617" s="10"/>
      <c r="N617" s="10"/>
      <c r="O617" s="6"/>
    </row>
    <row r="618" spans="1:15" x14ac:dyDescent="0.2">
      <c r="A618" s="126"/>
      <c r="B618" s="4"/>
      <c r="C618" s="4"/>
      <c r="D618" s="7"/>
      <c r="E618" s="7"/>
      <c r="F618" s="8" t="str">
        <f t="shared" si="423"/>
        <v/>
      </c>
      <c r="G618" s="7" t="str">
        <f t="shared" si="424"/>
        <v/>
      </c>
      <c r="H618" s="5" t="str">
        <f t="shared" si="425"/>
        <v/>
      </c>
      <c r="I618" s="122" t="str">
        <f t="shared" si="429"/>
        <v/>
      </c>
      <c r="J618" s="7" t="str">
        <f t="shared" si="430"/>
        <v/>
      </c>
      <c r="K618" s="9" t="str">
        <f t="shared" si="431"/>
        <v/>
      </c>
      <c r="L618" s="9" t="str">
        <f>IF(NOT(ISERROR(VLOOKUP(B618,Deflatores!G$42:H$64,2,FALSE))),VLOOKUP(B618,Deflatores!G$42:H$64,2,FALSE),IF(OR(ISBLANK(C618),ISBLANK(B618)),"",VLOOKUP(C618,Deflatores!G$4:H$38,2,FALSE)*H618+VLOOKUP(C618,Deflatores!G$4:I$38,3,FALSE)))</f>
        <v/>
      </c>
      <c r="M618" s="10"/>
      <c r="N618" s="10"/>
      <c r="O618" s="6"/>
    </row>
    <row r="619" spans="1:15" x14ac:dyDescent="0.2">
      <c r="A619" s="126"/>
      <c r="B619" s="4"/>
      <c r="C619" s="4"/>
      <c r="D619" s="7"/>
      <c r="E619" s="7"/>
      <c r="F619" s="8" t="str">
        <f t="shared" si="423"/>
        <v/>
      </c>
      <c r="G619" s="7" t="str">
        <f t="shared" si="424"/>
        <v/>
      </c>
      <c r="H619" s="5" t="str">
        <f t="shared" si="425"/>
        <v/>
      </c>
      <c r="I619" s="122" t="str">
        <f t="shared" si="429"/>
        <v/>
      </c>
      <c r="J619" s="7" t="str">
        <f t="shared" si="430"/>
        <v/>
      </c>
      <c r="K619" s="9" t="str">
        <f t="shared" si="431"/>
        <v/>
      </c>
      <c r="L619" s="9" t="str">
        <f>IF(NOT(ISERROR(VLOOKUP(B619,Deflatores!G$42:H$64,2,FALSE))),VLOOKUP(B619,Deflatores!G$42:H$64,2,FALSE),IF(OR(ISBLANK(C619),ISBLANK(B619)),"",VLOOKUP(C619,Deflatores!G$4:H$38,2,FALSE)*H619+VLOOKUP(C619,Deflatores!G$4:I$38,3,FALSE)))</f>
        <v/>
      </c>
      <c r="M619" s="10"/>
      <c r="N619" s="10"/>
      <c r="O619" s="6"/>
    </row>
    <row r="620" spans="1:15" x14ac:dyDescent="0.2">
      <c r="A620" s="126"/>
      <c r="B620" s="4"/>
      <c r="C620" s="4"/>
      <c r="D620" s="7"/>
      <c r="E620" s="7"/>
      <c r="F620" s="8" t="str">
        <f t="shared" si="423"/>
        <v/>
      </c>
      <c r="G620" s="7" t="str">
        <f t="shared" si="424"/>
        <v/>
      </c>
      <c r="H620" s="5" t="str">
        <f t="shared" si="425"/>
        <v/>
      </c>
      <c r="I620" s="122" t="str">
        <f t="shared" si="429"/>
        <v/>
      </c>
      <c r="J620" s="7" t="str">
        <f t="shared" si="430"/>
        <v/>
      </c>
      <c r="K620" s="9" t="str">
        <f t="shared" si="431"/>
        <v/>
      </c>
      <c r="L620" s="9" t="str">
        <f>IF(NOT(ISERROR(VLOOKUP(B620,Deflatores!G$42:H$64,2,FALSE))),VLOOKUP(B620,Deflatores!G$42:H$64,2,FALSE),IF(OR(ISBLANK(C620),ISBLANK(B620)),"",VLOOKUP(C620,Deflatores!G$4:H$38,2,FALSE)*H620+VLOOKUP(C620,Deflatores!G$4:I$38,3,FALSE)))</f>
        <v/>
      </c>
      <c r="M620" s="10"/>
      <c r="N620" s="10"/>
      <c r="O620" s="6"/>
    </row>
    <row r="621" spans="1:15" x14ac:dyDescent="0.2">
      <c r="A621" s="126"/>
      <c r="B621" s="4"/>
      <c r="C621" s="4"/>
      <c r="D621" s="7"/>
      <c r="E621" s="7"/>
      <c r="F621" s="8" t="str">
        <f t="shared" si="423"/>
        <v/>
      </c>
      <c r="G621" s="7" t="str">
        <f t="shared" si="424"/>
        <v/>
      </c>
      <c r="H621" s="5" t="str">
        <f t="shared" si="425"/>
        <v/>
      </c>
      <c r="I621" s="122" t="str">
        <f t="shared" si="429"/>
        <v/>
      </c>
      <c r="J621" s="7" t="str">
        <f t="shared" si="430"/>
        <v/>
      </c>
      <c r="K621" s="9" t="str">
        <f t="shared" si="431"/>
        <v/>
      </c>
      <c r="L621" s="9" t="str">
        <f>IF(NOT(ISERROR(VLOOKUP(B621,Deflatores!G$42:H$64,2,FALSE))),VLOOKUP(B621,Deflatores!G$42:H$64,2,FALSE),IF(OR(ISBLANK(C621),ISBLANK(B621)),"",VLOOKUP(C621,Deflatores!G$4:H$38,2,FALSE)*H621+VLOOKUP(C621,Deflatores!G$4:I$38,3,FALSE)))</f>
        <v/>
      </c>
      <c r="M621" s="10"/>
      <c r="N621" s="10"/>
      <c r="O621" s="6"/>
    </row>
    <row r="622" spans="1:15" x14ac:dyDescent="0.2">
      <c r="A622" s="126"/>
      <c r="B622" s="4"/>
      <c r="C622" s="4"/>
      <c r="D622" s="7"/>
      <c r="E622" s="7"/>
      <c r="F622" s="8" t="str">
        <f t="shared" si="423"/>
        <v/>
      </c>
      <c r="G622" s="7" t="str">
        <f t="shared" si="424"/>
        <v/>
      </c>
      <c r="H622" s="5" t="str">
        <f t="shared" si="425"/>
        <v/>
      </c>
      <c r="I622" s="122" t="str">
        <f t="shared" si="429"/>
        <v/>
      </c>
      <c r="J622" s="7" t="str">
        <f t="shared" si="430"/>
        <v/>
      </c>
      <c r="K622" s="9" t="str">
        <f t="shared" si="431"/>
        <v/>
      </c>
      <c r="L622" s="9" t="str">
        <f>IF(NOT(ISERROR(VLOOKUP(B622,Deflatores!G$42:H$64,2,FALSE))),VLOOKUP(B622,Deflatores!G$42:H$64,2,FALSE),IF(OR(ISBLANK(C622),ISBLANK(B622)),"",VLOOKUP(C622,Deflatores!G$4:H$38,2,FALSE)*H622+VLOOKUP(C622,Deflatores!G$4:I$38,3,FALSE)))</f>
        <v/>
      </c>
      <c r="M622" s="10"/>
      <c r="N622" s="10"/>
      <c r="O622" s="6"/>
    </row>
    <row r="623" spans="1:15" x14ac:dyDescent="0.2">
      <c r="A623" s="126"/>
      <c r="B623" s="4"/>
      <c r="C623" s="4"/>
      <c r="D623" s="7"/>
      <c r="E623" s="7"/>
      <c r="F623" s="8" t="str">
        <f t="shared" si="423"/>
        <v/>
      </c>
      <c r="G623" s="7" t="str">
        <f t="shared" si="424"/>
        <v/>
      </c>
      <c r="H623" s="5" t="str">
        <f t="shared" si="425"/>
        <v/>
      </c>
      <c r="I623" s="122" t="str">
        <f t="shared" si="429"/>
        <v/>
      </c>
      <c r="J623" s="7" t="str">
        <f t="shared" si="430"/>
        <v/>
      </c>
      <c r="K623" s="9" t="str">
        <f t="shared" si="431"/>
        <v/>
      </c>
      <c r="L623" s="9" t="str">
        <f>IF(NOT(ISERROR(VLOOKUP(B623,Deflatores!G$42:H$64,2,FALSE))),VLOOKUP(B623,Deflatores!G$42:H$64,2,FALSE),IF(OR(ISBLANK(C623),ISBLANK(B623)),"",VLOOKUP(C623,Deflatores!G$4:H$38,2,FALSE)*H623+VLOOKUP(C623,Deflatores!G$4:I$38,3,FALSE)))</f>
        <v/>
      </c>
      <c r="M623" s="10"/>
      <c r="N623" s="10"/>
      <c r="O623" s="6"/>
    </row>
    <row r="624" spans="1:15" x14ac:dyDescent="0.2">
      <c r="A624" s="126"/>
      <c r="B624" s="4"/>
      <c r="C624" s="4"/>
      <c r="D624" s="7"/>
      <c r="E624" s="7"/>
      <c r="F624" s="8" t="str">
        <f t="shared" si="423"/>
        <v/>
      </c>
      <c r="G624" s="7" t="str">
        <f t="shared" si="424"/>
        <v/>
      </c>
      <c r="H624" s="5" t="str">
        <f t="shared" si="425"/>
        <v/>
      </c>
      <c r="I624" s="122" t="str">
        <f t="shared" si="429"/>
        <v/>
      </c>
      <c r="J624" s="7" t="str">
        <f t="shared" si="430"/>
        <v/>
      </c>
      <c r="K624" s="9" t="str">
        <f t="shared" si="431"/>
        <v/>
      </c>
      <c r="L624" s="9" t="str">
        <f>IF(NOT(ISERROR(VLOOKUP(B624,Deflatores!G$42:H$64,2,FALSE))),VLOOKUP(B624,Deflatores!G$42:H$64,2,FALSE),IF(OR(ISBLANK(C624),ISBLANK(B624)),"",VLOOKUP(C624,Deflatores!G$4:H$38,2,FALSE)*H624+VLOOKUP(C624,Deflatores!G$4:I$38,3,FALSE)))</f>
        <v/>
      </c>
      <c r="M624" s="10"/>
      <c r="N624" s="10"/>
      <c r="O624" s="6"/>
    </row>
    <row r="625" spans="1:15" x14ac:dyDescent="0.2">
      <c r="A625" s="126"/>
      <c r="B625" s="4"/>
      <c r="C625" s="4"/>
      <c r="D625" s="7"/>
      <c r="E625" s="7"/>
      <c r="F625" s="8" t="str">
        <f t="shared" si="423"/>
        <v/>
      </c>
      <c r="G625" s="7" t="str">
        <f t="shared" si="424"/>
        <v/>
      </c>
      <c r="H625" s="5" t="str">
        <f t="shared" si="425"/>
        <v/>
      </c>
      <c r="I625" s="122" t="str">
        <f t="shared" si="429"/>
        <v/>
      </c>
      <c r="J625" s="7" t="str">
        <f t="shared" si="430"/>
        <v/>
      </c>
      <c r="K625" s="9" t="str">
        <f t="shared" si="431"/>
        <v/>
      </c>
      <c r="L625" s="9" t="str">
        <f>IF(NOT(ISERROR(VLOOKUP(B625,Deflatores!G$42:H$64,2,FALSE))),VLOOKUP(B625,Deflatores!G$42:H$64,2,FALSE),IF(OR(ISBLANK(C625),ISBLANK(B625)),"",VLOOKUP(C625,Deflatores!G$4:H$38,2,FALSE)*H625+VLOOKUP(C625,Deflatores!G$4:I$38,3,FALSE)))</f>
        <v/>
      </c>
      <c r="M625" s="10"/>
      <c r="N625" s="10"/>
      <c r="O625" s="6"/>
    </row>
    <row r="626" spans="1:15" x14ac:dyDescent="0.2">
      <c r="A626" s="126"/>
      <c r="B626" s="4"/>
      <c r="C626" s="4"/>
      <c r="D626" s="7"/>
      <c r="E626" s="7"/>
      <c r="F626" s="8" t="str">
        <f t="shared" si="423"/>
        <v/>
      </c>
      <c r="G626" s="7" t="str">
        <f t="shared" si="424"/>
        <v/>
      </c>
      <c r="H626" s="5" t="str">
        <f t="shared" si="425"/>
        <v/>
      </c>
      <c r="I626" s="122" t="str">
        <f t="shared" si="429"/>
        <v/>
      </c>
      <c r="J626" s="7" t="str">
        <f t="shared" si="430"/>
        <v/>
      </c>
      <c r="K626" s="9" t="str">
        <f t="shared" si="431"/>
        <v/>
      </c>
      <c r="L626" s="9" t="str">
        <f>IF(NOT(ISERROR(VLOOKUP(B626,Deflatores!G$42:H$64,2,FALSE))),VLOOKUP(B626,Deflatores!G$42:H$64,2,FALSE),IF(OR(ISBLANK(C626),ISBLANK(B626)),"",VLOOKUP(C626,Deflatores!G$4:H$38,2,FALSE)*H626+VLOOKUP(C626,Deflatores!G$4:I$38,3,FALSE)))</f>
        <v/>
      </c>
      <c r="M626" s="10"/>
      <c r="N626" s="10"/>
      <c r="O626" s="6"/>
    </row>
    <row r="627" spans="1:15" x14ac:dyDescent="0.2">
      <c r="A627" s="126"/>
      <c r="B627" s="4"/>
      <c r="C627" s="4"/>
      <c r="D627" s="7"/>
      <c r="E627" s="7"/>
      <c r="F627" s="8" t="str">
        <f t="shared" si="423"/>
        <v/>
      </c>
      <c r="G627" s="7" t="str">
        <f t="shared" si="424"/>
        <v/>
      </c>
      <c r="H627" s="5" t="str">
        <f t="shared" si="425"/>
        <v/>
      </c>
      <c r="I627" s="122" t="str">
        <f t="shared" si="429"/>
        <v/>
      </c>
      <c r="J627" s="7" t="str">
        <f t="shared" si="430"/>
        <v/>
      </c>
      <c r="K627" s="9" t="str">
        <f t="shared" si="431"/>
        <v/>
      </c>
      <c r="L627" s="9" t="str">
        <f>IF(NOT(ISERROR(VLOOKUP(B627,Deflatores!G$42:H$64,2,FALSE))),VLOOKUP(B627,Deflatores!G$42:H$64,2,FALSE),IF(OR(ISBLANK(C627),ISBLANK(B627)),"",VLOOKUP(C627,Deflatores!G$4:H$38,2,FALSE)*H627+VLOOKUP(C627,Deflatores!G$4:I$38,3,FALSE)))</f>
        <v/>
      </c>
      <c r="M627" s="10"/>
      <c r="N627" s="10"/>
      <c r="O627" s="6"/>
    </row>
    <row r="628" spans="1:15" x14ac:dyDescent="0.2">
      <c r="A628" s="126"/>
      <c r="B628" s="4"/>
      <c r="C628" s="4"/>
      <c r="D628" s="7"/>
      <c r="E628" s="7"/>
      <c r="F628" s="8" t="str">
        <f t="shared" si="423"/>
        <v/>
      </c>
      <c r="G628" s="7" t="str">
        <f t="shared" si="424"/>
        <v/>
      </c>
      <c r="H628" s="5" t="str">
        <f t="shared" si="425"/>
        <v/>
      </c>
      <c r="I628" s="122" t="str">
        <f t="shared" si="429"/>
        <v/>
      </c>
      <c r="J628" s="7" t="str">
        <f t="shared" si="430"/>
        <v/>
      </c>
      <c r="K628" s="9" t="str">
        <f t="shared" si="431"/>
        <v/>
      </c>
      <c r="L628" s="9" t="str">
        <f>IF(NOT(ISERROR(VLOOKUP(B628,Deflatores!G$42:H$64,2,FALSE))),VLOOKUP(B628,Deflatores!G$42:H$64,2,FALSE),IF(OR(ISBLANK(C628),ISBLANK(B628)),"",VLOOKUP(C628,Deflatores!G$4:H$38,2,FALSE)*H628+VLOOKUP(C628,Deflatores!G$4:I$38,3,FALSE)))</f>
        <v/>
      </c>
      <c r="M628" s="10"/>
      <c r="N628" s="10"/>
      <c r="O628" s="6"/>
    </row>
    <row r="629" spans="1:15" x14ac:dyDescent="0.2">
      <c r="A629" s="126"/>
      <c r="B629" s="4"/>
      <c r="C629" s="4"/>
      <c r="D629" s="7"/>
      <c r="E629" s="7"/>
      <c r="F629" s="8" t="str">
        <f t="shared" si="423"/>
        <v/>
      </c>
      <c r="G629" s="7" t="str">
        <f t="shared" si="424"/>
        <v/>
      </c>
      <c r="H629" s="5" t="str">
        <f t="shared" si="425"/>
        <v/>
      </c>
      <c r="I629" s="122" t="str">
        <f t="shared" si="429"/>
        <v/>
      </c>
      <c r="J629" s="7" t="str">
        <f t="shared" si="430"/>
        <v/>
      </c>
      <c r="K629" s="9" t="str">
        <f t="shared" si="431"/>
        <v/>
      </c>
      <c r="L629" s="9" t="str">
        <f>IF(NOT(ISERROR(VLOOKUP(B629,Deflatores!G$42:H$64,2,FALSE))),VLOOKUP(B629,Deflatores!G$42:H$64,2,FALSE),IF(OR(ISBLANK(C629),ISBLANK(B629)),"",VLOOKUP(C629,Deflatores!G$4:H$38,2,FALSE)*H629+VLOOKUP(C629,Deflatores!G$4:I$38,3,FALSE)))</f>
        <v/>
      </c>
      <c r="M629" s="10"/>
      <c r="N629" s="10"/>
      <c r="O629" s="6"/>
    </row>
    <row r="630" spans="1:15" x14ac:dyDescent="0.2">
      <c r="A630" s="126"/>
      <c r="B630" s="4"/>
      <c r="C630" s="4"/>
      <c r="D630" s="7"/>
      <c r="E630" s="7"/>
      <c r="F630" s="8" t="str">
        <f t="shared" si="423"/>
        <v/>
      </c>
      <c r="G630" s="7" t="str">
        <f t="shared" si="424"/>
        <v/>
      </c>
      <c r="H630" s="5" t="str">
        <f t="shared" si="425"/>
        <v/>
      </c>
      <c r="I630" s="122" t="str">
        <f t="shared" si="429"/>
        <v/>
      </c>
      <c r="J630" s="7" t="str">
        <f t="shared" si="430"/>
        <v/>
      </c>
      <c r="K630" s="9" t="str">
        <f t="shared" si="431"/>
        <v/>
      </c>
      <c r="L630" s="9" t="str">
        <f>IF(NOT(ISERROR(VLOOKUP(B630,Deflatores!G$42:H$64,2,FALSE))),VLOOKUP(B630,Deflatores!G$42:H$64,2,FALSE),IF(OR(ISBLANK(C630),ISBLANK(B630)),"",VLOOKUP(C630,Deflatores!G$4:H$38,2,FALSE)*H630+VLOOKUP(C630,Deflatores!G$4:I$38,3,FALSE)))</f>
        <v/>
      </c>
      <c r="M630" s="10"/>
      <c r="N630" s="10"/>
      <c r="O630" s="6"/>
    </row>
    <row r="631" spans="1:15" x14ac:dyDescent="0.2">
      <c r="A631" s="126"/>
      <c r="B631" s="4"/>
      <c r="C631" s="4"/>
      <c r="D631" s="7"/>
      <c r="E631" s="7"/>
      <c r="F631" s="8" t="str">
        <f t="shared" si="423"/>
        <v/>
      </c>
      <c r="G631" s="7" t="str">
        <f t="shared" si="424"/>
        <v/>
      </c>
      <c r="H631" s="5" t="str">
        <f t="shared" si="425"/>
        <v/>
      </c>
      <c r="I631" s="122" t="str">
        <f t="shared" si="429"/>
        <v/>
      </c>
      <c r="J631" s="7" t="str">
        <f t="shared" si="430"/>
        <v/>
      </c>
      <c r="K631" s="9" t="str">
        <f t="shared" si="431"/>
        <v/>
      </c>
      <c r="L631" s="9" t="str">
        <f>IF(NOT(ISERROR(VLOOKUP(B631,Deflatores!G$42:H$64,2,FALSE))),VLOOKUP(B631,Deflatores!G$42:H$64,2,FALSE),IF(OR(ISBLANK(C631),ISBLANK(B631)),"",VLOOKUP(C631,Deflatores!G$4:H$38,2,FALSE)*H631+VLOOKUP(C631,Deflatores!G$4:I$38,3,FALSE)))</f>
        <v/>
      </c>
      <c r="M631" s="10"/>
      <c r="N631" s="10"/>
      <c r="O631" s="6"/>
    </row>
    <row r="632" spans="1:15" x14ac:dyDescent="0.2">
      <c r="A632" s="126"/>
      <c r="B632" s="4"/>
      <c r="C632" s="4"/>
      <c r="D632" s="7"/>
      <c r="E632" s="7"/>
      <c r="F632" s="8" t="str">
        <f t="shared" si="423"/>
        <v/>
      </c>
      <c r="G632" s="7" t="str">
        <f t="shared" si="424"/>
        <v/>
      </c>
      <c r="H632" s="5" t="str">
        <f t="shared" si="425"/>
        <v/>
      </c>
      <c r="I632" s="122" t="str">
        <f t="shared" si="429"/>
        <v/>
      </c>
      <c r="J632" s="7" t="str">
        <f t="shared" si="430"/>
        <v/>
      </c>
      <c r="K632" s="9" t="str">
        <f t="shared" si="431"/>
        <v/>
      </c>
      <c r="L632" s="9" t="str">
        <f>IF(NOT(ISERROR(VLOOKUP(B632,Deflatores!G$42:H$64,2,FALSE))),VLOOKUP(B632,Deflatores!G$42:H$64,2,FALSE),IF(OR(ISBLANK(C632),ISBLANK(B632)),"",VLOOKUP(C632,Deflatores!G$4:H$38,2,FALSE)*H632+VLOOKUP(C632,Deflatores!G$4:I$38,3,FALSE)))</f>
        <v/>
      </c>
      <c r="M632" s="10"/>
      <c r="N632" s="10"/>
      <c r="O632" s="6"/>
    </row>
    <row r="633" spans="1:15" x14ac:dyDescent="0.2">
      <c r="A633" s="126"/>
      <c r="B633" s="4"/>
      <c r="C633" s="4"/>
      <c r="D633" s="7"/>
      <c r="E633" s="7"/>
      <c r="F633" s="8" t="str">
        <f t="shared" si="423"/>
        <v/>
      </c>
      <c r="G633" s="7" t="str">
        <f t="shared" si="424"/>
        <v/>
      </c>
      <c r="H633" s="5" t="str">
        <f t="shared" si="425"/>
        <v/>
      </c>
      <c r="I633" s="122" t="str">
        <f t="shared" si="429"/>
        <v/>
      </c>
      <c r="J633" s="7" t="str">
        <f t="shared" si="430"/>
        <v/>
      </c>
      <c r="K633" s="9" t="str">
        <f t="shared" si="431"/>
        <v/>
      </c>
      <c r="L633" s="9" t="str">
        <f>IF(NOT(ISERROR(VLOOKUP(B633,Deflatores!G$42:H$64,2,FALSE))),VLOOKUP(B633,Deflatores!G$42:H$64,2,FALSE),IF(OR(ISBLANK(C633),ISBLANK(B633)),"",VLOOKUP(C633,Deflatores!G$4:H$38,2,FALSE)*H633+VLOOKUP(C633,Deflatores!G$4:I$38,3,FALSE)))</f>
        <v/>
      </c>
      <c r="M633" s="10"/>
      <c r="N633" s="10"/>
      <c r="O633" s="6"/>
    </row>
    <row r="634" spans="1:15" x14ac:dyDescent="0.2">
      <c r="A634" s="126"/>
      <c r="B634" s="4"/>
      <c r="C634" s="4"/>
      <c r="D634" s="7"/>
      <c r="E634" s="7"/>
      <c r="F634" s="8" t="str">
        <f t="shared" si="423"/>
        <v/>
      </c>
      <c r="G634" s="7" t="str">
        <f t="shared" si="424"/>
        <v/>
      </c>
      <c r="H634" s="5" t="str">
        <f t="shared" si="425"/>
        <v/>
      </c>
      <c r="I634" s="122" t="str">
        <f t="shared" si="429"/>
        <v/>
      </c>
      <c r="J634" s="7" t="str">
        <f t="shared" si="430"/>
        <v/>
      </c>
      <c r="K634" s="9" t="str">
        <f t="shared" si="431"/>
        <v/>
      </c>
      <c r="L634" s="9" t="str">
        <f>IF(NOT(ISERROR(VLOOKUP(B634,Deflatores!G$42:H$64,2,FALSE))),VLOOKUP(B634,Deflatores!G$42:H$64,2,FALSE),IF(OR(ISBLANK(C634),ISBLANK(B634)),"",VLOOKUP(C634,Deflatores!G$4:H$38,2,FALSE)*H634+VLOOKUP(C634,Deflatores!G$4:I$38,3,FALSE)))</f>
        <v/>
      </c>
      <c r="M634" s="10"/>
      <c r="N634" s="10"/>
      <c r="O634" s="6"/>
    </row>
    <row r="635" spans="1:15" x14ac:dyDescent="0.2">
      <c r="A635" s="126"/>
      <c r="B635" s="4"/>
      <c r="C635" s="4"/>
      <c r="D635" s="7"/>
      <c r="E635" s="7"/>
      <c r="F635" s="8" t="str">
        <f t="shared" si="423"/>
        <v/>
      </c>
      <c r="G635" s="7" t="str">
        <f t="shared" si="424"/>
        <v/>
      </c>
      <c r="H635" s="5" t="str">
        <f t="shared" si="425"/>
        <v/>
      </c>
      <c r="I635" s="122" t="str">
        <f t="shared" si="429"/>
        <v/>
      </c>
      <c r="J635" s="7" t="str">
        <f t="shared" si="430"/>
        <v/>
      </c>
      <c r="K635" s="9" t="str">
        <f t="shared" si="431"/>
        <v/>
      </c>
      <c r="L635" s="9" t="str">
        <f>IF(NOT(ISERROR(VLOOKUP(B635,Deflatores!G$42:H$64,2,FALSE))),VLOOKUP(B635,Deflatores!G$42:H$64,2,FALSE),IF(OR(ISBLANK(C635),ISBLANK(B635)),"",VLOOKUP(C635,Deflatores!G$4:H$38,2,FALSE)*H635+VLOOKUP(C635,Deflatores!G$4:I$38,3,FALSE)))</f>
        <v/>
      </c>
      <c r="M635" s="10"/>
      <c r="N635" s="10"/>
      <c r="O635" s="6"/>
    </row>
    <row r="636" spans="1:15" x14ac:dyDescent="0.2">
      <c r="A636" s="126"/>
      <c r="B636" s="4"/>
      <c r="C636" s="4"/>
      <c r="D636" s="7"/>
      <c r="E636" s="7"/>
      <c r="F636" s="8" t="str">
        <f t="shared" si="423"/>
        <v/>
      </c>
      <c r="G636" s="7" t="str">
        <f t="shared" si="424"/>
        <v/>
      </c>
      <c r="H636" s="5" t="str">
        <f t="shared" si="425"/>
        <v/>
      </c>
      <c r="I636" s="122" t="str">
        <f t="shared" si="429"/>
        <v/>
      </c>
      <c r="J636" s="7" t="str">
        <f t="shared" si="430"/>
        <v/>
      </c>
      <c r="K636" s="9" t="str">
        <f t="shared" si="431"/>
        <v/>
      </c>
      <c r="L636" s="9" t="str">
        <f>IF(NOT(ISERROR(VLOOKUP(B636,Deflatores!G$42:H$64,2,FALSE))),VLOOKUP(B636,Deflatores!G$42:H$64,2,FALSE),IF(OR(ISBLANK(C636),ISBLANK(B636)),"",VLOOKUP(C636,Deflatores!G$4:H$38,2,FALSE)*H636+VLOOKUP(C636,Deflatores!G$4:I$38,3,FALSE)))</f>
        <v/>
      </c>
      <c r="M636" s="10"/>
      <c r="N636" s="10"/>
      <c r="O636" s="6"/>
    </row>
    <row r="637" spans="1:15" x14ac:dyDescent="0.2">
      <c r="A637" s="126"/>
      <c r="B637" s="4"/>
      <c r="C637" s="4"/>
      <c r="D637" s="7"/>
      <c r="E637" s="7"/>
      <c r="F637" s="8" t="str">
        <f t="shared" si="423"/>
        <v/>
      </c>
      <c r="G637" s="7" t="str">
        <f t="shared" si="424"/>
        <v/>
      </c>
      <c r="H637" s="5" t="str">
        <f t="shared" si="425"/>
        <v/>
      </c>
      <c r="I637" s="122" t="str">
        <f t="shared" si="429"/>
        <v/>
      </c>
      <c r="J637" s="7" t="str">
        <f t="shared" si="430"/>
        <v/>
      </c>
      <c r="K637" s="9" t="str">
        <f t="shared" si="431"/>
        <v/>
      </c>
      <c r="L637" s="9" t="str">
        <f>IF(NOT(ISERROR(VLOOKUP(B637,Deflatores!G$42:H$64,2,FALSE))),VLOOKUP(B637,Deflatores!G$42:H$64,2,FALSE),IF(OR(ISBLANK(C637),ISBLANK(B637)),"",VLOOKUP(C637,Deflatores!G$4:H$38,2,FALSE)*H637+VLOOKUP(C637,Deflatores!G$4:I$38,3,FALSE)))</f>
        <v/>
      </c>
      <c r="M637" s="10"/>
      <c r="N637" s="10"/>
      <c r="O637" s="6"/>
    </row>
    <row r="638" spans="1:15" x14ac:dyDescent="0.2">
      <c r="A638" s="126"/>
      <c r="B638" s="4"/>
      <c r="C638" s="4"/>
      <c r="D638" s="7"/>
      <c r="E638" s="7"/>
      <c r="F638" s="8" t="str">
        <f t="shared" si="423"/>
        <v/>
      </c>
      <c r="G638" s="7" t="str">
        <f t="shared" si="424"/>
        <v/>
      </c>
      <c r="H638" s="5" t="str">
        <f t="shared" si="425"/>
        <v/>
      </c>
      <c r="I638" s="122" t="str">
        <f t="shared" si="429"/>
        <v/>
      </c>
      <c r="J638" s="7" t="str">
        <f t="shared" si="430"/>
        <v/>
      </c>
      <c r="K638" s="9" t="str">
        <f t="shared" si="431"/>
        <v/>
      </c>
      <c r="L638" s="9" t="str">
        <f>IF(NOT(ISERROR(VLOOKUP(B638,Deflatores!G$42:H$64,2,FALSE))),VLOOKUP(B638,Deflatores!G$42:H$64,2,FALSE),IF(OR(ISBLANK(C638),ISBLANK(B638)),"",VLOOKUP(C638,Deflatores!G$4:H$38,2,FALSE)*H638+VLOOKUP(C638,Deflatores!G$4:I$38,3,FALSE)))</f>
        <v/>
      </c>
      <c r="M638" s="10"/>
      <c r="N638" s="10"/>
      <c r="O638" s="6"/>
    </row>
    <row r="639" spans="1:15" x14ac:dyDescent="0.2">
      <c r="A639" s="126"/>
      <c r="B639" s="4"/>
      <c r="C639" s="4"/>
      <c r="D639" s="7"/>
      <c r="E639" s="7"/>
      <c r="F639" s="8" t="str">
        <f t="shared" si="423"/>
        <v/>
      </c>
      <c r="G639" s="7" t="str">
        <f t="shared" si="424"/>
        <v/>
      </c>
      <c r="H639" s="5" t="str">
        <f t="shared" si="425"/>
        <v/>
      </c>
      <c r="I639" s="122" t="str">
        <f t="shared" si="429"/>
        <v/>
      </c>
      <c r="J639" s="7" t="str">
        <f t="shared" si="430"/>
        <v/>
      </c>
      <c r="K639" s="9" t="str">
        <f t="shared" si="431"/>
        <v/>
      </c>
      <c r="L639" s="9" t="str">
        <f>IF(NOT(ISERROR(VLOOKUP(B639,Deflatores!G$42:H$64,2,FALSE))),VLOOKUP(B639,Deflatores!G$42:H$64,2,FALSE),IF(OR(ISBLANK(C639),ISBLANK(B639)),"",VLOOKUP(C639,Deflatores!G$4:H$38,2,FALSE)*H639+VLOOKUP(C639,Deflatores!G$4:I$38,3,FALSE)))</f>
        <v/>
      </c>
      <c r="M639" s="10"/>
      <c r="N639" s="10"/>
      <c r="O639" s="6"/>
    </row>
    <row r="640" spans="1:15" x14ac:dyDescent="0.2">
      <c r="A640" s="126"/>
      <c r="B640" s="4"/>
      <c r="C640" s="4"/>
      <c r="D640" s="7"/>
      <c r="E640" s="7"/>
      <c r="F640" s="8" t="str">
        <f t="shared" si="423"/>
        <v/>
      </c>
      <c r="G640" s="7" t="str">
        <f t="shared" si="424"/>
        <v/>
      </c>
      <c r="H640" s="5" t="str">
        <f t="shared" si="425"/>
        <v/>
      </c>
      <c r="I640" s="122" t="str">
        <f t="shared" si="429"/>
        <v/>
      </c>
      <c r="J640" s="7" t="str">
        <f t="shared" si="430"/>
        <v/>
      </c>
      <c r="K640" s="9" t="str">
        <f t="shared" si="431"/>
        <v/>
      </c>
      <c r="L640" s="9" t="str">
        <f>IF(NOT(ISERROR(VLOOKUP(B640,Deflatores!G$42:H$64,2,FALSE))),VLOOKUP(B640,Deflatores!G$42:H$64,2,FALSE),IF(OR(ISBLANK(C640),ISBLANK(B640)),"",VLOOKUP(C640,Deflatores!G$4:H$38,2,FALSE)*H640+VLOOKUP(C640,Deflatores!G$4:I$38,3,FALSE)))</f>
        <v/>
      </c>
      <c r="M640" s="10"/>
      <c r="N640" s="10"/>
      <c r="O640" s="6"/>
    </row>
    <row r="641" spans="1:15" x14ac:dyDescent="0.2">
      <c r="A641" s="126"/>
      <c r="B641" s="4"/>
      <c r="C641" s="4"/>
      <c r="D641" s="7"/>
      <c r="E641" s="7"/>
      <c r="F641" s="8" t="str">
        <f t="shared" si="423"/>
        <v/>
      </c>
      <c r="G641" s="7" t="str">
        <f t="shared" si="424"/>
        <v/>
      </c>
      <c r="H641" s="5" t="str">
        <f t="shared" si="425"/>
        <v/>
      </c>
      <c r="I641" s="122" t="str">
        <f t="shared" si="429"/>
        <v/>
      </c>
      <c r="J641" s="7" t="str">
        <f t="shared" si="430"/>
        <v/>
      </c>
      <c r="K641" s="9" t="str">
        <f t="shared" si="431"/>
        <v/>
      </c>
      <c r="L641" s="9" t="str">
        <f>IF(NOT(ISERROR(VLOOKUP(B641,Deflatores!G$42:H$64,2,FALSE))),VLOOKUP(B641,Deflatores!G$42:H$64,2,FALSE),IF(OR(ISBLANK(C641),ISBLANK(B641)),"",VLOOKUP(C641,Deflatores!G$4:H$38,2,FALSE)*H641+VLOOKUP(C641,Deflatores!G$4:I$38,3,FALSE)))</f>
        <v/>
      </c>
      <c r="M641" s="10"/>
      <c r="N641" s="10"/>
      <c r="O641" s="6"/>
    </row>
    <row r="642" spans="1:15" x14ac:dyDescent="0.2">
      <c r="A642" s="126"/>
      <c r="B642" s="4"/>
      <c r="C642" s="4"/>
      <c r="D642" s="7"/>
      <c r="E642" s="7"/>
      <c r="F642" s="8" t="str">
        <f t="shared" si="423"/>
        <v/>
      </c>
      <c r="G642" s="7" t="str">
        <f t="shared" si="424"/>
        <v/>
      </c>
      <c r="H642" s="5" t="str">
        <f t="shared" si="425"/>
        <v/>
      </c>
      <c r="I642" s="122" t="str">
        <f t="shared" si="429"/>
        <v/>
      </c>
      <c r="J642" s="7" t="str">
        <f t="shared" si="430"/>
        <v/>
      </c>
      <c r="K642" s="9" t="str">
        <f t="shared" si="431"/>
        <v/>
      </c>
      <c r="L642" s="9" t="str">
        <f>IF(NOT(ISERROR(VLOOKUP(B642,Deflatores!G$42:H$64,2,FALSE))),VLOOKUP(B642,Deflatores!G$42:H$64,2,FALSE),IF(OR(ISBLANK(C642),ISBLANK(B642)),"",VLOOKUP(C642,Deflatores!G$4:H$38,2,FALSE)*H642+VLOOKUP(C642,Deflatores!G$4:I$38,3,FALSE)))</f>
        <v/>
      </c>
      <c r="M642" s="10"/>
      <c r="N642" s="10"/>
      <c r="O642" s="6"/>
    </row>
    <row r="643" spans="1:15" x14ac:dyDescent="0.2">
      <c r="A643" s="126"/>
      <c r="B643" s="4"/>
      <c r="C643" s="4"/>
      <c r="D643" s="7"/>
      <c r="E643" s="7"/>
      <c r="F643" s="8" t="str">
        <f t="shared" si="423"/>
        <v/>
      </c>
      <c r="G643" s="7" t="str">
        <f t="shared" si="424"/>
        <v/>
      </c>
      <c r="H643" s="5" t="str">
        <f t="shared" si="425"/>
        <v/>
      </c>
      <c r="I643" s="122" t="str">
        <f t="shared" si="429"/>
        <v/>
      </c>
      <c r="J643" s="7" t="str">
        <f t="shared" si="430"/>
        <v/>
      </c>
      <c r="K643" s="9" t="str">
        <f t="shared" si="431"/>
        <v/>
      </c>
      <c r="L643" s="9" t="str">
        <f>IF(NOT(ISERROR(VLOOKUP(B643,Deflatores!G$42:H$64,2,FALSE))),VLOOKUP(B643,Deflatores!G$42:H$64,2,FALSE),IF(OR(ISBLANK(C643),ISBLANK(B643)),"",VLOOKUP(C643,Deflatores!G$4:H$38,2,FALSE)*H643+VLOOKUP(C643,Deflatores!G$4:I$38,3,FALSE)))</f>
        <v/>
      </c>
      <c r="M643" s="10"/>
      <c r="N643" s="10"/>
      <c r="O643" s="6"/>
    </row>
    <row r="644" spans="1:15" x14ac:dyDescent="0.2">
      <c r="A644" s="126"/>
      <c r="B644" s="4"/>
      <c r="C644" s="4"/>
      <c r="D644" s="7"/>
      <c r="E644" s="7"/>
      <c r="F644" s="8" t="str">
        <f t="shared" si="423"/>
        <v/>
      </c>
      <c r="G644" s="7" t="str">
        <f t="shared" si="424"/>
        <v/>
      </c>
      <c r="H644" s="5" t="str">
        <f t="shared" si="425"/>
        <v/>
      </c>
      <c r="I644" s="122" t="str">
        <f t="shared" si="429"/>
        <v/>
      </c>
      <c r="J644" s="7" t="str">
        <f t="shared" si="430"/>
        <v/>
      </c>
      <c r="K644" s="9" t="str">
        <f t="shared" si="431"/>
        <v/>
      </c>
      <c r="L644" s="9" t="str">
        <f>IF(NOT(ISERROR(VLOOKUP(B644,Deflatores!G$42:H$64,2,FALSE))),VLOOKUP(B644,Deflatores!G$42:H$64,2,FALSE),IF(OR(ISBLANK(C644),ISBLANK(B644)),"",VLOOKUP(C644,Deflatores!G$4:H$38,2,FALSE)*H644+VLOOKUP(C644,Deflatores!G$4:I$38,3,FALSE)))</f>
        <v/>
      </c>
      <c r="M644" s="10"/>
      <c r="N644" s="10"/>
      <c r="O644" s="6"/>
    </row>
    <row r="645" spans="1:15" x14ac:dyDescent="0.2">
      <c r="A645" s="126"/>
      <c r="B645" s="4"/>
      <c r="C645" s="4"/>
      <c r="D645" s="7"/>
      <c r="E645" s="7"/>
      <c r="F645" s="8" t="str">
        <f t="shared" si="423"/>
        <v/>
      </c>
      <c r="G645" s="7" t="str">
        <f t="shared" si="424"/>
        <v/>
      </c>
      <c r="H645" s="5" t="str">
        <f t="shared" si="425"/>
        <v/>
      </c>
      <c r="I645" s="122" t="str">
        <f t="shared" si="429"/>
        <v/>
      </c>
      <c r="J645" s="7" t="str">
        <f t="shared" si="430"/>
        <v/>
      </c>
      <c r="K645" s="9" t="str">
        <f t="shared" si="431"/>
        <v/>
      </c>
      <c r="L645" s="9" t="str">
        <f>IF(NOT(ISERROR(VLOOKUP(B645,Deflatores!G$42:H$64,2,FALSE))),VLOOKUP(B645,Deflatores!G$42:H$64,2,FALSE),IF(OR(ISBLANK(C645),ISBLANK(B645)),"",VLOOKUP(C645,Deflatores!G$4:H$38,2,FALSE)*H645+VLOOKUP(C645,Deflatores!G$4:I$38,3,FALSE)))</f>
        <v/>
      </c>
      <c r="M645" s="10"/>
      <c r="N645" s="10"/>
      <c r="O645" s="6"/>
    </row>
    <row r="646" spans="1:15" x14ac:dyDescent="0.2">
      <c r="A646" s="126"/>
      <c r="B646" s="4"/>
      <c r="C646" s="4"/>
      <c r="D646" s="7"/>
      <c r="E646" s="7"/>
      <c r="F646" s="8" t="str">
        <f t="shared" si="423"/>
        <v/>
      </c>
      <c r="G646" s="7" t="str">
        <f t="shared" si="424"/>
        <v/>
      </c>
      <c r="H646" s="5" t="str">
        <f t="shared" si="425"/>
        <v/>
      </c>
      <c r="I646" s="122" t="str">
        <f t="shared" si="429"/>
        <v/>
      </c>
      <c r="J646" s="7" t="str">
        <f t="shared" si="430"/>
        <v/>
      </c>
      <c r="K646" s="9" t="str">
        <f t="shared" si="431"/>
        <v/>
      </c>
      <c r="L646" s="9" t="str">
        <f>IF(NOT(ISERROR(VLOOKUP(B646,Deflatores!G$42:H$64,2,FALSE))),VLOOKUP(B646,Deflatores!G$42:H$64,2,FALSE),IF(OR(ISBLANK(C646),ISBLANK(B646)),"",VLOOKUP(C646,Deflatores!G$4:H$38,2,FALSE)*H646+VLOOKUP(C646,Deflatores!G$4:I$38,3,FALSE)))</f>
        <v/>
      </c>
      <c r="M646" s="10"/>
      <c r="N646" s="10"/>
      <c r="O646" s="6"/>
    </row>
    <row r="647" spans="1:15" x14ac:dyDescent="0.2">
      <c r="A647" s="126"/>
      <c r="B647" s="4"/>
      <c r="C647" s="4"/>
      <c r="D647" s="7"/>
      <c r="E647" s="7"/>
      <c r="F647" s="8" t="str">
        <f t="shared" si="423"/>
        <v/>
      </c>
      <c r="G647" s="7" t="str">
        <f t="shared" si="424"/>
        <v/>
      </c>
      <c r="H647" s="5" t="str">
        <f t="shared" si="425"/>
        <v/>
      </c>
      <c r="I647" s="122" t="str">
        <f t="shared" si="429"/>
        <v/>
      </c>
      <c r="J647" s="7" t="str">
        <f t="shared" si="430"/>
        <v/>
      </c>
      <c r="K647" s="9" t="str">
        <f t="shared" si="431"/>
        <v/>
      </c>
      <c r="L647" s="9" t="str">
        <f>IF(NOT(ISERROR(VLOOKUP(B647,Deflatores!G$42:H$64,2,FALSE))),VLOOKUP(B647,Deflatores!G$42:H$64,2,FALSE),IF(OR(ISBLANK(C647),ISBLANK(B647)),"",VLOOKUP(C647,Deflatores!G$4:H$38,2,FALSE)*H647+VLOOKUP(C647,Deflatores!G$4:I$38,3,FALSE)))</f>
        <v/>
      </c>
      <c r="M647" s="10"/>
      <c r="N647" s="10"/>
      <c r="O647" s="6"/>
    </row>
    <row r="648" spans="1:15" x14ac:dyDescent="0.2">
      <c r="A648" s="126"/>
      <c r="B648" s="4"/>
      <c r="C648" s="4"/>
      <c r="D648" s="7"/>
      <c r="E648" s="7"/>
      <c r="F648" s="8" t="str">
        <f t="shared" si="423"/>
        <v/>
      </c>
      <c r="G648" s="7" t="str">
        <f t="shared" si="424"/>
        <v/>
      </c>
      <c r="H648" s="5" t="str">
        <f t="shared" si="425"/>
        <v/>
      </c>
      <c r="I648" s="122" t="str">
        <f t="shared" si="429"/>
        <v/>
      </c>
      <c r="J648" s="7" t="str">
        <f t="shared" si="430"/>
        <v/>
      </c>
      <c r="K648" s="9" t="str">
        <f t="shared" si="431"/>
        <v/>
      </c>
      <c r="L648" s="9" t="str">
        <f>IF(NOT(ISERROR(VLOOKUP(B648,Deflatores!G$42:H$64,2,FALSE))),VLOOKUP(B648,Deflatores!G$42:H$64,2,FALSE),IF(OR(ISBLANK(C648),ISBLANK(B648)),"",VLOOKUP(C648,Deflatores!G$4:H$38,2,FALSE)*H648+VLOOKUP(C648,Deflatores!G$4:I$38,3,FALSE)))</f>
        <v/>
      </c>
      <c r="M648" s="10"/>
      <c r="N648" s="10"/>
      <c r="O648" s="6"/>
    </row>
    <row r="649" spans="1:15" x14ac:dyDescent="0.2">
      <c r="A649" s="126"/>
      <c r="B649" s="4"/>
      <c r="C649" s="4"/>
      <c r="D649" s="7"/>
      <c r="E649" s="7"/>
      <c r="F649" s="8" t="str">
        <f t="shared" si="423"/>
        <v/>
      </c>
      <c r="G649" s="7" t="str">
        <f t="shared" si="424"/>
        <v/>
      </c>
      <c r="H649" s="5" t="str">
        <f t="shared" si="425"/>
        <v/>
      </c>
      <c r="I649" s="122" t="str">
        <f t="shared" si="429"/>
        <v/>
      </c>
      <c r="J649" s="7" t="str">
        <f t="shared" si="430"/>
        <v/>
      </c>
      <c r="K649" s="9" t="str">
        <f t="shared" si="431"/>
        <v/>
      </c>
      <c r="L649" s="9" t="str">
        <f>IF(NOT(ISERROR(VLOOKUP(B649,Deflatores!G$42:H$64,2,FALSE))),VLOOKUP(B649,Deflatores!G$42:H$64,2,FALSE),IF(OR(ISBLANK(C649),ISBLANK(B649)),"",VLOOKUP(C649,Deflatores!G$4:H$38,2,FALSE)*H649+VLOOKUP(C649,Deflatores!G$4:I$38,3,FALSE)))</f>
        <v/>
      </c>
      <c r="M649" s="10"/>
      <c r="N649" s="10"/>
      <c r="O649" s="6"/>
    </row>
    <row r="650" spans="1:15" x14ac:dyDescent="0.2">
      <c r="A650" s="126"/>
      <c r="B650" s="4"/>
      <c r="C650" s="4"/>
      <c r="D650" s="7"/>
      <c r="E650" s="7"/>
      <c r="F650" s="8" t="str">
        <f t="shared" si="423"/>
        <v/>
      </c>
      <c r="G650" s="7" t="str">
        <f t="shared" si="424"/>
        <v/>
      </c>
      <c r="H650" s="5" t="str">
        <f t="shared" si="425"/>
        <v/>
      </c>
      <c r="I650" s="122" t="str">
        <f t="shared" si="429"/>
        <v/>
      </c>
      <c r="J650" s="7" t="str">
        <f t="shared" si="430"/>
        <v/>
      </c>
      <c r="K650" s="9" t="str">
        <f t="shared" si="431"/>
        <v/>
      </c>
      <c r="L650" s="9" t="str">
        <f>IF(NOT(ISERROR(VLOOKUP(B650,Deflatores!G$42:H$64,2,FALSE))),VLOOKUP(B650,Deflatores!G$42:H$64,2,FALSE),IF(OR(ISBLANK(C650),ISBLANK(B650)),"",VLOOKUP(C650,Deflatores!G$4:H$38,2,FALSE)*H650+VLOOKUP(C650,Deflatores!G$4:I$38,3,FALSE)))</f>
        <v/>
      </c>
      <c r="M650" s="10"/>
      <c r="N650" s="10"/>
      <c r="O650" s="6"/>
    </row>
    <row r="651" spans="1:15" x14ac:dyDescent="0.2">
      <c r="A651" s="126"/>
      <c r="B651" s="4"/>
      <c r="C651" s="4"/>
      <c r="D651" s="7"/>
      <c r="E651" s="7"/>
      <c r="F651" s="8" t="str">
        <f t="shared" si="423"/>
        <v/>
      </c>
      <c r="G651" s="7" t="str">
        <f t="shared" si="424"/>
        <v/>
      </c>
      <c r="H651" s="5" t="str">
        <f t="shared" si="425"/>
        <v/>
      </c>
      <c r="I651" s="122" t="str">
        <f t="shared" si="429"/>
        <v/>
      </c>
      <c r="J651" s="7" t="str">
        <f t="shared" si="430"/>
        <v/>
      </c>
      <c r="K651" s="9" t="str">
        <f t="shared" si="431"/>
        <v/>
      </c>
      <c r="L651" s="9" t="str">
        <f>IF(NOT(ISERROR(VLOOKUP(B651,Deflatores!G$42:H$64,2,FALSE))),VLOOKUP(B651,Deflatores!G$42:H$64,2,FALSE),IF(OR(ISBLANK(C651),ISBLANK(B651)),"",VLOOKUP(C651,Deflatores!G$4:H$38,2,FALSE)*H651+VLOOKUP(C651,Deflatores!G$4:I$38,3,FALSE)))</f>
        <v/>
      </c>
      <c r="M651" s="10"/>
      <c r="N651" s="10"/>
      <c r="O651" s="6"/>
    </row>
    <row r="652" spans="1:15" x14ac:dyDescent="0.2">
      <c r="A652" s="126"/>
      <c r="B652" s="4"/>
      <c r="C652" s="4"/>
      <c r="D652" s="7"/>
      <c r="E652" s="7"/>
      <c r="F652" s="8" t="str">
        <f t="shared" si="423"/>
        <v/>
      </c>
      <c r="G652" s="7" t="str">
        <f t="shared" si="424"/>
        <v/>
      </c>
      <c r="H652" s="5" t="str">
        <f t="shared" si="425"/>
        <v/>
      </c>
      <c r="I652" s="122" t="str">
        <f t="shared" si="429"/>
        <v/>
      </c>
      <c r="J652" s="7" t="str">
        <f t="shared" si="430"/>
        <v/>
      </c>
      <c r="K652" s="9" t="str">
        <f t="shared" si="431"/>
        <v/>
      </c>
      <c r="L652" s="9" t="str">
        <f>IF(NOT(ISERROR(VLOOKUP(B652,Deflatores!G$42:H$64,2,FALSE))),VLOOKUP(B652,Deflatores!G$42:H$64,2,FALSE),IF(OR(ISBLANK(C652),ISBLANK(B652)),"",VLOOKUP(C652,Deflatores!G$4:H$38,2,FALSE)*H652+VLOOKUP(C652,Deflatores!G$4:I$38,3,FALSE)))</f>
        <v/>
      </c>
      <c r="M652" s="10"/>
      <c r="N652" s="10"/>
      <c r="O652" s="6"/>
    </row>
    <row r="653" spans="1:15" x14ac:dyDescent="0.2">
      <c r="A653" s="126"/>
      <c r="B653" s="4"/>
      <c r="C653" s="4"/>
      <c r="D653" s="7"/>
      <c r="E653" s="7"/>
      <c r="F653" s="8" t="str">
        <f t="shared" si="423"/>
        <v/>
      </c>
      <c r="G653" s="7" t="str">
        <f t="shared" si="424"/>
        <v/>
      </c>
      <c r="H653" s="5" t="str">
        <f t="shared" si="425"/>
        <v/>
      </c>
      <c r="I653" s="122" t="str">
        <f t="shared" si="429"/>
        <v/>
      </c>
      <c r="J653" s="7" t="str">
        <f t="shared" si="430"/>
        <v/>
      </c>
      <c r="K653" s="9" t="str">
        <f t="shared" si="431"/>
        <v/>
      </c>
      <c r="L653" s="9" t="str">
        <f>IF(NOT(ISERROR(VLOOKUP(B653,Deflatores!G$42:H$64,2,FALSE))),VLOOKUP(B653,Deflatores!G$42:H$64,2,FALSE),IF(OR(ISBLANK(C653),ISBLANK(B653)),"",VLOOKUP(C653,Deflatores!G$4:H$38,2,FALSE)*H653+VLOOKUP(C653,Deflatores!G$4:I$38,3,FALSE)))</f>
        <v/>
      </c>
      <c r="M653" s="10"/>
      <c r="N653" s="10"/>
      <c r="O653" s="6"/>
    </row>
    <row r="654" spans="1:15" x14ac:dyDescent="0.2">
      <c r="A654" s="126"/>
      <c r="B654" s="4"/>
      <c r="C654" s="4"/>
      <c r="D654" s="7"/>
      <c r="E654" s="7"/>
      <c r="F654" s="8" t="str">
        <f t="shared" si="423"/>
        <v/>
      </c>
      <c r="G654" s="7" t="str">
        <f t="shared" si="424"/>
        <v/>
      </c>
      <c r="H654" s="5" t="str">
        <f t="shared" si="425"/>
        <v/>
      </c>
      <c r="I654" s="122" t="str">
        <f t="shared" si="429"/>
        <v/>
      </c>
      <c r="J654" s="7" t="str">
        <f t="shared" si="430"/>
        <v/>
      </c>
      <c r="K654" s="9" t="str">
        <f t="shared" si="431"/>
        <v/>
      </c>
      <c r="L654" s="9" t="str">
        <f>IF(NOT(ISERROR(VLOOKUP(B654,Deflatores!G$42:H$64,2,FALSE))),VLOOKUP(B654,Deflatores!G$42:H$64,2,FALSE),IF(OR(ISBLANK(C654),ISBLANK(B654)),"",VLOOKUP(C654,Deflatores!G$4:H$38,2,FALSE)*H654+VLOOKUP(C654,Deflatores!G$4:I$38,3,FALSE)))</f>
        <v/>
      </c>
      <c r="M654" s="10"/>
      <c r="N654" s="10"/>
      <c r="O654" s="6"/>
    </row>
    <row r="655" spans="1:15" x14ac:dyDescent="0.2">
      <c r="A655" s="126"/>
      <c r="B655" s="4"/>
      <c r="C655" s="4"/>
      <c r="D655" s="7"/>
      <c r="E655" s="7"/>
      <c r="F655" s="8" t="str">
        <f t="shared" ref="F655:F718" si="432">IF(ISBLANK(B655),"",IF(I655="L","Baixa",IF(I655="A","Média",IF(I655="","","Alta"))))</f>
        <v/>
      </c>
      <c r="G655" s="7" t="str">
        <f t="shared" ref="G655:G718" si="433">CONCATENATE(B655,I655)</f>
        <v/>
      </c>
      <c r="H655" s="5" t="str">
        <f t="shared" ref="H655:H718" si="434">IF(ISBLANK(B655),"",IF(B655="ALI",IF(I655="L",7,IF(I655="A",10,15)),IF(B655="AIE",IF(I655="L",5,IF(I655="A",7,10)),IF(B655="SE",IF(I655="L",4,IF(I655="A",5,7)),IF(OR(B655="EE",B655="CE"),IF(I655="L",3,IF(I655="A",4,6)),0)))))</f>
        <v/>
      </c>
      <c r="I655" s="122" t="str">
        <f t="shared" ref="I655:I718" si="435">IF(OR(ISBLANK(D655),ISBLANK(E655)),IF(OR(B655="ALI",B655="AIE"),"L",IF(OR(B655="EE",B655="SE",B655="CE"),"A","")),IF(B655="EE",IF(E655&gt;=3,IF(D655&gt;=5,"H","A"),IF(E655&gt;=2,IF(D655&gt;=16,"H",IF(D655&lt;=4,"L","A")),IF(D655&lt;=15,"L","A"))),IF(OR(B655="SE",B655="CE"),IF(E655&gt;=4,IF(D655&gt;=6,"H","A"),IF(E655&gt;=2,IF(D655&gt;=20,"H",IF(D655&lt;=5,"L","A")),IF(D655&lt;=19,"L","A"))),IF(OR(B655="ALI",B655="AIE"),IF(E655&gt;=6,IF(D655&gt;=20,"H","A"),IF(E655&gt;=2,IF(D655&gt;=51,"H",IF(D655&lt;=19,"L","A")),IF(D655&lt;=50,"L","A"))),""))))</f>
        <v/>
      </c>
      <c r="J655" s="7" t="str">
        <f t="shared" ref="J655:J718" si="436">CONCATENATE(B655,C655)</f>
        <v/>
      </c>
      <c r="K655" s="9" t="str">
        <f t="shared" si="431"/>
        <v/>
      </c>
      <c r="L655" s="9" t="str">
        <f>IF(NOT(ISERROR(VLOOKUP(B655,Deflatores!G$42:H$64,2,FALSE))),VLOOKUP(B655,Deflatores!G$42:H$64,2,FALSE),IF(OR(ISBLANK(C655),ISBLANK(B655)),"",VLOOKUP(C655,Deflatores!G$4:H$38,2,FALSE)*H655+VLOOKUP(C655,Deflatores!G$4:I$38,3,FALSE)))</f>
        <v/>
      </c>
      <c r="M655" s="10"/>
      <c r="N655" s="10"/>
      <c r="O655" s="6"/>
    </row>
    <row r="656" spans="1:15" x14ac:dyDescent="0.2">
      <c r="A656" s="126"/>
      <c r="B656" s="4"/>
      <c r="C656" s="4"/>
      <c r="D656" s="7"/>
      <c r="E656" s="7"/>
      <c r="F656" s="8" t="str">
        <f t="shared" si="432"/>
        <v/>
      </c>
      <c r="G656" s="7" t="str">
        <f t="shared" si="433"/>
        <v/>
      </c>
      <c r="H656" s="5" t="str">
        <f t="shared" si="434"/>
        <v/>
      </c>
      <c r="I656" s="122" t="str">
        <f t="shared" si="435"/>
        <v/>
      </c>
      <c r="J656" s="7" t="str">
        <f t="shared" si="436"/>
        <v/>
      </c>
      <c r="K656" s="9" t="str">
        <f t="shared" si="431"/>
        <v/>
      </c>
      <c r="L656" s="9" t="str">
        <f>IF(NOT(ISERROR(VLOOKUP(B656,Deflatores!G$42:H$64,2,FALSE))),VLOOKUP(B656,Deflatores!G$42:H$64,2,FALSE),IF(OR(ISBLANK(C656),ISBLANK(B656)),"",VLOOKUP(C656,Deflatores!G$4:H$38,2,FALSE)*H656+VLOOKUP(C656,Deflatores!G$4:I$38,3,FALSE)))</f>
        <v/>
      </c>
      <c r="M656" s="10"/>
      <c r="N656" s="10"/>
      <c r="O656" s="6"/>
    </row>
    <row r="657" spans="1:15" x14ac:dyDescent="0.2">
      <c r="A657" s="126"/>
      <c r="B657" s="4"/>
      <c r="C657" s="4"/>
      <c r="D657" s="7"/>
      <c r="E657" s="7"/>
      <c r="F657" s="8" t="str">
        <f t="shared" si="432"/>
        <v/>
      </c>
      <c r="G657" s="7" t="str">
        <f t="shared" si="433"/>
        <v/>
      </c>
      <c r="H657" s="5" t="str">
        <f t="shared" si="434"/>
        <v/>
      </c>
      <c r="I657" s="122" t="str">
        <f t="shared" si="435"/>
        <v/>
      </c>
      <c r="J657" s="7" t="str">
        <f t="shared" si="436"/>
        <v/>
      </c>
      <c r="K657" s="9" t="str">
        <f t="shared" ref="K657:K720" si="437">IF(OR(H657="",H657=0),L657,H657)</f>
        <v/>
      </c>
      <c r="L657" s="9" t="str">
        <f>IF(NOT(ISERROR(VLOOKUP(B657,Deflatores!G$42:H$64,2,FALSE))),VLOOKUP(B657,Deflatores!G$42:H$64,2,FALSE),IF(OR(ISBLANK(C657),ISBLANK(B657)),"",VLOOKUP(C657,Deflatores!G$4:H$38,2,FALSE)*H657+VLOOKUP(C657,Deflatores!G$4:I$38,3,FALSE)))</f>
        <v/>
      </c>
      <c r="M657" s="10"/>
      <c r="N657" s="10"/>
      <c r="O657" s="6"/>
    </row>
    <row r="658" spans="1:15" x14ac:dyDescent="0.2">
      <c r="A658" s="126"/>
      <c r="B658" s="4"/>
      <c r="C658" s="4"/>
      <c r="D658" s="7"/>
      <c r="E658" s="7"/>
      <c r="F658" s="8" t="str">
        <f t="shared" si="432"/>
        <v/>
      </c>
      <c r="G658" s="7" t="str">
        <f t="shared" si="433"/>
        <v/>
      </c>
      <c r="H658" s="5" t="str">
        <f t="shared" si="434"/>
        <v/>
      </c>
      <c r="I658" s="122" t="str">
        <f t="shared" si="435"/>
        <v/>
      </c>
      <c r="J658" s="7" t="str">
        <f t="shared" si="436"/>
        <v/>
      </c>
      <c r="K658" s="9" t="str">
        <f t="shared" si="437"/>
        <v/>
      </c>
      <c r="L658" s="9" t="str">
        <f>IF(NOT(ISERROR(VLOOKUP(B658,Deflatores!G$42:H$64,2,FALSE))),VLOOKUP(B658,Deflatores!G$42:H$64,2,FALSE),IF(OR(ISBLANK(C658),ISBLANK(B658)),"",VLOOKUP(C658,Deflatores!G$4:H$38,2,FALSE)*H658+VLOOKUP(C658,Deflatores!G$4:I$38,3,FALSE)))</f>
        <v/>
      </c>
      <c r="M658" s="10"/>
      <c r="N658" s="10"/>
      <c r="O658" s="6"/>
    </row>
    <row r="659" spans="1:15" x14ac:dyDescent="0.2">
      <c r="A659" s="126"/>
      <c r="B659" s="4"/>
      <c r="C659" s="4"/>
      <c r="D659" s="7"/>
      <c r="E659" s="7"/>
      <c r="F659" s="8" t="str">
        <f t="shared" si="432"/>
        <v/>
      </c>
      <c r="G659" s="7" t="str">
        <f t="shared" si="433"/>
        <v/>
      </c>
      <c r="H659" s="5" t="str">
        <f t="shared" si="434"/>
        <v/>
      </c>
      <c r="I659" s="122" t="str">
        <f t="shared" si="435"/>
        <v/>
      </c>
      <c r="J659" s="7" t="str">
        <f t="shared" si="436"/>
        <v/>
      </c>
      <c r="K659" s="9" t="str">
        <f t="shared" si="437"/>
        <v/>
      </c>
      <c r="L659" s="9" t="str">
        <f>IF(NOT(ISERROR(VLOOKUP(B659,Deflatores!G$42:H$64,2,FALSE))),VLOOKUP(B659,Deflatores!G$42:H$64,2,FALSE),IF(OR(ISBLANK(C659),ISBLANK(B659)),"",VLOOKUP(C659,Deflatores!G$4:H$38,2,FALSE)*H659+VLOOKUP(C659,Deflatores!G$4:I$38,3,FALSE)))</f>
        <v/>
      </c>
      <c r="M659" s="10"/>
      <c r="N659" s="10"/>
      <c r="O659" s="6"/>
    </row>
    <row r="660" spans="1:15" x14ac:dyDescent="0.2">
      <c r="A660" s="126"/>
      <c r="B660" s="4"/>
      <c r="C660" s="4"/>
      <c r="D660" s="7"/>
      <c r="E660" s="7"/>
      <c r="F660" s="8" t="str">
        <f t="shared" si="432"/>
        <v/>
      </c>
      <c r="G660" s="7" t="str">
        <f t="shared" si="433"/>
        <v/>
      </c>
      <c r="H660" s="5" t="str">
        <f t="shared" si="434"/>
        <v/>
      </c>
      <c r="I660" s="122" t="str">
        <f t="shared" si="435"/>
        <v/>
      </c>
      <c r="J660" s="7" t="str">
        <f t="shared" si="436"/>
        <v/>
      </c>
      <c r="K660" s="9" t="str">
        <f t="shared" si="437"/>
        <v/>
      </c>
      <c r="L660" s="9" t="str">
        <f>IF(NOT(ISERROR(VLOOKUP(B660,Deflatores!G$42:H$64,2,FALSE))),VLOOKUP(B660,Deflatores!G$42:H$64,2,FALSE),IF(OR(ISBLANK(C660),ISBLANK(B660)),"",VLOOKUP(C660,Deflatores!G$4:H$38,2,FALSE)*H660+VLOOKUP(C660,Deflatores!G$4:I$38,3,FALSE)))</f>
        <v/>
      </c>
      <c r="M660" s="10"/>
      <c r="N660" s="10"/>
      <c r="O660" s="6"/>
    </row>
    <row r="661" spans="1:15" x14ac:dyDescent="0.2">
      <c r="A661" s="126"/>
      <c r="B661" s="4"/>
      <c r="C661" s="4"/>
      <c r="D661" s="7"/>
      <c r="E661" s="7"/>
      <c r="F661" s="8" t="str">
        <f t="shared" si="432"/>
        <v/>
      </c>
      <c r="G661" s="7" t="str">
        <f t="shared" si="433"/>
        <v/>
      </c>
      <c r="H661" s="5" t="str">
        <f t="shared" si="434"/>
        <v/>
      </c>
      <c r="I661" s="122" t="str">
        <f t="shared" si="435"/>
        <v/>
      </c>
      <c r="J661" s="7" t="str">
        <f t="shared" si="436"/>
        <v/>
      </c>
      <c r="K661" s="9" t="str">
        <f t="shared" si="437"/>
        <v/>
      </c>
      <c r="L661" s="9" t="str">
        <f>IF(NOT(ISERROR(VLOOKUP(B661,Deflatores!G$42:H$64,2,FALSE))),VLOOKUP(B661,Deflatores!G$42:H$64,2,FALSE),IF(OR(ISBLANK(C661),ISBLANK(B661)),"",VLOOKUP(C661,Deflatores!G$4:H$38,2,FALSE)*H661+VLOOKUP(C661,Deflatores!G$4:I$38,3,FALSE)))</f>
        <v/>
      </c>
      <c r="M661" s="10"/>
      <c r="N661" s="10"/>
      <c r="O661" s="6"/>
    </row>
    <row r="662" spans="1:15" x14ac:dyDescent="0.2">
      <c r="A662" s="126"/>
      <c r="B662" s="4"/>
      <c r="C662" s="4"/>
      <c r="D662" s="7"/>
      <c r="E662" s="7"/>
      <c r="F662" s="8" t="str">
        <f t="shared" si="432"/>
        <v/>
      </c>
      <c r="G662" s="7" t="str">
        <f t="shared" si="433"/>
        <v/>
      </c>
      <c r="H662" s="5" t="str">
        <f t="shared" si="434"/>
        <v/>
      </c>
      <c r="I662" s="122" t="str">
        <f t="shared" si="435"/>
        <v/>
      </c>
      <c r="J662" s="7" t="str">
        <f t="shared" si="436"/>
        <v/>
      </c>
      <c r="K662" s="9" t="str">
        <f t="shared" si="437"/>
        <v/>
      </c>
      <c r="L662" s="9" t="str">
        <f>IF(NOT(ISERROR(VLOOKUP(B662,Deflatores!G$42:H$64,2,FALSE))),VLOOKUP(B662,Deflatores!G$42:H$64,2,FALSE),IF(OR(ISBLANK(C662),ISBLANK(B662)),"",VLOOKUP(C662,Deflatores!G$4:H$38,2,FALSE)*H662+VLOOKUP(C662,Deflatores!G$4:I$38,3,FALSE)))</f>
        <v/>
      </c>
      <c r="M662" s="10"/>
      <c r="N662" s="10"/>
      <c r="O662" s="6"/>
    </row>
    <row r="663" spans="1:15" x14ac:dyDescent="0.2">
      <c r="A663" s="126"/>
      <c r="B663" s="4"/>
      <c r="C663" s="4"/>
      <c r="D663" s="7"/>
      <c r="E663" s="7"/>
      <c r="F663" s="8" t="str">
        <f t="shared" si="432"/>
        <v/>
      </c>
      <c r="G663" s="7" t="str">
        <f t="shared" si="433"/>
        <v/>
      </c>
      <c r="H663" s="5" t="str">
        <f t="shared" si="434"/>
        <v/>
      </c>
      <c r="I663" s="122" t="str">
        <f t="shared" si="435"/>
        <v/>
      </c>
      <c r="J663" s="7" t="str">
        <f t="shared" si="436"/>
        <v/>
      </c>
      <c r="K663" s="9" t="str">
        <f t="shared" si="437"/>
        <v/>
      </c>
      <c r="L663" s="9" t="str">
        <f>IF(NOT(ISERROR(VLOOKUP(B663,Deflatores!G$42:H$64,2,FALSE))),VLOOKUP(B663,Deflatores!G$42:H$64,2,FALSE),IF(OR(ISBLANK(C663),ISBLANK(B663)),"",VLOOKUP(C663,Deflatores!G$4:H$38,2,FALSE)*H663+VLOOKUP(C663,Deflatores!G$4:I$38,3,FALSE)))</f>
        <v/>
      </c>
      <c r="M663" s="10"/>
      <c r="N663" s="10"/>
      <c r="O663" s="6"/>
    </row>
    <row r="664" spans="1:15" x14ac:dyDescent="0.2">
      <c r="A664" s="126"/>
      <c r="B664" s="4"/>
      <c r="C664" s="4"/>
      <c r="D664" s="7"/>
      <c r="E664" s="7"/>
      <c r="F664" s="8" t="str">
        <f t="shared" si="432"/>
        <v/>
      </c>
      <c r="G664" s="7" t="str">
        <f t="shared" si="433"/>
        <v/>
      </c>
      <c r="H664" s="5" t="str">
        <f t="shared" si="434"/>
        <v/>
      </c>
      <c r="I664" s="122" t="str">
        <f t="shared" si="435"/>
        <v/>
      </c>
      <c r="J664" s="7" t="str">
        <f t="shared" si="436"/>
        <v/>
      </c>
      <c r="K664" s="9" t="str">
        <f t="shared" si="437"/>
        <v/>
      </c>
      <c r="L664" s="9" t="str">
        <f>IF(NOT(ISERROR(VLOOKUP(B664,Deflatores!G$42:H$64,2,FALSE))),VLOOKUP(B664,Deflatores!G$42:H$64,2,FALSE),IF(OR(ISBLANK(C664),ISBLANK(B664)),"",VLOOKUP(C664,Deflatores!G$4:H$38,2,FALSE)*H664+VLOOKUP(C664,Deflatores!G$4:I$38,3,FALSE)))</f>
        <v/>
      </c>
      <c r="M664" s="10"/>
      <c r="N664" s="10"/>
      <c r="O664" s="6"/>
    </row>
    <row r="665" spans="1:15" x14ac:dyDescent="0.2">
      <c r="A665" s="126"/>
      <c r="B665" s="4"/>
      <c r="C665" s="4"/>
      <c r="D665" s="7"/>
      <c r="E665" s="7"/>
      <c r="F665" s="8" t="str">
        <f t="shared" si="432"/>
        <v/>
      </c>
      <c r="G665" s="7" t="str">
        <f t="shared" si="433"/>
        <v/>
      </c>
      <c r="H665" s="5" t="str">
        <f t="shared" si="434"/>
        <v/>
      </c>
      <c r="I665" s="122" t="str">
        <f t="shared" si="435"/>
        <v/>
      </c>
      <c r="J665" s="7" t="str">
        <f t="shared" si="436"/>
        <v/>
      </c>
      <c r="K665" s="9" t="str">
        <f t="shared" si="437"/>
        <v/>
      </c>
      <c r="L665" s="9" t="str">
        <f>IF(NOT(ISERROR(VLOOKUP(B665,Deflatores!G$42:H$64,2,FALSE))),VLOOKUP(B665,Deflatores!G$42:H$64,2,FALSE),IF(OR(ISBLANK(C665),ISBLANK(B665)),"",VLOOKUP(C665,Deflatores!G$4:H$38,2,FALSE)*H665+VLOOKUP(C665,Deflatores!G$4:I$38,3,FALSE)))</f>
        <v/>
      </c>
      <c r="M665" s="10"/>
      <c r="N665" s="10"/>
      <c r="O665" s="6"/>
    </row>
    <row r="666" spans="1:15" x14ac:dyDescent="0.2">
      <c r="A666" s="126"/>
      <c r="B666" s="4"/>
      <c r="C666" s="4"/>
      <c r="D666" s="7"/>
      <c r="E666" s="7"/>
      <c r="F666" s="8" t="str">
        <f t="shared" si="432"/>
        <v/>
      </c>
      <c r="G666" s="7" t="str">
        <f t="shared" si="433"/>
        <v/>
      </c>
      <c r="H666" s="5" t="str">
        <f t="shared" si="434"/>
        <v/>
      </c>
      <c r="I666" s="122" t="str">
        <f t="shared" si="435"/>
        <v/>
      </c>
      <c r="J666" s="7" t="str">
        <f t="shared" si="436"/>
        <v/>
      </c>
      <c r="K666" s="9" t="str">
        <f t="shared" si="437"/>
        <v/>
      </c>
      <c r="L666" s="9" t="str">
        <f>IF(NOT(ISERROR(VLOOKUP(B666,Deflatores!G$42:H$64,2,FALSE))),VLOOKUP(B666,Deflatores!G$42:H$64,2,FALSE),IF(OR(ISBLANK(C666),ISBLANK(B666)),"",VLOOKUP(C666,Deflatores!G$4:H$38,2,FALSE)*H666+VLOOKUP(C666,Deflatores!G$4:I$38,3,FALSE)))</f>
        <v/>
      </c>
      <c r="M666" s="10"/>
      <c r="N666" s="10"/>
      <c r="O666" s="6"/>
    </row>
    <row r="667" spans="1:15" x14ac:dyDescent="0.2">
      <c r="A667" s="126"/>
      <c r="B667" s="4"/>
      <c r="C667" s="4"/>
      <c r="D667" s="7"/>
      <c r="E667" s="7"/>
      <c r="F667" s="8" t="str">
        <f t="shared" si="432"/>
        <v/>
      </c>
      <c r="G667" s="7" t="str">
        <f t="shared" si="433"/>
        <v/>
      </c>
      <c r="H667" s="5" t="str">
        <f t="shared" si="434"/>
        <v/>
      </c>
      <c r="I667" s="122" t="str">
        <f t="shared" si="435"/>
        <v/>
      </c>
      <c r="J667" s="7" t="str">
        <f t="shared" si="436"/>
        <v/>
      </c>
      <c r="K667" s="9" t="str">
        <f t="shared" si="437"/>
        <v/>
      </c>
      <c r="L667" s="9" t="str">
        <f>IF(NOT(ISERROR(VLOOKUP(B667,Deflatores!G$42:H$64,2,FALSE))),VLOOKUP(B667,Deflatores!G$42:H$64,2,FALSE),IF(OR(ISBLANK(C667),ISBLANK(B667)),"",VLOOKUP(C667,Deflatores!G$4:H$38,2,FALSE)*H667+VLOOKUP(C667,Deflatores!G$4:I$38,3,FALSE)))</f>
        <v/>
      </c>
      <c r="M667" s="10"/>
      <c r="N667" s="10"/>
      <c r="O667" s="6"/>
    </row>
    <row r="668" spans="1:15" x14ac:dyDescent="0.2">
      <c r="A668" s="126"/>
      <c r="B668" s="4"/>
      <c r="C668" s="4"/>
      <c r="D668" s="7"/>
      <c r="E668" s="7"/>
      <c r="F668" s="8" t="str">
        <f t="shared" si="432"/>
        <v/>
      </c>
      <c r="G668" s="7" t="str">
        <f t="shared" si="433"/>
        <v/>
      </c>
      <c r="H668" s="5" t="str">
        <f t="shared" si="434"/>
        <v/>
      </c>
      <c r="I668" s="122" t="str">
        <f t="shared" si="435"/>
        <v/>
      </c>
      <c r="J668" s="7" t="str">
        <f t="shared" si="436"/>
        <v/>
      </c>
      <c r="K668" s="9" t="str">
        <f t="shared" si="437"/>
        <v/>
      </c>
      <c r="L668" s="9" t="str">
        <f>IF(NOT(ISERROR(VLOOKUP(B668,Deflatores!G$42:H$64,2,FALSE))),VLOOKUP(B668,Deflatores!G$42:H$64,2,FALSE),IF(OR(ISBLANK(C668),ISBLANK(B668)),"",VLOOKUP(C668,Deflatores!G$4:H$38,2,FALSE)*H668+VLOOKUP(C668,Deflatores!G$4:I$38,3,FALSE)))</f>
        <v/>
      </c>
      <c r="M668" s="10"/>
      <c r="N668" s="10"/>
      <c r="O668" s="6"/>
    </row>
    <row r="669" spans="1:15" x14ac:dyDescent="0.2">
      <c r="A669" s="126"/>
      <c r="B669" s="4"/>
      <c r="C669" s="4"/>
      <c r="D669" s="7"/>
      <c r="E669" s="7"/>
      <c r="F669" s="8" t="str">
        <f t="shared" si="432"/>
        <v/>
      </c>
      <c r="G669" s="7" t="str">
        <f t="shared" si="433"/>
        <v/>
      </c>
      <c r="H669" s="5" t="str">
        <f t="shared" si="434"/>
        <v/>
      </c>
      <c r="I669" s="122" t="str">
        <f t="shared" si="435"/>
        <v/>
      </c>
      <c r="J669" s="7" t="str">
        <f t="shared" si="436"/>
        <v/>
      </c>
      <c r="K669" s="9" t="str">
        <f t="shared" si="437"/>
        <v/>
      </c>
      <c r="L669" s="9" t="str">
        <f>IF(NOT(ISERROR(VLOOKUP(B669,Deflatores!G$42:H$64,2,FALSE))),VLOOKUP(B669,Deflatores!G$42:H$64,2,FALSE),IF(OR(ISBLANK(C669),ISBLANK(B669)),"",VLOOKUP(C669,Deflatores!G$4:H$38,2,FALSE)*H669+VLOOKUP(C669,Deflatores!G$4:I$38,3,FALSE)))</f>
        <v/>
      </c>
      <c r="M669" s="10"/>
      <c r="N669" s="10"/>
      <c r="O669" s="6"/>
    </row>
    <row r="670" spans="1:15" x14ac:dyDescent="0.2">
      <c r="A670" s="126"/>
      <c r="B670" s="4"/>
      <c r="C670" s="4"/>
      <c r="D670" s="7"/>
      <c r="E670" s="7"/>
      <c r="F670" s="8" t="str">
        <f t="shared" si="432"/>
        <v/>
      </c>
      <c r="G670" s="7" t="str">
        <f t="shared" si="433"/>
        <v/>
      </c>
      <c r="H670" s="5" t="str">
        <f t="shared" si="434"/>
        <v/>
      </c>
      <c r="I670" s="122" t="str">
        <f t="shared" si="435"/>
        <v/>
      </c>
      <c r="J670" s="7" t="str">
        <f t="shared" si="436"/>
        <v/>
      </c>
      <c r="K670" s="9" t="str">
        <f t="shared" si="437"/>
        <v/>
      </c>
      <c r="L670" s="9" t="str">
        <f>IF(NOT(ISERROR(VLOOKUP(B670,Deflatores!G$42:H$64,2,FALSE))),VLOOKUP(B670,Deflatores!G$42:H$64,2,FALSE),IF(OR(ISBLANK(C670),ISBLANK(B670)),"",VLOOKUP(C670,Deflatores!G$4:H$38,2,FALSE)*H670+VLOOKUP(C670,Deflatores!G$4:I$38,3,FALSE)))</f>
        <v/>
      </c>
      <c r="M670" s="10"/>
      <c r="N670" s="10"/>
      <c r="O670" s="6"/>
    </row>
    <row r="671" spans="1:15" x14ac:dyDescent="0.2">
      <c r="A671" s="126"/>
      <c r="B671" s="4"/>
      <c r="C671" s="4"/>
      <c r="D671" s="7"/>
      <c r="E671" s="7"/>
      <c r="F671" s="8" t="str">
        <f t="shared" si="432"/>
        <v/>
      </c>
      <c r="G671" s="7" t="str">
        <f t="shared" si="433"/>
        <v/>
      </c>
      <c r="H671" s="5" t="str">
        <f t="shared" si="434"/>
        <v/>
      </c>
      <c r="I671" s="122" t="str">
        <f t="shared" si="435"/>
        <v/>
      </c>
      <c r="J671" s="7" t="str">
        <f t="shared" si="436"/>
        <v/>
      </c>
      <c r="K671" s="9" t="str">
        <f t="shared" si="437"/>
        <v/>
      </c>
      <c r="L671" s="9" t="str">
        <f>IF(NOT(ISERROR(VLOOKUP(B671,Deflatores!G$42:H$64,2,FALSE))),VLOOKUP(B671,Deflatores!G$42:H$64,2,FALSE),IF(OR(ISBLANK(C671),ISBLANK(B671)),"",VLOOKUP(C671,Deflatores!G$4:H$38,2,FALSE)*H671+VLOOKUP(C671,Deflatores!G$4:I$38,3,FALSE)))</f>
        <v/>
      </c>
      <c r="M671" s="10"/>
      <c r="N671" s="10"/>
      <c r="O671" s="6"/>
    </row>
    <row r="672" spans="1:15" x14ac:dyDescent="0.2">
      <c r="A672" s="126"/>
      <c r="B672" s="4"/>
      <c r="C672" s="4"/>
      <c r="D672" s="7"/>
      <c r="E672" s="7"/>
      <c r="F672" s="8" t="str">
        <f t="shared" si="432"/>
        <v/>
      </c>
      <c r="G672" s="7" t="str">
        <f t="shared" si="433"/>
        <v/>
      </c>
      <c r="H672" s="5" t="str">
        <f t="shared" si="434"/>
        <v/>
      </c>
      <c r="I672" s="122" t="str">
        <f t="shared" si="435"/>
        <v/>
      </c>
      <c r="J672" s="7" t="str">
        <f t="shared" si="436"/>
        <v/>
      </c>
      <c r="K672" s="9" t="str">
        <f t="shared" si="437"/>
        <v/>
      </c>
      <c r="L672" s="9" t="str">
        <f>IF(NOT(ISERROR(VLOOKUP(B672,Deflatores!G$42:H$64,2,FALSE))),VLOOKUP(B672,Deflatores!G$42:H$64,2,FALSE),IF(OR(ISBLANK(C672),ISBLANK(B672)),"",VLOOKUP(C672,Deflatores!G$4:H$38,2,FALSE)*H672+VLOOKUP(C672,Deflatores!G$4:I$38,3,FALSE)))</f>
        <v/>
      </c>
      <c r="M672" s="10"/>
      <c r="N672" s="10"/>
      <c r="O672" s="6"/>
    </row>
    <row r="673" spans="1:15" x14ac:dyDescent="0.2">
      <c r="A673" s="126"/>
      <c r="B673" s="4"/>
      <c r="C673" s="4"/>
      <c r="D673" s="7"/>
      <c r="E673" s="7"/>
      <c r="F673" s="8" t="str">
        <f t="shared" si="432"/>
        <v/>
      </c>
      <c r="G673" s="7" t="str">
        <f t="shared" si="433"/>
        <v/>
      </c>
      <c r="H673" s="5" t="str">
        <f t="shared" si="434"/>
        <v/>
      </c>
      <c r="I673" s="122" t="str">
        <f t="shared" si="435"/>
        <v/>
      </c>
      <c r="J673" s="7" t="str">
        <f t="shared" si="436"/>
        <v/>
      </c>
      <c r="K673" s="9" t="str">
        <f t="shared" si="437"/>
        <v/>
      </c>
      <c r="L673" s="9" t="str">
        <f>IF(NOT(ISERROR(VLOOKUP(B673,Deflatores!G$42:H$64,2,FALSE))),VLOOKUP(B673,Deflatores!G$42:H$64,2,FALSE),IF(OR(ISBLANK(C673),ISBLANK(B673)),"",VLOOKUP(C673,Deflatores!G$4:H$38,2,FALSE)*H673+VLOOKUP(C673,Deflatores!G$4:I$38,3,FALSE)))</f>
        <v/>
      </c>
      <c r="M673" s="10"/>
      <c r="N673" s="10"/>
      <c r="O673" s="6"/>
    </row>
    <row r="674" spans="1:15" x14ac:dyDescent="0.2">
      <c r="A674" s="126"/>
      <c r="B674" s="4"/>
      <c r="C674" s="4"/>
      <c r="D674" s="7"/>
      <c r="E674" s="7"/>
      <c r="F674" s="8" t="str">
        <f t="shared" si="432"/>
        <v/>
      </c>
      <c r="G674" s="7" t="str">
        <f t="shared" si="433"/>
        <v/>
      </c>
      <c r="H674" s="5" t="str">
        <f t="shared" si="434"/>
        <v/>
      </c>
      <c r="I674" s="122" t="str">
        <f t="shared" si="435"/>
        <v/>
      </c>
      <c r="J674" s="7" t="str">
        <f t="shared" si="436"/>
        <v/>
      </c>
      <c r="K674" s="9" t="str">
        <f t="shared" si="437"/>
        <v/>
      </c>
      <c r="L674" s="9" t="str">
        <f>IF(NOT(ISERROR(VLOOKUP(B674,Deflatores!G$42:H$64,2,FALSE))),VLOOKUP(B674,Deflatores!G$42:H$64,2,FALSE),IF(OR(ISBLANK(C674),ISBLANK(B674)),"",VLOOKUP(C674,Deflatores!G$4:H$38,2,FALSE)*H674+VLOOKUP(C674,Deflatores!G$4:I$38,3,FALSE)))</f>
        <v/>
      </c>
      <c r="M674" s="10"/>
      <c r="N674" s="10"/>
      <c r="O674" s="6"/>
    </row>
    <row r="675" spans="1:15" x14ac:dyDescent="0.2">
      <c r="A675" s="126"/>
      <c r="B675" s="4"/>
      <c r="C675" s="4"/>
      <c r="D675" s="7"/>
      <c r="E675" s="7"/>
      <c r="F675" s="8" t="str">
        <f t="shared" si="432"/>
        <v/>
      </c>
      <c r="G675" s="7" t="str">
        <f t="shared" si="433"/>
        <v/>
      </c>
      <c r="H675" s="5" t="str">
        <f t="shared" si="434"/>
        <v/>
      </c>
      <c r="I675" s="122" t="str">
        <f t="shared" si="435"/>
        <v/>
      </c>
      <c r="J675" s="7" t="str">
        <f t="shared" si="436"/>
        <v/>
      </c>
      <c r="K675" s="9" t="str">
        <f t="shared" si="437"/>
        <v/>
      </c>
      <c r="L675" s="9" t="str">
        <f>IF(NOT(ISERROR(VLOOKUP(B675,Deflatores!G$42:H$64,2,FALSE))),VLOOKUP(B675,Deflatores!G$42:H$64,2,FALSE),IF(OR(ISBLANK(C675),ISBLANK(B675)),"",VLOOKUP(C675,Deflatores!G$4:H$38,2,FALSE)*H675+VLOOKUP(C675,Deflatores!G$4:I$38,3,FALSE)))</f>
        <v/>
      </c>
      <c r="M675" s="10"/>
      <c r="N675" s="10"/>
      <c r="O675" s="6"/>
    </row>
    <row r="676" spans="1:15" x14ac:dyDescent="0.2">
      <c r="A676" s="126"/>
      <c r="B676" s="4"/>
      <c r="C676" s="4"/>
      <c r="D676" s="7"/>
      <c r="E676" s="7"/>
      <c r="F676" s="8" t="str">
        <f t="shared" si="432"/>
        <v/>
      </c>
      <c r="G676" s="7" t="str">
        <f t="shared" si="433"/>
        <v/>
      </c>
      <c r="H676" s="5" t="str">
        <f t="shared" si="434"/>
        <v/>
      </c>
      <c r="I676" s="122" t="str">
        <f t="shared" si="435"/>
        <v/>
      </c>
      <c r="J676" s="7" t="str">
        <f t="shared" si="436"/>
        <v/>
      </c>
      <c r="K676" s="9" t="str">
        <f t="shared" si="437"/>
        <v/>
      </c>
      <c r="L676" s="9" t="str">
        <f>IF(NOT(ISERROR(VLOOKUP(B676,Deflatores!G$42:H$64,2,FALSE))),VLOOKUP(B676,Deflatores!G$42:H$64,2,FALSE),IF(OR(ISBLANK(C676),ISBLANK(B676)),"",VLOOKUP(C676,Deflatores!G$4:H$38,2,FALSE)*H676+VLOOKUP(C676,Deflatores!G$4:I$38,3,FALSE)))</f>
        <v/>
      </c>
      <c r="M676" s="10"/>
      <c r="N676" s="10"/>
      <c r="O676" s="6"/>
    </row>
    <row r="677" spans="1:15" x14ac:dyDescent="0.2">
      <c r="A677" s="126"/>
      <c r="B677" s="4"/>
      <c r="C677" s="4"/>
      <c r="D677" s="7"/>
      <c r="E677" s="7"/>
      <c r="F677" s="8" t="str">
        <f t="shared" si="432"/>
        <v/>
      </c>
      <c r="G677" s="7" t="str">
        <f t="shared" si="433"/>
        <v/>
      </c>
      <c r="H677" s="5" t="str">
        <f t="shared" si="434"/>
        <v/>
      </c>
      <c r="I677" s="122" t="str">
        <f t="shared" si="435"/>
        <v/>
      </c>
      <c r="J677" s="7" t="str">
        <f t="shared" si="436"/>
        <v/>
      </c>
      <c r="K677" s="9" t="str">
        <f t="shared" si="437"/>
        <v/>
      </c>
      <c r="L677" s="9" t="str">
        <f>IF(NOT(ISERROR(VLOOKUP(B677,Deflatores!G$42:H$64,2,FALSE))),VLOOKUP(B677,Deflatores!G$42:H$64,2,FALSE),IF(OR(ISBLANK(C677),ISBLANK(B677)),"",VLOOKUP(C677,Deflatores!G$4:H$38,2,FALSE)*H677+VLOOKUP(C677,Deflatores!G$4:I$38,3,FALSE)))</f>
        <v/>
      </c>
      <c r="M677" s="10"/>
      <c r="N677" s="10"/>
      <c r="O677" s="6"/>
    </row>
    <row r="678" spans="1:15" x14ac:dyDescent="0.2">
      <c r="A678" s="126"/>
      <c r="B678" s="4"/>
      <c r="C678" s="4"/>
      <c r="D678" s="7"/>
      <c r="E678" s="7"/>
      <c r="F678" s="8" t="str">
        <f t="shared" si="432"/>
        <v/>
      </c>
      <c r="G678" s="7" t="str">
        <f t="shared" si="433"/>
        <v/>
      </c>
      <c r="H678" s="5" t="str">
        <f t="shared" si="434"/>
        <v/>
      </c>
      <c r="I678" s="122" t="str">
        <f t="shared" si="435"/>
        <v/>
      </c>
      <c r="J678" s="7" t="str">
        <f t="shared" si="436"/>
        <v/>
      </c>
      <c r="K678" s="9" t="str">
        <f t="shared" si="437"/>
        <v/>
      </c>
      <c r="L678" s="9" t="str">
        <f>IF(NOT(ISERROR(VLOOKUP(B678,Deflatores!G$42:H$64,2,FALSE))),VLOOKUP(B678,Deflatores!G$42:H$64,2,FALSE),IF(OR(ISBLANK(C678),ISBLANK(B678)),"",VLOOKUP(C678,Deflatores!G$4:H$38,2,FALSE)*H678+VLOOKUP(C678,Deflatores!G$4:I$38,3,FALSE)))</f>
        <v/>
      </c>
      <c r="M678" s="10"/>
      <c r="N678" s="10"/>
      <c r="O678" s="6"/>
    </row>
    <row r="679" spans="1:15" x14ac:dyDescent="0.2">
      <c r="A679" s="126"/>
      <c r="B679" s="4"/>
      <c r="C679" s="4"/>
      <c r="D679" s="7"/>
      <c r="E679" s="7"/>
      <c r="F679" s="8" t="str">
        <f t="shared" si="432"/>
        <v/>
      </c>
      <c r="G679" s="7" t="str">
        <f t="shared" si="433"/>
        <v/>
      </c>
      <c r="H679" s="5" t="str">
        <f t="shared" si="434"/>
        <v/>
      </c>
      <c r="I679" s="122" t="str">
        <f t="shared" si="435"/>
        <v/>
      </c>
      <c r="J679" s="7" t="str">
        <f t="shared" si="436"/>
        <v/>
      </c>
      <c r="K679" s="9" t="str">
        <f t="shared" si="437"/>
        <v/>
      </c>
      <c r="L679" s="9" t="str">
        <f>IF(NOT(ISERROR(VLOOKUP(B679,Deflatores!G$42:H$64,2,FALSE))),VLOOKUP(B679,Deflatores!G$42:H$64,2,FALSE),IF(OR(ISBLANK(C679),ISBLANK(B679)),"",VLOOKUP(C679,Deflatores!G$4:H$38,2,FALSE)*H679+VLOOKUP(C679,Deflatores!G$4:I$38,3,FALSE)))</f>
        <v/>
      </c>
      <c r="M679" s="10"/>
      <c r="N679" s="10"/>
      <c r="O679" s="6"/>
    </row>
    <row r="680" spans="1:15" x14ac:dyDescent="0.2">
      <c r="A680" s="126"/>
      <c r="B680" s="4"/>
      <c r="C680" s="4"/>
      <c r="D680" s="7"/>
      <c r="E680" s="7"/>
      <c r="F680" s="8" t="str">
        <f t="shared" si="432"/>
        <v/>
      </c>
      <c r="G680" s="7" t="str">
        <f t="shared" si="433"/>
        <v/>
      </c>
      <c r="H680" s="5" t="str">
        <f t="shared" si="434"/>
        <v/>
      </c>
      <c r="I680" s="122" t="str">
        <f t="shared" si="435"/>
        <v/>
      </c>
      <c r="J680" s="7" t="str">
        <f t="shared" si="436"/>
        <v/>
      </c>
      <c r="K680" s="9" t="str">
        <f t="shared" si="437"/>
        <v/>
      </c>
      <c r="L680" s="9" t="str">
        <f>IF(NOT(ISERROR(VLOOKUP(B680,Deflatores!G$42:H$64,2,FALSE))),VLOOKUP(B680,Deflatores!G$42:H$64,2,FALSE),IF(OR(ISBLANK(C680),ISBLANK(B680)),"",VLOOKUP(C680,Deflatores!G$4:H$38,2,FALSE)*H680+VLOOKUP(C680,Deflatores!G$4:I$38,3,FALSE)))</f>
        <v/>
      </c>
      <c r="M680" s="10"/>
      <c r="N680" s="10"/>
      <c r="O680" s="6"/>
    </row>
    <row r="681" spans="1:15" x14ac:dyDescent="0.2">
      <c r="A681" s="126"/>
      <c r="B681" s="4"/>
      <c r="C681" s="4"/>
      <c r="D681" s="7"/>
      <c r="E681" s="7"/>
      <c r="F681" s="8" t="str">
        <f t="shared" si="432"/>
        <v/>
      </c>
      <c r="G681" s="7" t="str">
        <f t="shared" si="433"/>
        <v/>
      </c>
      <c r="H681" s="5" t="str">
        <f t="shared" si="434"/>
        <v/>
      </c>
      <c r="I681" s="122" t="str">
        <f t="shared" si="435"/>
        <v/>
      </c>
      <c r="J681" s="7" t="str">
        <f t="shared" si="436"/>
        <v/>
      </c>
      <c r="K681" s="9" t="str">
        <f t="shared" si="437"/>
        <v/>
      </c>
      <c r="L681" s="9" t="str">
        <f>IF(NOT(ISERROR(VLOOKUP(B681,Deflatores!G$42:H$64,2,FALSE))),VLOOKUP(B681,Deflatores!G$42:H$64,2,FALSE),IF(OR(ISBLANK(C681),ISBLANK(B681)),"",VLOOKUP(C681,Deflatores!G$4:H$38,2,FALSE)*H681+VLOOKUP(C681,Deflatores!G$4:I$38,3,FALSE)))</f>
        <v/>
      </c>
      <c r="M681" s="10"/>
      <c r="N681" s="10"/>
      <c r="O681" s="6"/>
    </row>
    <row r="682" spans="1:15" x14ac:dyDescent="0.2">
      <c r="A682" s="126"/>
      <c r="B682" s="4"/>
      <c r="C682" s="4"/>
      <c r="D682" s="7"/>
      <c r="E682" s="7"/>
      <c r="F682" s="8" t="str">
        <f t="shared" si="432"/>
        <v/>
      </c>
      <c r="G682" s="7" t="str">
        <f t="shared" si="433"/>
        <v/>
      </c>
      <c r="H682" s="5" t="str">
        <f t="shared" si="434"/>
        <v/>
      </c>
      <c r="I682" s="122" t="str">
        <f t="shared" si="435"/>
        <v/>
      </c>
      <c r="J682" s="7" t="str">
        <f t="shared" si="436"/>
        <v/>
      </c>
      <c r="K682" s="9" t="str">
        <f t="shared" si="437"/>
        <v/>
      </c>
      <c r="L682" s="9" t="str">
        <f>IF(NOT(ISERROR(VLOOKUP(B682,Deflatores!G$42:H$64,2,FALSE))),VLOOKUP(B682,Deflatores!G$42:H$64,2,FALSE),IF(OR(ISBLANK(C682),ISBLANK(B682)),"",VLOOKUP(C682,Deflatores!G$4:H$38,2,FALSE)*H682+VLOOKUP(C682,Deflatores!G$4:I$38,3,FALSE)))</f>
        <v/>
      </c>
      <c r="M682" s="10"/>
      <c r="N682" s="10"/>
      <c r="O682" s="6"/>
    </row>
    <row r="683" spans="1:15" x14ac:dyDescent="0.2">
      <c r="A683" s="126"/>
      <c r="B683" s="4"/>
      <c r="C683" s="4"/>
      <c r="D683" s="7"/>
      <c r="E683" s="7"/>
      <c r="F683" s="8" t="str">
        <f t="shared" si="432"/>
        <v/>
      </c>
      <c r="G683" s="7" t="str">
        <f t="shared" si="433"/>
        <v/>
      </c>
      <c r="H683" s="5" t="str">
        <f t="shared" si="434"/>
        <v/>
      </c>
      <c r="I683" s="122" t="str">
        <f t="shared" si="435"/>
        <v/>
      </c>
      <c r="J683" s="7" t="str">
        <f t="shared" si="436"/>
        <v/>
      </c>
      <c r="K683" s="9" t="str">
        <f t="shared" si="437"/>
        <v/>
      </c>
      <c r="L683" s="9" t="str">
        <f>IF(NOT(ISERROR(VLOOKUP(B683,Deflatores!G$42:H$64,2,FALSE))),VLOOKUP(B683,Deflatores!G$42:H$64,2,FALSE),IF(OR(ISBLANK(C683),ISBLANK(B683)),"",VLOOKUP(C683,Deflatores!G$4:H$38,2,FALSE)*H683+VLOOKUP(C683,Deflatores!G$4:I$38,3,FALSE)))</f>
        <v/>
      </c>
      <c r="M683" s="10"/>
      <c r="N683" s="10"/>
      <c r="O683" s="6"/>
    </row>
    <row r="684" spans="1:15" x14ac:dyDescent="0.2">
      <c r="A684" s="126"/>
      <c r="B684" s="4"/>
      <c r="C684" s="4"/>
      <c r="D684" s="7"/>
      <c r="E684" s="7"/>
      <c r="F684" s="8" t="str">
        <f t="shared" si="432"/>
        <v/>
      </c>
      <c r="G684" s="7" t="str">
        <f t="shared" si="433"/>
        <v/>
      </c>
      <c r="H684" s="5" t="str">
        <f t="shared" si="434"/>
        <v/>
      </c>
      <c r="I684" s="122" t="str">
        <f t="shared" si="435"/>
        <v/>
      </c>
      <c r="J684" s="7" t="str">
        <f t="shared" si="436"/>
        <v/>
      </c>
      <c r="K684" s="9" t="str">
        <f t="shared" si="437"/>
        <v/>
      </c>
      <c r="L684" s="9" t="str">
        <f>IF(NOT(ISERROR(VLOOKUP(B684,Deflatores!G$42:H$64,2,FALSE))),VLOOKUP(B684,Deflatores!G$42:H$64,2,FALSE),IF(OR(ISBLANK(C684),ISBLANK(B684)),"",VLOOKUP(C684,Deflatores!G$4:H$38,2,FALSE)*H684+VLOOKUP(C684,Deflatores!G$4:I$38,3,FALSE)))</f>
        <v/>
      </c>
      <c r="M684" s="10"/>
      <c r="N684" s="10"/>
      <c r="O684" s="6"/>
    </row>
    <row r="685" spans="1:15" x14ac:dyDescent="0.2">
      <c r="A685" s="126"/>
      <c r="B685" s="4"/>
      <c r="C685" s="4"/>
      <c r="D685" s="7"/>
      <c r="E685" s="7"/>
      <c r="F685" s="8" t="str">
        <f t="shared" si="432"/>
        <v/>
      </c>
      <c r="G685" s="7" t="str">
        <f t="shared" si="433"/>
        <v/>
      </c>
      <c r="H685" s="5" t="str">
        <f t="shared" si="434"/>
        <v/>
      </c>
      <c r="I685" s="122" t="str">
        <f t="shared" si="435"/>
        <v/>
      </c>
      <c r="J685" s="7" t="str">
        <f t="shared" si="436"/>
        <v/>
      </c>
      <c r="K685" s="9" t="str">
        <f t="shared" si="437"/>
        <v/>
      </c>
      <c r="L685" s="9" t="str">
        <f>IF(NOT(ISERROR(VLOOKUP(B685,Deflatores!G$42:H$64,2,FALSE))),VLOOKUP(B685,Deflatores!G$42:H$64,2,FALSE),IF(OR(ISBLANK(C685),ISBLANK(B685)),"",VLOOKUP(C685,Deflatores!G$4:H$38,2,FALSE)*H685+VLOOKUP(C685,Deflatores!G$4:I$38,3,FALSE)))</f>
        <v/>
      </c>
      <c r="M685" s="10"/>
      <c r="N685" s="10"/>
      <c r="O685" s="6"/>
    </row>
    <row r="686" spans="1:15" x14ac:dyDescent="0.2">
      <c r="A686" s="126"/>
      <c r="B686" s="4"/>
      <c r="C686" s="4"/>
      <c r="D686" s="7"/>
      <c r="E686" s="7"/>
      <c r="F686" s="8" t="str">
        <f t="shared" si="432"/>
        <v/>
      </c>
      <c r="G686" s="7" t="str">
        <f t="shared" si="433"/>
        <v/>
      </c>
      <c r="H686" s="5" t="str">
        <f t="shared" si="434"/>
        <v/>
      </c>
      <c r="I686" s="122" t="str">
        <f t="shared" si="435"/>
        <v/>
      </c>
      <c r="J686" s="7" t="str">
        <f t="shared" si="436"/>
        <v/>
      </c>
      <c r="K686" s="9" t="str">
        <f t="shared" si="437"/>
        <v/>
      </c>
      <c r="L686" s="9" t="str">
        <f>IF(NOT(ISERROR(VLOOKUP(B686,Deflatores!G$42:H$64,2,FALSE))),VLOOKUP(B686,Deflatores!G$42:H$64,2,FALSE),IF(OR(ISBLANK(C686),ISBLANK(B686)),"",VLOOKUP(C686,Deflatores!G$4:H$38,2,FALSE)*H686+VLOOKUP(C686,Deflatores!G$4:I$38,3,FALSE)))</f>
        <v/>
      </c>
      <c r="M686" s="10"/>
      <c r="N686" s="10"/>
      <c r="O686" s="6"/>
    </row>
    <row r="687" spans="1:15" x14ac:dyDescent="0.2">
      <c r="A687" s="126"/>
      <c r="B687" s="4"/>
      <c r="C687" s="4"/>
      <c r="D687" s="7"/>
      <c r="E687" s="7"/>
      <c r="F687" s="8" t="str">
        <f t="shared" si="432"/>
        <v/>
      </c>
      <c r="G687" s="7" t="str">
        <f t="shared" si="433"/>
        <v/>
      </c>
      <c r="H687" s="5" t="str">
        <f t="shared" si="434"/>
        <v/>
      </c>
      <c r="I687" s="122" t="str">
        <f t="shared" si="435"/>
        <v/>
      </c>
      <c r="J687" s="7" t="str">
        <f t="shared" si="436"/>
        <v/>
      </c>
      <c r="K687" s="9" t="str">
        <f t="shared" si="437"/>
        <v/>
      </c>
      <c r="L687" s="9" t="str">
        <f>IF(NOT(ISERROR(VLOOKUP(B687,Deflatores!G$42:H$64,2,FALSE))),VLOOKUP(B687,Deflatores!G$42:H$64,2,FALSE),IF(OR(ISBLANK(C687),ISBLANK(B687)),"",VLOOKUP(C687,Deflatores!G$4:H$38,2,FALSE)*H687+VLOOKUP(C687,Deflatores!G$4:I$38,3,FALSE)))</f>
        <v/>
      </c>
      <c r="M687" s="10"/>
      <c r="N687" s="10"/>
      <c r="O687" s="6"/>
    </row>
    <row r="688" spans="1:15" x14ac:dyDescent="0.2">
      <c r="A688" s="126"/>
      <c r="B688" s="4"/>
      <c r="C688" s="4"/>
      <c r="D688" s="7"/>
      <c r="E688" s="7"/>
      <c r="F688" s="8" t="str">
        <f t="shared" si="432"/>
        <v/>
      </c>
      <c r="G688" s="7" t="str">
        <f t="shared" si="433"/>
        <v/>
      </c>
      <c r="H688" s="5" t="str">
        <f t="shared" si="434"/>
        <v/>
      </c>
      <c r="I688" s="122" t="str">
        <f t="shared" si="435"/>
        <v/>
      </c>
      <c r="J688" s="7" t="str">
        <f t="shared" si="436"/>
        <v/>
      </c>
      <c r="K688" s="9" t="str">
        <f t="shared" si="437"/>
        <v/>
      </c>
      <c r="L688" s="9" t="str">
        <f>IF(NOT(ISERROR(VLOOKUP(B688,Deflatores!G$42:H$64,2,FALSE))),VLOOKUP(B688,Deflatores!G$42:H$64,2,FALSE),IF(OR(ISBLANK(C688),ISBLANK(B688)),"",VLOOKUP(C688,Deflatores!G$4:H$38,2,FALSE)*H688+VLOOKUP(C688,Deflatores!G$4:I$38,3,FALSE)))</f>
        <v/>
      </c>
      <c r="M688" s="10"/>
      <c r="N688" s="10"/>
      <c r="O688" s="6"/>
    </row>
    <row r="689" spans="1:15" x14ac:dyDescent="0.2">
      <c r="A689" s="126"/>
      <c r="B689" s="4"/>
      <c r="C689" s="4"/>
      <c r="D689" s="7"/>
      <c r="E689" s="7"/>
      <c r="F689" s="8" t="str">
        <f t="shared" si="432"/>
        <v/>
      </c>
      <c r="G689" s="7" t="str">
        <f t="shared" si="433"/>
        <v/>
      </c>
      <c r="H689" s="5" t="str">
        <f t="shared" si="434"/>
        <v/>
      </c>
      <c r="I689" s="122" t="str">
        <f t="shared" si="435"/>
        <v/>
      </c>
      <c r="J689" s="7" t="str">
        <f t="shared" si="436"/>
        <v/>
      </c>
      <c r="K689" s="9" t="str">
        <f t="shared" si="437"/>
        <v/>
      </c>
      <c r="L689" s="9" t="str">
        <f>IF(NOT(ISERROR(VLOOKUP(B689,Deflatores!G$42:H$64,2,FALSE))),VLOOKUP(B689,Deflatores!G$42:H$64,2,FALSE),IF(OR(ISBLANK(C689),ISBLANK(B689)),"",VLOOKUP(C689,Deflatores!G$4:H$38,2,FALSE)*H689+VLOOKUP(C689,Deflatores!G$4:I$38,3,FALSE)))</f>
        <v/>
      </c>
      <c r="M689" s="10"/>
      <c r="N689" s="10"/>
      <c r="O689" s="6"/>
    </row>
    <row r="690" spans="1:15" x14ac:dyDescent="0.2">
      <c r="A690" s="126"/>
      <c r="B690" s="4"/>
      <c r="C690" s="4"/>
      <c r="D690" s="7"/>
      <c r="E690" s="7"/>
      <c r="F690" s="8" t="str">
        <f t="shared" si="432"/>
        <v/>
      </c>
      <c r="G690" s="7" t="str">
        <f t="shared" si="433"/>
        <v/>
      </c>
      <c r="H690" s="5" t="str">
        <f t="shared" si="434"/>
        <v/>
      </c>
      <c r="I690" s="122" t="str">
        <f t="shared" si="435"/>
        <v/>
      </c>
      <c r="J690" s="7" t="str">
        <f t="shared" si="436"/>
        <v/>
      </c>
      <c r="K690" s="9" t="str">
        <f t="shared" si="437"/>
        <v/>
      </c>
      <c r="L690" s="9" t="str">
        <f>IF(NOT(ISERROR(VLOOKUP(B690,Deflatores!G$42:H$64,2,FALSE))),VLOOKUP(B690,Deflatores!G$42:H$64,2,FALSE),IF(OR(ISBLANK(C690),ISBLANK(B690)),"",VLOOKUP(C690,Deflatores!G$4:H$38,2,FALSE)*H690+VLOOKUP(C690,Deflatores!G$4:I$38,3,FALSE)))</f>
        <v/>
      </c>
      <c r="M690" s="10"/>
      <c r="N690" s="10"/>
      <c r="O690" s="6"/>
    </row>
    <row r="691" spans="1:15" x14ac:dyDescent="0.2">
      <c r="A691" s="126"/>
      <c r="B691" s="4"/>
      <c r="C691" s="4"/>
      <c r="D691" s="7"/>
      <c r="E691" s="7"/>
      <c r="F691" s="8" t="str">
        <f t="shared" si="432"/>
        <v/>
      </c>
      <c r="G691" s="7" t="str">
        <f t="shared" si="433"/>
        <v/>
      </c>
      <c r="H691" s="5" t="str">
        <f t="shared" si="434"/>
        <v/>
      </c>
      <c r="I691" s="122" t="str">
        <f t="shared" si="435"/>
        <v/>
      </c>
      <c r="J691" s="7" t="str">
        <f t="shared" si="436"/>
        <v/>
      </c>
      <c r="K691" s="9" t="str">
        <f t="shared" si="437"/>
        <v/>
      </c>
      <c r="L691" s="9" t="str">
        <f>IF(NOT(ISERROR(VLOOKUP(B691,Deflatores!G$42:H$64,2,FALSE))),VLOOKUP(B691,Deflatores!G$42:H$64,2,FALSE),IF(OR(ISBLANK(C691),ISBLANK(B691)),"",VLOOKUP(C691,Deflatores!G$4:H$38,2,FALSE)*H691+VLOOKUP(C691,Deflatores!G$4:I$38,3,FALSE)))</f>
        <v/>
      </c>
      <c r="M691" s="10"/>
      <c r="N691" s="10"/>
      <c r="O691" s="6"/>
    </row>
    <row r="692" spans="1:15" x14ac:dyDescent="0.2">
      <c r="A692" s="126"/>
      <c r="B692" s="4"/>
      <c r="C692" s="4"/>
      <c r="D692" s="7"/>
      <c r="E692" s="7"/>
      <c r="F692" s="8" t="str">
        <f t="shared" si="432"/>
        <v/>
      </c>
      <c r="G692" s="7" t="str">
        <f t="shared" si="433"/>
        <v/>
      </c>
      <c r="H692" s="5" t="str">
        <f t="shared" si="434"/>
        <v/>
      </c>
      <c r="I692" s="122" t="str">
        <f t="shared" si="435"/>
        <v/>
      </c>
      <c r="J692" s="7" t="str">
        <f t="shared" si="436"/>
        <v/>
      </c>
      <c r="K692" s="9" t="str">
        <f t="shared" si="437"/>
        <v/>
      </c>
      <c r="L692" s="9" t="str">
        <f>IF(NOT(ISERROR(VLOOKUP(B692,Deflatores!G$42:H$64,2,FALSE))),VLOOKUP(B692,Deflatores!G$42:H$64,2,FALSE),IF(OR(ISBLANK(C692),ISBLANK(B692)),"",VLOOKUP(C692,Deflatores!G$4:H$38,2,FALSE)*H692+VLOOKUP(C692,Deflatores!G$4:I$38,3,FALSE)))</f>
        <v/>
      </c>
      <c r="M692" s="10"/>
      <c r="N692" s="10"/>
      <c r="O692" s="6"/>
    </row>
    <row r="693" spans="1:15" x14ac:dyDescent="0.2">
      <c r="A693" s="126"/>
      <c r="B693" s="4"/>
      <c r="C693" s="4"/>
      <c r="D693" s="7"/>
      <c r="E693" s="7"/>
      <c r="F693" s="8" t="str">
        <f t="shared" si="432"/>
        <v/>
      </c>
      <c r="G693" s="7" t="str">
        <f t="shared" si="433"/>
        <v/>
      </c>
      <c r="H693" s="5" t="str">
        <f t="shared" si="434"/>
        <v/>
      </c>
      <c r="I693" s="122" t="str">
        <f t="shared" si="435"/>
        <v/>
      </c>
      <c r="J693" s="7" t="str">
        <f t="shared" si="436"/>
        <v/>
      </c>
      <c r="K693" s="9" t="str">
        <f t="shared" si="437"/>
        <v/>
      </c>
      <c r="L693" s="9" t="str">
        <f>IF(NOT(ISERROR(VLOOKUP(B693,Deflatores!G$42:H$64,2,FALSE))),VLOOKUP(B693,Deflatores!G$42:H$64,2,FALSE),IF(OR(ISBLANK(C693),ISBLANK(B693)),"",VLOOKUP(C693,Deflatores!G$4:H$38,2,FALSE)*H693+VLOOKUP(C693,Deflatores!G$4:I$38,3,FALSE)))</f>
        <v/>
      </c>
      <c r="M693" s="10"/>
      <c r="N693" s="10"/>
      <c r="O693" s="6"/>
    </row>
    <row r="694" spans="1:15" x14ac:dyDescent="0.2">
      <c r="A694" s="126"/>
      <c r="B694" s="4"/>
      <c r="C694" s="4"/>
      <c r="D694" s="7"/>
      <c r="E694" s="7"/>
      <c r="F694" s="8" t="str">
        <f t="shared" si="432"/>
        <v/>
      </c>
      <c r="G694" s="7" t="str">
        <f t="shared" si="433"/>
        <v/>
      </c>
      <c r="H694" s="5" t="str">
        <f t="shared" si="434"/>
        <v/>
      </c>
      <c r="I694" s="122" t="str">
        <f t="shared" si="435"/>
        <v/>
      </c>
      <c r="J694" s="7" t="str">
        <f t="shared" si="436"/>
        <v/>
      </c>
      <c r="K694" s="9" t="str">
        <f t="shared" si="437"/>
        <v/>
      </c>
      <c r="L694" s="9" t="str">
        <f>IF(NOT(ISERROR(VLOOKUP(B694,Deflatores!G$42:H$64,2,FALSE))),VLOOKUP(B694,Deflatores!G$42:H$64,2,FALSE),IF(OR(ISBLANK(C694),ISBLANK(B694)),"",VLOOKUP(C694,Deflatores!G$4:H$38,2,FALSE)*H694+VLOOKUP(C694,Deflatores!G$4:I$38,3,FALSE)))</f>
        <v/>
      </c>
      <c r="M694" s="10"/>
      <c r="N694" s="10"/>
      <c r="O694" s="6"/>
    </row>
    <row r="695" spans="1:15" x14ac:dyDescent="0.2">
      <c r="A695" s="126"/>
      <c r="B695" s="4"/>
      <c r="C695" s="4"/>
      <c r="D695" s="7"/>
      <c r="E695" s="7"/>
      <c r="F695" s="8" t="str">
        <f t="shared" si="432"/>
        <v/>
      </c>
      <c r="G695" s="7" t="str">
        <f t="shared" si="433"/>
        <v/>
      </c>
      <c r="H695" s="5" t="str">
        <f t="shared" si="434"/>
        <v/>
      </c>
      <c r="I695" s="122" t="str">
        <f t="shared" si="435"/>
        <v/>
      </c>
      <c r="J695" s="7" t="str">
        <f t="shared" si="436"/>
        <v/>
      </c>
      <c r="K695" s="9" t="str">
        <f t="shared" si="437"/>
        <v/>
      </c>
      <c r="L695" s="9" t="str">
        <f>IF(NOT(ISERROR(VLOOKUP(B695,Deflatores!G$42:H$64,2,FALSE))),VLOOKUP(B695,Deflatores!G$42:H$64,2,FALSE),IF(OR(ISBLANK(C695),ISBLANK(B695)),"",VLOOKUP(C695,Deflatores!G$4:H$38,2,FALSE)*H695+VLOOKUP(C695,Deflatores!G$4:I$38,3,FALSE)))</f>
        <v/>
      </c>
      <c r="M695" s="10"/>
      <c r="N695" s="10"/>
      <c r="O695" s="6"/>
    </row>
    <row r="696" spans="1:15" x14ac:dyDescent="0.2">
      <c r="A696" s="126"/>
      <c r="B696" s="4"/>
      <c r="C696" s="4"/>
      <c r="D696" s="7"/>
      <c r="E696" s="7"/>
      <c r="F696" s="8" t="str">
        <f t="shared" si="432"/>
        <v/>
      </c>
      <c r="G696" s="7" t="str">
        <f t="shared" si="433"/>
        <v/>
      </c>
      <c r="H696" s="5" t="str">
        <f t="shared" si="434"/>
        <v/>
      </c>
      <c r="I696" s="122" t="str">
        <f t="shared" si="435"/>
        <v/>
      </c>
      <c r="J696" s="7" t="str">
        <f t="shared" si="436"/>
        <v/>
      </c>
      <c r="K696" s="9" t="str">
        <f t="shared" si="437"/>
        <v/>
      </c>
      <c r="L696" s="9" t="str">
        <f>IF(NOT(ISERROR(VLOOKUP(B696,Deflatores!G$42:H$64,2,FALSE))),VLOOKUP(B696,Deflatores!G$42:H$64,2,FALSE),IF(OR(ISBLANK(C696),ISBLANK(B696)),"",VLOOKUP(C696,Deflatores!G$4:H$38,2,FALSE)*H696+VLOOKUP(C696,Deflatores!G$4:I$38,3,FALSE)))</f>
        <v/>
      </c>
      <c r="M696" s="10"/>
      <c r="N696" s="10"/>
      <c r="O696" s="6"/>
    </row>
    <row r="697" spans="1:15" x14ac:dyDescent="0.2">
      <c r="A697" s="126"/>
      <c r="B697" s="4"/>
      <c r="C697" s="4"/>
      <c r="D697" s="7"/>
      <c r="E697" s="7"/>
      <c r="F697" s="8" t="str">
        <f t="shared" si="432"/>
        <v/>
      </c>
      <c r="G697" s="7" t="str">
        <f t="shared" si="433"/>
        <v/>
      </c>
      <c r="H697" s="5" t="str">
        <f t="shared" si="434"/>
        <v/>
      </c>
      <c r="I697" s="122" t="str">
        <f t="shared" si="435"/>
        <v/>
      </c>
      <c r="J697" s="7" t="str">
        <f t="shared" si="436"/>
        <v/>
      </c>
      <c r="K697" s="9" t="str">
        <f t="shared" si="437"/>
        <v/>
      </c>
      <c r="L697" s="9" t="str">
        <f>IF(NOT(ISERROR(VLOOKUP(B697,Deflatores!G$42:H$64,2,FALSE))),VLOOKUP(B697,Deflatores!G$42:H$64,2,FALSE),IF(OR(ISBLANK(C697),ISBLANK(B697)),"",VLOOKUP(C697,Deflatores!G$4:H$38,2,FALSE)*H697+VLOOKUP(C697,Deflatores!G$4:I$38,3,FALSE)))</f>
        <v/>
      </c>
      <c r="M697" s="10"/>
      <c r="N697" s="10"/>
      <c r="O697" s="6"/>
    </row>
    <row r="698" spans="1:15" x14ac:dyDescent="0.2">
      <c r="A698" s="126"/>
      <c r="B698" s="4"/>
      <c r="C698" s="4"/>
      <c r="D698" s="7"/>
      <c r="E698" s="7"/>
      <c r="F698" s="8" t="str">
        <f t="shared" si="432"/>
        <v/>
      </c>
      <c r="G698" s="7" t="str">
        <f t="shared" si="433"/>
        <v/>
      </c>
      <c r="H698" s="5" t="str">
        <f t="shared" si="434"/>
        <v/>
      </c>
      <c r="I698" s="122" t="str">
        <f t="shared" si="435"/>
        <v/>
      </c>
      <c r="J698" s="7" t="str">
        <f t="shared" si="436"/>
        <v/>
      </c>
      <c r="K698" s="9" t="str">
        <f t="shared" si="437"/>
        <v/>
      </c>
      <c r="L698" s="9" t="str">
        <f>IF(NOT(ISERROR(VLOOKUP(B698,Deflatores!G$42:H$64,2,FALSE))),VLOOKUP(B698,Deflatores!G$42:H$64,2,FALSE),IF(OR(ISBLANK(C698),ISBLANK(B698)),"",VLOOKUP(C698,Deflatores!G$4:H$38,2,FALSE)*H698+VLOOKUP(C698,Deflatores!G$4:I$38,3,FALSE)))</f>
        <v/>
      </c>
      <c r="M698" s="10"/>
      <c r="N698" s="10"/>
      <c r="O698" s="6"/>
    </row>
    <row r="699" spans="1:15" x14ac:dyDescent="0.2">
      <c r="A699" s="126"/>
      <c r="B699" s="4"/>
      <c r="C699" s="4"/>
      <c r="D699" s="7"/>
      <c r="E699" s="7"/>
      <c r="F699" s="8" t="str">
        <f t="shared" si="432"/>
        <v/>
      </c>
      <c r="G699" s="7" t="str">
        <f t="shared" si="433"/>
        <v/>
      </c>
      <c r="H699" s="5" t="str">
        <f t="shared" si="434"/>
        <v/>
      </c>
      <c r="I699" s="122" t="str">
        <f t="shared" si="435"/>
        <v/>
      </c>
      <c r="J699" s="7" t="str">
        <f t="shared" si="436"/>
        <v/>
      </c>
      <c r="K699" s="9" t="str">
        <f t="shared" si="437"/>
        <v/>
      </c>
      <c r="L699" s="9" t="str">
        <f>IF(NOT(ISERROR(VLOOKUP(B699,Deflatores!G$42:H$64,2,FALSE))),VLOOKUP(B699,Deflatores!G$42:H$64,2,FALSE),IF(OR(ISBLANK(C699),ISBLANK(B699)),"",VLOOKUP(C699,Deflatores!G$4:H$38,2,FALSE)*H699+VLOOKUP(C699,Deflatores!G$4:I$38,3,FALSE)))</f>
        <v/>
      </c>
      <c r="M699" s="10"/>
      <c r="N699" s="10"/>
      <c r="O699" s="6"/>
    </row>
    <row r="700" spans="1:15" x14ac:dyDescent="0.2">
      <c r="A700" s="126"/>
      <c r="B700" s="4"/>
      <c r="C700" s="4"/>
      <c r="D700" s="7"/>
      <c r="E700" s="7"/>
      <c r="F700" s="8" t="str">
        <f t="shared" si="432"/>
        <v/>
      </c>
      <c r="G700" s="7" t="str">
        <f t="shared" si="433"/>
        <v/>
      </c>
      <c r="H700" s="5" t="str">
        <f t="shared" si="434"/>
        <v/>
      </c>
      <c r="I700" s="122" t="str">
        <f t="shared" si="435"/>
        <v/>
      </c>
      <c r="J700" s="7" t="str">
        <f t="shared" si="436"/>
        <v/>
      </c>
      <c r="K700" s="9" t="str">
        <f t="shared" si="437"/>
        <v/>
      </c>
      <c r="L700" s="9" t="str">
        <f>IF(NOT(ISERROR(VLOOKUP(B700,Deflatores!G$42:H$64,2,FALSE))),VLOOKUP(B700,Deflatores!G$42:H$64,2,FALSE),IF(OR(ISBLANK(C700),ISBLANK(B700)),"",VLOOKUP(C700,Deflatores!G$4:H$38,2,FALSE)*H700+VLOOKUP(C700,Deflatores!G$4:I$38,3,FALSE)))</f>
        <v/>
      </c>
      <c r="M700" s="10"/>
      <c r="N700" s="10"/>
      <c r="O700" s="6"/>
    </row>
    <row r="701" spans="1:15" x14ac:dyDescent="0.2">
      <c r="A701" s="126"/>
      <c r="B701" s="4"/>
      <c r="C701" s="4"/>
      <c r="D701" s="7"/>
      <c r="E701" s="7"/>
      <c r="F701" s="8" t="str">
        <f t="shared" si="432"/>
        <v/>
      </c>
      <c r="G701" s="7" t="str">
        <f t="shared" si="433"/>
        <v/>
      </c>
      <c r="H701" s="5" t="str">
        <f t="shared" si="434"/>
        <v/>
      </c>
      <c r="I701" s="122" t="str">
        <f t="shared" si="435"/>
        <v/>
      </c>
      <c r="J701" s="7" t="str">
        <f t="shared" si="436"/>
        <v/>
      </c>
      <c r="K701" s="9" t="str">
        <f t="shared" si="437"/>
        <v/>
      </c>
      <c r="L701" s="9" t="str">
        <f>IF(NOT(ISERROR(VLOOKUP(B701,Deflatores!G$42:H$64,2,FALSE))),VLOOKUP(B701,Deflatores!G$42:H$64,2,FALSE),IF(OR(ISBLANK(C701),ISBLANK(B701)),"",VLOOKUP(C701,Deflatores!G$4:H$38,2,FALSE)*H701+VLOOKUP(C701,Deflatores!G$4:I$38,3,FALSE)))</f>
        <v/>
      </c>
      <c r="M701" s="10"/>
      <c r="N701" s="10"/>
      <c r="O701" s="6"/>
    </row>
    <row r="702" spans="1:15" x14ac:dyDescent="0.2">
      <c r="A702" s="126"/>
      <c r="B702" s="4"/>
      <c r="C702" s="4"/>
      <c r="D702" s="7"/>
      <c r="E702" s="7"/>
      <c r="F702" s="8" t="str">
        <f t="shared" si="432"/>
        <v/>
      </c>
      <c r="G702" s="7" t="str">
        <f t="shared" si="433"/>
        <v/>
      </c>
      <c r="H702" s="5" t="str">
        <f t="shared" si="434"/>
        <v/>
      </c>
      <c r="I702" s="122" t="str">
        <f t="shared" si="435"/>
        <v/>
      </c>
      <c r="J702" s="7" t="str">
        <f t="shared" si="436"/>
        <v/>
      </c>
      <c r="K702" s="9" t="str">
        <f t="shared" si="437"/>
        <v/>
      </c>
      <c r="L702" s="9" t="str">
        <f>IF(NOT(ISERROR(VLOOKUP(B702,Deflatores!G$42:H$64,2,FALSE))),VLOOKUP(B702,Deflatores!G$42:H$64,2,FALSE),IF(OR(ISBLANK(C702),ISBLANK(B702)),"",VLOOKUP(C702,Deflatores!G$4:H$38,2,FALSE)*H702+VLOOKUP(C702,Deflatores!G$4:I$38,3,FALSE)))</f>
        <v/>
      </c>
      <c r="M702" s="10"/>
      <c r="N702" s="10"/>
      <c r="O702" s="6"/>
    </row>
    <row r="703" spans="1:15" x14ac:dyDescent="0.2">
      <c r="A703" s="126"/>
      <c r="B703" s="4"/>
      <c r="C703" s="4"/>
      <c r="D703" s="7"/>
      <c r="E703" s="7"/>
      <c r="F703" s="8" t="str">
        <f t="shared" si="432"/>
        <v/>
      </c>
      <c r="G703" s="7" t="str">
        <f t="shared" si="433"/>
        <v/>
      </c>
      <c r="H703" s="5" t="str">
        <f t="shared" si="434"/>
        <v/>
      </c>
      <c r="I703" s="122" t="str">
        <f t="shared" si="435"/>
        <v/>
      </c>
      <c r="J703" s="7" t="str">
        <f t="shared" si="436"/>
        <v/>
      </c>
      <c r="K703" s="9" t="str">
        <f t="shared" si="437"/>
        <v/>
      </c>
      <c r="L703" s="9" t="str">
        <f>IF(NOT(ISERROR(VLOOKUP(B703,Deflatores!G$42:H$64,2,FALSE))),VLOOKUP(B703,Deflatores!G$42:H$64,2,FALSE),IF(OR(ISBLANK(C703),ISBLANK(B703)),"",VLOOKUP(C703,Deflatores!G$4:H$38,2,FALSE)*H703+VLOOKUP(C703,Deflatores!G$4:I$38,3,FALSE)))</f>
        <v/>
      </c>
      <c r="M703" s="10"/>
      <c r="N703" s="10"/>
      <c r="O703" s="6"/>
    </row>
    <row r="704" spans="1:15" x14ac:dyDescent="0.2">
      <c r="A704" s="126"/>
      <c r="B704" s="4"/>
      <c r="C704" s="4"/>
      <c r="D704" s="7"/>
      <c r="E704" s="7"/>
      <c r="F704" s="8" t="str">
        <f t="shared" si="432"/>
        <v/>
      </c>
      <c r="G704" s="7" t="str">
        <f t="shared" si="433"/>
        <v/>
      </c>
      <c r="H704" s="5" t="str">
        <f t="shared" si="434"/>
        <v/>
      </c>
      <c r="I704" s="122" t="str">
        <f t="shared" si="435"/>
        <v/>
      </c>
      <c r="J704" s="7" t="str">
        <f t="shared" si="436"/>
        <v/>
      </c>
      <c r="K704" s="9" t="str">
        <f t="shared" si="437"/>
        <v/>
      </c>
      <c r="L704" s="9" t="str">
        <f>IF(NOT(ISERROR(VLOOKUP(B704,Deflatores!G$42:H$64,2,FALSE))),VLOOKUP(B704,Deflatores!G$42:H$64,2,FALSE),IF(OR(ISBLANK(C704),ISBLANK(B704)),"",VLOOKUP(C704,Deflatores!G$4:H$38,2,FALSE)*H704+VLOOKUP(C704,Deflatores!G$4:I$38,3,FALSE)))</f>
        <v/>
      </c>
      <c r="M704" s="10"/>
      <c r="N704" s="10"/>
      <c r="O704" s="6"/>
    </row>
    <row r="705" spans="1:15" x14ac:dyDescent="0.2">
      <c r="A705" s="126"/>
      <c r="B705" s="4"/>
      <c r="C705" s="4"/>
      <c r="D705" s="7"/>
      <c r="E705" s="7"/>
      <c r="F705" s="8" t="str">
        <f t="shared" si="432"/>
        <v/>
      </c>
      <c r="G705" s="7" t="str">
        <f t="shared" si="433"/>
        <v/>
      </c>
      <c r="H705" s="5" t="str">
        <f t="shared" si="434"/>
        <v/>
      </c>
      <c r="I705" s="122" t="str">
        <f t="shared" si="435"/>
        <v/>
      </c>
      <c r="J705" s="7" t="str">
        <f t="shared" si="436"/>
        <v/>
      </c>
      <c r="K705" s="9" t="str">
        <f t="shared" si="437"/>
        <v/>
      </c>
      <c r="L705" s="9" t="str">
        <f>IF(NOT(ISERROR(VLOOKUP(B705,Deflatores!G$42:H$64,2,FALSE))),VLOOKUP(B705,Deflatores!G$42:H$64,2,FALSE),IF(OR(ISBLANK(C705),ISBLANK(B705)),"",VLOOKUP(C705,Deflatores!G$4:H$38,2,FALSE)*H705+VLOOKUP(C705,Deflatores!G$4:I$38,3,FALSE)))</f>
        <v/>
      </c>
      <c r="M705" s="10"/>
      <c r="N705" s="10"/>
      <c r="O705" s="6"/>
    </row>
    <row r="706" spans="1:15" x14ac:dyDescent="0.2">
      <c r="A706" s="126"/>
      <c r="B706" s="4"/>
      <c r="C706" s="4"/>
      <c r="D706" s="7"/>
      <c r="E706" s="7"/>
      <c r="F706" s="8" t="str">
        <f t="shared" si="432"/>
        <v/>
      </c>
      <c r="G706" s="7" t="str">
        <f t="shared" si="433"/>
        <v/>
      </c>
      <c r="H706" s="5" t="str">
        <f t="shared" si="434"/>
        <v/>
      </c>
      <c r="I706" s="122" t="str">
        <f t="shared" si="435"/>
        <v/>
      </c>
      <c r="J706" s="7" t="str">
        <f t="shared" si="436"/>
        <v/>
      </c>
      <c r="K706" s="9" t="str">
        <f t="shared" si="437"/>
        <v/>
      </c>
      <c r="L706" s="9" t="str">
        <f>IF(NOT(ISERROR(VLOOKUP(B706,Deflatores!G$42:H$64,2,FALSE))),VLOOKUP(B706,Deflatores!G$42:H$64,2,FALSE),IF(OR(ISBLANK(C706),ISBLANK(B706)),"",VLOOKUP(C706,Deflatores!G$4:H$38,2,FALSE)*H706+VLOOKUP(C706,Deflatores!G$4:I$38,3,FALSE)))</f>
        <v/>
      </c>
      <c r="M706" s="10"/>
      <c r="N706" s="10"/>
      <c r="O706" s="6"/>
    </row>
    <row r="707" spans="1:15" x14ac:dyDescent="0.2">
      <c r="A707" s="126"/>
      <c r="B707" s="4"/>
      <c r="C707" s="4"/>
      <c r="D707" s="7"/>
      <c r="E707" s="7"/>
      <c r="F707" s="8" t="str">
        <f t="shared" si="432"/>
        <v/>
      </c>
      <c r="G707" s="7" t="str">
        <f t="shared" si="433"/>
        <v/>
      </c>
      <c r="H707" s="5" t="str">
        <f t="shared" si="434"/>
        <v/>
      </c>
      <c r="I707" s="122" t="str">
        <f t="shared" si="435"/>
        <v/>
      </c>
      <c r="J707" s="7" t="str">
        <f t="shared" si="436"/>
        <v/>
      </c>
      <c r="K707" s="9" t="str">
        <f t="shared" si="437"/>
        <v/>
      </c>
      <c r="L707" s="9" t="str">
        <f>IF(NOT(ISERROR(VLOOKUP(B707,Deflatores!G$42:H$64,2,FALSE))),VLOOKUP(B707,Deflatores!G$42:H$64,2,FALSE),IF(OR(ISBLANK(C707),ISBLANK(B707)),"",VLOOKUP(C707,Deflatores!G$4:H$38,2,FALSE)*H707+VLOOKUP(C707,Deflatores!G$4:I$38,3,FALSE)))</f>
        <v/>
      </c>
      <c r="M707" s="10"/>
      <c r="N707" s="10"/>
      <c r="O707" s="6"/>
    </row>
    <row r="708" spans="1:15" x14ac:dyDescent="0.2">
      <c r="A708" s="126"/>
      <c r="B708" s="4"/>
      <c r="C708" s="4"/>
      <c r="D708" s="7"/>
      <c r="E708" s="7"/>
      <c r="F708" s="8" t="str">
        <f t="shared" si="432"/>
        <v/>
      </c>
      <c r="G708" s="7" t="str">
        <f t="shared" si="433"/>
        <v/>
      </c>
      <c r="H708" s="5" t="str">
        <f t="shared" si="434"/>
        <v/>
      </c>
      <c r="I708" s="122" t="str">
        <f t="shared" si="435"/>
        <v/>
      </c>
      <c r="J708" s="7" t="str">
        <f t="shared" si="436"/>
        <v/>
      </c>
      <c r="K708" s="9" t="str">
        <f t="shared" si="437"/>
        <v/>
      </c>
      <c r="L708" s="9" t="str">
        <f>IF(NOT(ISERROR(VLOOKUP(B708,Deflatores!G$42:H$64,2,FALSE))),VLOOKUP(B708,Deflatores!G$42:H$64,2,FALSE),IF(OR(ISBLANK(C708),ISBLANK(B708)),"",VLOOKUP(C708,Deflatores!G$4:H$38,2,FALSE)*H708+VLOOKUP(C708,Deflatores!G$4:I$38,3,FALSE)))</f>
        <v/>
      </c>
      <c r="M708" s="10"/>
      <c r="N708" s="10"/>
      <c r="O708" s="6"/>
    </row>
    <row r="709" spans="1:15" x14ac:dyDescent="0.2">
      <c r="A709" s="126"/>
      <c r="B709" s="4"/>
      <c r="C709" s="4"/>
      <c r="D709" s="7"/>
      <c r="E709" s="7"/>
      <c r="F709" s="8" t="str">
        <f t="shared" si="432"/>
        <v/>
      </c>
      <c r="G709" s="7" t="str">
        <f t="shared" si="433"/>
        <v/>
      </c>
      <c r="H709" s="5" t="str">
        <f t="shared" si="434"/>
        <v/>
      </c>
      <c r="I709" s="122" t="str">
        <f t="shared" si="435"/>
        <v/>
      </c>
      <c r="J709" s="7" t="str">
        <f t="shared" si="436"/>
        <v/>
      </c>
      <c r="K709" s="9" t="str">
        <f t="shared" si="437"/>
        <v/>
      </c>
      <c r="L709" s="9" t="str">
        <f>IF(NOT(ISERROR(VLOOKUP(B709,Deflatores!G$42:H$64,2,FALSE))),VLOOKUP(B709,Deflatores!G$42:H$64,2,FALSE),IF(OR(ISBLANK(C709),ISBLANK(B709)),"",VLOOKUP(C709,Deflatores!G$4:H$38,2,FALSE)*H709+VLOOKUP(C709,Deflatores!G$4:I$38,3,FALSE)))</f>
        <v/>
      </c>
      <c r="M709" s="10"/>
      <c r="N709" s="10"/>
      <c r="O709" s="6"/>
    </row>
    <row r="710" spans="1:15" x14ac:dyDescent="0.2">
      <c r="A710" s="126"/>
      <c r="B710" s="4"/>
      <c r="C710" s="4"/>
      <c r="D710" s="7"/>
      <c r="E710" s="7"/>
      <c r="F710" s="8" t="str">
        <f t="shared" si="432"/>
        <v/>
      </c>
      <c r="G710" s="7" t="str">
        <f t="shared" si="433"/>
        <v/>
      </c>
      <c r="H710" s="5" t="str">
        <f t="shared" si="434"/>
        <v/>
      </c>
      <c r="I710" s="122" t="str">
        <f t="shared" si="435"/>
        <v/>
      </c>
      <c r="J710" s="7" t="str">
        <f t="shared" si="436"/>
        <v/>
      </c>
      <c r="K710" s="9" t="str">
        <f t="shared" si="437"/>
        <v/>
      </c>
      <c r="L710" s="9" t="str">
        <f>IF(NOT(ISERROR(VLOOKUP(B710,Deflatores!G$42:H$64,2,FALSE))),VLOOKUP(B710,Deflatores!G$42:H$64,2,FALSE),IF(OR(ISBLANK(C710),ISBLANK(B710)),"",VLOOKUP(C710,Deflatores!G$4:H$38,2,FALSE)*H710+VLOOKUP(C710,Deflatores!G$4:I$38,3,FALSE)))</f>
        <v/>
      </c>
      <c r="M710" s="10"/>
      <c r="N710" s="10"/>
      <c r="O710" s="6"/>
    </row>
    <row r="711" spans="1:15" x14ac:dyDescent="0.2">
      <c r="A711" s="126"/>
      <c r="B711" s="4"/>
      <c r="C711" s="4"/>
      <c r="D711" s="7"/>
      <c r="E711" s="7"/>
      <c r="F711" s="8" t="str">
        <f t="shared" si="432"/>
        <v/>
      </c>
      <c r="G711" s="7" t="str">
        <f t="shared" si="433"/>
        <v/>
      </c>
      <c r="H711" s="5" t="str">
        <f t="shared" si="434"/>
        <v/>
      </c>
      <c r="I711" s="122" t="str">
        <f t="shared" si="435"/>
        <v/>
      </c>
      <c r="J711" s="7" t="str">
        <f t="shared" si="436"/>
        <v/>
      </c>
      <c r="K711" s="9" t="str">
        <f t="shared" si="437"/>
        <v/>
      </c>
      <c r="L711" s="9" t="str">
        <f>IF(NOT(ISERROR(VLOOKUP(B711,Deflatores!G$42:H$64,2,FALSE))),VLOOKUP(B711,Deflatores!G$42:H$64,2,FALSE),IF(OR(ISBLANK(C711),ISBLANK(B711)),"",VLOOKUP(C711,Deflatores!G$4:H$38,2,FALSE)*H711+VLOOKUP(C711,Deflatores!G$4:I$38,3,FALSE)))</f>
        <v/>
      </c>
      <c r="M711" s="10"/>
      <c r="N711" s="10"/>
      <c r="O711" s="6"/>
    </row>
    <row r="712" spans="1:15" x14ac:dyDescent="0.2">
      <c r="A712" s="126"/>
      <c r="B712" s="4"/>
      <c r="C712" s="4"/>
      <c r="D712" s="7"/>
      <c r="E712" s="7"/>
      <c r="F712" s="8" t="str">
        <f t="shared" si="432"/>
        <v/>
      </c>
      <c r="G712" s="7" t="str">
        <f t="shared" si="433"/>
        <v/>
      </c>
      <c r="H712" s="5" t="str">
        <f t="shared" si="434"/>
        <v/>
      </c>
      <c r="I712" s="122" t="str">
        <f t="shared" si="435"/>
        <v/>
      </c>
      <c r="J712" s="7" t="str">
        <f t="shared" si="436"/>
        <v/>
      </c>
      <c r="K712" s="9" t="str">
        <f t="shared" si="437"/>
        <v/>
      </c>
      <c r="L712" s="9" t="str">
        <f>IF(NOT(ISERROR(VLOOKUP(B712,Deflatores!G$42:H$64,2,FALSE))),VLOOKUP(B712,Deflatores!G$42:H$64,2,FALSE),IF(OR(ISBLANK(C712),ISBLANK(B712)),"",VLOOKUP(C712,Deflatores!G$4:H$38,2,FALSE)*H712+VLOOKUP(C712,Deflatores!G$4:I$38,3,FALSE)))</f>
        <v/>
      </c>
      <c r="M712" s="10"/>
      <c r="N712" s="10"/>
      <c r="O712" s="6"/>
    </row>
    <row r="713" spans="1:15" x14ac:dyDescent="0.2">
      <c r="A713" s="126"/>
      <c r="B713" s="4"/>
      <c r="C713" s="4"/>
      <c r="D713" s="7"/>
      <c r="E713" s="7"/>
      <c r="F713" s="8" t="str">
        <f t="shared" si="432"/>
        <v/>
      </c>
      <c r="G713" s="7" t="str">
        <f t="shared" si="433"/>
        <v/>
      </c>
      <c r="H713" s="5" t="str">
        <f t="shared" si="434"/>
        <v/>
      </c>
      <c r="I713" s="122" t="str">
        <f t="shared" si="435"/>
        <v/>
      </c>
      <c r="J713" s="7" t="str">
        <f t="shared" si="436"/>
        <v/>
      </c>
      <c r="K713" s="9" t="str">
        <f t="shared" si="437"/>
        <v/>
      </c>
      <c r="L713" s="9" t="str">
        <f>IF(NOT(ISERROR(VLOOKUP(B713,Deflatores!G$42:H$64,2,FALSE))),VLOOKUP(B713,Deflatores!G$42:H$64,2,FALSE),IF(OR(ISBLANK(C713),ISBLANK(B713)),"",VLOOKUP(C713,Deflatores!G$4:H$38,2,FALSE)*H713+VLOOKUP(C713,Deflatores!G$4:I$38,3,FALSE)))</f>
        <v/>
      </c>
      <c r="M713" s="10"/>
      <c r="N713" s="10"/>
      <c r="O713" s="6"/>
    </row>
    <row r="714" spans="1:15" x14ac:dyDescent="0.2">
      <c r="A714" s="126"/>
      <c r="B714" s="4"/>
      <c r="C714" s="4"/>
      <c r="D714" s="7"/>
      <c r="E714" s="7"/>
      <c r="F714" s="8" t="str">
        <f t="shared" si="432"/>
        <v/>
      </c>
      <c r="G714" s="7" t="str">
        <f t="shared" si="433"/>
        <v/>
      </c>
      <c r="H714" s="5" t="str">
        <f t="shared" si="434"/>
        <v/>
      </c>
      <c r="I714" s="122" t="str">
        <f t="shared" si="435"/>
        <v/>
      </c>
      <c r="J714" s="7" t="str">
        <f t="shared" si="436"/>
        <v/>
      </c>
      <c r="K714" s="9" t="str">
        <f t="shared" si="437"/>
        <v/>
      </c>
      <c r="L714" s="9" t="str">
        <f>IF(NOT(ISERROR(VLOOKUP(B714,Deflatores!G$42:H$64,2,FALSE))),VLOOKUP(B714,Deflatores!G$42:H$64,2,FALSE),IF(OR(ISBLANK(C714),ISBLANK(B714)),"",VLOOKUP(C714,Deflatores!G$4:H$38,2,FALSE)*H714+VLOOKUP(C714,Deflatores!G$4:I$38,3,FALSE)))</f>
        <v/>
      </c>
      <c r="M714" s="10"/>
      <c r="N714" s="10"/>
      <c r="O714" s="6"/>
    </row>
    <row r="715" spans="1:15" x14ac:dyDescent="0.2">
      <c r="A715" s="126"/>
      <c r="B715" s="4"/>
      <c r="C715" s="4"/>
      <c r="D715" s="7"/>
      <c r="E715" s="7"/>
      <c r="F715" s="8" t="str">
        <f t="shared" si="432"/>
        <v/>
      </c>
      <c r="G715" s="7" t="str">
        <f t="shared" si="433"/>
        <v/>
      </c>
      <c r="H715" s="5" t="str">
        <f t="shared" si="434"/>
        <v/>
      </c>
      <c r="I715" s="122" t="str">
        <f t="shared" si="435"/>
        <v/>
      </c>
      <c r="J715" s="7" t="str">
        <f t="shared" si="436"/>
        <v/>
      </c>
      <c r="K715" s="9" t="str">
        <f t="shared" si="437"/>
        <v/>
      </c>
      <c r="L715" s="9" t="str">
        <f>IF(NOT(ISERROR(VLOOKUP(B715,Deflatores!G$42:H$64,2,FALSE))),VLOOKUP(B715,Deflatores!G$42:H$64,2,FALSE),IF(OR(ISBLANK(C715),ISBLANK(B715)),"",VLOOKUP(C715,Deflatores!G$4:H$38,2,FALSE)*H715+VLOOKUP(C715,Deflatores!G$4:I$38,3,FALSE)))</f>
        <v/>
      </c>
      <c r="M715" s="10"/>
      <c r="N715" s="10"/>
      <c r="O715" s="6"/>
    </row>
    <row r="716" spans="1:15" x14ac:dyDescent="0.2">
      <c r="A716" s="126"/>
      <c r="B716" s="4"/>
      <c r="C716" s="4"/>
      <c r="D716" s="7"/>
      <c r="E716" s="7"/>
      <c r="F716" s="8" t="str">
        <f t="shared" si="432"/>
        <v/>
      </c>
      <c r="G716" s="7" t="str">
        <f t="shared" si="433"/>
        <v/>
      </c>
      <c r="H716" s="5" t="str">
        <f t="shared" si="434"/>
        <v/>
      </c>
      <c r="I716" s="122" t="str">
        <f t="shared" si="435"/>
        <v/>
      </c>
      <c r="J716" s="7" t="str">
        <f t="shared" si="436"/>
        <v/>
      </c>
      <c r="K716" s="9" t="str">
        <f t="shared" si="437"/>
        <v/>
      </c>
      <c r="L716" s="9" t="str">
        <f>IF(NOT(ISERROR(VLOOKUP(B716,Deflatores!G$42:H$64,2,FALSE))),VLOOKUP(B716,Deflatores!G$42:H$64,2,FALSE),IF(OR(ISBLANK(C716),ISBLANK(B716)),"",VLOOKUP(C716,Deflatores!G$4:H$38,2,FALSE)*H716+VLOOKUP(C716,Deflatores!G$4:I$38,3,FALSE)))</f>
        <v/>
      </c>
      <c r="M716" s="10"/>
      <c r="N716" s="10"/>
      <c r="O716" s="6"/>
    </row>
    <row r="717" spans="1:15" x14ac:dyDescent="0.2">
      <c r="A717" s="126"/>
      <c r="B717" s="4"/>
      <c r="C717" s="4"/>
      <c r="D717" s="7"/>
      <c r="E717" s="7"/>
      <c r="F717" s="8" t="str">
        <f t="shared" si="432"/>
        <v/>
      </c>
      <c r="G717" s="7" t="str">
        <f t="shared" si="433"/>
        <v/>
      </c>
      <c r="H717" s="5" t="str">
        <f t="shared" si="434"/>
        <v/>
      </c>
      <c r="I717" s="122" t="str">
        <f t="shared" si="435"/>
        <v/>
      </c>
      <c r="J717" s="7" t="str">
        <f t="shared" si="436"/>
        <v/>
      </c>
      <c r="K717" s="9" t="str">
        <f t="shared" si="437"/>
        <v/>
      </c>
      <c r="L717" s="9" t="str">
        <f>IF(NOT(ISERROR(VLOOKUP(B717,Deflatores!G$42:H$64,2,FALSE))),VLOOKUP(B717,Deflatores!G$42:H$64,2,FALSE),IF(OR(ISBLANK(C717),ISBLANK(B717)),"",VLOOKUP(C717,Deflatores!G$4:H$38,2,FALSE)*H717+VLOOKUP(C717,Deflatores!G$4:I$38,3,FALSE)))</f>
        <v/>
      </c>
      <c r="M717" s="10"/>
      <c r="N717" s="10"/>
      <c r="O717" s="6"/>
    </row>
    <row r="718" spans="1:15" x14ac:dyDescent="0.2">
      <c r="A718" s="126"/>
      <c r="B718" s="4"/>
      <c r="C718" s="4"/>
      <c r="D718" s="7"/>
      <c r="E718" s="7"/>
      <c r="F718" s="8" t="str">
        <f t="shared" si="432"/>
        <v/>
      </c>
      <c r="G718" s="7" t="str">
        <f t="shared" si="433"/>
        <v/>
      </c>
      <c r="H718" s="5" t="str">
        <f t="shared" si="434"/>
        <v/>
      </c>
      <c r="I718" s="122" t="str">
        <f t="shared" si="435"/>
        <v/>
      </c>
      <c r="J718" s="7" t="str">
        <f t="shared" si="436"/>
        <v/>
      </c>
      <c r="K718" s="9" t="str">
        <f t="shared" si="437"/>
        <v/>
      </c>
      <c r="L718" s="9" t="str">
        <f>IF(NOT(ISERROR(VLOOKUP(B718,Deflatores!G$42:H$64,2,FALSE))),VLOOKUP(B718,Deflatores!G$42:H$64,2,FALSE),IF(OR(ISBLANK(C718),ISBLANK(B718)),"",VLOOKUP(C718,Deflatores!G$4:H$38,2,FALSE)*H718+VLOOKUP(C718,Deflatores!G$4:I$38,3,FALSE)))</f>
        <v/>
      </c>
      <c r="M718" s="10"/>
      <c r="N718" s="10"/>
      <c r="O718" s="6"/>
    </row>
    <row r="719" spans="1:15" x14ac:dyDescent="0.2">
      <c r="A719" s="126"/>
      <c r="B719" s="4"/>
      <c r="C719" s="4"/>
      <c r="D719" s="7"/>
      <c r="E719" s="7"/>
      <c r="F719" s="8" t="str">
        <f t="shared" ref="F719:F782" si="438">IF(ISBLANK(B719),"",IF(I719="L","Baixa",IF(I719="A","Média",IF(I719="","","Alta"))))</f>
        <v/>
      </c>
      <c r="G719" s="7" t="str">
        <f t="shared" ref="G719:G782" si="439">CONCATENATE(B719,I719)</f>
        <v/>
      </c>
      <c r="H719" s="5" t="str">
        <f t="shared" ref="H719:H782" si="440">IF(ISBLANK(B719),"",IF(B719="ALI",IF(I719="L",7,IF(I719="A",10,15)),IF(B719="AIE",IF(I719="L",5,IF(I719="A",7,10)),IF(B719="SE",IF(I719="L",4,IF(I719="A",5,7)),IF(OR(B719="EE",B719="CE"),IF(I719="L",3,IF(I719="A",4,6)),0)))))</f>
        <v/>
      </c>
      <c r="I719" s="122" t="str">
        <f t="shared" ref="I719:I782" si="441">IF(OR(ISBLANK(D719),ISBLANK(E719)),IF(OR(B719="ALI",B719="AIE"),"L",IF(OR(B719="EE",B719="SE",B719="CE"),"A","")),IF(B719="EE",IF(E719&gt;=3,IF(D719&gt;=5,"H","A"),IF(E719&gt;=2,IF(D719&gt;=16,"H",IF(D719&lt;=4,"L","A")),IF(D719&lt;=15,"L","A"))),IF(OR(B719="SE",B719="CE"),IF(E719&gt;=4,IF(D719&gt;=6,"H","A"),IF(E719&gt;=2,IF(D719&gt;=20,"H",IF(D719&lt;=5,"L","A")),IF(D719&lt;=19,"L","A"))),IF(OR(B719="ALI",B719="AIE"),IF(E719&gt;=6,IF(D719&gt;=20,"H","A"),IF(E719&gt;=2,IF(D719&gt;=51,"H",IF(D719&lt;=19,"L","A")),IF(D719&lt;=50,"L","A"))),""))))</f>
        <v/>
      </c>
      <c r="J719" s="7" t="str">
        <f t="shared" ref="J719:J782" si="442">CONCATENATE(B719,C719)</f>
        <v/>
      </c>
      <c r="K719" s="9" t="str">
        <f t="shared" si="437"/>
        <v/>
      </c>
      <c r="L719" s="9" t="str">
        <f>IF(NOT(ISERROR(VLOOKUP(B719,Deflatores!G$42:H$64,2,FALSE))),VLOOKUP(B719,Deflatores!G$42:H$64,2,FALSE),IF(OR(ISBLANK(C719),ISBLANK(B719)),"",VLOOKUP(C719,Deflatores!G$4:H$38,2,FALSE)*H719+VLOOKUP(C719,Deflatores!G$4:I$38,3,FALSE)))</f>
        <v/>
      </c>
      <c r="M719" s="10"/>
      <c r="N719" s="10"/>
      <c r="O719" s="6"/>
    </row>
    <row r="720" spans="1:15" x14ac:dyDescent="0.2">
      <c r="A720" s="126"/>
      <c r="B720" s="4"/>
      <c r="C720" s="4"/>
      <c r="D720" s="7"/>
      <c r="E720" s="7"/>
      <c r="F720" s="8" t="str">
        <f t="shared" si="438"/>
        <v/>
      </c>
      <c r="G720" s="7" t="str">
        <f t="shared" si="439"/>
        <v/>
      </c>
      <c r="H720" s="5" t="str">
        <f t="shared" si="440"/>
        <v/>
      </c>
      <c r="I720" s="122" t="str">
        <f t="shared" si="441"/>
        <v/>
      </c>
      <c r="J720" s="7" t="str">
        <f t="shared" si="442"/>
        <v/>
      </c>
      <c r="K720" s="9" t="str">
        <f t="shared" si="437"/>
        <v/>
      </c>
      <c r="L720" s="9" t="str">
        <f>IF(NOT(ISERROR(VLOOKUP(B720,Deflatores!G$42:H$64,2,FALSE))),VLOOKUP(B720,Deflatores!G$42:H$64,2,FALSE),IF(OR(ISBLANK(C720),ISBLANK(B720)),"",VLOOKUP(C720,Deflatores!G$4:H$38,2,FALSE)*H720+VLOOKUP(C720,Deflatores!G$4:I$38,3,FALSE)))</f>
        <v/>
      </c>
      <c r="M720" s="10"/>
      <c r="N720" s="10"/>
      <c r="O720" s="6"/>
    </row>
    <row r="721" spans="1:15" x14ac:dyDescent="0.2">
      <c r="A721" s="126"/>
      <c r="B721" s="4"/>
      <c r="C721" s="4"/>
      <c r="D721" s="7"/>
      <c r="E721" s="7"/>
      <c r="F721" s="8" t="str">
        <f t="shared" si="438"/>
        <v/>
      </c>
      <c r="G721" s="7" t="str">
        <f t="shared" si="439"/>
        <v/>
      </c>
      <c r="H721" s="5" t="str">
        <f t="shared" si="440"/>
        <v/>
      </c>
      <c r="I721" s="122" t="str">
        <f t="shared" si="441"/>
        <v/>
      </c>
      <c r="J721" s="7" t="str">
        <f t="shared" si="442"/>
        <v/>
      </c>
      <c r="K721" s="9" t="str">
        <f t="shared" ref="K721:K784" si="443">IF(OR(H721="",H721=0),L721,H721)</f>
        <v/>
      </c>
      <c r="L721" s="9" t="str">
        <f>IF(NOT(ISERROR(VLOOKUP(B721,Deflatores!G$42:H$64,2,FALSE))),VLOOKUP(B721,Deflatores!G$42:H$64,2,FALSE),IF(OR(ISBLANK(C721),ISBLANK(B721)),"",VLOOKUP(C721,Deflatores!G$4:H$38,2,FALSE)*H721+VLOOKUP(C721,Deflatores!G$4:I$38,3,FALSE)))</f>
        <v/>
      </c>
      <c r="M721" s="10"/>
      <c r="N721" s="10"/>
      <c r="O721" s="6"/>
    </row>
    <row r="722" spans="1:15" x14ac:dyDescent="0.2">
      <c r="A722" s="126"/>
      <c r="B722" s="4"/>
      <c r="C722" s="4"/>
      <c r="D722" s="7"/>
      <c r="E722" s="7"/>
      <c r="F722" s="8" t="str">
        <f t="shared" si="438"/>
        <v/>
      </c>
      <c r="G722" s="7" t="str">
        <f t="shared" si="439"/>
        <v/>
      </c>
      <c r="H722" s="5" t="str">
        <f t="shared" si="440"/>
        <v/>
      </c>
      <c r="I722" s="122" t="str">
        <f t="shared" si="441"/>
        <v/>
      </c>
      <c r="J722" s="7" t="str">
        <f t="shared" si="442"/>
        <v/>
      </c>
      <c r="K722" s="9" t="str">
        <f t="shared" si="443"/>
        <v/>
      </c>
      <c r="L722" s="9" t="str">
        <f>IF(NOT(ISERROR(VLOOKUP(B722,Deflatores!G$42:H$64,2,FALSE))),VLOOKUP(B722,Deflatores!G$42:H$64,2,FALSE),IF(OR(ISBLANK(C722),ISBLANK(B722)),"",VLOOKUP(C722,Deflatores!G$4:H$38,2,FALSE)*H722+VLOOKUP(C722,Deflatores!G$4:I$38,3,FALSE)))</f>
        <v/>
      </c>
      <c r="M722" s="10"/>
      <c r="N722" s="10"/>
      <c r="O722" s="6"/>
    </row>
    <row r="723" spans="1:15" x14ac:dyDescent="0.2">
      <c r="A723" s="126"/>
      <c r="B723" s="4"/>
      <c r="C723" s="4"/>
      <c r="D723" s="7"/>
      <c r="E723" s="7"/>
      <c r="F723" s="8" t="str">
        <f t="shared" si="438"/>
        <v/>
      </c>
      <c r="G723" s="7" t="str">
        <f t="shared" si="439"/>
        <v/>
      </c>
      <c r="H723" s="5" t="str">
        <f t="shared" si="440"/>
        <v/>
      </c>
      <c r="I723" s="122" t="str">
        <f t="shared" si="441"/>
        <v/>
      </c>
      <c r="J723" s="7" t="str">
        <f t="shared" si="442"/>
        <v/>
      </c>
      <c r="K723" s="9" t="str">
        <f t="shared" si="443"/>
        <v/>
      </c>
      <c r="L723" s="9" t="str">
        <f>IF(NOT(ISERROR(VLOOKUP(B723,Deflatores!G$42:H$64,2,FALSE))),VLOOKUP(B723,Deflatores!G$42:H$64,2,FALSE),IF(OR(ISBLANK(C723),ISBLANK(B723)),"",VLOOKUP(C723,Deflatores!G$4:H$38,2,FALSE)*H723+VLOOKUP(C723,Deflatores!G$4:I$38,3,FALSE)))</f>
        <v/>
      </c>
      <c r="M723" s="10"/>
      <c r="N723" s="10"/>
      <c r="O723" s="6"/>
    </row>
    <row r="724" spans="1:15" x14ac:dyDescent="0.2">
      <c r="A724" s="126"/>
      <c r="B724" s="4"/>
      <c r="C724" s="4"/>
      <c r="D724" s="7"/>
      <c r="E724" s="7"/>
      <c r="F724" s="8" t="str">
        <f t="shared" si="438"/>
        <v/>
      </c>
      <c r="G724" s="7" t="str">
        <f t="shared" si="439"/>
        <v/>
      </c>
      <c r="H724" s="5" t="str">
        <f t="shared" si="440"/>
        <v/>
      </c>
      <c r="I724" s="122" t="str">
        <f t="shared" si="441"/>
        <v/>
      </c>
      <c r="J724" s="7" t="str">
        <f t="shared" si="442"/>
        <v/>
      </c>
      <c r="K724" s="9" t="str">
        <f t="shared" si="443"/>
        <v/>
      </c>
      <c r="L724" s="9" t="str">
        <f>IF(NOT(ISERROR(VLOOKUP(B724,Deflatores!G$42:H$64,2,FALSE))),VLOOKUP(B724,Deflatores!G$42:H$64,2,FALSE),IF(OR(ISBLANK(C724),ISBLANK(B724)),"",VLOOKUP(C724,Deflatores!G$4:H$38,2,FALSE)*H724+VLOOKUP(C724,Deflatores!G$4:I$38,3,FALSE)))</f>
        <v/>
      </c>
      <c r="M724" s="10"/>
      <c r="N724" s="10"/>
      <c r="O724" s="6"/>
    </row>
    <row r="725" spans="1:15" x14ac:dyDescent="0.2">
      <c r="A725" s="126"/>
      <c r="B725" s="4"/>
      <c r="C725" s="4"/>
      <c r="D725" s="7"/>
      <c r="E725" s="7"/>
      <c r="F725" s="8" t="str">
        <f t="shared" si="438"/>
        <v/>
      </c>
      <c r="G725" s="7" t="str">
        <f t="shared" si="439"/>
        <v/>
      </c>
      <c r="H725" s="5" t="str">
        <f t="shared" si="440"/>
        <v/>
      </c>
      <c r="I725" s="122" t="str">
        <f t="shared" si="441"/>
        <v/>
      </c>
      <c r="J725" s="7" t="str">
        <f t="shared" si="442"/>
        <v/>
      </c>
      <c r="K725" s="9" t="str">
        <f t="shared" si="443"/>
        <v/>
      </c>
      <c r="L725" s="9" t="str">
        <f>IF(NOT(ISERROR(VLOOKUP(B725,Deflatores!G$42:H$64,2,FALSE))),VLOOKUP(B725,Deflatores!G$42:H$64,2,FALSE),IF(OR(ISBLANK(C725),ISBLANK(B725)),"",VLOOKUP(C725,Deflatores!G$4:H$38,2,FALSE)*H725+VLOOKUP(C725,Deflatores!G$4:I$38,3,FALSE)))</f>
        <v/>
      </c>
      <c r="M725" s="10"/>
      <c r="N725" s="10"/>
      <c r="O725" s="6"/>
    </row>
    <row r="726" spans="1:15" x14ac:dyDescent="0.2">
      <c r="A726" s="126"/>
      <c r="B726" s="4"/>
      <c r="C726" s="4"/>
      <c r="D726" s="7"/>
      <c r="E726" s="7"/>
      <c r="F726" s="8" t="str">
        <f t="shared" si="438"/>
        <v/>
      </c>
      <c r="G726" s="7" t="str">
        <f t="shared" si="439"/>
        <v/>
      </c>
      <c r="H726" s="5" t="str">
        <f t="shared" si="440"/>
        <v/>
      </c>
      <c r="I726" s="122" t="str">
        <f t="shared" si="441"/>
        <v/>
      </c>
      <c r="J726" s="7" t="str">
        <f t="shared" si="442"/>
        <v/>
      </c>
      <c r="K726" s="9" t="str">
        <f t="shared" si="443"/>
        <v/>
      </c>
      <c r="L726" s="9" t="str">
        <f>IF(NOT(ISERROR(VLOOKUP(B726,Deflatores!G$42:H$64,2,FALSE))),VLOOKUP(B726,Deflatores!G$42:H$64,2,FALSE),IF(OR(ISBLANK(C726),ISBLANK(B726)),"",VLOOKUP(C726,Deflatores!G$4:H$38,2,FALSE)*H726+VLOOKUP(C726,Deflatores!G$4:I$38,3,FALSE)))</f>
        <v/>
      </c>
      <c r="M726" s="10"/>
      <c r="N726" s="10"/>
      <c r="O726" s="6"/>
    </row>
    <row r="727" spans="1:15" x14ac:dyDescent="0.2">
      <c r="A727" s="126"/>
      <c r="B727" s="4"/>
      <c r="C727" s="4"/>
      <c r="D727" s="7"/>
      <c r="E727" s="7"/>
      <c r="F727" s="8" t="str">
        <f t="shared" si="438"/>
        <v/>
      </c>
      <c r="G727" s="7" t="str">
        <f t="shared" si="439"/>
        <v/>
      </c>
      <c r="H727" s="5" t="str">
        <f t="shared" si="440"/>
        <v/>
      </c>
      <c r="I727" s="122" t="str">
        <f t="shared" si="441"/>
        <v/>
      </c>
      <c r="J727" s="7" t="str">
        <f t="shared" si="442"/>
        <v/>
      </c>
      <c r="K727" s="9" t="str">
        <f t="shared" si="443"/>
        <v/>
      </c>
      <c r="L727" s="9" t="str">
        <f>IF(NOT(ISERROR(VLOOKUP(B727,Deflatores!G$42:H$64,2,FALSE))),VLOOKUP(B727,Deflatores!G$42:H$64,2,FALSE),IF(OR(ISBLANK(C727),ISBLANK(B727)),"",VLOOKUP(C727,Deflatores!G$4:H$38,2,FALSE)*H727+VLOOKUP(C727,Deflatores!G$4:I$38,3,FALSE)))</f>
        <v/>
      </c>
      <c r="M727" s="10"/>
      <c r="N727" s="10"/>
      <c r="O727" s="6"/>
    </row>
    <row r="728" spans="1:15" x14ac:dyDescent="0.2">
      <c r="A728" s="126"/>
      <c r="B728" s="4"/>
      <c r="C728" s="4"/>
      <c r="D728" s="7"/>
      <c r="E728" s="7"/>
      <c r="F728" s="8" t="str">
        <f t="shared" si="438"/>
        <v/>
      </c>
      <c r="G728" s="7" t="str">
        <f t="shared" si="439"/>
        <v/>
      </c>
      <c r="H728" s="5" t="str">
        <f t="shared" si="440"/>
        <v/>
      </c>
      <c r="I728" s="122" t="str">
        <f t="shared" si="441"/>
        <v/>
      </c>
      <c r="J728" s="7" t="str">
        <f t="shared" si="442"/>
        <v/>
      </c>
      <c r="K728" s="9" t="str">
        <f t="shared" si="443"/>
        <v/>
      </c>
      <c r="L728" s="9" t="str">
        <f>IF(NOT(ISERROR(VLOOKUP(B728,Deflatores!G$42:H$64,2,FALSE))),VLOOKUP(B728,Deflatores!G$42:H$64,2,FALSE),IF(OR(ISBLANK(C728),ISBLANK(B728)),"",VLOOKUP(C728,Deflatores!G$4:H$38,2,FALSE)*H728+VLOOKUP(C728,Deflatores!G$4:I$38,3,FALSE)))</f>
        <v/>
      </c>
      <c r="M728" s="10"/>
      <c r="N728" s="10"/>
      <c r="O728" s="6"/>
    </row>
    <row r="729" spans="1:15" x14ac:dyDescent="0.2">
      <c r="A729" s="126"/>
      <c r="B729" s="4"/>
      <c r="C729" s="4"/>
      <c r="D729" s="7"/>
      <c r="E729" s="7"/>
      <c r="F729" s="8" t="str">
        <f t="shared" si="438"/>
        <v/>
      </c>
      <c r="G729" s="7" t="str">
        <f t="shared" si="439"/>
        <v/>
      </c>
      <c r="H729" s="5" t="str">
        <f t="shared" si="440"/>
        <v/>
      </c>
      <c r="I729" s="122" t="str">
        <f t="shared" si="441"/>
        <v/>
      </c>
      <c r="J729" s="7" t="str">
        <f t="shared" si="442"/>
        <v/>
      </c>
      <c r="K729" s="9" t="str">
        <f t="shared" si="443"/>
        <v/>
      </c>
      <c r="L729" s="9" t="str">
        <f>IF(NOT(ISERROR(VLOOKUP(B729,Deflatores!G$42:H$64,2,FALSE))),VLOOKUP(B729,Deflatores!G$42:H$64,2,FALSE),IF(OR(ISBLANK(C729),ISBLANK(B729)),"",VLOOKUP(C729,Deflatores!G$4:H$38,2,FALSE)*H729+VLOOKUP(C729,Deflatores!G$4:I$38,3,FALSE)))</f>
        <v/>
      </c>
      <c r="M729" s="10"/>
      <c r="N729" s="10"/>
      <c r="O729" s="6"/>
    </row>
    <row r="730" spans="1:15" x14ac:dyDescent="0.2">
      <c r="A730" s="126"/>
      <c r="B730" s="4"/>
      <c r="C730" s="4"/>
      <c r="D730" s="7"/>
      <c r="E730" s="7"/>
      <c r="F730" s="8" t="str">
        <f t="shared" si="438"/>
        <v/>
      </c>
      <c r="G730" s="7" t="str">
        <f t="shared" si="439"/>
        <v/>
      </c>
      <c r="H730" s="5" t="str">
        <f t="shared" si="440"/>
        <v/>
      </c>
      <c r="I730" s="122" t="str">
        <f t="shared" si="441"/>
        <v/>
      </c>
      <c r="J730" s="7" t="str">
        <f t="shared" si="442"/>
        <v/>
      </c>
      <c r="K730" s="9" t="str">
        <f t="shared" si="443"/>
        <v/>
      </c>
      <c r="L730" s="9" t="str">
        <f>IF(NOT(ISERROR(VLOOKUP(B730,Deflatores!G$42:H$64,2,FALSE))),VLOOKUP(B730,Deflatores!G$42:H$64,2,FALSE),IF(OR(ISBLANK(C730),ISBLANK(B730)),"",VLOOKUP(C730,Deflatores!G$4:H$38,2,FALSE)*H730+VLOOKUP(C730,Deflatores!G$4:I$38,3,FALSE)))</f>
        <v/>
      </c>
      <c r="M730" s="10"/>
      <c r="N730" s="10"/>
      <c r="O730" s="6"/>
    </row>
    <row r="731" spans="1:15" x14ac:dyDescent="0.2">
      <c r="A731" s="126"/>
      <c r="B731" s="4"/>
      <c r="C731" s="4"/>
      <c r="D731" s="7"/>
      <c r="E731" s="7"/>
      <c r="F731" s="8" t="str">
        <f t="shared" si="438"/>
        <v/>
      </c>
      <c r="G731" s="7" t="str">
        <f t="shared" si="439"/>
        <v/>
      </c>
      <c r="H731" s="5" t="str">
        <f t="shared" si="440"/>
        <v/>
      </c>
      <c r="I731" s="122" t="str">
        <f t="shared" si="441"/>
        <v/>
      </c>
      <c r="J731" s="7" t="str">
        <f t="shared" si="442"/>
        <v/>
      </c>
      <c r="K731" s="9" t="str">
        <f t="shared" si="443"/>
        <v/>
      </c>
      <c r="L731" s="9" t="str">
        <f>IF(NOT(ISERROR(VLOOKUP(B731,Deflatores!G$42:H$64,2,FALSE))),VLOOKUP(B731,Deflatores!G$42:H$64,2,FALSE),IF(OR(ISBLANK(C731),ISBLANK(B731)),"",VLOOKUP(C731,Deflatores!G$4:H$38,2,FALSE)*H731+VLOOKUP(C731,Deflatores!G$4:I$38,3,FALSE)))</f>
        <v/>
      </c>
      <c r="M731" s="10"/>
      <c r="N731" s="10"/>
      <c r="O731" s="6"/>
    </row>
    <row r="732" spans="1:15" x14ac:dyDescent="0.2">
      <c r="A732" s="126"/>
      <c r="B732" s="4"/>
      <c r="C732" s="4"/>
      <c r="D732" s="7"/>
      <c r="E732" s="7"/>
      <c r="F732" s="8" t="str">
        <f t="shared" si="438"/>
        <v/>
      </c>
      <c r="G732" s="7" t="str">
        <f t="shared" si="439"/>
        <v/>
      </c>
      <c r="H732" s="5" t="str">
        <f t="shared" si="440"/>
        <v/>
      </c>
      <c r="I732" s="122" t="str">
        <f t="shared" si="441"/>
        <v/>
      </c>
      <c r="J732" s="7" t="str">
        <f t="shared" si="442"/>
        <v/>
      </c>
      <c r="K732" s="9" t="str">
        <f t="shared" si="443"/>
        <v/>
      </c>
      <c r="L732" s="9" t="str">
        <f>IF(NOT(ISERROR(VLOOKUP(B732,Deflatores!G$42:H$64,2,FALSE))),VLOOKUP(B732,Deflatores!G$42:H$64,2,FALSE),IF(OR(ISBLANK(C732),ISBLANK(B732)),"",VLOOKUP(C732,Deflatores!G$4:H$38,2,FALSE)*H732+VLOOKUP(C732,Deflatores!G$4:I$38,3,FALSE)))</f>
        <v/>
      </c>
      <c r="M732" s="10"/>
      <c r="N732" s="10"/>
      <c r="O732" s="6"/>
    </row>
    <row r="733" spans="1:15" x14ac:dyDescent="0.2">
      <c r="A733" s="126"/>
      <c r="B733" s="4"/>
      <c r="C733" s="4"/>
      <c r="D733" s="7"/>
      <c r="E733" s="7"/>
      <c r="F733" s="8" t="str">
        <f t="shared" si="438"/>
        <v/>
      </c>
      <c r="G733" s="7" t="str">
        <f t="shared" si="439"/>
        <v/>
      </c>
      <c r="H733" s="5" t="str">
        <f t="shared" si="440"/>
        <v/>
      </c>
      <c r="I733" s="122" t="str">
        <f t="shared" si="441"/>
        <v/>
      </c>
      <c r="J733" s="7" t="str">
        <f t="shared" si="442"/>
        <v/>
      </c>
      <c r="K733" s="9" t="str">
        <f t="shared" si="443"/>
        <v/>
      </c>
      <c r="L733" s="9" t="str">
        <f>IF(NOT(ISERROR(VLOOKUP(B733,Deflatores!G$42:H$64,2,FALSE))),VLOOKUP(B733,Deflatores!G$42:H$64,2,FALSE),IF(OR(ISBLANK(C733),ISBLANK(B733)),"",VLOOKUP(C733,Deflatores!G$4:H$38,2,FALSE)*H733+VLOOKUP(C733,Deflatores!G$4:I$38,3,FALSE)))</f>
        <v/>
      </c>
      <c r="M733" s="10"/>
      <c r="N733" s="10"/>
      <c r="O733" s="6"/>
    </row>
    <row r="734" spans="1:15" x14ac:dyDescent="0.2">
      <c r="A734" s="126"/>
      <c r="B734" s="4"/>
      <c r="C734" s="4"/>
      <c r="D734" s="7"/>
      <c r="E734" s="7"/>
      <c r="F734" s="8" t="str">
        <f t="shared" si="438"/>
        <v/>
      </c>
      <c r="G734" s="7" t="str">
        <f t="shared" si="439"/>
        <v/>
      </c>
      <c r="H734" s="5" t="str">
        <f t="shared" si="440"/>
        <v/>
      </c>
      <c r="I734" s="122" t="str">
        <f t="shared" si="441"/>
        <v/>
      </c>
      <c r="J734" s="7" t="str">
        <f t="shared" si="442"/>
        <v/>
      </c>
      <c r="K734" s="9" t="str">
        <f t="shared" si="443"/>
        <v/>
      </c>
      <c r="L734" s="9" t="str">
        <f>IF(NOT(ISERROR(VLOOKUP(B734,Deflatores!G$42:H$64,2,FALSE))),VLOOKUP(B734,Deflatores!G$42:H$64,2,FALSE),IF(OR(ISBLANK(C734),ISBLANK(B734)),"",VLOOKUP(C734,Deflatores!G$4:H$38,2,FALSE)*H734+VLOOKUP(C734,Deflatores!G$4:I$38,3,FALSE)))</f>
        <v/>
      </c>
      <c r="M734" s="10"/>
      <c r="N734" s="10"/>
      <c r="O734" s="6"/>
    </row>
    <row r="735" spans="1:15" x14ac:dyDescent="0.2">
      <c r="A735" s="126"/>
      <c r="B735" s="4"/>
      <c r="C735" s="4"/>
      <c r="D735" s="7"/>
      <c r="E735" s="7"/>
      <c r="F735" s="8" t="str">
        <f t="shared" si="438"/>
        <v/>
      </c>
      <c r="G735" s="7" t="str">
        <f t="shared" si="439"/>
        <v/>
      </c>
      <c r="H735" s="5" t="str">
        <f t="shared" si="440"/>
        <v/>
      </c>
      <c r="I735" s="122" t="str">
        <f t="shared" si="441"/>
        <v/>
      </c>
      <c r="J735" s="7" t="str">
        <f t="shared" si="442"/>
        <v/>
      </c>
      <c r="K735" s="9" t="str">
        <f t="shared" si="443"/>
        <v/>
      </c>
      <c r="L735" s="9" t="str">
        <f>IF(NOT(ISERROR(VLOOKUP(B735,Deflatores!G$42:H$64,2,FALSE))),VLOOKUP(B735,Deflatores!G$42:H$64,2,FALSE),IF(OR(ISBLANK(C735),ISBLANK(B735)),"",VLOOKUP(C735,Deflatores!G$4:H$38,2,FALSE)*H735+VLOOKUP(C735,Deflatores!G$4:I$38,3,FALSE)))</f>
        <v/>
      </c>
      <c r="M735" s="10"/>
      <c r="N735" s="10"/>
      <c r="O735" s="6"/>
    </row>
    <row r="736" spans="1:15" x14ac:dyDescent="0.2">
      <c r="A736" s="126"/>
      <c r="B736" s="4"/>
      <c r="C736" s="4"/>
      <c r="D736" s="7"/>
      <c r="E736" s="7"/>
      <c r="F736" s="8" t="str">
        <f t="shared" si="438"/>
        <v/>
      </c>
      <c r="G736" s="7" t="str">
        <f t="shared" si="439"/>
        <v/>
      </c>
      <c r="H736" s="5" t="str">
        <f t="shared" si="440"/>
        <v/>
      </c>
      <c r="I736" s="122" t="str">
        <f t="shared" si="441"/>
        <v/>
      </c>
      <c r="J736" s="7" t="str">
        <f t="shared" si="442"/>
        <v/>
      </c>
      <c r="K736" s="9" t="str">
        <f t="shared" si="443"/>
        <v/>
      </c>
      <c r="L736" s="9" t="str">
        <f>IF(NOT(ISERROR(VLOOKUP(B736,Deflatores!G$42:H$64,2,FALSE))),VLOOKUP(B736,Deflatores!G$42:H$64,2,FALSE),IF(OR(ISBLANK(C736),ISBLANK(B736)),"",VLOOKUP(C736,Deflatores!G$4:H$38,2,FALSE)*H736+VLOOKUP(C736,Deflatores!G$4:I$38,3,FALSE)))</f>
        <v/>
      </c>
      <c r="M736" s="10"/>
      <c r="N736" s="10"/>
      <c r="O736" s="6"/>
    </row>
    <row r="737" spans="1:15" x14ac:dyDescent="0.2">
      <c r="A737" s="126"/>
      <c r="B737" s="4"/>
      <c r="C737" s="4"/>
      <c r="D737" s="7"/>
      <c r="E737" s="7"/>
      <c r="F737" s="8" t="str">
        <f t="shared" si="438"/>
        <v/>
      </c>
      <c r="G737" s="7" t="str">
        <f t="shared" si="439"/>
        <v/>
      </c>
      <c r="H737" s="5" t="str">
        <f t="shared" si="440"/>
        <v/>
      </c>
      <c r="I737" s="122" t="str">
        <f t="shared" si="441"/>
        <v/>
      </c>
      <c r="J737" s="7" t="str">
        <f t="shared" si="442"/>
        <v/>
      </c>
      <c r="K737" s="9" t="str">
        <f t="shared" si="443"/>
        <v/>
      </c>
      <c r="L737" s="9" t="str">
        <f>IF(NOT(ISERROR(VLOOKUP(B737,Deflatores!G$42:H$64,2,FALSE))),VLOOKUP(B737,Deflatores!G$42:H$64,2,FALSE),IF(OR(ISBLANK(C737),ISBLANK(B737)),"",VLOOKUP(C737,Deflatores!G$4:H$38,2,FALSE)*H737+VLOOKUP(C737,Deflatores!G$4:I$38,3,FALSE)))</f>
        <v/>
      </c>
      <c r="M737" s="10"/>
      <c r="N737" s="10"/>
      <c r="O737" s="6"/>
    </row>
    <row r="738" spans="1:15" x14ac:dyDescent="0.2">
      <c r="A738" s="126"/>
      <c r="B738" s="4"/>
      <c r="C738" s="4"/>
      <c r="D738" s="7"/>
      <c r="E738" s="7"/>
      <c r="F738" s="8" t="str">
        <f t="shared" si="438"/>
        <v/>
      </c>
      <c r="G738" s="7" t="str">
        <f t="shared" si="439"/>
        <v/>
      </c>
      <c r="H738" s="5" t="str">
        <f t="shared" si="440"/>
        <v/>
      </c>
      <c r="I738" s="122" t="str">
        <f t="shared" si="441"/>
        <v/>
      </c>
      <c r="J738" s="7" t="str">
        <f t="shared" si="442"/>
        <v/>
      </c>
      <c r="K738" s="9" t="str">
        <f t="shared" si="443"/>
        <v/>
      </c>
      <c r="L738" s="9" t="str">
        <f>IF(NOT(ISERROR(VLOOKUP(B738,Deflatores!G$42:H$64,2,FALSE))),VLOOKUP(B738,Deflatores!G$42:H$64,2,FALSE),IF(OR(ISBLANK(C738),ISBLANK(B738)),"",VLOOKUP(C738,Deflatores!G$4:H$38,2,FALSE)*H738+VLOOKUP(C738,Deflatores!G$4:I$38,3,FALSE)))</f>
        <v/>
      </c>
      <c r="M738" s="10"/>
      <c r="N738" s="10"/>
      <c r="O738" s="6"/>
    </row>
    <row r="739" spans="1:15" x14ac:dyDescent="0.2">
      <c r="A739" s="126"/>
      <c r="B739" s="4"/>
      <c r="C739" s="4"/>
      <c r="D739" s="7"/>
      <c r="E739" s="7"/>
      <c r="F739" s="8" t="str">
        <f t="shared" si="438"/>
        <v/>
      </c>
      <c r="G739" s="7" t="str">
        <f t="shared" si="439"/>
        <v/>
      </c>
      <c r="H739" s="5" t="str">
        <f t="shared" si="440"/>
        <v/>
      </c>
      <c r="I739" s="122" t="str">
        <f t="shared" si="441"/>
        <v/>
      </c>
      <c r="J739" s="7" t="str">
        <f t="shared" si="442"/>
        <v/>
      </c>
      <c r="K739" s="9" t="str">
        <f t="shared" si="443"/>
        <v/>
      </c>
      <c r="L739" s="9" t="str">
        <f>IF(NOT(ISERROR(VLOOKUP(B739,Deflatores!G$42:H$64,2,FALSE))),VLOOKUP(B739,Deflatores!G$42:H$64,2,FALSE),IF(OR(ISBLANK(C739),ISBLANK(B739)),"",VLOOKUP(C739,Deflatores!G$4:H$38,2,FALSE)*H739+VLOOKUP(C739,Deflatores!G$4:I$38,3,FALSE)))</f>
        <v/>
      </c>
      <c r="M739" s="10"/>
      <c r="N739" s="10"/>
      <c r="O739" s="6"/>
    </row>
    <row r="740" spans="1:15" x14ac:dyDescent="0.2">
      <c r="A740" s="126"/>
      <c r="B740" s="4"/>
      <c r="C740" s="4"/>
      <c r="D740" s="7"/>
      <c r="E740" s="7"/>
      <c r="F740" s="8" t="str">
        <f t="shared" si="438"/>
        <v/>
      </c>
      <c r="G740" s="7" t="str">
        <f t="shared" si="439"/>
        <v/>
      </c>
      <c r="H740" s="5" t="str">
        <f t="shared" si="440"/>
        <v/>
      </c>
      <c r="I740" s="122" t="str">
        <f t="shared" si="441"/>
        <v/>
      </c>
      <c r="J740" s="7" t="str">
        <f t="shared" si="442"/>
        <v/>
      </c>
      <c r="K740" s="9" t="str">
        <f t="shared" si="443"/>
        <v/>
      </c>
      <c r="L740" s="9" t="str">
        <f>IF(NOT(ISERROR(VLOOKUP(B740,Deflatores!G$42:H$64,2,FALSE))),VLOOKUP(B740,Deflatores!G$42:H$64,2,FALSE),IF(OR(ISBLANK(C740),ISBLANK(B740)),"",VLOOKUP(C740,Deflatores!G$4:H$38,2,FALSE)*H740+VLOOKUP(C740,Deflatores!G$4:I$38,3,FALSE)))</f>
        <v/>
      </c>
      <c r="M740" s="10"/>
      <c r="N740" s="10"/>
      <c r="O740" s="6"/>
    </row>
    <row r="741" spans="1:15" x14ac:dyDescent="0.2">
      <c r="A741" s="126"/>
      <c r="B741" s="4"/>
      <c r="C741" s="4"/>
      <c r="D741" s="7"/>
      <c r="E741" s="7"/>
      <c r="F741" s="8" t="str">
        <f t="shared" si="438"/>
        <v/>
      </c>
      <c r="G741" s="7" t="str">
        <f t="shared" si="439"/>
        <v/>
      </c>
      <c r="H741" s="5" t="str">
        <f t="shared" si="440"/>
        <v/>
      </c>
      <c r="I741" s="122" t="str">
        <f t="shared" si="441"/>
        <v/>
      </c>
      <c r="J741" s="7" t="str">
        <f t="shared" si="442"/>
        <v/>
      </c>
      <c r="K741" s="9" t="str">
        <f t="shared" si="443"/>
        <v/>
      </c>
      <c r="L741" s="9" t="str">
        <f>IF(NOT(ISERROR(VLOOKUP(B741,Deflatores!G$42:H$64,2,FALSE))),VLOOKUP(B741,Deflatores!G$42:H$64,2,FALSE),IF(OR(ISBLANK(C741),ISBLANK(B741)),"",VLOOKUP(C741,Deflatores!G$4:H$38,2,FALSE)*H741+VLOOKUP(C741,Deflatores!G$4:I$38,3,FALSE)))</f>
        <v/>
      </c>
      <c r="M741" s="10"/>
      <c r="N741" s="10"/>
      <c r="O741" s="6"/>
    </row>
    <row r="742" spans="1:15" x14ac:dyDescent="0.2">
      <c r="A742" s="126"/>
      <c r="B742" s="4"/>
      <c r="C742" s="4"/>
      <c r="D742" s="7"/>
      <c r="E742" s="7"/>
      <c r="F742" s="8" t="str">
        <f t="shared" si="438"/>
        <v/>
      </c>
      <c r="G742" s="7" t="str">
        <f t="shared" si="439"/>
        <v/>
      </c>
      <c r="H742" s="5" t="str">
        <f t="shared" si="440"/>
        <v/>
      </c>
      <c r="I742" s="122" t="str">
        <f t="shared" si="441"/>
        <v/>
      </c>
      <c r="J742" s="7" t="str">
        <f t="shared" si="442"/>
        <v/>
      </c>
      <c r="K742" s="9" t="str">
        <f t="shared" si="443"/>
        <v/>
      </c>
      <c r="L742" s="9" t="str">
        <f>IF(NOT(ISERROR(VLOOKUP(B742,Deflatores!G$42:H$64,2,FALSE))),VLOOKUP(B742,Deflatores!G$42:H$64,2,FALSE),IF(OR(ISBLANK(C742),ISBLANK(B742)),"",VLOOKUP(C742,Deflatores!G$4:H$38,2,FALSE)*H742+VLOOKUP(C742,Deflatores!G$4:I$38,3,FALSE)))</f>
        <v/>
      </c>
      <c r="M742" s="10"/>
      <c r="N742" s="10"/>
      <c r="O742" s="6"/>
    </row>
    <row r="743" spans="1:15" x14ac:dyDescent="0.2">
      <c r="A743" s="126"/>
      <c r="B743" s="4"/>
      <c r="C743" s="4"/>
      <c r="D743" s="7"/>
      <c r="E743" s="7"/>
      <c r="F743" s="8" t="str">
        <f t="shared" si="438"/>
        <v/>
      </c>
      <c r="G743" s="7" t="str">
        <f t="shared" si="439"/>
        <v/>
      </c>
      <c r="H743" s="5" t="str">
        <f t="shared" si="440"/>
        <v/>
      </c>
      <c r="I743" s="122" t="str">
        <f t="shared" si="441"/>
        <v/>
      </c>
      <c r="J743" s="7" t="str">
        <f t="shared" si="442"/>
        <v/>
      </c>
      <c r="K743" s="9" t="str">
        <f t="shared" si="443"/>
        <v/>
      </c>
      <c r="L743" s="9" t="str">
        <f>IF(NOT(ISERROR(VLOOKUP(B743,Deflatores!G$42:H$64,2,FALSE))),VLOOKUP(B743,Deflatores!G$42:H$64,2,FALSE),IF(OR(ISBLANK(C743),ISBLANK(B743)),"",VLOOKUP(C743,Deflatores!G$4:H$38,2,FALSE)*H743+VLOOKUP(C743,Deflatores!G$4:I$38,3,FALSE)))</f>
        <v/>
      </c>
      <c r="M743" s="10"/>
      <c r="N743" s="10"/>
      <c r="O743" s="6"/>
    </row>
    <row r="744" spans="1:15" x14ac:dyDescent="0.2">
      <c r="A744" s="126"/>
      <c r="B744" s="4"/>
      <c r="C744" s="4"/>
      <c r="D744" s="7"/>
      <c r="E744" s="7"/>
      <c r="F744" s="8" t="str">
        <f t="shared" si="438"/>
        <v/>
      </c>
      <c r="G744" s="7" t="str">
        <f t="shared" si="439"/>
        <v/>
      </c>
      <c r="H744" s="5" t="str">
        <f t="shared" si="440"/>
        <v/>
      </c>
      <c r="I744" s="122" t="str">
        <f t="shared" si="441"/>
        <v/>
      </c>
      <c r="J744" s="7" t="str">
        <f t="shared" si="442"/>
        <v/>
      </c>
      <c r="K744" s="9" t="str">
        <f t="shared" si="443"/>
        <v/>
      </c>
      <c r="L744" s="9" t="str">
        <f>IF(NOT(ISERROR(VLOOKUP(B744,Deflatores!G$42:H$64,2,FALSE))),VLOOKUP(B744,Deflatores!G$42:H$64,2,FALSE),IF(OR(ISBLANK(C744),ISBLANK(B744)),"",VLOOKUP(C744,Deflatores!G$4:H$38,2,FALSE)*H744+VLOOKUP(C744,Deflatores!G$4:I$38,3,FALSE)))</f>
        <v/>
      </c>
      <c r="M744" s="10"/>
      <c r="N744" s="10"/>
      <c r="O744" s="6"/>
    </row>
    <row r="745" spans="1:15" x14ac:dyDescent="0.2">
      <c r="A745" s="126"/>
      <c r="B745" s="4"/>
      <c r="C745" s="4"/>
      <c r="D745" s="7"/>
      <c r="E745" s="7"/>
      <c r="F745" s="8" t="str">
        <f t="shared" si="438"/>
        <v/>
      </c>
      <c r="G745" s="7" t="str">
        <f t="shared" si="439"/>
        <v/>
      </c>
      <c r="H745" s="5" t="str">
        <f t="shared" si="440"/>
        <v/>
      </c>
      <c r="I745" s="122" t="str">
        <f t="shared" si="441"/>
        <v/>
      </c>
      <c r="J745" s="7" t="str">
        <f t="shared" si="442"/>
        <v/>
      </c>
      <c r="K745" s="9" t="str">
        <f t="shared" si="443"/>
        <v/>
      </c>
      <c r="L745" s="9" t="str">
        <f>IF(NOT(ISERROR(VLOOKUP(B745,Deflatores!G$42:H$64,2,FALSE))),VLOOKUP(B745,Deflatores!G$42:H$64,2,FALSE),IF(OR(ISBLANK(C745),ISBLANK(B745)),"",VLOOKUP(C745,Deflatores!G$4:H$38,2,FALSE)*H745+VLOOKUP(C745,Deflatores!G$4:I$38,3,FALSE)))</f>
        <v/>
      </c>
      <c r="M745" s="10"/>
      <c r="N745" s="10"/>
      <c r="O745" s="6"/>
    </row>
    <row r="746" spans="1:15" x14ac:dyDescent="0.2">
      <c r="A746" s="126"/>
      <c r="B746" s="4"/>
      <c r="C746" s="4"/>
      <c r="D746" s="7"/>
      <c r="E746" s="7"/>
      <c r="F746" s="8" t="str">
        <f t="shared" si="438"/>
        <v/>
      </c>
      <c r="G746" s="7" t="str">
        <f t="shared" si="439"/>
        <v/>
      </c>
      <c r="H746" s="5" t="str">
        <f t="shared" si="440"/>
        <v/>
      </c>
      <c r="I746" s="122" t="str">
        <f t="shared" si="441"/>
        <v/>
      </c>
      <c r="J746" s="7" t="str">
        <f t="shared" si="442"/>
        <v/>
      </c>
      <c r="K746" s="9" t="str">
        <f t="shared" si="443"/>
        <v/>
      </c>
      <c r="L746" s="9" t="str">
        <f>IF(NOT(ISERROR(VLOOKUP(B746,Deflatores!G$42:H$64,2,FALSE))),VLOOKUP(B746,Deflatores!G$42:H$64,2,FALSE),IF(OR(ISBLANK(C746),ISBLANK(B746)),"",VLOOKUP(C746,Deflatores!G$4:H$38,2,FALSE)*H746+VLOOKUP(C746,Deflatores!G$4:I$38,3,FALSE)))</f>
        <v/>
      </c>
      <c r="M746" s="10"/>
      <c r="N746" s="10"/>
      <c r="O746" s="6"/>
    </row>
    <row r="747" spans="1:15" x14ac:dyDescent="0.2">
      <c r="A747" s="126"/>
      <c r="B747" s="4"/>
      <c r="C747" s="4"/>
      <c r="D747" s="7"/>
      <c r="E747" s="7"/>
      <c r="F747" s="8" t="str">
        <f t="shared" si="438"/>
        <v/>
      </c>
      <c r="G747" s="7" t="str">
        <f t="shared" si="439"/>
        <v/>
      </c>
      <c r="H747" s="5" t="str">
        <f t="shared" si="440"/>
        <v/>
      </c>
      <c r="I747" s="122" t="str">
        <f t="shared" si="441"/>
        <v/>
      </c>
      <c r="J747" s="7" t="str">
        <f t="shared" si="442"/>
        <v/>
      </c>
      <c r="K747" s="9" t="str">
        <f t="shared" si="443"/>
        <v/>
      </c>
      <c r="L747" s="9" t="str">
        <f>IF(NOT(ISERROR(VLOOKUP(B747,Deflatores!G$42:H$64,2,FALSE))),VLOOKUP(B747,Deflatores!G$42:H$64,2,FALSE),IF(OR(ISBLANK(C747),ISBLANK(B747)),"",VLOOKUP(C747,Deflatores!G$4:H$38,2,FALSE)*H747+VLOOKUP(C747,Deflatores!G$4:I$38,3,FALSE)))</f>
        <v/>
      </c>
      <c r="M747" s="10"/>
      <c r="N747" s="10"/>
      <c r="O747" s="6"/>
    </row>
    <row r="748" spans="1:15" x14ac:dyDescent="0.2">
      <c r="A748" s="126"/>
      <c r="B748" s="4"/>
      <c r="C748" s="4"/>
      <c r="D748" s="7"/>
      <c r="E748" s="7"/>
      <c r="F748" s="8" t="str">
        <f t="shared" si="438"/>
        <v/>
      </c>
      <c r="G748" s="7" t="str">
        <f t="shared" si="439"/>
        <v/>
      </c>
      <c r="H748" s="5" t="str">
        <f t="shared" si="440"/>
        <v/>
      </c>
      <c r="I748" s="122" t="str">
        <f t="shared" si="441"/>
        <v/>
      </c>
      <c r="J748" s="7" t="str">
        <f t="shared" si="442"/>
        <v/>
      </c>
      <c r="K748" s="9" t="str">
        <f t="shared" si="443"/>
        <v/>
      </c>
      <c r="L748" s="9" t="str">
        <f>IF(NOT(ISERROR(VLOOKUP(B748,Deflatores!G$42:H$64,2,FALSE))),VLOOKUP(B748,Deflatores!G$42:H$64,2,FALSE),IF(OR(ISBLANK(C748),ISBLANK(B748)),"",VLOOKUP(C748,Deflatores!G$4:H$38,2,FALSE)*H748+VLOOKUP(C748,Deflatores!G$4:I$38,3,FALSE)))</f>
        <v/>
      </c>
      <c r="M748" s="10"/>
      <c r="N748" s="10"/>
      <c r="O748" s="6"/>
    </row>
    <row r="749" spans="1:15" x14ac:dyDescent="0.2">
      <c r="A749" s="126"/>
      <c r="B749" s="4"/>
      <c r="C749" s="4"/>
      <c r="D749" s="7"/>
      <c r="E749" s="7"/>
      <c r="F749" s="8" t="str">
        <f t="shared" si="438"/>
        <v/>
      </c>
      <c r="G749" s="7" t="str">
        <f t="shared" si="439"/>
        <v/>
      </c>
      <c r="H749" s="5" t="str">
        <f t="shared" si="440"/>
        <v/>
      </c>
      <c r="I749" s="122" t="str">
        <f t="shared" si="441"/>
        <v/>
      </c>
      <c r="J749" s="7" t="str">
        <f t="shared" si="442"/>
        <v/>
      </c>
      <c r="K749" s="9" t="str">
        <f t="shared" si="443"/>
        <v/>
      </c>
      <c r="L749" s="9" t="str">
        <f>IF(NOT(ISERROR(VLOOKUP(B749,Deflatores!G$42:H$64,2,FALSE))),VLOOKUP(B749,Deflatores!G$42:H$64,2,FALSE),IF(OR(ISBLANK(C749),ISBLANK(B749)),"",VLOOKUP(C749,Deflatores!G$4:H$38,2,FALSE)*H749+VLOOKUP(C749,Deflatores!G$4:I$38,3,FALSE)))</f>
        <v/>
      </c>
      <c r="M749" s="10"/>
      <c r="N749" s="10"/>
      <c r="O749" s="6"/>
    </row>
    <row r="750" spans="1:15" x14ac:dyDescent="0.2">
      <c r="A750" s="126"/>
      <c r="B750" s="4"/>
      <c r="C750" s="4"/>
      <c r="D750" s="7"/>
      <c r="E750" s="7"/>
      <c r="F750" s="8" t="str">
        <f t="shared" si="438"/>
        <v/>
      </c>
      <c r="G750" s="7" t="str">
        <f t="shared" si="439"/>
        <v/>
      </c>
      <c r="H750" s="5" t="str">
        <f t="shared" si="440"/>
        <v/>
      </c>
      <c r="I750" s="122" t="str">
        <f t="shared" si="441"/>
        <v/>
      </c>
      <c r="J750" s="7" t="str">
        <f t="shared" si="442"/>
        <v/>
      </c>
      <c r="K750" s="9" t="str">
        <f t="shared" si="443"/>
        <v/>
      </c>
      <c r="L750" s="9" t="str">
        <f>IF(NOT(ISERROR(VLOOKUP(B750,Deflatores!G$42:H$64,2,FALSE))),VLOOKUP(B750,Deflatores!G$42:H$64,2,FALSE),IF(OR(ISBLANK(C750),ISBLANK(B750)),"",VLOOKUP(C750,Deflatores!G$4:H$38,2,FALSE)*H750+VLOOKUP(C750,Deflatores!G$4:I$38,3,FALSE)))</f>
        <v/>
      </c>
      <c r="M750" s="10"/>
      <c r="N750" s="10"/>
      <c r="O750" s="6"/>
    </row>
    <row r="751" spans="1:15" x14ac:dyDescent="0.2">
      <c r="A751" s="126"/>
      <c r="B751" s="4"/>
      <c r="C751" s="4"/>
      <c r="D751" s="7"/>
      <c r="E751" s="7"/>
      <c r="F751" s="8" t="str">
        <f t="shared" si="438"/>
        <v/>
      </c>
      <c r="G751" s="7" t="str">
        <f t="shared" si="439"/>
        <v/>
      </c>
      <c r="H751" s="5" t="str">
        <f t="shared" si="440"/>
        <v/>
      </c>
      <c r="I751" s="122" t="str">
        <f t="shared" si="441"/>
        <v/>
      </c>
      <c r="J751" s="7" t="str">
        <f t="shared" si="442"/>
        <v/>
      </c>
      <c r="K751" s="9" t="str">
        <f t="shared" si="443"/>
        <v/>
      </c>
      <c r="L751" s="9" t="str">
        <f>IF(NOT(ISERROR(VLOOKUP(B751,Deflatores!G$42:H$64,2,FALSE))),VLOOKUP(B751,Deflatores!G$42:H$64,2,FALSE),IF(OR(ISBLANK(C751),ISBLANK(B751)),"",VLOOKUP(C751,Deflatores!G$4:H$38,2,FALSE)*H751+VLOOKUP(C751,Deflatores!G$4:I$38,3,FALSE)))</f>
        <v/>
      </c>
      <c r="M751" s="10"/>
      <c r="N751" s="10"/>
      <c r="O751" s="6"/>
    </row>
    <row r="752" spans="1:15" x14ac:dyDescent="0.2">
      <c r="A752" s="126"/>
      <c r="B752" s="4"/>
      <c r="C752" s="4"/>
      <c r="D752" s="7"/>
      <c r="E752" s="7"/>
      <c r="F752" s="8" t="str">
        <f t="shared" si="438"/>
        <v/>
      </c>
      <c r="G752" s="7" t="str">
        <f t="shared" si="439"/>
        <v/>
      </c>
      <c r="H752" s="5" t="str">
        <f t="shared" si="440"/>
        <v/>
      </c>
      <c r="I752" s="122" t="str">
        <f t="shared" si="441"/>
        <v/>
      </c>
      <c r="J752" s="7" t="str">
        <f t="shared" si="442"/>
        <v/>
      </c>
      <c r="K752" s="9" t="str">
        <f t="shared" si="443"/>
        <v/>
      </c>
      <c r="L752" s="9" t="str">
        <f>IF(NOT(ISERROR(VLOOKUP(B752,Deflatores!G$42:H$64,2,FALSE))),VLOOKUP(B752,Deflatores!G$42:H$64,2,FALSE),IF(OR(ISBLANK(C752),ISBLANK(B752)),"",VLOOKUP(C752,Deflatores!G$4:H$38,2,FALSE)*H752+VLOOKUP(C752,Deflatores!G$4:I$38,3,FALSE)))</f>
        <v/>
      </c>
      <c r="M752" s="10"/>
      <c r="N752" s="10"/>
      <c r="O752" s="6"/>
    </row>
    <row r="753" spans="1:15" x14ac:dyDescent="0.2">
      <c r="A753" s="126"/>
      <c r="B753" s="4"/>
      <c r="C753" s="4"/>
      <c r="D753" s="7"/>
      <c r="E753" s="7"/>
      <c r="F753" s="8" t="str">
        <f t="shared" si="438"/>
        <v/>
      </c>
      <c r="G753" s="7" t="str">
        <f t="shared" si="439"/>
        <v/>
      </c>
      <c r="H753" s="5" t="str">
        <f t="shared" si="440"/>
        <v/>
      </c>
      <c r="I753" s="122" t="str">
        <f t="shared" si="441"/>
        <v/>
      </c>
      <c r="J753" s="7" t="str">
        <f t="shared" si="442"/>
        <v/>
      </c>
      <c r="K753" s="9" t="str">
        <f t="shared" si="443"/>
        <v/>
      </c>
      <c r="L753" s="9" t="str">
        <f>IF(NOT(ISERROR(VLOOKUP(B753,Deflatores!G$42:H$64,2,FALSE))),VLOOKUP(B753,Deflatores!G$42:H$64,2,FALSE),IF(OR(ISBLANK(C753),ISBLANK(B753)),"",VLOOKUP(C753,Deflatores!G$4:H$38,2,FALSE)*H753+VLOOKUP(C753,Deflatores!G$4:I$38,3,FALSE)))</f>
        <v/>
      </c>
      <c r="M753" s="10"/>
      <c r="N753" s="10"/>
      <c r="O753" s="6"/>
    </row>
    <row r="754" spans="1:15" x14ac:dyDescent="0.2">
      <c r="A754" s="126"/>
      <c r="B754" s="4"/>
      <c r="C754" s="4"/>
      <c r="D754" s="7"/>
      <c r="E754" s="7"/>
      <c r="F754" s="8" t="str">
        <f t="shared" si="438"/>
        <v/>
      </c>
      <c r="G754" s="7" t="str">
        <f t="shared" si="439"/>
        <v/>
      </c>
      <c r="H754" s="5" t="str">
        <f t="shared" si="440"/>
        <v/>
      </c>
      <c r="I754" s="122" t="str">
        <f t="shared" si="441"/>
        <v/>
      </c>
      <c r="J754" s="7" t="str">
        <f t="shared" si="442"/>
        <v/>
      </c>
      <c r="K754" s="9" t="str">
        <f t="shared" si="443"/>
        <v/>
      </c>
      <c r="L754" s="9" t="str">
        <f>IF(NOT(ISERROR(VLOOKUP(B754,Deflatores!G$42:H$64,2,FALSE))),VLOOKUP(B754,Deflatores!G$42:H$64,2,FALSE),IF(OR(ISBLANK(C754),ISBLANK(B754)),"",VLOOKUP(C754,Deflatores!G$4:H$38,2,FALSE)*H754+VLOOKUP(C754,Deflatores!G$4:I$38,3,FALSE)))</f>
        <v/>
      </c>
      <c r="M754" s="10"/>
      <c r="N754" s="10"/>
      <c r="O754" s="6"/>
    </row>
    <row r="755" spans="1:15" x14ac:dyDescent="0.2">
      <c r="A755" s="126"/>
      <c r="B755" s="4"/>
      <c r="C755" s="4"/>
      <c r="D755" s="7"/>
      <c r="E755" s="7"/>
      <c r="F755" s="8" t="str">
        <f t="shared" si="438"/>
        <v/>
      </c>
      <c r="G755" s="7" t="str">
        <f t="shared" si="439"/>
        <v/>
      </c>
      <c r="H755" s="5" t="str">
        <f t="shared" si="440"/>
        <v/>
      </c>
      <c r="I755" s="122" t="str">
        <f t="shared" si="441"/>
        <v/>
      </c>
      <c r="J755" s="7" t="str">
        <f t="shared" si="442"/>
        <v/>
      </c>
      <c r="K755" s="9" t="str">
        <f t="shared" si="443"/>
        <v/>
      </c>
      <c r="L755" s="9" t="str">
        <f>IF(NOT(ISERROR(VLOOKUP(B755,Deflatores!G$42:H$64,2,FALSE))),VLOOKUP(B755,Deflatores!G$42:H$64,2,FALSE),IF(OR(ISBLANK(C755),ISBLANK(B755)),"",VLOOKUP(C755,Deflatores!G$4:H$38,2,FALSE)*H755+VLOOKUP(C755,Deflatores!G$4:I$38,3,FALSE)))</f>
        <v/>
      </c>
      <c r="M755" s="10"/>
      <c r="N755" s="10"/>
      <c r="O755" s="6"/>
    </row>
    <row r="756" spans="1:15" x14ac:dyDescent="0.2">
      <c r="A756" s="126"/>
      <c r="B756" s="4"/>
      <c r="C756" s="4"/>
      <c r="D756" s="7"/>
      <c r="E756" s="7"/>
      <c r="F756" s="8" t="str">
        <f t="shared" si="438"/>
        <v/>
      </c>
      <c r="G756" s="7" t="str">
        <f t="shared" si="439"/>
        <v/>
      </c>
      <c r="H756" s="5" t="str">
        <f t="shared" si="440"/>
        <v/>
      </c>
      <c r="I756" s="122" t="str">
        <f t="shared" si="441"/>
        <v/>
      </c>
      <c r="J756" s="7" t="str">
        <f t="shared" si="442"/>
        <v/>
      </c>
      <c r="K756" s="9" t="str">
        <f t="shared" si="443"/>
        <v/>
      </c>
      <c r="L756" s="9" t="str">
        <f>IF(NOT(ISERROR(VLOOKUP(B756,Deflatores!G$42:H$64,2,FALSE))),VLOOKUP(B756,Deflatores!G$42:H$64,2,FALSE),IF(OR(ISBLANK(C756),ISBLANK(B756)),"",VLOOKUP(C756,Deflatores!G$4:H$38,2,FALSE)*H756+VLOOKUP(C756,Deflatores!G$4:I$38,3,FALSE)))</f>
        <v/>
      </c>
      <c r="M756" s="10"/>
      <c r="N756" s="10"/>
      <c r="O756" s="6"/>
    </row>
    <row r="757" spans="1:15" x14ac:dyDescent="0.2">
      <c r="A757" s="126"/>
      <c r="B757" s="4"/>
      <c r="C757" s="4"/>
      <c r="D757" s="7"/>
      <c r="E757" s="7"/>
      <c r="F757" s="8" t="str">
        <f t="shared" si="438"/>
        <v/>
      </c>
      <c r="G757" s="7" t="str">
        <f t="shared" si="439"/>
        <v/>
      </c>
      <c r="H757" s="5" t="str">
        <f t="shared" si="440"/>
        <v/>
      </c>
      <c r="I757" s="122" t="str">
        <f t="shared" si="441"/>
        <v/>
      </c>
      <c r="J757" s="7" t="str">
        <f t="shared" si="442"/>
        <v/>
      </c>
      <c r="K757" s="9" t="str">
        <f t="shared" si="443"/>
        <v/>
      </c>
      <c r="L757" s="9" t="str">
        <f>IF(NOT(ISERROR(VLOOKUP(B757,Deflatores!G$42:H$64,2,FALSE))),VLOOKUP(B757,Deflatores!G$42:H$64,2,FALSE),IF(OR(ISBLANK(C757),ISBLANK(B757)),"",VLOOKUP(C757,Deflatores!G$4:H$38,2,FALSE)*H757+VLOOKUP(C757,Deflatores!G$4:I$38,3,FALSE)))</f>
        <v/>
      </c>
      <c r="M757" s="10"/>
      <c r="N757" s="10"/>
      <c r="O757" s="6"/>
    </row>
    <row r="758" spans="1:15" x14ac:dyDescent="0.2">
      <c r="A758" s="126"/>
      <c r="B758" s="4"/>
      <c r="C758" s="4"/>
      <c r="D758" s="7"/>
      <c r="E758" s="7"/>
      <c r="F758" s="8" t="str">
        <f t="shared" si="438"/>
        <v/>
      </c>
      <c r="G758" s="7" t="str">
        <f t="shared" si="439"/>
        <v/>
      </c>
      <c r="H758" s="5" t="str">
        <f t="shared" si="440"/>
        <v/>
      </c>
      <c r="I758" s="122" t="str">
        <f t="shared" si="441"/>
        <v/>
      </c>
      <c r="J758" s="7" t="str">
        <f t="shared" si="442"/>
        <v/>
      </c>
      <c r="K758" s="9" t="str">
        <f t="shared" si="443"/>
        <v/>
      </c>
      <c r="L758" s="9" t="str">
        <f>IF(NOT(ISERROR(VLOOKUP(B758,Deflatores!G$42:H$64,2,FALSE))),VLOOKUP(B758,Deflatores!G$42:H$64,2,FALSE),IF(OR(ISBLANK(C758),ISBLANK(B758)),"",VLOOKUP(C758,Deflatores!G$4:H$38,2,FALSE)*H758+VLOOKUP(C758,Deflatores!G$4:I$38,3,FALSE)))</f>
        <v/>
      </c>
      <c r="M758" s="10"/>
      <c r="N758" s="10"/>
      <c r="O758" s="6"/>
    </row>
    <row r="759" spans="1:15" x14ac:dyDescent="0.2">
      <c r="A759" s="126"/>
      <c r="B759" s="4"/>
      <c r="C759" s="4"/>
      <c r="D759" s="7"/>
      <c r="E759" s="7"/>
      <c r="F759" s="8" t="str">
        <f t="shared" si="438"/>
        <v/>
      </c>
      <c r="G759" s="7" t="str">
        <f t="shared" si="439"/>
        <v/>
      </c>
      <c r="H759" s="5" t="str">
        <f t="shared" si="440"/>
        <v/>
      </c>
      <c r="I759" s="122" t="str">
        <f t="shared" si="441"/>
        <v/>
      </c>
      <c r="J759" s="7" t="str">
        <f t="shared" si="442"/>
        <v/>
      </c>
      <c r="K759" s="9" t="str">
        <f t="shared" si="443"/>
        <v/>
      </c>
      <c r="L759" s="9" t="str">
        <f>IF(NOT(ISERROR(VLOOKUP(B759,Deflatores!G$42:H$64,2,FALSE))),VLOOKUP(B759,Deflatores!G$42:H$64,2,FALSE),IF(OR(ISBLANK(C759),ISBLANK(B759)),"",VLOOKUP(C759,Deflatores!G$4:H$38,2,FALSE)*H759+VLOOKUP(C759,Deflatores!G$4:I$38,3,FALSE)))</f>
        <v/>
      </c>
      <c r="M759" s="10"/>
      <c r="N759" s="10"/>
      <c r="O759" s="6"/>
    </row>
    <row r="760" spans="1:15" x14ac:dyDescent="0.2">
      <c r="A760" s="126"/>
      <c r="B760" s="4"/>
      <c r="C760" s="4"/>
      <c r="D760" s="7"/>
      <c r="E760" s="7"/>
      <c r="F760" s="8" t="str">
        <f t="shared" si="438"/>
        <v/>
      </c>
      <c r="G760" s="7" t="str">
        <f t="shared" si="439"/>
        <v/>
      </c>
      <c r="H760" s="5" t="str">
        <f t="shared" si="440"/>
        <v/>
      </c>
      <c r="I760" s="122" t="str">
        <f t="shared" si="441"/>
        <v/>
      </c>
      <c r="J760" s="7" t="str">
        <f t="shared" si="442"/>
        <v/>
      </c>
      <c r="K760" s="9" t="str">
        <f t="shared" si="443"/>
        <v/>
      </c>
      <c r="L760" s="9" t="str">
        <f>IF(NOT(ISERROR(VLOOKUP(B760,Deflatores!G$42:H$64,2,FALSE))),VLOOKUP(B760,Deflatores!G$42:H$64,2,FALSE),IF(OR(ISBLANK(C760),ISBLANK(B760)),"",VLOOKUP(C760,Deflatores!G$4:H$38,2,FALSE)*H760+VLOOKUP(C760,Deflatores!G$4:I$38,3,FALSE)))</f>
        <v/>
      </c>
      <c r="M760" s="10"/>
      <c r="N760" s="10"/>
      <c r="O760" s="6"/>
    </row>
    <row r="761" spans="1:15" x14ac:dyDescent="0.2">
      <c r="A761" s="126"/>
      <c r="B761" s="4"/>
      <c r="C761" s="4"/>
      <c r="D761" s="7"/>
      <c r="E761" s="7"/>
      <c r="F761" s="8" t="str">
        <f t="shared" si="438"/>
        <v/>
      </c>
      <c r="G761" s="7" t="str">
        <f t="shared" si="439"/>
        <v/>
      </c>
      <c r="H761" s="5" t="str">
        <f t="shared" si="440"/>
        <v/>
      </c>
      <c r="I761" s="122" t="str">
        <f t="shared" si="441"/>
        <v/>
      </c>
      <c r="J761" s="7" t="str">
        <f t="shared" si="442"/>
        <v/>
      </c>
      <c r="K761" s="9" t="str">
        <f t="shared" si="443"/>
        <v/>
      </c>
      <c r="L761" s="9" t="str">
        <f>IF(NOT(ISERROR(VLOOKUP(B761,Deflatores!G$42:H$64,2,FALSE))),VLOOKUP(B761,Deflatores!G$42:H$64,2,FALSE),IF(OR(ISBLANK(C761),ISBLANK(B761)),"",VLOOKUP(C761,Deflatores!G$4:H$38,2,FALSE)*H761+VLOOKUP(C761,Deflatores!G$4:I$38,3,FALSE)))</f>
        <v/>
      </c>
      <c r="M761" s="10"/>
      <c r="N761" s="10"/>
      <c r="O761" s="6"/>
    </row>
    <row r="762" spans="1:15" x14ac:dyDescent="0.2">
      <c r="A762" s="126"/>
      <c r="B762" s="4"/>
      <c r="C762" s="4"/>
      <c r="D762" s="7"/>
      <c r="E762" s="7"/>
      <c r="F762" s="8" t="str">
        <f t="shared" si="438"/>
        <v/>
      </c>
      <c r="G762" s="7" t="str">
        <f t="shared" si="439"/>
        <v/>
      </c>
      <c r="H762" s="5" t="str">
        <f t="shared" si="440"/>
        <v/>
      </c>
      <c r="I762" s="122" t="str">
        <f t="shared" si="441"/>
        <v/>
      </c>
      <c r="J762" s="7" t="str">
        <f t="shared" si="442"/>
        <v/>
      </c>
      <c r="K762" s="9" t="str">
        <f t="shared" si="443"/>
        <v/>
      </c>
      <c r="L762" s="9" t="str">
        <f>IF(NOT(ISERROR(VLOOKUP(B762,Deflatores!G$42:H$64,2,FALSE))),VLOOKUP(B762,Deflatores!G$42:H$64,2,FALSE),IF(OR(ISBLANK(C762),ISBLANK(B762)),"",VLOOKUP(C762,Deflatores!G$4:H$38,2,FALSE)*H762+VLOOKUP(C762,Deflatores!G$4:I$38,3,FALSE)))</f>
        <v/>
      </c>
      <c r="M762" s="10"/>
      <c r="N762" s="10"/>
      <c r="O762" s="6"/>
    </row>
    <row r="763" spans="1:15" x14ac:dyDescent="0.2">
      <c r="A763" s="126"/>
      <c r="B763" s="4"/>
      <c r="C763" s="4"/>
      <c r="D763" s="7"/>
      <c r="E763" s="7"/>
      <c r="F763" s="8" t="str">
        <f t="shared" si="438"/>
        <v/>
      </c>
      <c r="G763" s="7" t="str">
        <f t="shared" si="439"/>
        <v/>
      </c>
      <c r="H763" s="5" t="str">
        <f t="shared" si="440"/>
        <v/>
      </c>
      <c r="I763" s="122" t="str">
        <f t="shared" si="441"/>
        <v/>
      </c>
      <c r="J763" s="7" t="str">
        <f t="shared" si="442"/>
        <v/>
      </c>
      <c r="K763" s="9" t="str">
        <f t="shared" si="443"/>
        <v/>
      </c>
      <c r="L763" s="9" t="str">
        <f>IF(NOT(ISERROR(VLOOKUP(B763,Deflatores!G$42:H$64,2,FALSE))),VLOOKUP(B763,Deflatores!G$42:H$64,2,FALSE),IF(OR(ISBLANK(C763),ISBLANK(B763)),"",VLOOKUP(C763,Deflatores!G$4:H$38,2,FALSE)*H763+VLOOKUP(C763,Deflatores!G$4:I$38,3,FALSE)))</f>
        <v/>
      </c>
      <c r="M763" s="10"/>
      <c r="N763" s="10"/>
      <c r="O763" s="6"/>
    </row>
    <row r="764" spans="1:15" x14ac:dyDescent="0.2">
      <c r="A764" s="126"/>
      <c r="B764" s="4"/>
      <c r="C764" s="4"/>
      <c r="D764" s="7"/>
      <c r="E764" s="7"/>
      <c r="F764" s="8" t="str">
        <f t="shared" si="438"/>
        <v/>
      </c>
      <c r="G764" s="7" t="str">
        <f t="shared" si="439"/>
        <v/>
      </c>
      <c r="H764" s="5" t="str">
        <f t="shared" si="440"/>
        <v/>
      </c>
      <c r="I764" s="122" t="str">
        <f t="shared" si="441"/>
        <v/>
      </c>
      <c r="J764" s="7" t="str">
        <f t="shared" si="442"/>
        <v/>
      </c>
      <c r="K764" s="9" t="str">
        <f t="shared" si="443"/>
        <v/>
      </c>
      <c r="L764" s="9" t="str">
        <f>IF(NOT(ISERROR(VLOOKUP(B764,Deflatores!G$42:H$64,2,FALSE))),VLOOKUP(B764,Deflatores!G$42:H$64,2,FALSE),IF(OR(ISBLANK(C764),ISBLANK(B764)),"",VLOOKUP(C764,Deflatores!G$4:H$38,2,FALSE)*H764+VLOOKUP(C764,Deflatores!G$4:I$38,3,FALSE)))</f>
        <v/>
      </c>
      <c r="M764" s="10"/>
      <c r="N764" s="10"/>
      <c r="O764" s="6"/>
    </row>
    <row r="765" spans="1:15" x14ac:dyDescent="0.2">
      <c r="A765" s="126"/>
      <c r="B765" s="4"/>
      <c r="C765" s="4"/>
      <c r="D765" s="7"/>
      <c r="E765" s="7"/>
      <c r="F765" s="8" t="str">
        <f t="shared" si="438"/>
        <v/>
      </c>
      <c r="G765" s="7" t="str">
        <f t="shared" si="439"/>
        <v/>
      </c>
      <c r="H765" s="5" t="str">
        <f t="shared" si="440"/>
        <v/>
      </c>
      <c r="I765" s="122" t="str">
        <f t="shared" si="441"/>
        <v/>
      </c>
      <c r="J765" s="7" t="str">
        <f t="shared" si="442"/>
        <v/>
      </c>
      <c r="K765" s="9" t="str">
        <f t="shared" si="443"/>
        <v/>
      </c>
      <c r="L765" s="9" t="str">
        <f>IF(NOT(ISERROR(VLOOKUP(B765,Deflatores!G$42:H$64,2,FALSE))),VLOOKUP(B765,Deflatores!G$42:H$64,2,FALSE),IF(OR(ISBLANK(C765),ISBLANK(B765)),"",VLOOKUP(C765,Deflatores!G$4:H$38,2,FALSE)*H765+VLOOKUP(C765,Deflatores!G$4:I$38,3,FALSE)))</f>
        <v/>
      </c>
      <c r="M765" s="10"/>
      <c r="N765" s="10"/>
      <c r="O765" s="6"/>
    </row>
    <row r="766" spans="1:15" x14ac:dyDescent="0.2">
      <c r="A766" s="126"/>
      <c r="B766" s="4"/>
      <c r="C766" s="4"/>
      <c r="D766" s="7"/>
      <c r="E766" s="7"/>
      <c r="F766" s="8" t="str">
        <f t="shared" si="438"/>
        <v/>
      </c>
      <c r="G766" s="7" t="str">
        <f t="shared" si="439"/>
        <v/>
      </c>
      <c r="H766" s="5" t="str">
        <f t="shared" si="440"/>
        <v/>
      </c>
      <c r="I766" s="122" t="str">
        <f t="shared" si="441"/>
        <v/>
      </c>
      <c r="J766" s="7" t="str">
        <f t="shared" si="442"/>
        <v/>
      </c>
      <c r="K766" s="9" t="str">
        <f t="shared" si="443"/>
        <v/>
      </c>
      <c r="L766" s="9" t="str">
        <f>IF(NOT(ISERROR(VLOOKUP(B766,Deflatores!G$42:H$64,2,FALSE))),VLOOKUP(B766,Deflatores!G$42:H$64,2,FALSE),IF(OR(ISBLANK(C766),ISBLANK(B766)),"",VLOOKUP(C766,Deflatores!G$4:H$38,2,FALSE)*H766+VLOOKUP(C766,Deflatores!G$4:I$38,3,FALSE)))</f>
        <v/>
      </c>
      <c r="M766" s="10"/>
      <c r="N766" s="10"/>
      <c r="O766" s="6"/>
    </row>
    <row r="767" spans="1:15" x14ac:dyDescent="0.2">
      <c r="A767" s="126"/>
      <c r="B767" s="4"/>
      <c r="C767" s="4"/>
      <c r="D767" s="7"/>
      <c r="E767" s="7"/>
      <c r="F767" s="8" t="str">
        <f t="shared" si="438"/>
        <v/>
      </c>
      <c r="G767" s="7" t="str">
        <f t="shared" si="439"/>
        <v/>
      </c>
      <c r="H767" s="5" t="str">
        <f t="shared" si="440"/>
        <v/>
      </c>
      <c r="I767" s="122" t="str">
        <f t="shared" si="441"/>
        <v/>
      </c>
      <c r="J767" s="7" t="str">
        <f t="shared" si="442"/>
        <v/>
      </c>
      <c r="K767" s="9" t="str">
        <f t="shared" si="443"/>
        <v/>
      </c>
      <c r="L767" s="9" t="str">
        <f>IF(NOT(ISERROR(VLOOKUP(B767,Deflatores!G$42:H$64,2,FALSE))),VLOOKUP(B767,Deflatores!G$42:H$64,2,FALSE),IF(OR(ISBLANK(C767),ISBLANK(B767)),"",VLOOKUP(C767,Deflatores!G$4:H$38,2,FALSE)*H767+VLOOKUP(C767,Deflatores!G$4:I$38,3,FALSE)))</f>
        <v/>
      </c>
      <c r="M767" s="10"/>
      <c r="N767" s="10"/>
      <c r="O767" s="6"/>
    </row>
    <row r="768" spans="1:15" x14ac:dyDescent="0.2">
      <c r="A768" s="126"/>
      <c r="B768" s="4"/>
      <c r="C768" s="4"/>
      <c r="D768" s="7"/>
      <c r="E768" s="7"/>
      <c r="F768" s="8" t="str">
        <f t="shared" si="438"/>
        <v/>
      </c>
      <c r="G768" s="7" t="str">
        <f t="shared" si="439"/>
        <v/>
      </c>
      <c r="H768" s="5" t="str">
        <f t="shared" si="440"/>
        <v/>
      </c>
      <c r="I768" s="122" t="str">
        <f t="shared" si="441"/>
        <v/>
      </c>
      <c r="J768" s="7" t="str">
        <f t="shared" si="442"/>
        <v/>
      </c>
      <c r="K768" s="9" t="str">
        <f t="shared" si="443"/>
        <v/>
      </c>
      <c r="L768" s="9" t="str">
        <f>IF(NOT(ISERROR(VLOOKUP(B768,Deflatores!G$42:H$64,2,FALSE))),VLOOKUP(B768,Deflatores!G$42:H$64,2,FALSE),IF(OR(ISBLANK(C768),ISBLANK(B768)),"",VLOOKUP(C768,Deflatores!G$4:H$38,2,FALSE)*H768+VLOOKUP(C768,Deflatores!G$4:I$38,3,FALSE)))</f>
        <v/>
      </c>
      <c r="M768" s="10"/>
      <c r="N768" s="10"/>
      <c r="O768" s="6"/>
    </row>
    <row r="769" spans="1:15" x14ac:dyDescent="0.2">
      <c r="A769" s="126"/>
      <c r="B769" s="4"/>
      <c r="C769" s="4"/>
      <c r="D769" s="7"/>
      <c r="E769" s="7"/>
      <c r="F769" s="8" t="str">
        <f t="shared" si="438"/>
        <v/>
      </c>
      <c r="G769" s="7" t="str">
        <f t="shared" si="439"/>
        <v/>
      </c>
      <c r="H769" s="5" t="str">
        <f t="shared" si="440"/>
        <v/>
      </c>
      <c r="I769" s="122" t="str">
        <f t="shared" si="441"/>
        <v/>
      </c>
      <c r="J769" s="7" t="str">
        <f t="shared" si="442"/>
        <v/>
      </c>
      <c r="K769" s="9" t="str">
        <f t="shared" si="443"/>
        <v/>
      </c>
      <c r="L769" s="9" t="str">
        <f>IF(NOT(ISERROR(VLOOKUP(B769,Deflatores!G$42:H$64,2,FALSE))),VLOOKUP(B769,Deflatores!G$42:H$64,2,FALSE),IF(OR(ISBLANK(C769),ISBLANK(B769)),"",VLOOKUP(C769,Deflatores!G$4:H$38,2,FALSE)*H769+VLOOKUP(C769,Deflatores!G$4:I$38,3,FALSE)))</f>
        <v/>
      </c>
      <c r="M769" s="10"/>
      <c r="N769" s="10"/>
      <c r="O769" s="6"/>
    </row>
    <row r="770" spans="1:15" x14ac:dyDescent="0.2">
      <c r="A770" s="126"/>
      <c r="B770" s="4"/>
      <c r="C770" s="4"/>
      <c r="D770" s="7"/>
      <c r="E770" s="7"/>
      <c r="F770" s="8" t="str">
        <f t="shared" si="438"/>
        <v/>
      </c>
      <c r="G770" s="7" t="str">
        <f t="shared" si="439"/>
        <v/>
      </c>
      <c r="H770" s="5" t="str">
        <f t="shared" si="440"/>
        <v/>
      </c>
      <c r="I770" s="122" t="str">
        <f t="shared" si="441"/>
        <v/>
      </c>
      <c r="J770" s="7" t="str">
        <f t="shared" si="442"/>
        <v/>
      </c>
      <c r="K770" s="9" t="str">
        <f t="shared" si="443"/>
        <v/>
      </c>
      <c r="L770" s="9" t="str">
        <f>IF(NOT(ISERROR(VLOOKUP(B770,Deflatores!G$42:H$64,2,FALSE))),VLOOKUP(B770,Deflatores!G$42:H$64,2,FALSE),IF(OR(ISBLANK(C770),ISBLANK(B770)),"",VLOOKUP(C770,Deflatores!G$4:H$38,2,FALSE)*H770+VLOOKUP(C770,Deflatores!G$4:I$38,3,FALSE)))</f>
        <v/>
      </c>
      <c r="M770" s="10"/>
      <c r="N770" s="10"/>
      <c r="O770" s="6"/>
    </row>
    <row r="771" spans="1:15" x14ac:dyDescent="0.2">
      <c r="A771" s="126"/>
      <c r="B771" s="4"/>
      <c r="C771" s="4"/>
      <c r="D771" s="7"/>
      <c r="E771" s="7"/>
      <c r="F771" s="8" t="str">
        <f t="shared" si="438"/>
        <v/>
      </c>
      <c r="G771" s="7" t="str">
        <f t="shared" si="439"/>
        <v/>
      </c>
      <c r="H771" s="5" t="str">
        <f t="shared" si="440"/>
        <v/>
      </c>
      <c r="I771" s="122" t="str">
        <f t="shared" si="441"/>
        <v/>
      </c>
      <c r="J771" s="7" t="str">
        <f t="shared" si="442"/>
        <v/>
      </c>
      <c r="K771" s="9" t="str">
        <f t="shared" si="443"/>
        <v/>
      </c>
      <c r="L771" s="9" t="str">
        <f>IF(NOT(ISERROR(VLOOKUP(B771,Deflatores!G$42:H$64,2,FALSE))),VLOOKUP(B771,Deflatores!G$42:H$64,2,FALSE),IF(OR(ISBLANK(C771),ISBLANK(B771)),"",VLOOKUP(C771,Deflatores!G$4:H$38,2,FALSE)*H771+VLOOKUP(C771,Deflatores!G$4:I$38,3,FALSE)))</f>
        <v/>
      </c>
      <c r="M771" s="10"/>
      <c r="N771" s="10"/>
      <c r="O771" s="6"/>
    </row>
    <row r="772" spans="1:15" x14ac:dyDescent="0.2">
      <c r="A772" s="126"/>
      <c r="B772" s="4"/>
      <c r="C772" s="4"/>
      <c r="D772" s="7"/>
      <c r="E772" s="7"/>
      <c r="F772" s="8" t="str">
        <f t="shared" si="438"/>
        <v/>
      </c>
      <c r="G772" s="7" t="str">
        <f t="shared" si="439"/>
        <v/>
      </c>
      <c r="H772" s="5" t="str">
        <f t="shared" si="440"/>
        <v/>
      </c>
      <c r="I772" s="122" t="str">
        <f t="shared" si="441"/>
        <v/>
      </c>
      <c r="J772" s="7" t="str">
        <f t="shared" si="442"/>
        <v/>
      </c>
      <c r="K772" s="9" t="str">
        <f t="shared" si="443"/>
        <v/>
      </c>
      <c r="L772" s="9" t="str">
        <f>IF(NOT(ISERROR(VLOOKUP(B772,Deflatores!G$42:H$64,2,FALSE))),VLOOKUP(B772,Deflatores!G$42:H$64,2,FALSE),IF(OR(ISBLANK(C772),ISBLANK(B772)),"",VLOOKUP(C772,Deflatores!G$4:H$38,2,FALSE)*H772+VLOOKUP(C772,Deflatores!G$4:I$38,3,FALSE)))</f>
        <v/>
      </c>
      <c r="M772" s="10"/>
      <c r="N772" s="10"/>
      <c r="O772" s="6"/>
    </row>
    <row r="773" spans="1:15" x14ac:dyDescent="0.2">
      <c r="A773" s="126"/>
      <c r="B773" s="4"/>
      <c r="C773" s="4"/>
      <c r="D773" s="7"/>
      <c r="E773" s="7"/>
      <c r="F773" s="8" t="str">
        <f t="shared" si="438"/>
        <v/>
      </c>
      <c r="G773" s="7" t="str">
        <f t="shared" si="439"/>
        <v/>
      </c>
      <c r="H773" s="5" t="str">
        <f t="shared" si="440"/>
        <v/>
      </c>
      <c r="I773" s="122" t="str">
        <f t="shared" si="441"/>
        <v/>
      </c>
      <c r="J773" s="7" t="str">
        <f t="shared" si="442"/>
        <v/>
      </c>
      <c r="K773" s="9" t="str">
        <f t="shared" si="443"/>
        <v/>
      </c>
      <c r="L773" s="9" t="str">
        <f>IF(NOT(ISERROR(VLOOKUP(B773,Deflatores!G$42:H$64,2,FALSE))),VLOOKUP(B773,Deflatores!G$42:H$64,2,FALSE),IF(OR(ISBLANK(C773),ISBLANK(B773)),"",VLOOKUP(C773,Deflatores!G$4:H$38,2,FALSE)*H773+VLOOKUP(C773,Deflatores!G$4:I$38,3,FALSE)))</f>
        <v/>
      </c>
      <c r="M773" s="10"/>
      <c r="N773" s="10"/>
      <c r="O773" s="6"/>
    </row>
    <row r="774" spans="1:15" x14ac:dyDescent="0.2">
      <c r="A774" s="126"/>
      <c r="B774" s="4"/>
      <c r="C774" s="4"/>
      <c r="D774" s="7"/>
      <c r="E774" s="7"/>
      <c r="F774" s="8" t="str">
        <f t="shared" si="438"/>
        <v/>
      </c>
      <c r="G774" s="7" t="str">
        <f t="shared" si="439"/>
        <v/>
      </c>
      <c r="H774" s="5" t="str">
        <f t="shared" si="440"/>
        <v/>
      </c>
      <c r="I774" s="122" t="str">
        <f t="shared" si="441"/>
        <v/>
      </c>
      <c r="J774" s="7" t="str">
        <f t="shared" si="442"/>
        <v/>
      </c>
      <c r="K774" s="9" t="str">
        <f t="shared" si="443"/>
        <v/>
      </c>
      <c r="L774" s="9" t="str">
        <f>IF(NOT(ISERROR(VLOOKUP(B774,Deflatores!G$42:H$64,2,FALSE))),VLOOKUP(B774,Deflatores!G$42:H$64,2,FALSE),IF(OR(ISBLANK(C774),ISBLANK(B774)),"",VLOOKUP(C774,Deflatores!G$4:H$38,2,FALSE)*H774+VLOOKUP(C774,Deflatores!G$4:I$38,3,FALSE)))</f>
        <v/>
      </c>
      <c r="M774" s="10"/>
      <c r="N774" s="10"/>
      <c r="O774" s="6"/>
    </row>
    <row r="775" spans="1:15" x14ac:dyDescent="0.2">
      <c r="A775" s="126"/>
      <c r="B775" s="4"/>
      <c r="C775" s="4"/>
      <c r="D775" s="7"/>
      <c r="E775" s="7"/>
      <c r="F775" s="8" t="str">
        <f t="shared" si="438"/>
        <v/>
      </c>
      <c r="G775" s="7" t="str">
        <f t="shared" si="439"/>
        <v/>
      </c>
      <c r="H775" s="5" t="str">
        <f t="shared" si="440"/>
        <v/>
      </c>
      <c r="I775" s="122" t="str">
        <f t="shared" si="441"/>
        <v/>
      </c>
      <c r="J775" s="7" t="str">
        <f t="shared" si="442"/>
        <v/>
      </c>
      <c r="K775" s="9" t="str">
        <f t="shared" si="443"/>
        <v/>
      </c>
      <c r="L775" s="9" t="str">
        <f>IF(NOT(ISERROR(VLOOKUP(B775,Deflatores!G$42:H$64,2,FALSE))),VLOOKUP(B775,Deflatores!G$42:H$64,2,FALSE),IF(OR(ISBLANK(C775),ISBLANK(B775)),"",VLOOKUP(C775,Deflatores!G$4:H$38,2,FALSE)*H775+VLOOKUP(C775,Deflatores!G$4:I$38,3,FALSE)))</f>
        <v/>
      </c>
      <c r="M775" s="10"/>
      <c r="N775" s="10"/>
      <c r="O775" s="6"/>
    </row>
    <row r="776" spans="1:15" x14ac:dyDescent="0.2">
      <c r="A776" s="126"/>
      <c r="B776" s="4"/>
      <c r="C776" s="4"/>
      <c r="D776" s="7"/>
      <c r="E776" s="7"/>
      <c r="F776" s="8" t="str">
        <f t="shared" si="438"/>
        <v/>
      </c>
      <c r="G776" s="7" t="str">
        <f t="shared" si="439"/>
        <v/>
      </c>
      <c r="H776" s="5" t="str">
        <f t="shared" si="440"/>
        <v/>
      </c>
      <c r="I776" s="122" t="str">
        <f t="shared" si="441"/>
        <v/>
      </c>
      <c r="J776" s="7" t="str">
        <f t="shared" si="442"/>
        <v/>
      </c>
      <c r="K776" s="9" t="str">
        <f t="shared" si="443"/>
        <v/>
      </c>
      <c r="L776" s="9" t="str">
        <f>IF(NOT(ISERROR(VLOOKUP(B776,Deflatores!G$42:H$64,2,FALSE))),VLOOKUP(B776,Deflatores!G$42:H$64,2,FALSE),IF(OR(ISBLANK(C776),ISBLANK(B776)),"",VLOOKUP(C776,Deflatores!G$4:H$38,2,FALSE)*H776+VLOOKUP(C776,Deflatores!G$4:I$38,3,FALSE)))</f>
        <v/>
      </c>
      <c r="M776" s="10"/>
      <c r="N776" s="10"/>
      <c r="O776" s="6"/>
    </row>
    <row r="777" spans="1:15" x14ac:dyDescent="0.2">
      <c r="A777" s="126"/>
      <c r="B777" s="4"/>
      <c r="C777" s="4"/>
      <c r="D777" s="7"/>
      <c r="E777" s="7"/>
      <c r="F777" s="8" t="str">
        <f t="shared" si="438"/>
        <v/>
      </c>
      <c r="G777" s="7" t="str">
        <f t="shared" si="439"/>
        <v/>
      </c>
      <c r="H777" s="5" t="str">
        <f t="shared" si="440"/>
        <v/>
      </c>
      <c r="I777" s="122" t="str">
        <f t="shared" si="441"/>
        <v/>
      </c>
      <c r="J777" s="7" t="str">
        <f t="shared" si="442"/>
        <v/>
      </c>
      <c r="K777" s="9" t="str">
        <f t="shared" si="443"/>
        <v/>
      </c>
      <c r="L777" s="9" t="str">
        <f>IF(NOT(ISERROR(VLOOKUP(B777,Deflatores!G$42:H$64,2,FALSE))),VLOOKUP(B777,Deflatores!G$42:H$64,2,FALSE),IF(OR(ISBLANK(C777),ISBLANK(B777)),"",VLOOKUP(C777,Deflatores!G$4:H$38,2,FALSE)*H777+VLOOKUP(C777,Deflatores!G$4:I$38,3,FALSE)))</f>
        <v/>
      </c>
      <c r="M777" s="10"/>
      <c r="N777" s="10"/>
      <c r="O777" s="6"/>
    </row>
    <row r="778" spans="1:15" x14ac:dyDescent="0.2">
      <c r="A778" s="126"/>
      <c r="B778" s="4"/>
      <c r="C778" s="4"/>
      <c r="D778" s="7"/>
      <c r="E778" s="7"/>
      <c r="F778" s="8" t="str">
        <f t="shared" si="438"/>
        <v/>
      </c>
      <c r="G778" s="7" t="str">
        <f t="shared" si="439"/>
        <v/>
      </c>
      <c r="H778" s="5" t="str">
        <f t="shared" si="440"/>
        <v/>
      </c>
      <c r="I778" s="122" t="str">
        <f t="shared" si="441"/>
        <v/>
      </c>
      <c r="J778" s="7" t="str">
        <f t="shared" si="442"/>
        <v/>
      </c>
      <c r="K778" s="9" t="str">
        <f t="shared" si="443"/>
        <v/>
      </c>
      <c r="L778" s="9" t="str">
        <f>IF(NOT(ISERROR(VLOOKUP(B778,Deflatores!G$42:H$64,2,FALSE))),VLOOKUP(B778,Deflatores!G$42:H$64,2,FALSE),IF(OR(ISBLANK(C778),ISBLANK(B778)),"",VLOOKUP(C778,Deflatores!G$4:H$38,2,FALSE)*H778+VLOOKUP(C778,Deflatores!G$4:I$38,3,FALSE)))</f>
        <v/>
      </c>
      <c r="M778" s="10"/>
      <c r="N778" s="10"/>
      <c r="O778" s="6"/>
    </row>
    <row r="779" spans="1:15" x14ac:dyDescent="0.2">
      <c r="A779" s="126"/>
      <c r="B779" s="4"/>
      <c r="C779" s="4"/>
      <c r="D779" s="7"/>
      <c r="E779" s="7"/>
      <c r="F779" s="8" t="str">
        <f t="shared" si="438"/>
        <v/>
      </c>
      <c r="G779" s="7" t="str">
        <f t="shared" si="439"/>
        <v/>
      </c>
      <c r="H779" s="5" t="str">
        <f t="shared" si="440"/>
        <v/>
      </c>
      <c r="I779" s="122" t="str">
        <f t="shared" si="441"/>
        <v/>
      </c>
      <c r="J779" s="7" t="str">
        <f t="shared" si="442"/>
        <v/>
      </c>
      <c r="K779" s="9" t="str">
        <f t="shared" si="443"/>
        <v/>
      </c>
      <c r="L779" s="9" t="str">
        <f>IF(NOT(ISERROR(VLOOKUP(B779,Deflatores!G$42:H$64,2,FALSE))),VLOOKUP(B779,Deflatores!G$42:H$64,2,FALSE),IF(OR(ISBLANK(C779),ISBLANK(B779)),"",VLOOKUP(C779,Deflatores!G$4:H$38,2,FALSE)*H779+VLOOKUP(C779,Deflatores!G$4:I$38,3,FALSE)))</f>
        <v/>
      </c>
      <c r="M779" s="10"/>
      <c r="N779" s="10"/>
      <c r="O779" s="6"/>
    </row>
    <row r="780" spans="1:15" x14ac:dyDescent="0.2">
      <c r="A780" s="126"/>
      <c r="B780" s="4"/>
      <c r="C780" s="4"/>
      <c r="D780" s="7"/>
      <c r="E780" s="7"/>
      <c r="F780" s="8" t="str">
        <f t="shared" si="438"/>
        <v/>
      </c>
      <c r="G780" s="7" t="str">
        <f t="shared" si="439"/>
        <v/>
      </c>
      <c r="H780" s="5" t="str">
        <f t="shared" si="440"/>
        <v/>
      </c>
      <c r="I780" s="122" t="str">
        <f t="shared" si="441"/>
        <v/>
      </c>
      <c r="J780" s="7" t="str">
        <f t="shared" si="442"/>
        <v/>
      </c>
      <c r="K780" s="9" t="str">
        <f t="shared" si="443"/>
        <v/>
      </c>
      <c r="L780" s="9" t="str">
        <f>IF(NOT(ISERROR(VLOOKUP(B780,Deflatores!G$42:H$64,2,FALSE))),VLOOKUP(B780,Deflatores!G$42:H$64,2,FALSE),IF(OR(ISBLANK(C780),ISBLANK(B780)),"",VLOOKUP(C780,Deflatores!G$4:H$38,2,FALSE)*H780+VLOOKUP(C780,Deflatores!G$4:I$38,3,FALSE)))</f>
        <v/>
      </c>
      <c r="M780" s="10"/>
      <c r="N780" s="10"/>
      <c r="O780" s="6"/>
    </row>
    <row r="781" spans="1:15" x14ac:dyDescent="0.2">
      <c r="A781" s="126"/>
      <c r="B781" s="4"/>
      <c r="C781" s="4"/>
      <c r="D781" s="7"/>
      <c r="E781" s="7"/>
      <c r="F781" s="8" t="str">
        <f t="shared" si="438"/>
        <v/>
      </c>
      <c r="G781" s="7" t="str">
        <f t="shared" si="439"/>
        <v/>
      </c>
      <c r="H781" s="5" t="str">
        <f t="shared" si="440"/>
        <v/>
      </c>
      <c r="I781" s="122" t="str">
        <f t="shared" si="441"/>
        <v/>
      </c>
      <c r="J781" s="7" t="str">
        <f t="shared" si="442"/>
        <v/>
      </c>
      <c r="K781" s="9" t="str">
        <f t="shared" si="443"/>
        <v/>
      </c>
      <c r="L781" s="9" t="str">
        <f>IF(NOT(ISERROR(VLOOKUP(B781,Deflatores!G$42:H$64,2,FALSE))),VLOOKUP(B781,Deflatores!G$42:H$64,2,FALSE),IF(OR(ISBLANK(C781),ISBLANK(B781)),"",VLOOKUP(C781,Deflatores!G$4:H$38,2,FALSE)*H781+VLOOKUP(C781,Deflatores!G$4:I$38,3,FALSE)))</f>
        <v/>
      </c>
      <c r="M781" s="10"/>
      <c r="N781" s="10"/>
      <c r="O781" s="6"/>
    </row>
    <row r="782" spans="1:15" x14ac:dyDescent="0.2">
      <c r="A782" s="126"/>
      <c r="B782" s="4"/>
      <c r="C782" s="4"/>
      <c r="D782" s="7"/>
      <c r="E782" s="7"/>
      <c r="F782" s="8" t="str">
        <f t="shared" si="438"/>
        <v/>
      </c>
      <c r="G782" s="7" t="str">
        <f t="shared" si="439"/>
        <v/>
      </c>
      <c r="H782" s="5" t="str">
        <f t="shared" si="440"/>
        <v/>
      </c>
      <c r="I782" s="122" t="str">
        <f t="shared" si="441"/>
        <v/>
      </c>
      <c r="J782" s="7" t="str">
        <f t="shared" si="442"/>
        <v/>
      </c>
      <c r="K782" s="9" t="str">
        <f t="shared" si="443"/>
        <v/>
      </c>
      <c r="L782" s="9" t="str">
        <f>IF(NOT(ISERROR(VLOOKUP(B782,Deflatores!G$42:H$64,2,FALSE))),VLOOKUP(B782,Deflatores!G$42:H$64,2,FALSE),IF(OR(ISBLANK(C782),ISBLANK(B782)),"",VLOOKUP(C782,Deflatores!G$4:H$38,2,FALSE)*H782+VLOOKUP(C782,Deflatores!G$4:I$38,3,FALSE)))</f>
        <v/>
      </c>
      <c r="M782" s="10"/>
      <c r="N782" s="10"/>
      <c r="O782" s="6"/>
    </row>
    <row r="783" spans="1:15" x14ac:dyDescent="0.2">
      <c r="A783" s="126"/>
      <c r="B783" s="4"/>
      <c r="C783" s="4"/>
      <c r="D783" s="7"/>
      <c r="E783" s="7"/>
      <c r="F783" s="8" t="str">
        <f t="shared" ref="F783:F806" si="444">IF(ISBLANK(B783),"",IF(I783="L","Baixa",IF(I783="A","Média",IF(I783="","","Alta"))))</f>
        <v/>
      </c>
      <c r="G783" s="7" t="str">
        <f t="shared" ref="G783:G806" si="445">CONCATENATE(B783,I783)</f>
        <v/>
      </c>
      <c r="H783" s="5" t="str">
        <f t="shared" ref="H783:H806" si="446">IF(ISBLANK(B783),"",IF(B783="ALI",IF(I783="L",7,IF(I783="A",10,15)),IF(B783="AIE",IF(I783="L",5,IF(I783="A",7,10)),IF(B783="SE",IF(I783="L",4,IF(I783="A",5,7)),IF(OR(B783="EE",B783="CE"),IF(I783="L",3,IF(I783="A",4,6)),0)))))</f>
        <v/>
      </c>
      <c r="I783" s="122" t="str">
        <f t="shared" ref="I783:I806" si="447">IF(OR(ISBLANK(D783),ISBLANK(E783)),IF(OR(B783="ALI",B783="AIE"),"L",IF(OR(B783="EE",B783="SE",B783="CE"),"A","")),IF(B783="EE",IF(E783&gt;=3,IF(D783&gt;=5,"H","A"),IF(E783&gt;=2,IF(D783&gt;=16,"H",IF(D783&lt;=4,"L","A")),IF(D783&lt;=15,"L","A"))),IF(OR(B783="SE",B783="CE"),IF(E783&gt;=4,IF(D783&gt;=6,"H","A"),IF(E783&gt;=2,IF(D783&gt;=20,"H",IF(D783&lt;=5,"L","A")),IF(D783&lt;=19,"L","A"))),IF(OR(B783="ALI",B783="AIE"),IF(E783&gt;=6,IF(D783&gt;=20,"H","A"),IF(E783&gt;=2,IF(D783&gt;=51,"H",IF(D783&lt;=19,"L","A")),IF(D783&lt;=50,"L","A"))),""))))</f>
        <v/>
      </c>
      <c r="J783" s="7" t="str">
        <f t="shared" ref="J783:J806" si="448">CONCATENATE(B783,C783)</f>
        <v/>
      </c>
      <c r="K783" s="9" t="str">
        <f t="shared" si="443"/>
        <v/>
      </c>
      <c r="L783" s="9" t="str">
        <f>IF(NOT(ISERROR(VLOOKUP(B783,Deflatores!G$42:H$64,2,FALSE))),VLOOKUP(B783,Deflatores!G$42:H$64,2,FALSE),IF(OR(ISBLANK(C783),ISBLANK(B783)),"",VLOOKUP(C783,Deflatores!G$4:H$38,2,FALSE)*H783+VLOOKUP(C783,Deflatores!G$4:I$38,3,FALSE)))</f>
        <v/>
      </c>
      <c r="M783" s="10"/>
      <c r="N783" s="10"/>
      <c r="O783" s="6"/>
    </row>
    <row r="784" spans="1:15" x14ac:dyDescent="0.2">
      <c r="A784" s="126"/>
      <c r="B784" s="4"/>
      <c r="C784" s="4"/>
      <c r="D784" s="7"/>
      <c r="E784" s="7"/>
      <c r="F784" s="8" t="str">
        <f t="shared" si="444"/>
        <v/>
      </c>
      <c r="G784" s="7" t="str">
        <f t="shared" si="445"/>
        <v/>
      </c>
      <c r="H784" s="5" t="str">
        <f t="shared" si="446"/>
        <v/>
      </c>
      <c r="I784" s="122" t="str">
        <f t="shared" si="447"/>
        <v/>
      </c>
      <c r="J784" s="7" t="str">
        <f t="shared" si="448"/>
        <v/>
      </c>
      <c r="K784" s="9" t="str">
        <f t="shared" si="443"/>
        <v/>
      </c>
      <c r="L784" s="9" t="str">
        <f>IF(NOT(ISERROR(VLOOKUP(B784,Deflatores!G$42:H$64,2,FALSE))),VLOOKUP(B784,Deflatores!G$42:H$64,2,FALSE),IF(OR(ISBLANK(C784),ISBLANK(B784)),"",VLOOKUP(C784,Deflatores!G$4:H$38,2,FALSE)*H784+VLOOKUP(C784,Deflatores!G$4:I$38,3,FALSE)))</f>
        <v/>
      </c>
      <c r="M784" s="10"/>
      <c r="N784" s="10"/>
      <c r="O784" s="6"/>
    </row>
    <row r="785" spans="1:15" x14ac:dyDescent="0.2">
      <c r="A785" s="126"/>
      <c r="B785" s="4"/>
      <c r="C785" s="4"/>
      <c r="D785" s="7"/>
      <c r="E785" s="7"/>
      <c r="F785" s="8" t="str">
        <f t="shared" si="444"/>
        <v/>
      </c>
      <c r="G785" s="7" t="str">
        <f t="shared" si="445"/>
        <v/>
      </c>
      <c r="H785" s="5" t="str">
        <f t="shared" si="446"/>
        <v/>
      </c>
      <c r="I785" s="122" t="str">
        <f t="shared" si="447"/>
        <v/>
      </c>
      <c r="J785" s="7" t="str">
        <f t="shared" si="448"/>
        <v/>
      </c>
      <c r="K785" s="9" t="str">
        <f t="shared" ref="K785:K806" si="449">IF(OR(H785="",H785=0),L785,H785)</f>
        <v/>
      </c>
      <c r="L785" s="9" t="str">
        <f>IF(NOT(ISERROR(VLOOKUP(B785,Deflatores!G$42:H$64,2,FALSE))),VLOOKUP(B785,Deflatores!G$42:H$64,2,FALSE),IF(OR(ISBLANK(C785),ISBLANK(B785)),"",VLOOKUP(C785,Deflatores!G$4:H$38,2,FALSE)*H785+VLOOKUP(C785,Deflatores!G$4:I$38,3,FALSE)))</f>
        <v/>
      </c>
      <c r="M785" s="10"/>
      <c r="N785" s="10"/>
      <c r="O785" s="6"/>
    </row>
    <row r="786" spans="1:15" x14ac:dyDescent="0.2">
      <c r="A786" s="126"/>
      <c r="B786" s="4"/>
      <c r="C786" s="4"/>
      <c r="D786" s="7"/>
      <c r="E786" s="7"/>
      <c r="F786" s="8" t="str">
        <f t="shared" si="444"/>
        <v/>
      </c>
      <c r="G786" s="7" t="str">
        <f t="shared" si="445"/>
        <v/>
      </c>
      <c r="H786" s="5" t="str">
        <f t="shared" si="446"/>
        <v/>
      </c>
      <c r="I786" s="122" t="str">
        <f t="shared" si="447"/>
        <v/>
      </c>
      <c r="J786" s="7" t="str">
        <f t="shared" si="448"/>
        <v/>
      </c>
      <c r="K786" s="9" t="str">
        <f t="shared" si="449"/>
        <v/>
      </c>
      <c r="L786" s="9" t="str">
        <f>IF(NOT(ISERROR(VLOOKUP(B786,Deflatores!G$42:H$64,2,FALSE))),VLOOKUP(B786,Deflatores!G$42:H$64,2,FALSE),IF(OR(ISBLANK(C786),ISBLANK(B786)),"",VLOOKUP(C786,Deflatores!G$4:H$38,2,FALSE)*H786+VLOOKUP(C786,Deflatores!G$4:I$38,3,FALSE)))</f>
        <v/>
      </c>
      <c r="M786" s="10"/>
      <c r="N786" s="10"/>
      <c r="O786" s="6"/>
    </row>
    <row r="787" spans="1:15" x14ac:dyDescent="0.2">
      <c r="A787" s="126"/>
      <c r="B787" s="4"/>
      <c r="C787" s="4"/>
      <c r="D787" s="7"/>
      <c r="E787" s="7"/>
      <c r="F787" s="8" t="str">
        <f t="shared" si="444"/>
        <v/>
      </c>
      <c r="G787" s="7" t="str">
        <f t="shared" si="445"/>
        <v/>
      </c>
      <c r="H787" s="5" t="str">
        <f t="shared" si="446"/>
        <v/>
      </c>
      <c r="I787" s="122" t="str">
        <f t="shared" si="447"/>
        <v/>
      </c>
      <c r="J787" s="7" t="str">
        <f t="shared" si="448"/>
        <v/>
      </c>
      <c r="K787" s="9" t="str">
        <f t="shared" si="449"/>
        <v/>
      </c>
      <c r="L787" s="9" t="str">
        <f>IF(NOT(ISERROR(VLOOKUP(B787,Deflatores!G$42:H$64,2,FALSE))),VLOOKUP(B787,Deflatores!G$42:H$64,2,FALSE),IF(OR(ISBLANK(C787),ISBLANK(B787)),"",VLOOKUP(C787,Deflatores!G$4:H$38,2,FALSE)*H787+VLOOKUP(C787,Deflatores!G$4:I$38,3,FALSE)))</f>
        <v/>
      </c>
      <c r="M787" s="10"/>
      <c r="N787" s="10"/>
      <c r="O787" s="6"/>
    </row>
    <row r="788" spans="1:15" x14ac:dyDescent="0.2">
      <c r="A788" s="126"/>
      <c r="B788" s="4"/>
      <c r="C788" s="4"/>
      <c r="D788" s="7"/>
      <c r="E788" s="7"/>
      <c r="F788" s="8" t="str">
        <f t="shared" si="444"/>
        <v/>
      </c>
      <c r="G788" s="7" t="str">
        <f t="shared" si="445"/>
        <v/>
      </c>
      <c r="H788" s="5" t="str">
        <f t="shared" si="446"/>
        <v/>
      </c>
      <c r="I788" s="122" t="str">
        <f t="shared" si="447"/>
        <v/>
      </c>
      <c r="J788" s="7" t="str">
        <f t="shared" si="448"/>
        <v/>
      </c>
      <c r="K788" s="9" t="str">
        <f t="shared" si="449"/>
        <v/>
      </c>
      <c r="L788" s="9" t="str">
        <f>IF(NOT(ISERROR(VLOOKUP(B788,Deflatores!G$42:H$64,2,FALSE))),VLOOKUP(B788,Deflatores!G$42:H$64,2,FALSE),IF(OR(ISBLANK(C788),ISBLANK(B788)),"",VLOOKUP(C788,Deflatores!G$4:H$38,2,FALSE)*H788+VLOOKUP(C788,Deflatores!G$4:I$38,3,FALSE)))</f>
        <v/>
      </c>
      <c r="M788" s="10"/>
      <c r="N788" s="10"/>
      <c r="O788" s="6"/>
    </row>
    <row r="789" spans="1:15" x14ac:dyDescent="0.2">
      <c r="A789" s="126"/>
      <c r="B789" s="4"/>
      <c r="C789" s="4"/>
      <c r="D789" s="7"/>
      <c r="E789" s="7"/>
      <c r="F789" s="8" t="str">
        <f t="shared" si="444"/>
        <v/>
      </c>
      <c r="G789" s="7" t="str">
        <f t="shared" si="445"/>
        <v/>
      </c>
      <c r="H789" s="5" t="str">
        <f t="shared" si="446"/>
        <v/>
      </c>
      <c r="I789" s="122" t="str">
        <f t="shared" si="447"/>
        <v/>
      </c>
      <c r="J789" s="7" t="str">
        <f t="shared" si="448"/>
        <v/>
      </c>
      <c r="K789" s="9" t="str">
        <f t="shared" si="449"/>
        <v/>
      </c>
      <c r="L789" s="9" t="str">
        <f>IF(NOT(ISERROR(VLOOKUP(B789,Deflatores!G$42:H$64,2,FALSE))),VLOOKUP(B789,Deflatores!G$42:H$64,2,FALSE),IF(OR(ISBLANK(C789),ISBLANK(B789)),"",VLOOKUP(C789,Deflatores!G$4:H$38,2,FALSE)*H789+VLOOKUP(C789,Deflatores!G$4:I$38,3,FALSE)))</f>
        <v/>
      </c>
      <c r="M789" s="10"/>
      <c r="N789" s="10"/>
      <c r="O789" s="6"/>
    </row>
    <row r="790" spans="1:15" x14ac:dyDescent="0.2">
      <c r="A790" s="126"/>
      <c r="B790" s="4"/>
      <c r="C790" s="4"/>
      <c r="D790" s="7"/>
      <c r="E790" s="7"/>
      <c r="F790" s="8" t="str">
        <f t="shared" si="444"/>
        <v/>
      </c>
      <c r="G790" s="7" t="str">
        <f t="shared" si="445"/>
        <v/>
      </c>
      <c r="H790" s="5" t="str">
        <f t="shared" si="446"/>
        <v/>
      </c>
      <c r="I790" s="122" t="str">
        <f t="shared" si="447"/>
        <v/>
      </c>
      <c r="J790" s="7" t="str">
        <f t="shared" si="448"/>
        <v/>
      </c>
      <c r="K790" s="9" t="str">
        <f t="shared" si="449"/>
        <v/>
      </c>
      <c r="L790" s="9" t="str">
        <f>IF(NOT(ISERROR(VLOOKUP(B790,Deflatores!G$42:H$64,2,FALSE))),VLOOKUP(B790,Deflatores!G$42:H$64,2,FALSE),IF(OR(ISBLANK(C790),ISBLANK(B790)),"",VLOOKUP(C790,Deflatores!G$4:H$38,2,FALSE)*H790+VLOOKUP(C790,Deflatores!G$4:I$38,3,FALSE)))</f>
        <v/>
      </c>
      <c r="M790" s="10"/>
      <c r="N790" s="10"/>
      <c r="O790" s="6"/>
    </row>
    <row r="791" spans="1:15" x14ac:dyDescent="0.2">
      <c r="A791" s="126"/>
      <c r="B791" s="4"/>
      <c r="C791" s="4"/>
      <c r="D791" s="7"/>
      <c r="E791" s="7"/>
      <c r="F791" s="8" t="str">
        <f t="shared" si="444"/>
        <v/>
      </c>
      <c r="G791" s="7" t="str">
        <f t="shared" si="445"/>
        <v/>
      </c>
      <c r="H791" s="5" t="str">
        <f t="shared" si="446"/>
        <v/>
      </c>
      <c r="I791" s="122" t="str">
        <f t="shared" si="447"/>
        <v/>
      </c>
      <c r="J791" s="7" t="str">
        <f t="shared" si="448"/>
        <v/>
      </c>
      <c r="K791" s="9" t="str">
        <f t="shared" si="449"/>
        <v/>
      </c>
      <c r="L791" s="9" t="str">
        <f>IF(NOT(ISERROR(VLOOKUP(B791,Deflatores!G$42:H$64,2,FALSE))),VLOOKUP(B791,Deflatores!G$42:H$64,2,FALSE),IF(OR(ISBLANK(C791),ISBLANK(B791)),"",VLOOKUP(C791,Deflatores!G$4:H$38,2,FALSE)*H791+VLOOKUP(C791,Deflatores!G$4:I$38,3,FALSE)))</f>
        <v/>
      </c>
      <c r="M791" s="10"/>
      <c r="N791" s="10"/>
      <c r="O791" s="6"/>
    </row>
    <row r="792" spans="1:15" x14ac:dyDescent="0.2">
      <c r="A792" s="126"/>
      <c r="B792" s="4"/>
      <c r="C792" s="4"/>
      <c r="D792" s="7"/>
      <c r="E792" s="7"/>
      <c r="F792" s="8" t="str">
        <f t="shared" si="444"/>
        <v/>
      </c>
      <c r="G792" s="7" t="str">
        <f t="shared" si="445"/>
        <v/>
      </c>
      <c r="H792" s="5" t="str">
        <f t="shared" si="446"/>
        <v/>
      </c>
      <c r="I792" s="122" t="str">
        <f t="shared" si="447"/>
        <v/>
      </c>
      <c r="J792" s="7" t="str">
        <f t="shared" si="448"/>
        <v/>
      </c>
      <c r="K792" s="9" t="str">
        <f t="shared" si="449"/>
        <v/>
      </c>
      <c r="L792" s="9" t="str">
        <f>IF(NOT(ISERROR(VLOOKUP(B792,Deflatores!G$42:H$64,2,FALSE))),VLOOKUP(B792,Deflatores!G$42:H$64,2,FALSE),IF(OR(ISBLANK(C792),ISBLANK(B792)),"",VLOOKUP(C792,Deflatores!G$4:H$38,2,FALSE)*H792+VLOOKUP(C792,Deflatores!G$4:I$38,3,FALSE)))</f>
        <v/>
      </c>
      <c r="M792" s="10"/>
      <c r="N792" s="10"/>
      <c r="O792" s="6"/>
    </row>
    <row r="793" spans="1:15" x14ac:dyDescent="0.2">
      <c r="A793" s="126"/>
      <c r="B793" s="4"/>
      <c r="C793" s="4"/>
      <c r="D793" s="7"/>
      <c r="E793" s="7"/>
      <c r="F793" s="8" t="str">
        <f t="shared" si="444"/>
        <v/>
      </c>
      <c r="G793" s="7" t="str">
        <f t="shared" si="445"/>
        <v/>
      </c>
      <c r="H793" s="5" t="str">
        <f t="shared" si="446"/>
        <v/>
      </c>
      <c r="I793" s="122" t="str">
        <f t="shared" si="447"/>
        <v/>
      </c>
      <c r="J793" s="7" t="str">
        <f t="shared" si="448"/>
        <v/>
      </c>
      <c r="K793" s="9" t="str">
        <f t="shared" si="449"/>
        <v/>
      </c>
      <c r="L793" s="9" t="str">
        <f>IF(NOT(ISERROR(VLOOKUP(B793,Deflatores!G$42:H$64,2,FALSE))),VLOOKUP(B793,Deflatores!G$42:H$64,2,FALSE),IF(OR(ISBLANK(C793),ISBLANK(B793)),"",VLOOKUP(C793,Deflatores!G$4:H$38,2,FALSE)*H793+VLOOKUP(C793,Deflatores!G$4:I$38,3,FALSE)))</f>
        <v/>
      </c>
      <c r="M793" s="10"/>
      <c r="N793" s="10"/>
      <c r="O793" s="6"/>
    </row>
    <row r="794" spans="1:15" x14ac:dyDescent="0.2">
      <c r="A794" s="126"/>
      <c r="B794" s="4"/>
      <c r="C794" s="4"/>
      <c r="D794" s="7"/>
      <c r="E794" s="7"/>
      <c r="F794" s="8" t="str">
        <f t="shared" si="444"/>
        <v/>
      </c>
      <c r="G794" s="7" t="str">
        <f t="shared" si="445"/>
        <v/>
      </c>
      <c r="H794" s="5" t="str">
        <f t="shared" si="446"/>
        <v/>
      </c>
      <c r="I794" s="122" t="str">
        <f t="shared" si="447"/>
        <v/>
      </c>
      <c r="J794" s="7" t="str">
        <f t="shared" si="448"/>
        <v/>
      </c>
      <c r="K794" s="9" t="str">
        <f t="shared" si="449"/>
        <v/>
      </c>
      <c r="L794" s="9" t="str">
        <f>IF(NOT(ISERROR(VLOOKUP(B794,Deflatores!G$42:H$64,2,FALSE))),VLOOKUP(B794,Deflatores!G$42:H$64,2,FALSE),IF(OR(ISBLANK(C794),ISBLANK(B794)),"",VLOOKUP(C794,Deflatores!G$4:H$38,2,FALSE)*H794+VLOOKUP(C794,Deflatores!G$4:I$38,3,FALSE)))</f>
        <v/>
      </c>
      <c r="M794" s="10"/>
      <c r="N794" s="10"/>
      <c r="O794" s="6"/>
    </row>
    <row r="795" spans="1:15" x14ac:dyDescent="0.2">
      <c r="A795" s="126"/>
      <c r="B795" s="4"/>
      <c r="C795" s="4"/>
      <c r="D795" s="7"/>
      <c r="E795" s="7"/>
      <c r="F795" s="8" t="str">
        <f t="shared" si="444"/>
        <v/>
      </c>
      <c r="G795" s="7" t="str">
        <f t="shared" si="445"/>
        <v/>
      </c>
      <c r="H795" s="5" t="str">
        <f t="shared" si="446"/>
        <v/>
      </c>
      <c r="I795" s="122" t="str">
        <f t="shared" si="447"/>
        <v/>
      </c>
      <c r="J795" s="7" t="str">
        <f t="shared" si="448"/>
        <v/>
      </c>
      <c r="K795" s="9" t="str">
        <f t="shared" si="449"/>
        <v/>
      </c>
      <c r="L795" s="9" t="str">
        <f>IF(NOT(ISERROR(VLOOKUP(B795,Deflatores!G$42:H$64,2,FALSE))),VLOOKUP(B795,Deflatores!G$42:H$64,2,FALSE),IF(OR(ISBLANK(C795),ISBLANK(B795)),"",VLOOKUP(C795,Deflatores!G$4:H$38,2,FALSE)*H795+VLOOKUP(C795,Deflatores!G$4:I$38,3,FALSE)))</f>
        <v/>
      </c>
      <c r="M795" s="10"/>
      <c r="N795" s="10"/>
      <c r="O795" s="6"/>
    </row>
    <row r="796" spans="1:15" x14ac:dyDescent="0.2">
      <c r="A796" s="126"/>
      <c r="B796" s="4"/>
      <c r="C796" s="4"/>
      <c r="D796" s="7"/>
      <c r="E796" s="7"/>
      <c r="F796" s="8" t="str">
        <f t="shared" si="444"/>
        <v/>
      </c>
      <c r="G796" s="7" t="str">
        <f t="shared" si="445"/>
        <v/>
      </c>
      <c r="H796" s="5" t="str">
        <f t="shared" si="446"/>
        <v/>
      </c>
      <c r="I796" s="122" t="str">
        <f t="shared" si="447"/>
        <v/>
      </c>
      <c r="J796" s="7" t="str">
        <f t="shared" si="448"/>
        <v/>
      </c>
      <c r="K796" s="9" t="str">
        <f t="shared" si="449"/>
        <v/>
      </c>
      <c r="L796" s="9" t="str">
        <f>IF(NOT(ISERROR(VLOOKUP(B796,Deflatores!G$42:H$64,2,FALSE))),VLOOKUP(B796,Deflatores!G$42:H$64,2,FALSE),IF(OR(ISBLANK(C796),ISBLANK(B796)),"",VLOOKUP(C796,Deflatores!G$4:H$38,2,FALSE)*H796+VLOOKUP(C796,Deflatores!G$4:I$38,3,FALSE)))</f>
        <v/>
      </c>
      <c r="M796" s="10"/>
      <c r="N796" s="10"/>
      <c r="O796" s="6"/>
    </row>
    <row r="797" spans="1:15" x14ac:dyDescent="0.2">
      <c r="A797" s="126"/>
      <c r="B797" s="4"/>
      <c r="C797" s="4"/>
      <c r="D797" s="7"/>
      <c r="E797" s="7"/>
      <c r="F797" s="8" t="str">
        <f t="shared" si="444"/>
        <v/>
      </c>
      <c r="G797" s="7" t="str">
        <f t="shared" si="445"/>
        <v/>
      </c>
      <c r="H797" s="5" t="str">
        <f t="shared" si="446"/>
        <v/>
      </c>
      <c r="I797" s="122" t="str">
        <f t="shared" si="447"/>
        <v/>
      </c>
      <c r="J797" s="7" t="str">
        <f t="shared" si="448"/>
        <v/>
      </c>
      <c r="K797" s="9" t="str">
        <f t="shared" si="449"/>
        <v/>
      </c>
      <c r="L797" s="9" t="str">
        <f>IF(NOT(ISERROR(VLOOKUP(B797,Deflatores!G$42:H$64,2,FALSE))),VLOOKUP(B797,Deflatores!G$42:H$64,2,FALSE),IF(OR(ISBLANK(C797),ISBLANK(B797)),"",VLOOKUP(C797,Deflatores!G$4:H$38,2,FALSE)*H797+VLOOKUP(C797,Deflatores!G$4:I$38,3,FALSE)))</f>
        <v/>
      </c>
      <c r="M797" s="10"/>
      <c r="N797" s="10"/>
      <c r="O797" s="6"/>
    </row>
    <row r="798" spans="1:15" x14ac:dyDescent="0.2">
      <c r="A798" s="126"/>
      <c r="B798" s="4"/>
      <c r="C798" s="4"/>
      <c r="D798" s="7"/>
      <c r="E798" s="7"/>
      <c r="F798" s="8" t="str">
        <f t="shared" si="444"/>
        <v/>
      </c>
      <c r="G798" s="7" t="str">
        <f t="shared" si="445"/>
        <v/>
      </c>
      <c r="H798" s="5" t="str">
        <f t="shared" si="446"/>
        <v/>
      </c>
      <c r="I798" s="122" t="str">
        <f t="shared" si="447"/>
        <v/>
      </c>
      <c r="J798" s="7" t="str">
        <f t="shared" si="448"/>
        <v/>
      </c>
      <c r="K798" s="9" t="str">
        <f t="shared" si="449"/>
        <v/>
      </c>
      <c r="L798" s="9" t="str">
        <f>IF(NOT(ISERROR(VLOOKUP(B798,Deflatores!G$42:H$64,2,FALSE))),VLOOKUP(B798,Deflatores!G$42:H$64,2,FALSE),IF(OR(ISBLANK(C798),ISBLANK(B798)),"",VLOOKUP(C798,Deflatores!G$4:H$38,2,FALSE)*H798+VLOOKUP(C798,Deflatores!G$4:I$38,3,FALSE)))</f>
        <v/>
      </c>
      <c r="M798" s="10"/>
      <c r="N798" s="10"/>
      <c r="O798" s="6"/>
    </row>
    <row r="799" spans="1:15" x14ac:dyDescent="0.2">
      <c r="A799" s="126"/>
      <c r="B799" s="4"/>
      <c r="C799" s="4"/>
      <c r="D799" s="7"/>
      <c r="E799" s="7"/>
      <c r="F799" s="8" t="str">
        <f t="shared" si="444"/>
        <v/>
      </c>
      <c r="G799" s="7" t="str">
        <f t="shared" si="445"/>
        <v/>
      </c>
      <c r="H799" s="5" t="str">
        <f t="shared" si="446"/>
        <v/>
      </c>
      <c r="I799" s="122" t="str">
        <f t="shared" si="447"/>
        <v/>
      </c>
      <c r="J799" s="7" t="str">
        <f t="shared" si="448"/>
        <v/>
      </c>
      <c r="K799" s="9" t="str">
        <f t="shared" si="449"/>
        <v/>
      </c>
      <c r="L799" s="9" t="str">
        <f>IF(NOT(ISERROR(VLOOKUP(B799,Deflatores!G$42:H$64,2,FALSE))),VLOOKUP(B799,Deflatores!G$42:H$64,2,FALSE),IF(OR(ISBLANK(C799),ISBLANK(B799)),"",VLOOKUP(C799,Deflatores!G$4:H$38,2,FALSE)*H799+VLOOKUP(C799,Deflatores!G$4:I$38,3,FALSE)))</f>
        <v/>
      </c>
      <c r="M799" s="10"/>
      <c r="N799" s="10"/>
      <c r="O799" s="6"/>
    </row>
    <row r="800" spans="1:15" x14ac:dyDescent="0.2">
      <c r="A800" s="126"/>
      <c r="B800" s="4"/>
      <c r="C800" s="4"/>
      <c r="D800" s="7"/>
      <c r="E800" s="7"/>
      <c r="F800" s="8" t="str">
        <f t="shared" si="444"/>
        <v/>
      </c>
      <c r="G800" s="7" t="str">
        <f t="shared" si="445"/>
        <v/>
      </c>
      <c r="H800" s="5" t="str">
        <f t="shared" si="446"/>
        <v/>
      </c>
      <c r="I800" s="122" t="str">
        <f t="shared" si="447"/>
        <v/>
      </c>
      <c r="J800" s="7" t="str">
        <f t="shared" si="448"/>
        <v/>
      </c>
      <c r="K800" s="9" t="str">
        <f t="shared" si="449"/>
        <v/>
      </c>
      <c r="L800" s="9" t="str">
        <f>IF(NOT(ISERROR(VLOOKUP(B800,Deflatores!G$42:H$64,2,FALSE))),VLOOKUP(B800,Deflatores!G$42:H$64,2,FALSE),IF(OR(ISBLANK(C800),ISBLANK(B800)),"",VLOOKUP(C800,Deflatores!G$4:H$38,2,FALSE)*H800+VLOOKUP(C800,Deflatores!G$4:I$38,3,FALSE)))</f>
        <v/>
      </c>
      <c r="M800" s="10"/>
      <c r="N800" s="10"/>
      <c r="O800" s="6"/>
    </row>
    <row r="801" spans="1:15" x14ac:dyDescent="0.2">
      <c r="A801" s="126"/>
      <c r="B801" s="4"/>
      <c r="C801" s="4"/>
      <c r="D801" s="7"/>
      <c r="E801" s="7"/>
      <c r="F801" s="8" t="str">
        <f t="shared" si="444"/>
        <v/>
      </c>
      <c r="G801" s="7" t="str">
        <f t="shared" si="445"/>
        <v/>
      </c>
      <c r="H801" s="5" t="str">
        <f t="shared" si="446"/>
        <v/>
      </c>
      <c r="I801" s="122" t="str">
        <f t="shared" si="447"/>
        <v/>
      </c>
      <c r="J801" s="7" t="str">
        <f t="shared" si="448"/>
        <v/>
      </c>
      <c r="K801" s="9" t="str">
        <f t="shared" si="449"/>
        <v/>
      </c>
      <c r="L801" s="9" t="str">
        <f>IF(NOT(ISERROR(VLOOKUP(B801,Deflatores!G$42:H$64,2,FALSE))),VLOOKUP(B801,Deflatores!G$42:H$64,2,FALSE),IF(OR(ISBLANK(C801),ISBLANK(B801)),"",VLOOKUP(C801,Deflatores!G$4:H$38,2,FALSE)*H801+VLOOKUP(C801,Deflatores!G$4:I$38,3,FALSE)))</f>
        <v/>
      </c>
      <c r="M801" s="10"/>
      <c r="N801" s="10"/>
      <c r="O801" s="6"/>
    </row>
    <row r="802" spans="1:15" x14ac:dyDescent="0.2">
      <c r="A802" s="126"/>
      <c r="B802" s="4"/>
      <c r="C802" s="4"/>
      <c r="D802" s="7"/>
      <c r="E802" s="7"/>
      <c r="F802" s="8" t="str">
        <f t="shared" si="444"/>
        <v/>
      </c>
      <c r="G802" s="7" t="str">
        <f t="shared" si="445"/>
        <v/>
      </c>
      <c r="H802" s="5" t="str">
        <f t="shared" si="446"/>
        <v/>
      </c>
      <c r="I802" s="122" t="str">
        <f t="shared" si="447"/>
        <v/>
      </c>
      <c r="J802" s="7" t="str">
        <f t="shared" si="448"/>
        <v/>
      </c>
      <c r="K802" s="9" t="str">
        <f t="shared" si="449"/>
        <v/>
      </c>
      <c r="L802" s="9" t="str">
        <f>IF(NOT(ISERROR(VLOOKUP(B802,Deflatores!G$42:H$64,2,FALSE))),VLOOKUP(B802,Deflatores!G$42:H$64,2,FALSE),IF(OR(ISBLANK(C802),ISBLANK(B802)),"",VLOOKUP(C802,Deflatores!G$4:H$38,2,FALSE)*H802+VLOOKUP(C802,Deflatores!G$4:I$38,3,FALSE)))</f>
        <v/>
      </c>
      <c r="M802" s="10"/>
      <c r="N802" s="10"/>
      <c r="O802" s="6"/>
    </row>
    <row r="803" spans="1:15" x14ac:dyDescent="0.2">
      <c r="A803" s="126"/>
      <c r="B803" s="4"/>
      <c r="C803" s="4"/>
      <c r="D803" s="7"/>
      <c r="E803" s="7"/>
      <c r="F803" s="8" t="str">
        <f t="shared" si="444"/>
        <v/>
      </c>
      <c r="G803" s="7" t="str">
        <f t="shared" si="445"/>
        <v/>
      </c>
      <c r="H803" s="5" t="str">
        <f t="shared" si="446"/>
        <v/>
      </c>
      <c r="I803" s="122" t="str">
        <f t="shared" si="447"/>
        <v/>
      </c>
      <c r="J803" s="7" t="str">
        <f t="shared" si="448"/>
        <v/>
      </c>
      <c r="K803" s="9" t="str">
        <f t="shared" si="449"/>
        <v/>
      </c>
      <c r="L803" s="9" t="str">
        <f>IF(NOT(ISERROR(VLOOKUP(B803,Deflatores!G$42:H$64,2,FALSE))),VLOOKUP(B803,Deflatores!G$42:H$64,2,FALSE),IF(OR(ISBLANK(C803),ISBLANK(B803)),"",VLOOKUP(C803,Deflatores!G$4:H$38,2,FALSE)*H803+VLOOKUP(C803,Deflatores!G$4:I$38,3,FALSE)))</f>
        <v/>
      </c>
      <c r="M803" s="10"/>
      <c r="N803" s="10"/>
      <c r="O803" s="6"/>
    </row>
    <row r="804" spans="1:15" x14ac:dyDescent="0.2">
      <c r="A804" s="126"/>
      <c r="B804" s="4"/>
      <c r="C804" s="4"/>
      <c r="D804" s="7"/>
      <c r="E804" s="7"/>
      <c r="F804" s="8" t="str">
        <f t="shared" si="444"/>
        <v/>
      </c>
      <c r="G804" s="7" t="str">
        <f t="shared" si="445"/>
        <v/>
      </c>
      <c r="H804" s="5" t="str">
        <f t="shared" si="446"/>
        <v/>
      </c>
      <c r="I804" s="122" t="str">
        <f t="shared" si="447"/>
        <v/>
      </c>
      <c r="J804" s="7" t="str">
        <f t="shared" si="448"/>
        <v/>
      </c>
      <c r="K804" s="9" t="str">
        <f t="shared" si="449"/>
        <v/>
      </c>
      <c r="L804" s="9" t="str">
        <f>IF(NOT(ISERROR(VLOOKUP(B804,Deflatores!G$42:H$64,2,FALSE))),VLOOKUP(B804,Deflatores!G$42:H$64,2,FALSE),IF(OR(ISBLANK(C804),ISBLANK(B804)),"",VLOOKUP(C804,Deflatores!G$4:H$38,2,FALSE)*H804+VLOOKUP(C804,Deflatores!G$4:I$38,3,FALSE)))</f>
        <v/>
      </c>
      <c r="M804" s="10"/>
      <c r="N804" s="10"/>
      <c r="O804" s="6"/>
    </row>
    <row r="805" spans="1:15" x14ac:dyDescent="0.2">
      <c r="A805" s="126"/>
      <c r="B805" s="4"/>
      <c r="C805" s="4"/>
      <c r="D805" s="7"/>
      <c r="E805" s="7"/>
      <c r="F805" s="8" t="str">
        <f t="shared" si="444"/>
        <v/>
      </c>
      <c r="G805" s="7" t="str">
        <f t="shared" si="445"/>
        <v/>
      </c>
      <c r="H805" s="5" t="str">
        <f t="shared" si="446"/>
        <v/>
      </c>
      <c r="I805" s="122" t="str">
        <f t="shared" si="447"/>
        <v/>
      </c>
      <c r="J805" s="7" t="str">
        <f t="shared" si="448"/>
        <v/>
      </c>
      <c r="K805" s="9" t="str">
        <f t="shared" si="449"/>
        <v/>
      </c>
      <c r="L805" s="9" t="str">
        <f>IF(NOT(ISERROR(VLOOKUP(B805,Deflatores!G$42:H$64,2,FALSE))),VLOOKUP(B805,Deflatores!G$42:H$64,2,FALSE),IF(OR(ISBLANK(C805),ISBLANK(B805)),"",VLOOKUP(C805,Deflatores!G$4:H$38,2,FALSE)*H805+VLOOKUP(C805,Deflatores!G$4:I$38,3,FALSE)))</f>
        <v/>
      </c>
      <c r="M805" s="10"/>
      <c r="N805" s="10"/>
      <c r="O805" s="6"/>
    </row>
    <row r="806" spans="1:15" ht="13.5" thickBot="1" x14ac:dyDescent="0.25">
      <c r="A806" s="127"/>
      <c r="B806" s="11"/>
      <c r="C806" s="11"/>
      <c r="D806" s="12"/>
      <c r="E806" s="12"/>
      <c r="F806" s="13" t="str">
        <f t="shared" si="444"/>
        <v/>
      </c>
      <c r="G806" s="14" t="str">
        <f t="shared" si="445"/>
        <v/>
      </c>
      <c r="H806" s="15" t="str">
        <f t="shared" si="446"/>
        <v/>
      </c>
      <c r="I806" s="123" t="str">
        <f t="shared" si="447"/>
        <v/>
      </c>
      <c r="J806" s="124" t="str">
        <f t="shared" si="448"/>
        <v/>
      </c>
      <c r="K806" s="16" t="str">
        <f t="shared" si="449"/>
        <v/>
      </c>
      <c r="L806" s="16" t="str">
        <f>IF(NOT(ISERROR(VLOOKUP(B806,Deflatores!G$42:H$64,2,FALSE))),VLOOKUP(B806,Deflatores!G$42:H$64,2,FALSE),IF(OR(ISBLANK(C806),ISBLANK(B806)),"",VLOOKUP(C806,Deflatores!G$4:H$38,2,FALSE)*H806+VLOOKUP(C806,Deflatores!G$4:I$38,3,FALSE)))</f>
        <v/>
      </c>
      <c r="M806" s="17"/>
      <c r="N806" s="17"/>
      <c r="O806" s="18"/>
    </row>
  </sheetData>
  <sheetProtection selectLockedCells="1" selectUnlockedCells="1"/>
  <mergeCells count="7">
    <mergeCell ref="B6:J6"/>
    <mergeCell ref="M6:O6"/>
    <mergeCell ref="A1:O3"/>
    <mergeCell ref="M4:O4"/>
    <mergeCell ref="M5:O5"/>
    <mergeCell ref="B4:J4"/>
    <mergeCell ref="B5:J5"/>
  </mergeCells>
  <conditionalFormatting sqref="C8:C9 C124:C125 C320:C325 C237 C267:C272 C282:C317 C399:C806 C334:C368 C381:C397 C217 C232:C233 C241 C248:C249 C142 C53:C69 C149:C163">
    <cfRule type="cellIs" dxfId="284" priority="1222" stopIfTrue="1" operator="equal">
      <formula>"I"</formula>
    </cfRule>
    <cfRule type="cellIs" dxfId="283" priority="1223" stopIfTrue="1" operator="equal">
      <formula>"A"</formula>
    </cfRule>
    <cfRule type="cellIs" dxfId="282" priority="1224" stopIfTrue="1" operator="equal">
      <formula>"E"</formula>
    </cfRule>
  </conditionalFormatting>
  <conditionalFormatting sqref="C326 C328:C333">
    <cfRule type="cellIs" dxfId="281" priority="1129" stopIfTrue="1" operator="equal">
      <formula>"I"</formula>
    </cfRule>
    <cfRule type="cellIs" dxfId="280" priority="1130" stopIfTrue="1" operator="equal">
      <formula>"A"</formula>
    </cfRule>
    <cfRule type="cellIs" dxfId="279" priority="1131" stopIfTrue="1" operator="equal">
      <formula>"E"</formula>
    </cfRule>
  </conditionalFormatting>
  <conditionalFormatting sqref="C318:C319">
    <cfRule type="cellIs" dxfId="278" priority="1135" stopIfTrue="1" operator="equal">
      <formula>"I"</formula>
    </cfRule>
    <cfRule type="cellIs" dxfId="277" priority="1136" stopIfTrue="1" operator="equal">
      <formula>"A"</formula>
    </cfRule>
    <cfRule type="cellIs" dxfId="276" priority="1137" stopIfTrue="1" operator="equal">
      <formula>"E"</formula>
    </cfRule>
  </conditionalFormatting>
  <conditionalFormatting sqref="C372">
    <cfRule type="cellIs" dxfId="275" priority="1120" stopIfTrue="1" operator="equal">
      <formula>"I"</formula>
    </cfRule>
    <cfRule type="cellIs" dxfId="274" priority="1121" stopIfTrue="1" operator="equal">
      <formula>"A"</formula>
    </cfRule>
    <cfRule type="cellIs" dxfId="273" priority="1122" stopIfTrue="1" operator="equal">
      <formula>"E"</formula>
    </cfRule>
  </conditionalFormatting>
  <conditionalFormatting sqref="C370:C371 C374:C380">
    <cfRule type="cellIs" dxfId="272" priority="1123" stopIfTrue="1" operator="equal">
      <formula>"I"</formula>
    </cfRule>
    <cfRule type="cellIs" dxfId="271" priority="1124" stopIfTrue="1" operator="equal">
      <formula>"A"</formula>
    </cfRule>
    <cfRule type="cellIs" dxfId="270" priority="1125" stopIfTrue="1" operator="equal">
      <formula>"E"</formula>
    </cfRule>
  </conditionalFormatting>
  <conditionalFormatting sqref="C373">
    <cfRule type="cellIs" dxfId="269" priority="1117" stopIfTrue="1" operator="equal">
      <formula>"I"</formula>
    </cfRule>
    <cfRule type="cellIs" dxfId="268" priority="1118" stopIfTrue="1" operator="equal">
      <formula>"A"</formula>
    </cfRule>
    <cfRule type="cellIs" dxfId="267" priority="1119" stopIfTrue="1" operator="equal">
      <formula>"E"</formula>
    </cfRule>
  </conditionalFormatting>
  <conditionalFormatting sqref="C281">
    <cfRule type="cellIs" dxfId="266" priority="979" stopIfTrue="1" operator="equal">
      <formula>"I"</formula>
    </cfRule>
    <cfRule type="cellIs" dxfId="265" priority="980" stopIfTrue="1" operator="equal">
      <formula>"A"</formula>
    </cfRule>
    <cfRule type="cellIs" dxfId="264" priority="981" stopIfTrue="1" operator="equal">
      <formula>"E"</formula>
    </cfRule>
  </conditionalFormatting>
  <conditionalFormatting sqref="C327">
    <cfRule type="cellIs" dxfId="263" priority="1048" stopIfTrue="1" operator="equal">
      <formula>"I"</formula>
    </cfRule>
    <cfRule type="cellIs" dxfId="262" priority="1049" stopIfTrue="1" operator="equal">
      <formula>"A"</formula>
    </cfRule>
    <cfRule type="cellIs" dxfId="261" priority="1050" stopIfTrue="1" operator="equal">
      <formula>"E"</formula>
    </cfRule>
  </conditionalFormatting>
  <conditionalFormatting sqref="C81:C96">
    <cfRule type="cellIs" dxfId="260" priority="1033" stopIfTrue="1" operator="equal">
      <formula>"I"</formula>
    </cfRule>
    <cfRule type="cellIs" dxfId="259" priority="1034" stopIfTrue="1" operator="equal">
      <formula>"A"</formula>
    </cfRule>
    <cfRule type="cellIs" dxfId="258" priority="1035" stopIfTrue="1" operator="equal">
      <formula>"E"</formula>
    </cfRule>
  </conditionalFormatting>
  <conditionalFormatting sqref="C176:C177 C184:C186 C189:C192">
    <cfRule type="cellIs" dxfId="257" priority="874" stopIfTrue="1" operator="equal">
      <formula>"I"</formula>
    </cfRule>
    <cfRule type="cellIs" dxfId="256" priority="875" stopIfTrue="1" operator="equal">
      <formula>"A"</formula>
    </cfRule>
    <cfRule type="cellIs" dxfId="255" priority="876" stopIfTrue="1" operator="equal">
      <formula>"E"</formula>
    </cfRule>
  </conditionalFormatting>
  <conditionalFormatting sqref="C197:C200">
    <cfRule type="cellIs" dxfId="254" priority="871" stopIfTrue="1" operator="equal">
      <formula>"I"</formula>
    </cfRule>
    <cfRule type="cellIs" dxfId="253" priority="872" stopIfTrue="1" operator="equal">
      <formula>"A"</formula>
    </cfRule>
    <cfRule type="cellIs" dxfId="252" priority="873" stopIfTrue="1" operator="equal">
      <formula>"E"</formula>
    </cfRule>
  </conditionalFormatting>
  <conditionalFormatting sqref="C235">
    <cfRule type="cellIs" dxfId="251" priority="808" stopIfTrue="1" operator="equal">
      <formula>"I"</formula>
    </cfRule>
    <cfRule type="cellIs" dxfId="250" priority="809" stopIfTrue="1" operator="equal">
      <formula>"A"</formula>
    </cfRule>
    <cfRule type="cellIs" dxfId="249" priority="810" stopIfTrue="1" operator="equal">
      <formula>"E"</formula>
    </cfRule>
  </conditionalFormatting>
  <conditionalFormatting sqref="C234">
    <cfRule type="cellIs" dxfId="248" priority="820" stopIfTrue="1" operator="equal">
      <formula>"I"</formula>
    </cfRule>
    <cfRule type="cellIs" dxfId="247" priority="821" stopIfTrue="1" operator="equal">
      <formula>"A"</formula>
    </cfRule>
    <cfRule type="cellIs" dxfId="246" priority="822" stopIfTrue="1" operator="equal">
      <formula>"E"</formula>
    </cfRule>
  </conditionalFormatting>
  <conditionalFormatting sqref="C264">
    <cfRule type="cellIs" dxfId="245" priority="790" stopIfTrue="1" operator="equal">
      <formula>"I"</formula>
    </cfRule>
    <cfRule type="cellIs" dxfId="244" priority="791" stopIfTrue="1" operator="equal">
      <formula>"A"</formula>
    </cfRule>
    <cfRule type="cellIs" dxfId="243" priority="792" stopIfTrue="1" operator="equal">
      <formula>"E"</formula>
    </cfRule>
  </conditionalFormatting>
  <conditionalFormatting sqref="C276:C280">
    <cfRule type="cellIs" dxfId="242" priority="739" stopIfTrue="1" operator="equal">
      <formula>"I"</formula>
    </cfRule>
    <cfRule type="cellIs" dxfId="241" priority="740" stopIfTrue="1" operator="equal">
      <formula>"A"</formula>
    </cfRule>
    <cfRule type="cellIs" dxfId="240" priority="741" stopIfTrue="1" operator="equal">
      <formula>"E"</formula>
    </cfRule>
  </conditionalFormatting>
  <conditionalFormatting sqref="C398">
    <cfRule type="cellIs" dxfId="239" priority="694" stopIfTrue="1" operator="equal">
      <formula>"I"</formula>
    </cfRule>
    <cfRule type="cellIs" dxfId="238" priority="695" stopIfTrue="1" operator="equal">
      <formula>"A"</formula>
    </cfRule>
    <cfRule type="cellIs" dxfId="237" priority="696" stopIfTrue="1" operator="equal">
      <formula>"E"</formula>
    </cfRule>
  </conditionalFormatting>
  <conditionalFormatting sqref="C369">
    <cfRule type="cellIs" dxfId="236" priority="655" stopIfTrue="1" operator="equal">
      <formula>"I"</formula>
    </cfRule>
    <cfRule type="cellIs" dxfId="235" priority="656" stopIfTrue="1" operator="equal">
      <formula>"A"</formula>
    </cfRule>
    <cfRule type="cellIs" dxfId="234" priority="657" stopIfTrue="1" operator="equal">
      <formula>"E"</formula>
    </cfRule>
  </conditionalFormatting>
  <conditionalFormatting sqref="C126:C128">
    <cfRule type="cellIs" dxfId="230" priority="535" stopIfTrue="1" operator="equal">
      <formula>"I"</formula>
    </cfRule>
    <cfRule type="cellIs" dxfId="229" priority="536" stopIfTrue="1" operator="equal">
      <formula>"A"</formula>
    </cfRule>
    <cfRule type="cellIs" dxfId="228" priority="537" stopIfTrue="1" operator="equal">
      <formula>"E"</formula>
    </cfRule>
  </conditionalFormatting>
  <conditionalFormatting sqref="C129">
    <cfRule type="cellIs" dxfId="227" priority="532" stopIfTrue="1" operator="equal">
      <formula>"I"</formula>
    </cfRule>
    <cfRule type="cellIs" dxfId="226" priority="533" stopIfTrue="1" operator="equal">
      <formula>"A"</formula>
    </cfRule>
    <cfRule type="cellIs" dxfId="225" priority="534" stopIfTrue="1" operator="equal">
      <formula>"E"</formula>
    </cfRule>
  </conditionalFormatting>
  <conditionalFormatting sqref="C143">
    <cfRule type="cellIs" dxfId="212" priority="511" stopIfTrue="1" operator="equal">
      <formula>"I"</formula>
    </cfRule>
    <cfRule type="cellIs" dxfId="211" priority="512" stopIfTrue="1" operator="equal">
      <formula>"A"</formula>
    </cfRule>
    <cfRule type="cellIs" dxfId="210" priority="513" stopIfTrue="1" operator="equal">
      <formula>"E"</formula>
    </cfRule>
  </conditionalFormatting>
  <conditionalFormatting sqref="C144:C148">
    <cfRule type="cellIs" dxfId="209" priority="508" stopIfTrue="1" operator="equal">
      <formula>"I"</formula>
    </cfRule>
    <cfRule type="cellIs" dxfId="208" priority="509" stopIfTrue="1" operator="equal">
      <formula>"A"</formula>
    </cfRule>
    <cfRule type="cellIs" dxfId="207" priority="510" stopIfTrue="1" operator="equal">
      <formula>"E"</formula>
    </cfRule>
  </conditionalFormatting>
  <conditionalFormatting sqref="C165:C175">
    <cfRule type="cellIs" dxfId="197" priority="472" stopIfTrue="1" operator="equal">
      <formula>"I"</formula>
    </cfRule>
    <cfRule type="cellIs" dxfId="196" priority="473" stopIfTrue="1" operator="equal">
      <formula>"A"</formula>
    </cfRule>
    <cfRule type="cellIs" dxfId="195" priority="474" stopIfTrue="1" operator="equal">
      <formula>"E"</formula>
    </cfRule>
  </conditionalFormatting>
  <conditionalFormatting sqref="C178:C181">
    <cfRule type="cellIs" dxfId="191" priority="451" stopIfTrue="1" operator="equal">
      <formula>"I"</formula>
    </cfRule>
    <cfRule type="cellIs" dxfId="190" priority="452" stopIfTrue="1" operator="equal">
      <formula>"A"</formula>
    </cfRule>
    <cfRule type="cellIs" dxfId="189" priority="453" stopIfTrue="1" operator="equal">
      <formula>"E"</formula>
    </cfRule>
  </conditionalFormatting>
  <conditionalFormatting sqref="C187">
    <cfRule type="cellIs" dxfId="188" priority="436" stopIfTrue="1" operator="equal">
      <formula>"I"</formula>
    </cfRule>
    <cfRule type="cellIs" dxfId="187" priority="437" stopIfTrue="1" operator="equal">
      <formula>"A"</formula>
    </cfRule>
    <cfRule type="cellIs" dxfId="186" priority="438" stopIfTrue="1" operator="equal">
      <formula>"E"</formula>
    </cfRule>
  </conditionalFormatting>
  <conditionalFormatting sqref="C188">
    <cfRule type="cellIs" dxfId="185" priority="433" stopIfTrue="1" operator="equal">
      <formula>"I"</formula>
    </cfRule>
    <cfRule type="cellIs" dxfId="184" priority="434" stopIfTrue="1" operator="equal">
      <formula>"A"</formula>
    </cfRule>
    <cfRule type="cellIs" dxfId="183" priority="435" stopIfTrue="1" operator="equal">
      <formula>"E"</formula>
    </cfRule>
  </conditionalFormatting>
  <conditionalFormatting sqref="C206">
    <cfRule type="cellIs" dxfId="182" priority="403" stopIfTrue="1" operator="equal">
      <formula>"I"</formula>
    </cfRule>
    <cfRule type="cellIs" dxfId="181" priority="404" stopIfTrue="1" operator="equal">
      <formula>"A"</formula>
    </cfRule>
    <cfRule type="cellIs" dxfId="180" priority="405" stopIfTrue="1" operator="equal">
      <formula>"E"</formula>
    </cfRule>
  </conditionalFormatting>
  <conditionalFormatting sqref="C164">
    <cfRule type="cellIs" dxfId="179" priority="415" stopIfTrue="1" operator="equal">
      <formula>"I"</formula>
    </cfRule>
    <cfRule type="cellIs" dxfId="178" priority="416" stopIfTrue="1" operator="equal">
      <formula>"A"</formula>
    </cfRule>
    <cfRule type="cellIs" dxfId="177" priority="417" stopIfTrue="1" operator="equal">
      <formula>"E"</formula>
    </cfRule>
  </conditionalFormatting>
  <conditionalFormatting sqref="C207">
    <cfRule type="cellIs" dxfId="176" priority="400" stopIfTrue="1" operator="equal">
      <formula>"I"</formula>
    </cfRule>
    <cfRule type="cellIs" dxfId="175" priority="401" stopIfTrue="1" operator="equal">
      <formula>"A"</formula>
    </cfRule>
    <cfRule type="cellIs" dxfId="174" priority="402" stopIfTrue="1" operator="equal">
      <formula>"E"</formula>
    </cfRule>
  </conditionalFormatting>
  <conditionalFormatting sqref="C214">
    <cfRule type="cellIs" dxfId="173" priority="391" stopIfTrue="1" operator="equal">
      <formula>"I"</formula>
    </cfRule>
    <cfRule type="cellIs" dxfId="172" priority="392" stopIfTrue="1" operator="equal">
      <formula>"A"</formula>
    </cfRule>
    <cfRule type="cellIs" dxfId="171" priority="393" stopIfTrue="1" operator="equal">
      <formula>"E"</formula>
    </cfRule>
  </conditionalFormatting>
  <conditionalFormatting sqref="C216">
    <cfRule type="cellIs" dxfId="170" priority="388" stopIfTrue="1" operator="equal">
      <formula>"I"</formula>
    </cfRule>
    <cfRule type="cellIs" dxfId="169" priority="389" stopIfTrue="1" operator="equal">
      <formula>"A"</formula>
    </cfRule>
    <cfRule type="cellIs" dxfId="168" priority="390" stopIfTrue="1" operator="equal">
      <formula>"E"</formula>
    </cfRule>
  </conditionalFormatting>
  <conditionalFormatting sqref="C215">
    <cfRule type="cellIs" dxfId="167" priority="385" stopIfTrue="1" operator="equal">
      <formula>"I"</formula>
    </cfRule>
    <cfRule type="cellIs" dxfId="166" priority="386" stopIfTrue="1" operator="equal">
      <formula>"A"</formula>
    </cfRule>
    <cfRule type="cellIs" dxfId="165" priority="387" stopIfTrue="1" operator="equal">
      <formula>"E"</formula>
    </cfRule>
  </conditionalFormatting>
  <conditionalFormatting sqref="C228:C230">
    <cfRule type="cellIs" dxfId="164" priority="379" stopIfTrue="1" operator="equal">
      <formula>"I"</formula>
    </cfRule>
    <cfRule type="cellIs" dxfId="163" priority="380" stopIfTrue="1" operator="equal">
      <formula>"A"</formula>
    </cfRule>
    <cfRule type="cellIs" dxfId="162" priority="381" stopIfTrue="1" operator="equal">
      <formula>"E"</formula>
    </cfRule>
  </conditionalFormatting>
  <conditionalFormatting sqref="C227">
    <cfRule type="cellIs" dxfId="161" priority="355" stopIfTrue="1" operator="equal">
      <formula>"I"</formula>
    </cfRule>
    <cfRule type="cellIs" dxfId="160" priority="356" stopIfTrue="1" operator="equal">
      <formula>"A"</formula>
    </cfRule>
    <cfRule type="cellIs" dxfId="159" priority="357" stopIfTrue="1" operator="equal">
      <formula>"E"</formula>
    </cfRule>
  </conditionalFormatting>
  <conditionalFormatting sqref="C236">
    <cfRule type="cellIs" dxfId="158" priority="349" stopIfTrue="1" operator="equal">
      <formula>"I"</formula>
    </cfRule>
    <cfRule type="cellIs" dxfId="157" priority="350" stopIfTrue="1" operator="equal">
      <formula>"A"</formula>
    </cfRule>
    <cfRule type="cellIs" dxfId="156" priority="351" stopIfTrue="1" operator="equal">
      <formula>"E"</formula>
    </cfRule>
  </conditionalFormatting>
  <conditionalFormatting sqref="C238">
    <cfRule type="cellIs" dxfId="155" priority="346" stopIfTrue="1" operator="equal">
      <formula>"I"</formula>
    </cfRule>
    <cfRule type="cellIs" dxfId="154" priority="347" stopIfTrue="1" operator="equal">
      <formula>"A"</formula>
    </cfRule>
    <cfRule type="cellIs" dxfId="153" priority="348" stopIfTrue="1" operator="equal">
      <formula>"E"</formula>
    </cfRule>
  </conditionalFormatting>
  <conditionalFormatting sqref="C240">
    <cfRule type="cellIs" dxfId="152" priority="343" stopIfTrue="1" operator="equal">
      <formula>"I"</formula>
    </cfRule>
    <cfRule type="cellIs" dxfId="151" priority="344" stopIfTrue="1" operator="equal">
      <formula>"A"</formula>
    </cfRule>
    <cfRule type="cellIs" dxfId="150" priority="345" stopIfTrue="1" operator="equal">
      <formula>"E"</formula>
    </cfRule>
  </conditionalFormatting>
  <conditionalFormatting sqref="C239">
    <cfRule type="cellIs" dxfId="149" priority="340" stopIfTrue="1" operator="equal">
      <formula>"I"</formula>
    </cfRule>
    <cfRule type="cellIs" dxfId="148" priority="341" stopIfTrue="1" operator="equal">
      <formula>"A"</formula>
    </cfRule>
    <cfRule type="cellIs" dxfId="147" priority="342" stopIfTrue="1" operator="equal">
      <formula>"E"</formula>
    </cfRule>
  </conditionalFormatting>
  <conditionalFormatting sqref="C273">
    <cfRule type="cellIs" dxfId="146" priority="337" stopIfTrue="1" operator="equal">
      <formula>"I"</formula>
    </cfRule>
    <cfRule type="cellIs" dxfId="145" priority="338" stopIfTrue="1" operator="equal">
      <formula>"A"</formula>
    </cfRule>
    <cfRule type="cellIs" dxfId="144" priority="339" stopIfTrue="1" operator="equal">
      <formula>"E"</formula>
    </cfRule>
  </conditionalFormatting>
  <conditionalFormatting sqref="C275">
    <cfRule type="cellIs" dxfId="143" priority="334" stopIfTrue="1" operator="equal">
      <formula>"I"</formula>
    </cfRule>
    <cfRule type="cellIs" dxfId="142" priority="335" stopIfTrue="1" operator="equal">
      <formula>"A"</formula>
    </cfRule>
    <cfRule type="cellIs" dxfId="141" priority="336" stopIfTrue="1" operator="equal">
      <formula>"E"</formula>
    </cfRule>
  </conditionalFormatting>
  <conditionalFormatting sqref="C243">
    <cfRule type="cellIs" dxfId="140" priority="322" stopIfTrue="1" operator="equal">
      <formula>"I"</formula>
    </cfRule>
    <cfRule type="cellIs" dxfId="139" priority="323" stopIfTrue="1" operator="equal">
      <formula>"A"</formula>
    </cfRule>
    <cfRule type="cellIs" dxfId="138" priority="324" stopIfTrue="1" operator="equal">
      <formula>"E"</formula>
    </cfRule>
  </conditionalFormatting>
  <conditionalFormatting sqref="C265">
    <cfRule type="cellIs" dxfId="137" priority="328" stopIfTrue="1" operator="equal">
      <formula>"I"</formula>
    </cfRule>
    <cfRule type="cellIs" dxfId="136" priority="329" stopIfTrue="1" operator="equal">
      <formula>"A"</formula>
    </cfRule>
    <cfRule type="cellIs" dxfId="135" priority="330" stopIfTrue="1" operator="equal">
      <formula>"E"</formula>
    </cfRule>
  </conditionalFormatting>
  <conditionalFormatting sqref="C244:C247">
    <cfRule type="cellIs" dxfId="134" priority="319" stopIfTrue="1" operator="equal">
      <formula>"I"</formula>
    </cfRule>
    <cfRule type="cellIs" dxfId="133" priority="320" stopIfTrue="1" operator="equal">
      <formula>"A"</formula>
    </cfRule>
    <cfRule type="cellIs" dxfId="132" priority="321" stopIfTrue="1" operator="equal">
      <formula>"E"</formula>
    </cfRule>
  </conditionalFormatting>
  <conditionalFormatting sqref="C250">
    <cfRule type="cellIs" dxfId="131" priority="295" stopIfTrue="1" operator="equal">
      <formula>"I"</formula>
    </cfRule>
    <cfRule type="cellIs" dxfId="130" priority="296" stopIfTrue="1" operator="equal">
      <formula>"A"</formula>
    </cfRule>
    <cfRule type="cellIs" dxfId="129" priority="297" stopIfTrue="1" operator="equal">
      <formula>"E"</formula>
    </cfRule>
  </conditionalFormatting>
  <conditionalFormatting sqref="C251">
    <cfRule type="cellIs" dxfId="128" priority="298" stopIfTrue="1" operator="equal">
      <formula>"I"</formula>
    </cfRule>
    <cfRule type="cellIs" dxfId="127" priority="299" stopIfTrue="1" operator="equal">
      <formula>"A"</formula>
    </cfRule>
    <cfRule type="cellIs" dxfId="126" priority="300" stopIfTrue="1" operator="equal">
      <formula>"E"</formula>
    </cfRule>
  </conditionalFormatting>
  <conditionalFormatting sqref="C183">
    <cfRule type="cellIs" dxfId="125" priority="271" stopIfTrue="1" operator="equal">
      <formula>"I"</formula>
    </cfRule>
    <cfRule type="cellIs" dxfId="124" priority="272" stopIfTrue="1" operator="equal">
      <formula>"A"</formula>
    </cfRule>
    <cfRule type="cellIs" dxfId="123" priority="273" stopIfTrue="1" operator="equal">
      <formula>"E"</formula>
    </cfRule>
  </conditionalFormatting>
  <conditionalFormatting sqref="C182">
    <cfRule type="cellIs" dxfId="122" priority="268" stopIfTrue="1" operator="equal">
      <formula>"I"</formula>
    </cfRule>
    <cfRule type="cellIs" dxfId="121" priority="269" stopIfTrue="1" operator="equal">
      <formula>"A"</formula>
    </cfRule>
    <cfRule type="cellIs" dxfId="120" priority="270" stopIfTrue="1" operator="equal">
      <formula>"E"</formula>
    </cfRule>
  </conditionalFormatting>
  <conditionalFormatting sqref="C70:C71">
    <cfRule type="cellIs" dxfId="119" priority="253" stopIfTrue="1" operator="equal">
      <formula>"I"</formula>
    </cfRule>
    <cfRule type="cellIs" dxfId="118" priority="254" stopIfTrue="1" operator="equal">
      <formula>"A"</formula>
    </cfRule>
    <cfRule type="cellIs" dxfId="117" priority="255" stopIfTrue="1" operator="equal">
      <formula>"E"</formula>
    </cfRule>
  </conditionalFormatting>
  <conditionalFormatting sqref="C266">
    <cfRule type="cellIs" dxfId="116" priority="262" stopIfTrue="1" operator="equal">
      <formula>"I"</formula>
    </cfRule>
    <cfRule type="cellIs" dxfId="115" priority="263" stopIfTrue="1" operator="equal">
      <formula>"A"</formula>
    </cfRule>
    <cfRule type="cellIs" dxfId="114" priority="264" stopIfTrue="1" operator="equal">
      <formula>"E"</formula>
    </cfRule>
  </conditionalFormatting>
  <conditionalFormatting sqref="C72:C80">
    <cfRule type="cellIs" dxfId="113" priority="241" stopIfTrue="1" operator="equal">
      <formula>"I"</formula>
    </cfRule>
    <cfRule type="cellIs" dxfId="112" priority="242" stopIfTrue="1" operator="equal">
      <formula>"A"</formula>
    </cfRule>
    <cfRule type="cellIs" dxfId="111" priority="243" stopIfTrue="1" operator="equal">
      <formula>"E"</formula>
    </cfRule>
  </conditionalFormatting>
  <conditionalFormatting sqref="C193:C196">
    <cfRule type="cellIs" dxfId="104" priority="226" stopIfTrue="1" operator="equal">
      <formula>"I"</formula>
    </cfRule>
    <cfRule type="cellIs" dxfId="103" priority="227" stopIfTrue="1" operator="equal">
      <formula>"A"</formula>
    </cfRule>
    <cfRule type="cellIs" dxfId="102" priority="228" stopIfTrue="1" operator="equal">
      <formula>"E"</formula>
    </cfRule>
  </conditionalFormatting>
  <conditionalFormatting sqref="C130:C141">
    <cfRule type="cellIs" dxfId="101" priority="217" stopIfTrue="1" operator="equal">
      <formula>"I"</formula>
    </cfRule>
    <cfRule type="cellIs" dxfId="100" priority="218" stopIfTrue="1" operator="equal">
      <formula>"A"</formula>
    </cfRule>
    <cfRule type="cellIs" dxfId="99" priority="219" stopIfTrue="1" operator="equal">
      <formula>"E"</formula>
    </cfRule>
  </conditionalFormatting>
  <conditionalFormatting sqref="C218:C226">
    <cfRule type="cellIs" dxfId="98" priority="214" stopIfTrue="1" operator="equal">
      <formula>"I"</formula>
    </cfRule>
    <cfRule type="cellIs" dxfId="97" priority="215" stopIfTrue="1" operator="equal">
      <formula>"A"</formula>
    </cfRule>
    <cfRule type="cellIs" dxfId="96" priority="216" stopIfTrue="1" operator="equal">
      <formula>"E"</formula>
    </cfRule>
  </conditionalFormatting>
  <conditionalFormatting sqref="C242">
    <cfRule type="cellIs" dxfId="95" priority="208" stopIfTrue="1" operator="equal">
      <formula>"I"</formula>
    </cfRule>
    <cfRule type="cellIs" dxfId="94" priority="209" stopIfTrue="1" operator="equal">
      <formula>"A"</formula>
    </cfRule>
    <cfRule type="cellIs" dxfId="93" priority="210" stopIfTrue="1" operator="equal">
      <formula>"E"</formula>
    </cfRule>
  </conditionalFormatting>
  <conditionalFormatting sqref="C231">
    <cfRule type="cellIs" dxfId="92" priority="205" stopIfTrue="1" operator="equal">
      <formula>"I"</formula>
    </cfRule>
    <cfRule type="cellIs" dxfId="91" priority="206" stopIfTrue="1" operator="equal">
      <formula>"A"</formula>
    </cfRule>
    <cfRule type="cellIs" dxfId="90" priority="207" stopIfTrue="1" operator="equal">
      <formula>"E"</formula>
    </cfRule>
  </conditionalFormatting>
  <conditionalFormatting sqref="C252:C263">
    <cfRule type="cellIs" dxfId="89" priority="202" stopIfTrue="1" operator="equal">
      <formula>"I"</formula>
    </cfRule>
    <cfRule type="cellIs" dxfId="88" priority="203" stopIfTrue="1" operator="equal">
      <formula>"A"</formula>
    </cfRule>
    <cfRule type="cellIs" dxfId="87" priority="204" stopIfTrue="1" operator="equal">
      <formula>"E"</formula>
    </cfRule>
  </conditionalFormatting>
  <conditionalFormatting sqref="C274">
    <cfRule type="cellIs" dxfId="86" priority="199" stopIfTrue="1" operator="equal">
      <formula>"I"</formula>
    </cfRule>
    <cfRule type="cellIs" dxfId="85" priority="200" stopIfTrue="1" operator="equal">
      <formula>"A"</formula>
    </cfRule>
    <cfRule type="cellIs" dxfId="84" priority="201" stopIfTrue="1" operator="equal">
      <formula>"E"</formula>
    </cfRule>
  </conditionalFormatting>
  <conditionalFormatting sqref="C97:C102 C104:C109">
    <cfRule type="cellIs" dxfId="83" priority="172" stopIfTrue="1" operator="equal">
      <formula>"I"</formula>
    </cfRule>
    <cfRule type="cellIs" dxfId="82" priority="173" stopIfTrue="1" operator="equal">
      <formula>"A"</formula>
    </cfRule>
    <cfRule type="cellIs" dxfId="81" priority="174" stopIfTrue="1" operator="equal">
      <formula>"E"</formula>
    </cfRule>
  </conditionalFormatting>
  <conditionalFormatting sqref="C20:C26">
    <cfRule type="cellIs" dxfId="80" priority="142" stopIfTrue="1" operator="equal">
      <formula>"I"</formula>
    </cfRule>
    <cfRule type="cellIs" dxfId="79" priority="143" stopIfTrue="1" operator="equal">
      <formula>"A"</formula>
    </cfRule>
    <cfRule type="cellIs" dxfId="78" priority="144" stopIfTrue="1" operator="equal">
      <formula>"E"</formula>
    </cfRule>
  </conditionalFormatting>
  <conditionalFormatting sqref="C10:C16">
    <cfRule type="cellIs" dxfId="77" priority="151" stopIfTrue="1" operator="equal">
      <formula>"I"</formula>
    </cfRule>
    <cfRule type="cellIs" dxfId="76" priority="152" stopIfTrue="1" operator="equal">
      <formula>"A"</formula>
    </cfRule>
    <cfRule type="cellIs" dxfId="75" priority="153" stopIfTrue="1" operator="equal">
      <formula>"E"</formula>
    </cfRule>
  </conditionalFormatting>
  <conditionalFormatting sqref="C29:C45">
    <cfRule type="cellIs" dxfId="74" priority="130" stopIfTrue="1" operator="equal">
      <formula>"I"</formula>
    </cfRule>
    <cfRule type="cellIs" dxfId="73" priority="131" stopIfTrue="1" operator="equal">
      <formula>"A"</formula>
    </cfRule>
    <cfRule type="cellIs" dxfId="72" priority="132" stopIfTrue="1" operator="equal">
      <formula>"E"</formula>
    </cfRule>
  </conditionalFormatting>
  <conditionalFormatting sqref="C27">
    <cfRule type="cellIs" dxfId="71" priority="127" stopIfTrue="1" operator="equal">
      <formula>"I"</formula>
    </cfRule>
    <cfRule type="cellIs" dxfId="70" priority="128" stopIfTrue="1" operator="equal">
      <formula>"A"</formula>
    </cfRule>
    <cfRule type="cellIs" dxfId="69" priority="129" stopIfTrue="1" operator="equal">
      <formula>"E"</formula>
    </cfRule>
  </conditionalFormatting>
  <conditionalFormatting sqref="C28">
    <cfRule type="cellIs" dxfId="68" priority="94" stopIfTrue="1" operator="equal">
      <formula>"I"</formula>
    </cfRule>
    <cfRule type="cellIs" dxfId="67" priority="95" stopIfTrue="1" operator="equal">
      <formula>"A"</formula>
    </cfRule>
    <cfRule type="cellIs" dxfId="66" priority="96" stopIfTrue="1" operator="equal">
      <formula>"E"</formula>
    </cfRule>
  </conditionalFormatting>
  <conditionalFormatting sqref="C36">
    <cfRule type="cellIs" dxfId="65" priority="79" stopIfTrue="1" operator="equal">
      <formula>"I"</formula>
    </cfRule>
    <cfRule type="cellIs" dxfId="64" priority="80" stopIfTrue="1" operator="equal">
      <formula>"A"</formula>
    </cfRule>
    <cfRule type="cellIs" dxfId="63" priority="81" stopIfTrue="1" operator="equal">
      <formula>"E"</formula>
    </cfRule>
  </conditionalFormatting>
  <conditionalFormatting sqref="C46:C47">
    <cfRule type="cellIs" dxfId="62" priority="76" stopIfTrue="1" operator="equal">
      <formula>"I"</formula>
    </cfRule>
    <cfRule type="cellIs" dxfId="61" priority="77" stopIfTrue="1" operator="equal">
      <formula>"A"</formula>
    </cfRule>
    <cfRule type="cellIs" dxfId="60" priority="78" stopIfTrue="1" operator="equal">
      <formula>"E"</formula>
    </cfRule>
  </conditionalFormatting>
  <conditionalFormatting sqref="C201">
    <cfRule type="cellIs" dxfId="59" priority="46" stopIfTrue="1" operator="equal">
      <formula>"I"</formula>
    </cfRule>
    <cfRule type="cellIs" dxfId="58" priority="47" stopIfTrue="1" operator="equal">
      <formula>"A"</formula>
    </cfRule>
    <cfRule type="cellIs" dxfId="57" priority="48" stopIfTrue="1" operator="equal">
      <formula>"E"</formula>
    </cfRule>
  </conditionalFormatting>
  <conditionalFormatting sqref="C202">
    <cfRule type="cellIs" dxfId="56" priority="43" stopIfTrue="1" operator="equal">
      <formula>"I"</formula>
    </cfRule>
    <cfRule type="cellIs" dxfId="55" priority="44" stopIfTrue="1" operator="equal">
      <formula>"A"</formula>
    </cfRule>
    <cfRule type="cellIs" dxfId="54" priority="45" stopIfTrue="1" operator="equal">
      <formula>"E"</formula>
    </cfRule>
  </conditionalFormatting>
  <conditionalFormatting sqref="C203:C205">
    <cfRule type="cellIs" dxfId="53" priority="40" stopIfTrue="1" operator="equal">
      <formula>"I"</formula>
    </cfRule>
    <cfRule type="cellIs" dxfId="52" priority="41" stopIfTrue="1" operator="equal">
      <formula>"A"</formula>
    </cfRule>
    <cfRule type="cellIs" dxfId="51" priority="42" stopIfTrue="1" operator="equal">
      <formula>"E"</formula>
    </cfRule>
  </conditionalFormatting>
  <conditionalFormatting sqref="C110:C115">
    <cfRule type="cellIs" dxfId="50" priority="37" stopIfTrue="1" operator="equal">
      <formula>"I"</formula>
    </cfRule>
    <cfRule type="cellIs" dxfId="49" priority="38" stopIfTrue="1" operator="equal">
      <formula>"A"</formula>
    </cfRule>
    <cfRule type="cellIs" dxfId="48" priority="39" stopIfTrue="1" operator="equal">
      <formula>"E"</formula>
    </cfRule>
  </conditionalFormatting>
  <conditionalFormatting sqref="C117:C118 C120:C123">
    <cfRule type="cellIs" dxfId="47" priority="34" stopIfTrue="1" operator="equal">
      <formula>"I"</formula>
    </cfRule>
    <cfRule type="cellIs" dxfId="46" priority="35" stopIfTrue="1" operator="equal">
      <formula>"A"</formula>
    </cfRule>
    <cfRule type="cellIs" dxfId="45" priority="36" stopIfTrue="1" operator="equal">
      <formula>"E"</formula>
    </cfRule>
  </conditionalFormatting>
  <conditionalFormatting sqref="C208:C213">
    <cfRule type="cellIs" dxfId="44" priority="31" stopIfTrue="1" operator="equal">
      <formula>"I"</formula>
    </cfRule>
    <cfRule type="cellIs" dxfId="43" priority="32" stopIfTrue="1" operator="equal">
      <formula>"A"</formula>
    </cfRule>
    <cfRule type="cellIs" dxfId="42" priority="33" stopIfTrue="1" operator="equal">
      <formula>"E"</formula>
    </cfRule>
  </conditionalFormatting>
  <conditionalFormatting sqref="C17">
    <cfRule type="cellIs" dxfId="41" priority="19" stopIfTrue="1" operator="equal">
      <formula>"I"</formula>
    </cfRule>
    <cfRule type="cellIs" dxfId="40" priority="20" stopIfTrue="1" operator="equal">
      <formula>"A"</formula>
    </cfRule>
    <cfRule type="cellIs" dxfId="39" priority="21" stopIfTrue="1" operator="equal">
      <formula>"E"</formula>
    </cfRule>
  </conditionalFormatting>
  <conditionalFormatting sqref="C19">
    <cfRule type="cellIs" dxfId="38" priority="25" stopIfTrue="1" operator="equal">
      <formula>"I"</formula>
    </cfRule>
    <cfRule type="cellIs" dxfId="37" priority="26" stopIfTrue="1" operator="equal">
      <formula>"A"</formula>
    </cfRule>
    <cfRule type="cellIs" dxfId="36" priority="27" stopIfTrue="1" operator="equal">
      <formula>"E"</formula>
    </cfRule>
  </conditionalFormatting>
  <conditionalFormatting sqref="C18">
    <cfRule type="cellIs" dxfId="35" priority="22" stopIfTrue="1" operator="equal">
      <formula>"I"</formula>
    </cfRule>
    <cfRule type="cellIs" dxfId="34" priority="23" stopIfTrue="1" operator="equal">
      <formula>"A"</formula>
    </cfRule>
    <cfRule type="cellIs" dxfId="33" priority="24" stopIfTrue="1" operator="equal">
      <formula>"E"</formula>
    </cfRule>
  </conditionalFormatting>
  <conditionalFormatting sqref="C48:C52">
    <cfRule type="cellIs" dxfId="32" priority="10" stopIfTrue="1" operator="equal">
      <formula>"I"</formula>
    </cfRule>
    <cfRule type="cellIs" dxfId="31" priority="11" stopIfTrue="1" operator="equal">
      <formula>"A"</formula>
    </cfRule>
    <cfRule type="cellIs" dxfId="30" priority="12" stopIfTrue="1" operator="equal">
      <formula>"E"</formula>
    </cfRule>
  </conditionalFormatting>
  <conditionalFormatting sqref="C30">
    <cfRule type="cellIs" dxfId="29" priority="16" stopIfTrue="1" operator="equal">
      <formula>"I"</formula>
    </cfRule>
    <cfRule type="cellIs" dxfId="28" priority="17" stopIfTrue="1" operator="equal">
      <formula>"A"</formula>
    </cfRule>
    <cfRule type="cellIs" dxfId="27" priority="18" stopIfTrue="1" operator="equal">
      <formula>"E"</formula>
    </cfRule>
  </conditionalFormatting>
  <conditionalFormatting sqref="C37:C38">
    <cfRule type="cellIs" dxfId="26" priority="13" stopIfTrue="1" operator="equal">
      <formula>"I"</formula>
    </cfRule>
    <cfRule type="cellIs" dxfId="25" priority="14" stopIfTrue="1" operator="equal">
      <formula>"A"</formula>
    </cfRule>
    <cfRule type="cellIs" dxfId="24" priority="15" stopIfTrue="1" operator="equal">
      <formula>"E"</formula>
    </cfRule>
  </conditionalFormatting>
  <conditionalFormatting sqref="C119">
    <cfRule type="cellIs" dxfId="23" priority="7" stopIfTrue="1" operator="equal">
      <formula>"I"</formula>
    </cfRule>
    <cfRule type="cellIs" dxfId="22" priority="8" stopIfTrue="1" operator="equal">
      <formula>"A"</formula>
    </cfRule>
    <cfRule type="cellIs" dxfId="21" priority="9" stopIfTrue="1" operator="equal">
      <formula>"E"</formula>
    </cfRule>
  </conditionalFormatting>
  <conditionalFormatting sqref="C103">
    <cfRule type="cellIs" dxfId="20" priority="4" stopIfTrue="1" operator="equal">
      <formula>"I"</formula>
    </cfRule>
    <cfRule type="cellIs" dxfId="19" priority="5" stopIfTrue="1" operator="equal">
      <formula>"A"</formula>
    </cfRule>
    <cfRule type="cellIs" dxfId="18" priority="6" stopIfTrue="1" operator="equal">
      <formula>"E"</formula>
    </cfRule>
  </conditionalFormatting>
  <conditionalFormatting sqref="C116">
    <cfRule type="cellIs" dxfId="17" priority="1" stopIfTrue="1" operator="equal">
      <formula>"I"</formula>
    </cfRule>
    <cfRule type="cellIs" dxfId="16" priority="2" stopIfTrue="1" operator="equal">
      <formula>"A"</formula>
    </cfRule>
    <cfRule type="cellIs" dxfId="15" priority="3" stopIfTrue="1" operator="equal">
      <formula>"E"</formula>
    </cfRule>
  </conditionalFormatting>
  <dataValidations count="2">
    <dataValidation type="list" operator="equal" allowBlank="1" showInputMessage="1" showErrorMessage="1" promptTitle="Tipo da Função" prompt="ALI, AIE, EE, SE, CE_x000a_ou_x000a_Itens não mensuráveis" sqref="B8:B806">
      <formula1>TiposDeFuncao</formula1>
      <formula2>0</formula2>
    </dataValidation>
    <dataValidation type="list" operator="equal" allowBlank="1" showInputMessage="1" showErrorMessage="1" promptTitle="Tipo de Manutenção na Função" prompt="I, A, E _x000a_ou_x000a_Itens não mensuráveis" sqref="C8:C806">
      <formula1>TiposDeManutencao</formula1>
      <formula2>0</formula2>
    </dataValidation>
  </dataValidations>
  <pageMargins left="0.70833333333333337" right="0.70833333333333337" top="0.74791666666666667" bottom="0.74861111111111112" header="0.51180555555555551" footer="0.31527777777777777"/>
  <pageSetup paperSize="9" scale="75" firstPageNumber="0" fitToHeight="0" orientation="landscape" horizontalDpi="300" verticalDpi="300" r:id="rId1"/>
  <headerFooter alignWithMargins="0">
    <oddFooter>&amp;CPágina &amp;P de &amp;N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3"/>
  <dimension ref="A1:L64"/>
  <sheetViews>
    <sheetView showGridLines="0" zoomScaleNormal="100" zoomScaleSheetLayoutView="100" workbookViewId="0">
      <pane ySplit="1" topLeftCell="A11" activePane="bottomLeft" state="frozen"/>
      <selection activeCell="B11" sqref="B11"/>
      <selection pane="bottomLeft" activeCell="F30" sqref="F30"/>
    </sheetView>
  </sheetViews>
  <sheetFormatPr defaultColWidth="11.5703125" defaultRowHeight="12.75" x14ac:dyDescent="0.2"/>
  <cols>
    <col min="4" max="4" width="10.7109375" customWidth="1"/>
    <col min="5" max="5" width="23.28515625" customWidth="1"/>
    <col min="6" max="6" width="53.28515625" customWidth="1"/>
    <col min="7" max="7" width="7.7109375" style="19" customWidth="1"/>
    <col min="8" max="8" width="13.28515625" style="20" customWidth="1"/>
    <col min="9" max="9" width="9.85546875" style="20" customWidth="1"/>
    <col min="10" max="11" width="10.5703125" style="21" customWidth="1"/>
    <col min="12" max="12" width="0" style="19" hidden="1" customWidth="1"/>
  </cols>
  <sheetData>
    <row r="1" spans="1:12" ht="36.6" customHeight="1" x14ac:dyDescent="0.25">
      <c r="A1" s="138" t="s">
        <v>30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22"/>
    </row>
    <row r="2" spans="1:12" ht="14.85" customHeight="1" x14ac:dyDescent="0.2">
      <c r="A2" s="158" t="s">
        <v>31</v>
      </c>
      <c r="B2" s="158"/>
      <c r="C2" s="158"/>
      <c r="D2" s="158"/>
      <c r="E2" s="158"/>
      <c r="F2" s="158"/>
      <c r="G2" s="159" t="s">
        <v>32</v>
      </c>
      <c r="H2" s="159" t="s">
        <v>33</v>
      </c>
      <c r="I2" s="159"/>
      <c r="J2" s="159" t="s">
        <v>2</v>
      </c>
      <c r="K2" s="160" t="s">
        <v>34</v>
      </c>
    </row>
    <row r="3" spans="1:12" ht="14.85" customHeight="1" x14ac:dyDescent="0.2">
      <c r="A3" s="23" t="s">
        <v>35</v>
      </c>
      <c r="B3" s="159" t="s">
        <v>36</v>
      </c>
      <c r="C3" s="159"/>
      <c r="D3" s="159"/>
      <c r="E3" s="159"/>
      <c r="F3" s="24" t="s">
        <v>28</v>
      </c>
      <c r="G3" s="159"/>
      <c r="H3" s="24" t="s">
        <v>37</v>
      </c>
      <c r="I3" s="24" t="s">
        <v>38</v>
      </c>
      <c r="J3" s="159"/>
      <c r="K3" s="160"/>
    </row>
    <row r="4" spans="1:12" x14ac:dyDescent="0.2">
      <c r="A4" s="3" t="s">
        <v>39</v>
      </c>
      <c r="B4" s="136" t="s">
        <v>40</v>
      </c>
      <c r="C4" s="136"/>
      <c r="D4" s="136"/>
      <c r="E4" s="136"/>
      <c r="F4" s="2"/>
      <c r="G4" s="25" t="s">
        <v>41</v>
      </c>
      <c r="H4" s="104">
        <v>1</v>
      </c>
      <c r="I4" s="105"/>
      <c r="J4" s="106">
        <f>SUMIF(Funções!$C$8:$C$806,Deflatores!G4,Funções!$H$8:$H$806)</f>
        <v>466</v>
      </c>
      <c r="K4" s="107">
        <f>IF(H4="",COUNTIF(Funções!C$8:C$806,G4)*I4,H4*J4)</f>
        <v>466</v>
      </c>
    </row>
    <row r="5" spans="1:12" x14ac:dyDescent="0.2">
      <c r="A5" s="3" t="s">
        <v>42</v>
      </c>
      <c r="B5" s="136" t="s">
        <v>43</v>
      </c>
      <c r="C5" s="136"/>
      <c r="D5" s="136"/>
      <c r="E5" s="136"/>
      <c r="F5" s="2" t="s">
        <v>48</v>
      </c>
      <c r="G5" s="25" t="s">
        <v>44</v>
      </c>
      <c r="H5" s="104">
        <v>0.5</v>
      </c>
      <c r="I5" s="105"/>
      <c r="J5" s="106">
        <f>SUMIF(Funções!$C$8:$C$806,Deflatores!G5,Funções!$H$8:$H$806)</f>
        <v>0</v>
      </c>
      <c r="K5" s="107">
        <f>IF(H5="",COUNTIF(Funções!C$8:C$806,G5)*I5,H5*J5)</f>
        <v>0</v>
      </c>
    </row>
    <row r="6" spans="1:12" x14ac:dyDescent="0.2">
      <c r="A6" s="3" t="s">
        <v>45</v>
      </c>
      <c r="B6" s="136" t="s">
        <v>46</v>
      </c>
      <c r="C6" s="136"/>
      <c r="D6" s="136"/>
      <c r="E6" s="136"/>
      <c r="F6" s="2" t="s">
        <v>48</v>
      </c>
      <c r="G6" s="25" t="s">
        <v>47</v>
      </c>
      <c r="H6" s="104">
        <v>0.4</v>
      </c>
      <c r="I6" s="105"/>
      <c r="J6" s="106">
        <f>SUMIF(Funções!$C$8:$C$806,Deflatores!G6,Funções!$H$8:$H$806)</f>
        <v>0</v>
      </c>
      <c r="K6" s="107">
        <f>IF(H6="",COUNTIF(Funções!C$8:C$806,G6)*I6,H6*J6)</f>
        <v>0</v>
      </c>
    </row>
    <row r="7" spans="1:12" x14ac:dyDescent="0.2">
      <c r="A7" s="3"/>
      <c r="B7" s="136" t="s">
        <v>150</v>
      </c>
      <c r="C7" s="136"/>
      <c r="D7" s="136"/>
      <c r="E7" s="136"/>
      <c r="F7" s="2" t="s">
        <v>48</v>
      </c>
      <c r="G7" s="25" t="s">
        <v>49</v>
      </c>
      <c r="H7" s="104">
        <v>0.5</v>
      </c>
      <c r="I7" s="105"/>
      <c r="J7" s="106">
        <f>SUMIF(Funções!$C$8:$C$806,Deflatores!G7,Funções!$H$8:$H$806)</f>
        <v>0</v>
      </c>
      <c r="K7" s="107">
        <f>IF(H7="",COUNTIF(Funções!C$8:C$806,G7)*I7,H7*J7)</f>
        <v>0</v>
      </c>
    </row>
    <row r="8" spans="1:12" x14ac:dyDescent="0.2">
      <c r="A8" s="3"/>
      <c r="B8" s="136" t="s">
        <v>151</v>
      </c>
      <c r="C8" s="136"/>
      <c r="D8" s="136"/>
      <c r="E8" s="136"/>
      <c r="F8" s="2" t="s">
        <v>48</v>
      </c>
      <c r="G8" s="25" t="s">
        <v>50</v>
      </c>
      <c r="H8" s="104">
        <v>0.75</v>
      </c>
      <c r="I8" s="105"/>
      <c r="J8" s="106">
        <f>SUMIF(Funções!$C$8:$C$806,Deflatores!G8,Funções!$H$8:$H$806)</f>
        <v>0</v>
      </c>
      <c r="K8" s="107">
        <f>IF(H8="",COUNTIF(Funções!C$8:C$806,G8)*I8,H8*J8)</f>
        <v>0</v>
      </c>
    </row>
    <row r="9" spans="1:12" x14ac:dyDescent="0.2">
      <c r="A9" s="3"/>
      <c r="B9" s="136" t="s">
        <v>152</v>
      </c>
      <c r="C9" s="136"/>
      <c r="D9" s="136"/>
      <c r="E9" s="136"/>
      <c r="F9" s="2" t="s">
        <v>48</v>
      </c>
      <c r="G9" s="25" t="s">
        <v>51</v>
      </c>
      <c r="H9" s="104">
        <v>0.9</v>
      </c>
      <c r="I9" s="105"/>
      <c r="J9" s="106">
        <f>SUMIF(Funções!$C$8:$C$806,Deflatores!G9,Funções!$H$8:$H$806)</f>
        <v>0</v>
      </c>
      <c r="K9" s="107">
        <f>IF(H9="",COUNTIF(Funções!C$8:C$806,G9)*I9,H9*J9)</f>
        <v>0</v>
      </c>
    </row>
    <row r="10" spans="1:12" x14ac:dyDescent="0.2">
      <c r="A10" s="3"/>
      <c r="B10" s="136" t="s">
        <v>52</v>
      </c>
      <c r="C10" s="136"/>
      <c r="D10" s="136"/>
      <c r="E10" s="136"/>
      <c r="F10" s="2" t="s">
        <v>53</v>
      </c>
      <c r="G10" s="25" t="s">
        <v>54</v>
      </c>
      <c r="H10" s="104">
        <v>1</v>
      </c>
      <c r="I10" s="105"/>
      <c r="J10" s="106">
        <f>SUMIF(Funções!$C$8:$C$806,Deflatores!G10,Funções!$H$8:$H$806)</f>
        <v>0</v>
      </c>
      <c r="K10" s="107">
        <f>IF(H10="",COUNTIF(Funções!C$8:C$806,G10)*I10,H10*J10)</f>
        <v>0</v>
      </c>
    </row>
    <row r="11" spans="1:12" x14ac:dyDescent="0.2">
      <c r="A11" s="3"/>
      <c r="B11" s="136" t="s">
        <v>55</v>
      </c>
      <c r="C11" s="136"/>
      <c r="D11" s="136"/>
      <c r="E11" s="136"/>
      <c r="F11" s="2" t="s">
        <v>56</v>
      </c>
      <c r="G11" s="25" t="s">
        <v>57</v>
      </c>
      <c r="H11" s="104">
        <v>0.5</v>
      </c>
      <c r="I11" s="105"/>
      <c r="J11" s="106">
        <f>SUMIF(Funções!$C$8:$C$806,Deflatores!G11,Funções!$H$8:$H$806)</f>
        <v>0</v>
      </c>
      <c r="K11" s="107">
        <f>IF(H11="",COUNTIF(Funções!C$8:C$806,G11)*I11,H11*J11)</f>
        <v>0</v>
      </c>
    </row>
    <row r="12" spans="1:12" ht="13.5" customHeight="1" x14ac:dyDescent="0.2">
      <c r="A12" s="3"/>
      <c r="B12" s="136" t="s">
        <v>146</v>
      </c>
      <c r="C12" s="136"/>
      <c r="D12" s="136"/>
      <c r="E12" s="136"/>
      <c r="F12" s="2" t="s">
        <v>56</v>
      </c>
      <c r="G12" s="25" t="s">
        <v>58</v>
      </c>
      <c r="H12" s="104">
        <v>0.5</v>
      </c>
      <c r="I12" s="105"/>
      <c r="J12" s="106">
        <f>SUMIF(Funções!$C$8:$C$806,Deflatores!G12,Funções!$H$8:$H$806)</f>
        <v>0</v>
      </c>
      <c r="K12" s="107">
        <f>IF(H12="",COUNTIF(Funções!C$8:C$806,G12)*I12,H12*J12)</f>
        <v>0</v>
      </c>
    </row>
    <row r="13" spans="1:12" ht="13.5" customHeight="1" x14ac:dyDescent="0.2">
      <c r="A13" s="3"/>
      <c r="B13" s="136" t="s">
        <v>147</v>
      </c>
      <c r="C13" s="136"/>
      <c r="D13" s="136"/>
      <c r="E13" s="136"/>
      <c r="F13" s="2" t="s">
        <v>56</v>
      </c>
      <c r="G13" s="25" t="s">
        <v>59</v>
      </c>
      <c r="H13" s="104">
        <v>0.75</v>
      </c>
      <c r="I13" s="105"/>
      <c r="J13" s="106">
        <f>SUMIF(Funções!$C$8:$C$806,Deflatores!G13,Funções!$H$8:$H$806)</f>
        <v>0</v>
      </c>
      <c r="K13" s="107">
        <f>IF(H13="",COUNTIF(Funções!C$8:C$806,G13)*I13,H13*J13)</f>
        <v>0</v>
      </c>
    </row>
    <row r="14" spans="1:12" ht="13.5" customHeight="1" x14ac:dyDescent="0.2">
      <c r="A14" s="3"/>
      <c r="B14" s="136" t="s">
        <v>148</v>
      </c>
      <c r="C14" s="136"/>
      <c r="D14" s="136"/>
      <c r="E14" s="136"/>
      <c r="F14" s="2" t="s">
        <v>56</v>
      </c>
      <c r="G14" s="25" t="s">
        <v>149</v>
      </c>
      <c r="H14" s="104">
        <v>0.9</v>
      </c>
      <c r="I14" s="105"/>
      <c r="J14" s="106">
        <f>SUMIF(Funções!$C$8:$C$806,Deflatores!G14,Funções!$H$8:$H$806)</f>
        <v>0</v>
      </c>
      <c r="K14" s="107">
        <f>IF(H14="",COUNTIF(Funções!C$8:C$806,G14)*I14,H14*J14)</f>
        <v>0</v>
      </c>
    </row>
    <row r="15" spans="1:12" ht="13.5" customHeight="1" x14ac:dyDescent="0.2">
      <c r="A15" s="3"/>
      <c r="B15" s="136" t="s">
        <v>60</v>
      </c>
      <c r="C15" s="136"/>
      <c r="D15" s="136"/>
      <c r="E15" s="136"/>
      <c r="F15" s="2" t="s">
        <v>56</v>
      </c>
      <c r="G15" s="25" t="s">
        <v>61</v>
      </c>
      <c r="H15" s="104">
        <v>0</v>
      </c>
      <c r="I15" s="105"/>
      <c r="J15" s="106">
        <f>SUMIF(Funções!$C$8:$C$806,Deflatores!G15,Funções!$H$8:$H$806)</f>
        <v>0</v>
      </c>
      <c r="K15" s="107">
        <f>IF(H15="",COUNTIF(Funções!C$8:C$806,G15)*I15,H15*J15)</f>
        <v>0</v>
      </c>
    </row>
    <row r="16" spans="1:12" ht="13.5" customHeight="1" x14ac:dyDescent="0.2">
      <c r="A16" s="3"/>
      <c r="B16" s="136" t="s">
        <v>62</v>
      </c>
      <c r="C16" s="136"/>
      <c r="D16" s="136"/>
      <c r="E16" s="136"/>
      <c r="F16" s="2" t="s">
        <v>63</v>
      </c>
      <c r="G16" s="25" t="s">
        <v>64</v>
      </c>
      <c r="H16" s="104">
        <v>1</v>
      </c>
      <c r="I16" s="105"/>
      <c r="J16" s="106">
        <f>SUMIF(Funções!$C$8:$C$806,Deflatores!G16,Funções!$H$8:$H$806)</f>
        <v>0</v>
      </c>
      <c r="K16" s="107">
        <f>IF(H16="",COUNTIF(Funções!C$8:C$806,G16)*I16,H16*J16)</f>
        <v>0</v>
      </c>
    </row>
    <row r="17" spans="1:11" x14ac:dyDescent="0.2">
      <c r="A17" s="3"/>
      <c r="B17" s="136" t="s">
        <v>168</v>
      </c>
      <c r="C17" s="136"/>
      <c r="D17" s="136"/>
      <c r="E17" s="136"/>
      <c r="F17" s="2" t="s">
        <v>65</v>
      </c>
      <c r="G17" s="25" t="s">
        <v>161</v>
      </c>
      <c r="H17" s="104">
        <v>1</v>
      </c>
      <c r="I17" s="105"/>
      <c r="J17" s="106">
        <f>SUMIF(Funções!$C$8:$C$806,Deflatores!G17,Funções!$H$8:$H$806)</f>
        <v>0</v>
      </c>
      <c r="K17" s="107">
        <f>IF(H17="",COUNTIF(Funções!C$8:C$806,G17)*I17,H17*J17)</f>
        <v>0</v>
      </c>
    </row>
    <row r="18" spans="1:11" ht="13.5" customHeight="1" x14ac:dyDescent="0.2">
      <c r="A18" s="3"/>
      <c r="B18" s="136" t="s">
        <v>169</v>
      </c>
      <c r="C18" s="136"/>
      <c r="D18" s="136"/>
      <c r="E18" s="136"/>
      <c r="F18" s="2" t="s">
        <v>65</v>
      </c>
      <c r="G18" s="25" t="s">
        <v>162</v>
      </c>
      <c r="H18" s="104">
        <v>0.3</v>
      </c>
      <c r="I18" s="105"/>
      <c r="J18" s="106">
        <f>SUMIF(Funções!$C$8:$C$806,Deflatores!G18,Funções!$H$8:$H$806)</f>
        <v>0</v>
      </c>
      <c r="K18" s="107">
        <f>IF(H18="",COUNTIF(Funções!C$8:C$806,G18)*I18,H18*J18)</f>
        <v>0</v>
      </c>
    </row>
    <row r="19" spans="1:11" ht="13.5" customHeight="1" x14ac:dyDescent="0.2">
      <c r="A19" s="3"/>
      <c r="B19" s="136" t="s">
        <v>66</v>
      </c>
      <c r="C19" s="136"/>
      <c r="D19" s="136"/>
      <c r="E19" s="136"/>
      <c r="F19" s="2" t="s">
        <v>67</v>
      </c>
      <c r="G19" s="25" t="s">
        <v>68</v>
      </c>
      <c r="H19" s="104">
        <v>0.3</v>
      </c>
      <c r="I19" s="105"/>
      <c r="J19" s="106">
        <f>SUMIF(Funções!$C$8:$C$806,Deflatores!G19,Funções!$H$8:$H$806)</f>
        <v>0</v>
      </c>
      <c r="K19" s="107">
        <f>IF(H19="",COUNTIF(Funções!C$8:C$806,G19)*I19,H19*J19)</f>
        <v>0</v>
      </c>
    </row>
    <row r="20" spans="1:11" ht="13.5" customHeight="1" x14ac:dyDescent="0.2">
      <c r="A20" s="3"/>
      <c r="B20" s="136" t="s">
        <v>69</v>
      </c>
      <c r="C20" s="136"/>
      <c r="D20" s="136"/>
      <c r="E20" s="136"/>
      <c r="F20" s="2" t="s">
        <v>70</v>
      </c>
      <c r="G20" s="25" t="s">
        <v>71</v>
      </c>
      <c r="H20" s="104">
        <v>0.3</v>
      </c>
      <c r="I20" s="105"/>
      <c r="J20" s="106">
        <f>SUMIF(Funções!$C$8:$C$806,Deflatores!G20,Funções!$H$8:$H$806)</f>
        <v>0</v>
      </c>
      <c r="K20" s="107">
        <f>IF(H20="",COUNTIF(Funções!C$8:C$806,G20)*I20,H20*J20)</f>
        <v>0</v>
      </c>
    </row>
    <row r="21" spans="1:11" ht="13.5" customHeight="1" x14ac:dyDescent="0.2">
      <c r="A21" s="3"/>
      <c r="B21" s="136" t="s">
        <v>72</v>
      </c>
      <c r="C21" s="136"/>
      <c r="D21" s="136"/>
      <c r="E21" s="136"/>
      <c r="F21" s="2" t="s">
        <v>73</v>
      </c>
      <c r="G21" s="25" t="s">
        <v>74</v>
      </c>
      <c r="H21" s="104">
        <v>0.3</v>
      </c>
      <c r="I21" s="105"/>
      <c r="J21" s="106">
        <f>SUMIF(Funções!$C$8:$C$806,Deflatores!G21,Funções!$H$8:$H$806)</f>
        <v>0</v>
      </c>
      <c r="K21" s="107">
        <f>IF(H21="",COUNTIF(Funções!C$8:C$806,G21)*I21,H21*J21)</f>
        <v>0</v>
      </c>
    </row>
    <row r="22" spans="1:11" x14ac:dyDescent="0.2">
      <c r="A22" s="3"/>
      <c r="B22" s="136" t="s">
        <v>75</v>
      </c>
      <c r="C22" s="136"/>
      <c r="D22" s="136"/>
      <c r="E22" s="136"/>
      <c r="F22" s="2" t="s">
        <v>76</v>
      </c>
      <c r="G22" s="25" t="s">
        <v>77</v>
      </c>
      <c r="H22" s="104"/>
      <c r="I22" s="105">
        <v>0.6</v>
      </c>
      <c r="J22" s="106">
        <f>SUMIF(Funções!$C$8:$C$806,Deflatores!G22,Funções!$H$8:$H$806)</f>
        <v>0</v>
      </c>
      <c r="K22" s="107">
        <f>IF(H22="",COUNTIF(Funções!C$8:C$806,G22)*I22,H22*J22)</f>
        <v>0</v>
      </c>
    </row>
    <row r="23" spans="1:11" ht="27" customHeight="1" x14ac:dyDescent="0.2">
      <c r="A23" s="3"/>
      <c r="B23" s="161" t="s">
        <v>154</v>
      </c>
      <c r="C23" s="162"/>
      <c r="D23" s="162"/>
      <c r="E23" s="163"/>
      <c r="F23" s="103" t="s">
        <v>78</v>
      </c>
      <c r="G23" s="25" t="s">
        <v>153</v>
      </c>
      <c r="H23" s="104">
        <v>0.5</v>
      </c>
      <c r="I23" s="105"/>
      <c r="J23" s="106">
        <f>SUMIF(Funções!$C$8:$C$806,Deflatores!G23,Funções!$H$8:$H$806)</f>
        <v>0</v>
      </c>
      <c r="K23" s="107">
        <f>IF(H23="",COUNTIF(Funções!C$8:C$806,G23)*I23,H23*J23)</f>
        <v>0</v>
      </c>
    </row>
    <row r="24" spans="1:11" ht="27" customHeight="1" x14ac:dyDescent="0.2">
      <c r="A24" s="3"/>
      <c r="B24" s="161" t="s">
        <v>155</v>
      </c>
      <c r="C24" s="162"/>
      <c r="D24" s="162"/>
      <c r="E24" s="163"/>
      <c r="F24" s="103" t="s">
        <v>78</v>
      </c>
      <c r="G24" s="25" t="s">
        <v>79</v>
      </c>
      <c r="H24" s="104">
        <v>0.5</v>
      </c>
      <c r="I24" s="105"/>
      <c r="J24" s="106">
        <f>SUMIF(Funções!$C$8:$C$806,Deflatores!G24,Funções!$H$8:$H$806)</f>
        <v>0</v>
      </c>
      <c r="K24" s="107">
        <f>IF(H24="",COUNTIF(Funções!C$8:C$806,G24)*I24,H24*J24)</f>
        <v>0</v>
      </c>
    </row>
    <row r="25" spans="1:11" ht="27" customHeight="1" x14ac:dyDescent="0.2">
      <c r="A25" s="3"/>
      <c r="B25" s="164" t="s">
        <v>156</v>
      </c>
      <c r="C25" s="136"/>
      <c r="D25" s="136"/>
      <c r="E25" s="136"/>
      <c r="F25" s="103" t="s">
        <v>78</v>
      </c>
      <c r="G25" s="25" t="s">
        <v>80</v>
      </c>
      <c r="H25" s="104">
        <v>0.75</v>
      </c>
      <c r="I25" s="105"/>
      <c r="J25" s="106">
        <f>SUMIF(Funções!$C$8:$C$806,Deflatores!G25,Funções!$H$8:$H$806)</f>
        <v>0</v>
      </c>
      <c r="K25" s="107">
        <f>IF(H25="",COUNTIF(Funções!C$8:C$806,G25)*I25,H25*J25)</f>
        <v>0</v>
      </c>
    </row>
    <row r="26" spans="1:11" ht="13.5" customHeight="1" x14ac:dyDescent="0.2">
      <c r="A26" s="3"/>
      <c r="B26" s="136" t="s">
        <v>167</v>
      </c>
      <c r="C26" s="136"/>
      <c r="D26" s="136"/>
      <c r="E26" s="136"/>
      <c r="F26" s="2" t="s">
        <v>81</v>
      </c>
      <c r="G26" s="25" t="s">
        <v>82</v>
      </c>
      <c r="H26" s="104">
        <v>1</v>
      </c>
      <c r="I26" s="105"/>
      <c r="J26" s="106">
        <f>SUMIF(Funções!$C$8:$C$806,Deflatores!G26,Funções!$H$8:$H$806)</f>
        <v>0</v>
      </c>
      <c r="K26" s="107">
        <f>IF(H26="",COUNTIF(Funções!C$8:C$806,G26)*I26,H26*J26)</f>
        <v>0</v>
      </c>
    </row>
    <row r="27" spans="1:11" ht="13.5" customHeight="1" x14ac:dyDescent="0.2">
      <c r="A27" s="3"/>
      <c r="B27" s="136" t="s">
        <v>166</v>
      </c>
      <c r="C27" s="136"/>
      <c r="D27" s="136"/>
      <c r="E27" s="136"/>
      <c r="F27" s="2" t="s">
        <v>81</v>
      </c>
      <c r="G27" s="25" t="s">
        <v>83</v>
      </c>
      <c r="H27" s="104">
        <v>1</v>
      </c>
      <c r="I27" s="105"/>
      <c r="J27" s="106">
        <f>SUMIF(Funções!$C$8:$C$806,Deflatores!G27,Funções!$H$8:$H$806)</f>
        <v>0</v>
      </c>
      <c r="K27" s="107">
        <f>IF(H27="",COUNTIF(Funções!C$8:C$806,G27)*I27,H27*J27)</f>
        <v>0</v>
      </c>
    </row>
    <row r="28" spans="1:11" ht="13.5" customHeight="1" x14ac:dyDescent="0.2">
      <c r="A28" s="3"/>
      <c r="B28" s="136" t="s">
        <v>165</v>
      </c>
      <c r="C28" s="136"/>
      <c r="D28" s="136"/>
      <c r="E28" s="136"/>
      <c r="F28" s="2" t="s">
        <v>81</v>
      </c>
      <c r="G28" s="25" t="s">
        <v>84</v>
      </c>
      <c r="H28" s="104">
        <v>0.6</v>
      </c>
      <c r="I28" s="105"/>
      <c r="J28" s="106">
        <f>SUMIF(Funções!$C$8:$C$806,Deflatores!G28,Funções!$H$8:$H$806)</f>
        <v>0</v>
      </c>
      <c r="K28" s="107">
        <f>IF(H28="",COUNTIF(Funções!C$8:C$806,G28)*I28,H28*J28)</f>
        <v>0</v>
      </c>
    </row>
    <row r="29" spans="1:11" ht="13.5" customHeight="1" x14ac:dyDescent="0.2">
      <c r="A29" s="3"/>
      <c r="B29" s="136" t="s">
        <v>85</v>
      </c>
      <c r="C29" s="136"/>
      <c r="D29" s="136"/>
      <c r="E29" s="136"/>
      <c r="F29" s="2" t="s">
        <v>86</v>
      </c>
      <c r="G29" s="25" t="s">
        <v>87</v>
      </c>
      <c r="H29" s="104">
        <v>1</v>
      </c>
      <c r="I29" s="105"/>
      <c r="J29" s="106">
        <f>SUMIF(Funções!$C$8:$C$806,Deflatores!G29,Funções!$H$8:$H$806)</f>
        <v>0</v>
      </c>
      <c r="K29" s="107">
        <f>IF(H29="",COUNTIF(Funções!C$8:C$806,G29)*I29,H29*J29)</f>
        <v>0</v>
      </c>
    </row>
    <row r="30" spans="1:11" ht="13.5" customHeight="1" x14ac:dyDescent="0.2">
      <c r="A30" s="3"/>
      <c r="B30" s="136" t="s">
        <v>88</v>
      </c>
      <c r="C30" s="136"/>
      <c r="D30" s="136"/>
      <c r="E30" s="136"/>
      <c r="F30" s="2" t="s">
        <v>89</v>
      </c>
      <c r="G30" s="25" t="s">
        <v>90</v>
      </c>
      <c r="H30" s="104">
        <v>0.1</v>
      </c>
      <c r="I30" s="105"/>
      <c r="J30" s="106">
        <f>SUMIF(Funções!$C$8:$C$806,Deflatores!G30,Funções!$H$8:$H$806)</f>
        <v>0</v>
      </c>
      <c r="K30" s="107">
        <f>IF(H30="",COUNTIF(Funções!C$8:C$806,G30)*I30,H30*J30)</f>
        <v>0</v>
      </c>
    </row>
    <row r="31" spans="1:11" ht="13.5" customHeight="1" x14ac:dyDescent="0.2">
      <c r="A31" s="3"/>
      <c r="B31" s="136" t="s">
        <v>91</v>
      </c>
      <c r="C31" s="136"/>
      <c r="D31" s="136"/>
      <c r="E31" s="136"/>
      <c r="F31" s="2" t="s">
        <v>92</v>
      </c>
      <c r="G31" s="25" t="s">
        <v>93</v>
      </c>
      <c r="H31" s="104">
        <v>0.1</v>
      </c>
      <c r="I31" s="105"/>
      <c r="J31" s="106">
        <f>SUMIF(Funções!$C$8:$C$806,Deflatores!G31,Funções!$H$8:$H$806)</f>
        <v>0</v>
      </c>
      <c r="K31" s="107">
        <f>IF(H31="",COUNTIF(Funções!C$8:C$806,G31)*I31,H31*J31)</f>
        <v>0</v>
      </c>
    </row>
    <row r="32" spans="1:11" ht="13.5" customHeight="1" x14ac:dyDescent="0.2">
      <c r="A32" s="3"/>
      <c r="B32" s="117" t="s">
        <v>107</v>
      </c>
      <c r="C32" s="118"/>
      <c r="D32" s="118"/>
      <c r="E32" s="119"/>
      <c r="F32" s="2" t="s">
        <v>108</v>
      </c>
      <c r="G32" s="25" t="s">
        <v>109</v>
      </c>
      <c r="H32" s="104">
        <v>0.25</v>
      </c>
      <c r="I32" s="105"/>
      <c r="J32" s="106">
        <f>SUMIF(Funções!$C$8:$C$806,Deflatores!G32,Funções!$H$8:$H$806)</f>
        <v>0</v>
      </c>
      <c r="K32" s="107">
        <f>IF(H32="",COUNTIF(Funções!C$8:C$806,G32)*I32,H32*J32)</f>
        <v>0</v>
      </c>
    </row>
    <row r="33" spans="1:12" ht="13.5" customHeight="1" x14ac:dyDescent="0.2">
      <c r="A33" s="3"/>
      <c r="B33" s="117" t="s">
        <v>164</v>
      </c>
      <c r="C33" s="118"/>
      <c r="D33" s="118"/>
      <c r="E33" s="119"/>
      <c r="F33" s="2" t="s">
        <v>110</v>
      </c>
      <c r="G33" s="25" t="s">
        <v>111</v>
      </c>
      <c r="H33" s="104">
        <v>0.2</v>
      </c>
      <c r="I33" s="105"/>
      <c r="J33" s="106">
        <f>SUMIF(Funções!$C$8:$C$806,Deflatores!G33,Funções!$H$8:$H$806)</f>
        <v>0</v>
      </c>
      <c r="K33" s="107">
        <f>IF(H33="",COUNTIF(Funções!C$8:C$806,G33)*I33,H33*J33)</f>
        <v>0</v>
      </c>
    </row>
    <row r="34" spans="1:12" ht="13.5" customHeight="1" x14ac:dyDescent="0.2">
      <c r="A34" s="3"/>
      <c r="B34" s="117" t="s">
        <v>163</v>
      </c>
      <c r="C34" s="118"/>
      <c r="D34" s="118"/>
      <c r="E34" s="119"/>
      <c r="F34" s="2" t="s">
        <v>110</v>
      </c>
      <c r="G34" s="25" t="s">
        <v>112</v>
      </c>
      <c r="H34" s="104">
        <v>0.15</v>
      </c>
      <c r="I34" s="105"/>
      <c r="J34" s="106">
        <f>SUMIF(Funções!$C$8:$C$806,Deflatores!G34,Funções!$H$8:$H$806)</f>
        <v>0</v>
      </c>
      <c r="K34" s="107">
        <f>IF(H34="",COUNTIF(Funções!C$8:C$806,G34)*I34,H34*J34)</f>
        <v>0</v>
      </c>
    </row>
    <row r="35" spans="1:12" ht="13.5" customHeight="1" x14ac:dyDescent="0.2">
      <c r="A35" s="3"/>
      <c r="B35" s="117" t="s">
        <v>113</v>
      </c>
      <c r="C35" s="118"/>
      <c r="D35" s="118"/>
      <c r="E35" s="119"/>
      <c r="F35" s="2" t="s">
        <v>114</v>
      </c>
      <c r="G35" s="25" t="s">
        <v>115</v>
      </c>
      <c r="H35" s="104">
        <v>0.15</v>
      </c>
      <c r="I35" s="105"/>
      <c r="J35" s="106">
        <f>SUMIF(Funções!$C$8:$C$806,Deflatores!G35,Funções!$H$8:$H$806)</f>
        <v>0</v>
      </c>
      <c r="K35" s="107">
        <f>IF(H35="",COUNTIF(Funções!C$8:C$806,G35)*I35,H35*J35)</f>
        <v>0</v>
      </c>
    </row>
    <row r="36" spans="1:12" ht="13.5" customHeight="1" x14ac:dyDescent="0.2">
      <c r="A36" s="3"/>
      <c r="B36" s="136" t="s">
        <v>94</v>
      </c>
      <c r="C36" s="136"/>
      <c r="D36" s="136"/>
      <c r="E36" s="136"/>
      <c r="F36" s="2" t="s">
        <v>95</v>
      </c>
      <c r="G36" s="25" t="s">
        <v>96</v>
      </c>
      <c r="H36" s="104">
        <v>1</v>
      </c>
      <c r="I36" s="105"/>
      <c r="J36" s="106">
        <f>SUMIF(Funções!$C$8:$C$806,Deflatores!G36,Funções!$H$8:$H$806)</f>
        <v>0</v>
      </c>
      <c r="K36" s="107">
        <f>IF(H36="",COUNTIF(Funções!C$8:C$806,G36)*I36,H36*J36)</f>
        <v>0</v>
      </c>
    </row>
    <row r="37" spans="1:12" ht="13.5" customHeight="1" x14ac:dyDescent="0.2">
      <c r="A37" s="3"/>
      <c r="B37" s="136"/>
      <c r="C37" s="136"/>
      <c r="D37" s="136"/>
      <c r="E37" s="136"/>
      <c r="F37" s="2"/>
      <c r="G37" s="25" t="s">
        <v>97</v>
      </c>
      <c r="H37" s="104"/>
      <c r="I37" s="105"/>
      <c r="J37" s="106">
        <f>SUMIF(Funções!$C$8:$C$806,Deflatores!G37,Funções!$H$8:$H$806)</f>
        <v>0</v>
      </c>
      <c r="K37" s="107">
        <f>IF(H37="",COUNTIF(Funções!C$8:C$806,G37)*I37,H37*J37)</f>
        <v>0</v>
      </c>
      <c r="L37" s="19" t="s">
        <v>98</v>
      </c>
    </row>
    <row r="38" spans="1:12" ht="13.5" customHeight="1" x14ac:dyDescent="0.2">
      <c r="A38" s="3"/>
      <c r="B38" s="136"/>
      <c r="C38" s="136"/>
      <c r="D38" s="136"/>
      <c r="E38" s="136"/>
      <c r="F38" s="2"/>
      <c r="G38" s="25" t="s">
        <v>97</v>
      </c>
      <c r="H38" s="104"/>
      <c r="I38" s="105"/>
      <c r="J38" s="106">
        <f>SUMIF(Funções!$C$8:$C$806,Deflatores!G38,Funções!$H$8:$H$806)</f>
        <v>0</v>
      </c>
      <c r="K38" s="107">
        <f>IF(H38="",COUNTIF(Funções!C$8:C$806,G38)*I38,H38*J38)</f>
        <v>0</v>
      </c>
      <c r="L38" s="19" t="s">
        <v>99</v>
      </c>
    </row>
    <row r="39" spans="1:12" ht="13.5" x14ac:dyDescent="0.25">
      <c r="A39" s="78"/>
      <c r="B39" s="79"/>
      <c r="C39" s="79"/>
      <c r="D39" s="79"/>
      <c r="E39" s="79"/>
      <c r="F39" s="79"/>
      <c r="G39" s="80"/>
      <c r="H39" s="81"/>
      <c r="I39" s="81"/>
      <c r="J39" s="82"/>
      <c r="K39" s="83"/>
      <c r="L39" s="19" t="s">
        <v>100</v>
      </c>
    </row>
    <row r="40" spans="1:12" ht="14.85" customHeight="1" x14ac:dyDescent="0.2">
      <c r="A40" s="158" t="s">
        <v>30</v>
      </c>
      <c r="B40" s="158"/>
      <c r="C40" s="158"/>
      <c r="D40" s="158"/>
      <c r="E40" s="158"/>
      <c r="F40" s="158"/>
      <c r="G40" s="159" t="s">
        <v>32</v>
      </c>
      <c r="H40" s="159" t="s">
        <v>33</v>
      </c>
      <c r="I40" s="159"/>
      <c r="J40" s="159" t="s">
        <v>101</v>
      </c>
      <c r="K40" s="160" t="s">
        <v>34</v>
      </c>
      <c r="L40" s="19" t="s">
        <v>102</v>
      </c>
    </row>
    <row r="41" spans="1:12" ht="14.85" customHeight="1" x14ac:dyDescent="0.2">
      <c r="A41" s="23" t="s">
        <v>35</v>
      </c>
      <c r="B41" s="159" t="s">
        <v>36</v>
      </c>
      <c r="C41" s="159"/>
      <c r="D41" s="159"/>
      <c r="E41" s="159"/>
      <c r="F41" s="24" t="s">
        <v>28</v>
      </c>
      <c r="G41" s="159"/>
      <c r="H41" s="159"/>
      <c r="I41" s="159"/>
      <c r="J41" s="159"/>
      <c r="K41" s="160"/>
      <c r="L41" s="19" t="s">
        <v>103</v>
      </c>
    </row>
    <row r="42" spans="1:12" ht="13.5" customHeight="1" x14ac:dyDescent="0.25">
      <c r="A42" s="27"/>
      <c r="B42" s="136" t="s">
        <v>104</v>
      </c>
      <c r="C42" s="136"/>
      <c r="D42" s="136"/>
      <c r="E42" s="136"/>
      <c r="F42" s="2" t="s">
        <v>105</v>
      </c>
      <c r="G42" s="25" t="s">
        <v>106</v>
      </c>
      <c r="H42" s="165">
        <v>0.6</v>
      </c>
      <c r="I42" s="165"/>
      <c r="J42" s="28">
        <f>COUNTIF(Funções!B$8:B$806,G42)</f>
        <v>0</v>
      </c>
      <c r="K42" s="26">
        <f>SUMIF(Funções!B$8:B$806,$G42,Funções!K$8:K$806)</f>
        <v>0</v>
      </c>
      <c r="L42" s="19" t="str">
        <f t="shared" ref="L42:L64" si="0">""&amp;G42</f>
        <v>PAG</v>
      </c>
    </row>
    <row r="43" spans="1:12" ht="13.5" customHeight="1" x14ac:dyDescent="0.25">
      <c r="A43" s="27"/>
      <c r="B43" s="136" t="s">
        <v>116</v>
      </c>
      <c r="C43" s="136"/>
      <c r="D43" s="136"/>
      <c r="E43" s="136"/>
      <c r="F43" s="2" t="s">
        <v>76</v>
      </c>
      <c r="G43" s="25" t="s">
        <v>117</v>
      </c>
      <c r="H43" s="165">
        <v>0.6</v>
      </c>
      <c r="I43" s="165"/>
      <c r="J43" s="28">
        <f>COUNTIF(Funções!B$8:B$806,G43)</f>
        <v>0</v>
      </c>
      <c r="K43" s="26">
        <f>SUMIF(Funções!B$8:B$806,$G43,Funções!K$8:K$806)</f>
        <v>0</v>
      </c>
      <c r="L43" s="19" t="str">
        <f t="shared" si="0"/>
        <v>COSNF</v>
      </c>
    </row>
    <row r="44" spans="1:12" ht="13.5" customHeight="1" x14ac:dyDescent="0.25">
      <c r="A44" s="27"/>
      <c r="B44" s="136" t="s">
        <v>159</v>
      </c>
      <c r="C44" s="136"/>
      <c r="D44" s="136"/>
      <c r="E44" s="136"/>
      <c r="F44" s="2"/>
      <c r="G44" s="25" t="s">
        <v>160</v>
      </c>
      <c r="H44" s="165">
        <v>0</v>
      </c>
      <c r="I44" s="165"/>
      <c r="J44" s="28">
        <f>COUNTIF(Funções!B$8:B$806,G44)</f>
        <v>0</v>
      </c>
      <c r="K44" s="26">
        <f>SUMIF(Funções!B$8:B$806,$G44,Funções!K$8:K$806)</f>
        <v>0</v>
      </c>
      <c r="L44" s="19" t="str">
        <f t="shared" si="0"/>
        <v>DC</v>
      </c>
    </row>
    <row r="45" spans="1:12" ht="13.5" customHeight="1" x14ac:dyDescent="0.25">
      <c r="A45" s="27"/>
      <c r="B45" s="136"/>
      <c r="C45" s="136"/>
      <c r="D45" s="136"/>
      <c r="E45" s="136"/>
      <c r="F45" s="2"/>
      <c r="G45" s="25" t="s">
        <v>97</v>
      </c>
      <c r="H45" s="165"/>
      <c r="I45" s="165"/>
      <c r="J45" s="28">
        <f>COUNTIF(Funções!B$8:B$806,G45)</f>
        <v>0</v>
      </c>
      <c r="K45" s="26">
        <f>SUMIF(Funções!B$8:B$806,$G45,Funções!K$8:K$806)</f>
        <v>0</v>
      </c>
      <c r="L45" s="19" t="str">
        <f t="shared" si="0"/>
        <v xml:space="preserve">           .</v>
      </c>
    </row>
    <row r="46" spans="1:12" ht="13.5" customHeight="1" x14ac:dyDescent="0.25">
      <c r="A46" s="27"/>
      <c r="B46" s="136"/>
      <c r="C46" s="136"/>
      <c r="D46" s="136"/>
      <c r="E46" s="136"/>
      <c r="F46" s="2"/>
      <c r="G46" s="25" t="s">
        <v>97</v>
      </c>
      <c r="H46" s="165"/>
      <c r="I46" s="165"/>
      <c r="J46" s="28">
        <f>COUNTIF(Funções!B$8:B$806,G46)</f>
        <v>0</v>
      </c>
      <c r="K46" s="26">
        <f>SUMIF(Funções!B$8:B$806,$G46,Funções!K$8:K$806)</f>
        <v>0</v>
      </c>
      <c r="L46" s="19" t="str">
        <f t="shared" si="0"/>
        <v xml:space="preserve">           .</v>
      </c>
    </row>
    <row r="47" spans="1:12" ht="13.5" x14ac:dyDescent="0.25">
      <c r="A47" s="27"/>
      <c r="B47" s="136"/>
      <c r="C47" s="136"/>
      <c r="D47" s="136"/>
      <c r="E47" s="136"/>
      <c r="F47" s="2"/>
      <c r="G47" s="25" t="s">
        <v>97</v>
      </c>
      <c r="H47" s="165"/>
      <c r="I47" s="165"/>
      <c r="J47" s="28">
        <f>COUNTIF(Funções!B$8:B$806,G47)</f>
        <v>0</v>
      </c>
      <c r="K47" s="26">
        <f>SUMIF(Funções!B$8:B$806,$G47,Funções!K$8:K$806)</f>
        <v>0</v>
      </c>
      <c r="L47" s="19" t="str">
        <f t="shared" si="0"/>
        <v xml:space="preserve">           .</v>
      </c>
    </row>
    <row r="48" spans="1:12" ht="13.5" x14ac:dyDescent="0.25">
      <c r="A48" s="27"/>
      <c r="B48" s="136"/>
      <c r="C48" s="136"/>
      <c r="D48" s="136"/>
      <c r="E48" s="136"/>
      <c r="F48" s="2"/>
      <c r="G48" s="25" t="s">
        <v>97</v>
      </c>
      <c r="H48" s="165"/>
      <c r="I48" s="165"/>
      <c r="J48" s="28">
        <f>COUNTIF(Funções!B$8:B$806,G48)</f>
        <v>0</v>
      </c>
      <c r="K48" s="26">
        <f>SUMIF(Funções!B$8:B$806,$G48,Funções!K$8:K$806)</f>
        <v>0</v>
      </c>
      <c r="L48" s="19" t="str">
        <f t="shared" si="0"/>
        <v xml:space="preserve">           .</v>
      </c>
    </row>
    <row r="49" spans="1:12" ht="13.5" x14ac:dyDescent="0.25">
      <c r="A49" s="27"/>
      <c r="B49" s="136"/>
      <c r="C49" s="136"/>
      <c r="D49" s="136"/>
      <c r="E49" s="136"/>
      <c r="F49" s="2"/>
      <c r="G49" s="25" t="s">
        <v>97</v>
      </c>
      <c r="H49" s="165"/>
      <c r="I49" s="165"/>
      <c r="J49" s="28">
        <f>COUNTIF(Funções!B$8:B$806,G49)</f>
        <v>0</v>
      </c>
      <c r="K49" s="26">
        <f>SUMIF(Funções!B$8:B$806,$G49,Funções!K$8:K$806)</f>
        <v>0</v>
      </c>
      <c r="L49" s="19" t="str">
        <f t="shared" si="0"/>
        <v xml:space="preserve">           .</v>
      </c>
    </row>
    <row r="50" spans="1:12" ht="13.5" x14ac:dyDescent="0.25">
      <c r="A50" s="27"/>
      <c r="B50" s="136"/>
      <c r="C50" s="136"/>
      <c r="D50" s="136"/>
      <c r="E50" s="136"/>
      <c r="F50" s="2"/>
      <c r="G50" s="25" t="s">
        <v>97</v>
      </c>
      <c r="H50" s="165"/>
      <c r="I50" s="165"/>
      <c r="J50" s="28">
        <f>COUNTIF(Funções!B$8:B$806,G50)</f>
        <v>0</v>
      </c>
      <c r="K50" s="26">
        <f>SUMIF(Funções!B$8:B$806,$G50,Funções!K$8:K$806)</f>
        <v>0</v>
      </c>
      <c r="L50" s="19" t="str">
        <f t="shared" si="0"/>
        <v xml:space="preserve">           .</v>
      </c>
    </row>
    <row r="51" spans="1:12" ht="13.5" x14ac:dyDescent="0.25">
      <c r="A51" s="27"/>
      <c r="B51" s="136"/>
      <c r="C51" s="136"/>
      <c r="D51" s="136"/>
      <c r="E51" s="136"/>
      <c r="F51" s="2"/>
      <c r="G51" s="25" t="s">
        <v>97</v>
      </c>
      <c r="H51" s="165"/>
      <c r="I51" s="165"/>
      <c r="J51" s="28">
        <f>COUNTIF(Funções!B$8:B$806,G51)</f>
        <v>0</v>
      </c>
      <c r="K51" s="26">
        <f>SUMIF(Funções!B$8:B$806,$G51,Funções!K$8:K$806)</f>
        <v>0</v>
      </c>
      <c r="L51" s="19" t="str">
        <f t="shared" si="0"/>
        <v xml:space="preserve">           .</v>
      </c>
    </row>
    <row r="52" spans="1:12" ht="13.5" x14ac:dyDescent="0.25">
      <c r="A52" s="27"/>
      <c r="B52" s="136"/>
      <c r="C52" s="136"/>
      <c r="D52" s="136"/>
      <c r="E52" s="136"/>
      <c r="F52" s="2"/>
      <c r="G52" s="25" t="s">
        <v>97</v>
      </c>
      <c r="H52" s="165"/>
      <c r="I52" s="165"/>
      <c r="J52" s="28">
        <f>COUNTIF(Funções!B$8:B$806,G52)</f>
        <v>0</v>
      </c>
      <c r="K52" s="26">
        <f>SUMIF(Funções!B$8:B$806,$G52,Funções!K$8:K$806)</f>
        <v>0</v>
      </c>
      <c r="L52" s="19" t="str">
        <f t="shared" si="0"/>
        <v xml:space="preserve">           .</v>
      </c>
    </row>
    <row r="53" spans="1:12" ht="13.5" x14ac:dyDescent="0.25">
      <c r="A53" s="27"/>
      <c r="B53" s="136"/>
      <c r="C53" s="136"/>
      <c r="D53" s="136"/>
      <c r="E53" s="136"/>
      <c r="F53" s="2"/>
      <c r="G53" s="25" t="s">
        <v>97</v>
      </c>
      <c r="H53" s="165"/>
      <c r="I53" s="165"/>
      <c r="J53" s="28">
        <f>COUNTIF(Funções!B$8:B$806,G53)</f>
        <v>0</v>
      </c>
      <c r="K53" s="26">
        <f>SUMIF(Funções!B$8:B$806,$G53,Funções!K$8:K$806)</f>
        <v>0</v>
      </c>
      <c r="L53" s="19" t="str">
        <f t="shared" si="0"/>
        <v xml:space="preserve">           .</v>
      </c>
    </row>
    <row r="54" spans="1:12" ht="13.5" x14ac:dyDescent="0.25">
      <c r="A54" s="27"/>
      <c r="B54" s="136"/>
      <c r="C54" s="136"/>
      <c r="D54" s="136"/>
      <c r="E54" s="136"/>
      <c r="F54" s="2"/>
      <c r="G54" s="25" t="s">
        <v>97</v>
      </c>
      <c r="H54" s="165"/>
      <c r="I54" s="165"/>
      <c r="J54" s="28">
        <f>COUNTIF(Funções!B$8:B$806,G54)</f>
        <v>0</v>
      </c>
      <c r="K54" s="26">
        <f>SUMIF(Funções!B$8:B$806,$G54,Funções!K$8:K$806)</f>
        <v>0</v>
      </c>
      <c r="L54" s="19" t="str">
        <f t="shared" si="0"/>
        <v xml:space="preserve">           .</v>
      </c>
    </row>
    <row r="55" spans="1:12" ht="13.5" x14ac:dyDescent="0.25">
      <c r="A55" s="27"/>
      <c r="B55" s="136"/>
      <c r="C55" s="136"/>
      <c r="D55" s="136"/>
      <c r="E55" s="136"/>
      <c r="F55" s="2"/>
      <c r="G55" s="25" t="s">
        <v>97</v>
      </c>
      <c r="H55" s="165"/>
      <c r="I55" s="165"/>
      <c r="J55" s="28">
        <f>COUNTIF(Funções!B$8:B$806,G55)</f>
        <v>0</v>
      </c>
      <c r="K55" s="26">
        <f>SUMIF(Funções!B$8:B$806,$G55,Funções!K$8:K$806)</f>
        <v>0</v>
      </c>
      <c r="L55" s="19" t="str">
        <f t="shared" si="0"/>
        <v xml:space="preserve">           .</v>
      </c>
    </row>
    <row r="56" spans="1:12" ht="13.5" x14ac:dyDescent="0.25">
      <c r="A56" s="27"/>
      <c r="B56" s="136"/>
      <c r="C56" s="136"/>
      <c r="D56" s="136"/>
      <c r="E56" s="136"/>
      <c r="F56" s="2"/>
      <c r="G56" s="25" t="s">
        <v>97</v>
      </c>
      <c r="H56" s="165"/>
      <c r="I56" s="165"/>
      <c r="J56" s="28">
        <f>COUNTIF(Funções!B$8:B$806,G56)</f>
        <v>0</v>
      </c>
      <c r="K56" s="26">
        <f>SUMIF(Funções!B$8:B$806,$G56,Funções!K$8:K$806)</f>
        <v>0</v>
      </c>
      <c r="L56" s="19" t="str">
        <f t="shared" si="0"/>
        <v xml:space="preserve">           .</v>
      </c>
    </row>
    <row r="57" spans="1:12" ht="13.5" x14ac:dyDescent="0.25">
      <c r="A57" s="27"/>
      <c r="B57" s="136"/>
      <c r="C57" s="136"/>
      <c r="D57" s="136"/>
      <c r="E57" s="136"/>
      <c r="F57" s="2"/>
      <c r="G57" s="25" t="s">
        <v>97</v>
      </c>
      <c r="H57" s="165"/>
      <c r="I57" s="165"/>
      <c r="J57" s="28">
        <f>COUNTIF(Funções!B$8:B$806,G57)</f>
        <v>0</v>
      </c>
      <c r="K57" s="26">
        <f>SUMIF(Funções!B$8:B$806,$G57,Funções!K$8:K$806)</f>
        <v>0</v>
      </c>
      <c r="L57" s="19" t="str">
        <f t="shared" si="0"/>
        <v xml:space="preserve">           .</v>
      </c>
    </row>
    <row r="58" spans="1:12" ht="13.5" x14ac:dyDescent="0.25">
      <c r="A58" s="27"/>
      <c r="B58" s="136"/>
      <c r="C58" s="136"/>
      <c r="D58" s="136"/>
      <c r="E58" s="136"/>
      <c r="F58" s="2"/>
      <c r="G58" s="25" t="s">
        <v>97</v>
      </c>
      <c r="H58" s="165"/>
      <c r="I58" s="165"/>
      <c r="J58" s="28">
        <f>COUNTIF(Funções!B$8:B$806,G58)</f>
        <v>0</v>
      </c>
      <c r="K58" s="26">
        <f>SUMIF(Funções!B$8:B$806,$G58,Funções!K$8:K$806)</f>
        <v>0</v>
      </c>
      <c r="L58" s="19" t="str">
        <f t="shared" si="0"/>
        <v xml:space="preserve">           .</v>
      </c>
    </row>
    <row r="59" spans="1:12" ht="13.5" x14ac:dyDescent="0.25">
      <c r="A59" s="27"/>
      <c r="B59" s="136"/>
      <c r="C59" s="136"/>
      <c r="D59" s="136"/>
      <c r="E59" s="136"/>
      <c r="F59" s="2"/>
      <c r="G59" s="25" t="s">
        <v>97</v>
      </c>
      <c r="H59" s="165"/>
      <c r="I59" s="165"/>
      <c r="J59" s="28">
        <f>COUNTIF(Funções!B$8:B$806,G59)</f>
        <v>0</v>
      </c>
      <c r="K59" s="26">
        <f>SUMIF(Funções!B$8:B$806,$G59,Funções!K$8:K$806)</f>
        <v>0</v>
      </c>
      <c r="L59" s="19" t="str">
        <f t="shared" si="0"/>
        <v xml:space="preserve">           .</v>
      </c>
    </row>
    <row r="60" spans="1:12" ht="13.5" x14ac:dyDescent="0.25">
      <c r="A60" s="27"/>
      <c r="B60" s="136"/>
      <c r="C60" s="136"/>
      <c r="D60" s="136"/>
      <c r="E60" s="136"/>
      <c r="F60" s="2"/>
      <c r="G60" s="25" t="s">
        <v>97</v>
      </c>
      <c r="H60" s="165"/>
      <c r="I60" s="165"/>
      <c r="J60" s="28">
        <f>COUNTIF(Funções!B$8:B$806,G60)</f>
        <v>0</v>
      </c>
      <c r="K60" s="26">
        <f>SUMIF(Funções!B$8:B$806,$G60,Funções!K$8:K$806)</f>
        <v>0</v>
      </c>
      <c r="L60" s="19" t="str">
        <f t="shared" si="0"/>
        <v xml:space="preserve">           .</v>
      </c>
    </row>
    <row r="61" spans="1:12" ht="13.5" x14ac:dyDescent="0.25">
      <c r="A61" s="27"/>
      <c r="B61" s="136"/>
      <c r="C61" s="136"/>
      <c r="D61" s="136"/>
      <c r="E61" s="136"/>
      <c r="F61" s="2"/>
      <c r="G61" s="25" t="s">
        <v>97</v>
      </c>
      <c r="H61" s="165"/>
      <c r="I61" s="165"/>
      <c r="J61" s="28">
        <f>COUNTIF(Funções!B$8:B$806,G61)</f>
        <v>0</v>
      </c>
      <c r="K61" s="26">
        <f>SUMIF(Funções!B$8:B$806,$G61,Funções!K$8:K$806)</f>
        <v>0</v>
      </c>
      <c r="L61" s="19" t="str">
        <f t="shared" si="0"/>
        <v xml:space="preserve">           .</v>
      </c>
    </row>
    <row r="62" spans="1:12" ht="13.5" x14ac:dyDescent="0.25">
      <c r="A62" s="27"/>
      <c r="B62" s="136"/>
      <c r="C62" s="136"/>
      <c r="D62" s="136"/>
      <c r="E62" s="136"/>
      <c r="F62" s="2"/>
      <c r="G62" s="25" t="s">
        <v>97</v>
      </c>
      <c r="H62" s="165"/>
      <c r="I62" s="165"/>
      <c r="J62" s="28">
        <f>COUNTIF(Funções!B$8:B$806,G62)</f>
        <v>0</v>
      </c>
      <c r="K62" s="26">
        <f>SUMIF(Funções!B$8:B$806,$G62,Funções!K$8:K$806)</f>
        <v>0</v>
      </c>
      <c r="L62" s="19" t="str">
        <f t="shared" si="0"/>
        <v xml:space="preserve">           .</v>
      </c>
    </row>
    <row r="63" spans="1:12" ht="13.5" x14ac:dyDescent="0.25">
      <c r="A63" s="27"/>
      <c r="B63" s="136"/>
      <c r="C63" s="136"/>
      <c r="D63" s="136"/>
      <c r="E63" s="136"/>
      <c r="F63" s="2"/>
      <c r="G63" s="25" t="s">
        <v>97</v>
      </c>
      <c r="H63" s="165"/>
      <c r="I63" s="165"/>
      <c r="J63" s="28">
        <f>COUNTIF(Funções!B$8:B$806,G63)</f>
        <v>0</v>
      </c>
      <c r="K63" s="26">
        <f>SUMIF(Funções!B$8:B$806,$G63,Funções!K$8:K$806)</f>
        <v>0</v>
      </c>
      <c r="L63" s="19" t="str">
        <f t="shared" si="0"/>
        <v xml:space="preserve">           .</v>
      </c>
    </row>
    <row r="64" spans="1:12" ht="13.5" x14ac:dyDescent="0.25">
      <c r="A64" s="29"/>
      <c r="B64" s="166"/>
      <c r="C64" s="166"/>
      <c r="D64" s="166"/>
      <c r="E64" s="166"/>
      <c r="F64" s="30"/>
      <c r="G64" s="31" t="s">
        <v>97</v>
      </c>
      <c r="H64" s="167"/>
      <c r="I64" s="167"/>
      <c r="J64" s="32">
        <f>COUNTIF(Funções!B$8:B$806,G64)</f>
        <v>0</v>
      </c>
      <c r="K64" s="33">
        <f>SUMIF(Funções!B$8:B$806,$G64,Funções!K$8:K$806)</f>
        <v>0</v>
      </c>
      <c r="L64" s="19" t="str">
        <f t="shared" si="0"/>
        <v xml:space="preserve">           .</v>
      </c>
    </row>
  </sheetData>
  <sheetProtection selectLockedCells="1" selectUnlockedCells="1"/>
  <mergeCells count="90">
    <mergeCell ref="B63:E63"/>
    <mergeCell ref="H63:I63"/>
    <mergeCell ref="B64:E64"/>
    <mergeCell ref="H64:I64"/>
    <mergeCell ref="B60:E60"/>
    <mergeCell ref="H60:I60"/>
    <mergeCell ref="B61:E61"/>
    <mergeCell ref="H61:I61"/>
    <mergeCell ref="B62:E62"/>
    <mergeCell ref="H62:I62"/>
    <mergeCell ref="B57:E57"/>
    <mergeCell ref="H57:I57"/>
    <mergeCell ref="B58:E58"/>
    <mergeCell ref="H58:I58"/>
    <mergeCell ref="B59:E59"/>
    <mergeCell ref="H59:I59"/>
    <mergeCell ref="B54:E54"/>
    <mergeCell ref="H54:I54"/>
    <mergeCell ref="B55:E55"/>
    <mergeCell ref="H55:I55"/>
    <mergeCell ref="B56:E56"/>
    <mergeCell ref="H56:I56"/>
    <mergeCell ref="B51:E51"/>
    <mergeCell ref="H51:I51"/>
    <mergeCell ref="B52:E52"/>
    <mergeCell ref="H52:I52"/>
    <mergeCell ref="B53:E53"/>
    <mergeCell ref="H53:I53"/>
    <mergeCell ref="B48:E48"/>
    <mergeCell ref="H48:I48"/>
    <mergeCell ref="B49:E49"/>
    <mergeCell ref="H49:I49"/>
    <mergeCell ref="B50:E50"/>
    <mergeCell ref="H50:I50"/>
    <mergeCell ref="B45:E45"/>
    <mergeCell ref="H45:I45"/>
    <mergeCell ref="B46:E46"/>
    <mergeCell ref="H46:I46"/>
    <mergeCell ref="B47:E47"/>
    <mergeCell ref="H47:I47"/>
    <mergeCell ref="B43:E43"/>
    <mergeCell ref="H43:I43"/>
    <mergeCell ref="B44:E44"/>
    <mergeCell ref="H44:I44"/>
    <mergeCell ref="H40:I41"/>
    <mergeCell ref="J40:J41"/>
    <mergeCell ref="K40:K41"/>
    <mergeCell ref="B41:E41"/>
    <mergeCell ref="B42:E42"/>
    <mergeCell ref="H42:I42"/>
    <mergeCell ref="G40:G41"/>
    <mergeCell ref="B31:E31"/>
    <mergeCell ref="B36:E36"/>
    <mergeCell ref="B37:E37"/>
    <mergeCell ref="B38:E38"/>
    <mergeCell ref="A40:F40"/>
    <mergeCell ref="B30:E30"/>
    <mergeCell ref="B18:E18"/>
    <mergeCell ref="B19:E19"/>
    <mergeCell ref="B20:E20"/>
    <mergeCell ref="B21:E21"/>
    <mergeCell ref="B22:E22"/>
    <mergeCell ref="B24:E24"/>
    <mergeCell ref="B23:E23"/>
    <mergeCell ref="B25:E25"/>
    <mergeCell ref="B26:E26"/>
    <mergeCell ref="B27:E27"/>
    <mergeCell ref="B28:E28"/>
    <mergeCell ref="B29:E29"/>
    <mergeCell ref="B17:E17"/>
    <mergeCell ref="B6:E6"/>
    <mergeCell ref="B7:E7"/>
    <mergeCell ref="B8:E8"/>
    <mergeCell ref="B9:E9"/>
    <mergeCell ref="B10:E10"/>
    <mergeCell ref="B11:E11"/>
    <mergeCell ref="B12:E12"/>
    <mergeCell ref="B13:E13"/>
    <mergeCell ref="B15:E15"/>
    <mergeCell ref="B16:E16"/>
    <mergeCell ref="B14:E14"/>
    <mergeCell ref="B4:E4"/>
    <mergeCell ref="B5:E5"/>
    <mergeCell ref="A1:K1"/>
    <mergeCell ref="A2:F2"/>
    <mergeCell ref="G2:G3"/>
    <mergeCell ref="H2:I2"/>
    <mergeCell ref="J2:J3"/>
    <mergeCell ref="K2:K3"/>
    <mergeCell ref="B3:E3"/>
  </mergeCells>
  <pageMargins left="0.78749999999999998" right="0.78749999999999998" top="1.023611111111111" bottom="1.023611111111111" header="0.51180555555555551" footer="0.78749999999999998"/>
  <pageSetup paperSize="9" scale="48" firstPageNumber="0" orientation="portrait" horizontalDpi="300" verticalDpi="300" r:id="rId1"/>
  <headerFooter alignWithMargins="0">
    <oddFooter>&amp;CPágina &amp;P de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4"/>
  <dimension ref="A1:L52"/>
  <sheetViews>
    <sheetView showGridLines="0" zoomScale="145" zoomScaleNormal="145" zoomScaleSheetLayoutView="100" workbookViewId="0">
      <pane ySplit="8" topLeftCell="A30" activePane="bottomLeft" state="frozen"/>
      <selection activeCell="B11" sqref="B11"/>
      <selection pane="bottomLeft" activeCell="N49" sqref="N49"/>
    </sheetView>
  </sheetViews>
  <sheetFormatPr defaultRowHeight="12.75" x14ac:dyDescent="0.2"/>
  <cols>
    <col min="1" max="1" width="2.85546875" customWidth="1"/>
    <col min="2" max="2" width="8.28515625" customWidth="1"/>
    <col min="3" max="3" width="11.5703125" customWidth="1"/>
    <col min="4" max="4" width="1.140625" customWidth="1"/>
    <col min="5" max="5" width="7.7109375" customWidth="1"/>
    <col min="6" max="6" width="5.85546875" customWidth="1"/>
    <col min="7" max="7" width="13.42578125" customWidth="1"/>
    <col min="8" max="8" width="8.42578125" customWidth="1"/>
    <col min="9" max="9" width="5.85546875" customWidth="1"/>
    <col min="10" max="10" width="11.5703125" customWidth="1"/>
    <col min="11" max="11" width="8.42578125" customWidth="1"/>
    <col min="12" max="12" width="6.5703125" customWidth="1"/>
  </cols>
  <sheetData>
    <row r="1" spans="1:12" x14ac:dyDescent="0.2">
      <c r="A1" s="138" t="s">
        <v>118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</row>
    <row r="2" spans="1:12" x14ac:dyDescent="0.2">
      <c r="A2" s="138"/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</row>
    <row r="3" spans="1:12" x14ac:dyDescent="0.2">
      <c r="A3" s="138"/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8"/>
    </row>
    <row r="4" spans="1:12" x14ac:dyDescent="0.2">
      <c r="A4" s="170" t="str">
        <f>Contagem!A5&amp;" : "&amp;Contagem!F5</f>
        <v>Aplicação : Sistema de Inovação</v>
      </c>
      <c r="B4" s="170"/>
      <c r="C4" s="170"/>
      <c r="D4" s="170"/>
      <c r="E4" s="170"/>
      <c r="F4" s="152" t="str">
        <f>Contagem!A8&amp;" : "&amp;Contagem!F8</f>
        <v>Projeto : Sistema de Inovação</v>
      </c>
      <c r="G4" s="152"/>
      <c r="H4" s="152"/>
      <c r="I4" s="152"/>
      <c r="J4" s="152"/>
      <c r="K4" s="152"/>
      <c r="L4" s="152"/>
    </row>
    <row r="5" spans="1:12" x14ac:dyDescent="0.2">
      <c r="A5" s="170" t="str">
        <f>Contagem!A9&amp;" : "&amp;Contagem!F9</f>
        <v>Responsável : Jonathas Gomes Marques</v>
      </c>
      <c r="B5" s="170"/>
      <c r="C5" s="170"/>
      <c r="D5" s="170"/>
      <c r="E5" s="170"/>
      <c r="F5" s="152" t="str">
        <f>Contagem!A10&amp;" : "&amp;Contagem!F10</f>
        <v xml:space="preserve">Revisor : </v>
      </c>
      <c r="G5" s="152"/>
      <c r="H5" s="152"/>
      <c r="I5" s="152"/>
      <c r="J5" s="152"/>
      <c r="K5" s="152"/>
      <c r="L5" s="152"/>
    </row>
    <row r="6" spans="1:12" x14ac:dyDescent="0.2">
      <c r="A6" s="170" t="str">
        <f>Contagem!A4&amp;" : "&amp;Contagem!F4</f>
        <v>Empresa : Secretaria de Estado de Planejamento e Gestão de Mato Grosso</v>
      </c>
      <c r="B6" s="170"/>
      <c r="C6" s="170"/>
      <c r="D6" s="170"/>
      <c r="E6" s="170"/>
      <c r="F6" s="152" t="str">
        <f>"Tipo de Contagem : "&amp;Contagem!F6</f>
        <v>Tipo de Contagem : Aplicação</v>
      </c>
      <c r="G6" s="152"/>
      <c r="H6" s="152"/>
      <c r="I6" s="152"/>
      <c r="J6" s="152"/>
      <c r="K6" s="152"/>
      <c r="L6" s="152"/>
    </row>
    <row r="7" spans="1:12" ht="12.75" customHeight="1" x14ac:dyDescent="0.2">
      <c r="A7" s="172" t="s">
        <v>119</v>
      </c>
      <c r="B7" s="172"/>
      <c r="C7" s="173" t="s">
        <v>120</v>
      </c>
      <c r="D7" s="173"/>
      <c r="E7" s="173"/>
      <c r="F7" s="173"/>
      <c r="G7" s="168" t="s">
        <v>121</v>
      </c>
      <c r="H7" s="168" t="s">
        <v>122</v>
      </c>
      <c r="I7" s="69"/>
      <c r="J7" s="168" t="s">
        <v>123</v>
      </c>
      <c r="K7" s="168"/>
      <c r="L7" s="169" t="s">
        <v>122</v>
      </c>
    </row>
    <row r="8" spans="1:12" x14ac:dyDescent="0.2">
      <c r="A8" s="172"/>
      <c r="B8" s="172"/>
      <c r="C8" s="173"/>
      <c r="D8" s="173"/>
      <c r="E8" s="173"/>
      <c r="F8" s="173"/>
      <c r="G8" s="168"/>
      <c r="H8" s="168"/>
      <c r="I8" s="70"/>
      <c r="J8" s="168"/>
      <c r="K8" s="168"/>
      <c r="L8" s="169"/>
    </row>
    <row r="9" spans="1:12" ht="6" customHeight="1" x14ac:dyDescent="0.25">
      <c r="A9" s="47"/>
      <c r="B9" s="48"/>
      <c r="C9" s="48"/>
      <c r="D9" s="48"/>
      <c r="E9" s="48"/>
      <c r="F9" s="48"/>
      <c r="G9" s="48"/>
      <c r="H9" s="48"/>
      <c r="I9" s="48"/>
      <c r="J9" s="48"/>
      <c r="K9" s="48"/>
      <c r="L9" s="49"/>
    </row>
    <row r="10" spans="1:12" ht="13.5" x14ac:dyDescent="0.25">
      <c r="A10" s="50"/>
      <c r="B10" s="51" t="s">
        <v>100</v>
      </c>
      <c r="C10" s="52">
        <f>COUNTIF(Funções!G8:G806,"EEL")</f>
        <v>0</v>
      </c>
      <c r="D10" s="51"/>
      <c r="E10" s="53" t="s">
        <v>124</v>
      </c>
      <c r="F10" s="53" t="s">
        <v>125</v>
      </c>
      <c r="G10" s="52">
        <f>C10*3</f>
        <v>0</v>
      </c>
      <c r="H10" s="51"/>
      <c r="I10" s="34"/>
      <c r="J10" s="54" t="str">
        <f>Deflatores!$G$4&amp;"="</f>
        <v>I=</v>
      </c>
      <c r="K10" s="55">
        <f>SUMIF(Funções!$J$8:$J$806,"EE"&amp;Deflatores!G4,Funções!$L$8:$L$806)</f>
        <v>120</v>
      </c>
      <c r="L10" s="56"/>
    </row>
    <row r="11" spans="1:12" ht="13.5" x14ac:dyDescent="0.25">
      <c r="A11" s="57"/>
      <c r="B11" s="51"/>
      <c r="C11" s="52">
        <f>COUNTIF(Funções!G8:G806,"EEA")</f>
        <v>30</v>
      </c>
      <c r="D11" s="51"/>
      <c r="E11" s="53" t="s">
        <v>126</v>
      </c>
      <c r="F11" s="53" t="s">
        <v>127</v>
      </c>
      <c r="G11" s="52">
        <f>C11*4</f>
        <v>120</v>
      </c>
      <c r="H11" s="51"/>
      <c r="I11" s="34"/>
      <c r="J11" s="54" t="str">
        <f>Deflatores!$G$5&amp;"="</f>
        <v>A=</v>
      </c>
      <c r="K11" s="55">
        <f>SUMIF(Funções!$J$8:$J$806,"EE"&amp;Deflatores!G5,Funções!$L$8:$L$806)</f>
        <v>0</v>
      </c>
      <c r="L11" s="56"/>
    </row>
    <row r="12" spans="1:12" ht="13.5" x14ac:dyDescent="0.25">
      <c r="A12" s="57"/>
      <c r="B12" s="51"/>
      <c r="C12" s="52">
        <f>COUNTIF(Funções!G8:G806,"EEH")</f>
        <v>0</v>
      </c>
      <c r="D12" s="51"/>
      <c r="E12" s="53" t="s">
        <v>128</v>
      </c>
      <c r="F12" s="53" t="s">
        <v>129</v>
      </c>
      <c r="G12" s="52">
        <f>C12*6</f>
        <v>0</v>
      </c>
      <c r="H12" s="51"/>
      <c r="I12" s="34"/>
      <c r="J12" s="54" t="str">
        <f>Deflatores!$G$6&amp;"="</f>
        <v>E=</v>
      </c>
      <c r="K12" s="55">
        <f>SUMIF(Funções!$J$8:$J$806,"EE"&amp;Deflatores!G6,Funções!$L$8:$L$806)</f>
        <v>0</v>
      </c>
      <c r="L12" s="58"/>
    </row>
    <row r="13" spans="1:12" ht="13.5" x14ac:dyDescent="0.25">
      <c r="A13" s="57"/>
      <c r="B13" s="51"/>
      <c r="C13" s="51"/>
      <c r="D13" s="51"/>
      <c r="E13" s="51"/>
      <c r="F13" s="51"/>
      <c r="G13" s="51"/>
      <c r="H13" s="51"/>
      <c r="I13" s="51"/>
      <c r="J13" s="51"/>
      <c r="K13" s="59"/>
      <c r="L13" s="56"/>
    </row>
    <row r="14" spans="1:12" ht="13.5" x14ac:dyDescent="0.25">
      <c r="A14" s="57"/>
      <c r="B14" s="60" t="s">
        <v>130</v>
      </c>
      <c r="C14" s="52">
        <f>SUM(C10:C12)</f>
        <v>30</v>
      </c>
      <c r="D14" s="51"/>
      <c r="E14" s="51"/>
      <c r="F14" s="60" t="s">
        <v>131</v>
      </c>
      <c r="G14" s="52">
        <f>SUM(G10:G12)</f>
        <v>120</v>
      </c>
      <c r="H14" s="34">
        <f>IF($G$45&lt;&gt;0,G14/$G$45,"")</f>
        <v>0.25751072961373389</v>
      </c>
      <c r="I14" s="61"/>
      <c r="J14" s="54"/>
      <c r="K14" s="55">
        <f>SUM(K10:K13)</f>
        <v>120</v>
      </c>
      <c r="L14" s="36">
        <f>IF('Sumário 2'!L11&lt;&gt;0,K14/'Sumário 2'!L11,"")</f>
        <v>0.25751072961373389</v>
      </c>
    </row>
    <row r="15" spans="1:12" ht="6" customHeight="1" x14ac:dyDescent="0.25">
      <c r="A15" s="62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63"/>
    </row>
    <row r="16" spans="1:12" ht="6" customHeight="1" x14ac:dyDescent="0.25">
      <c r="A16" s="57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6"/>
    </row>
    <row r="17" spans="1:12" ht="13.5" x14ac:dyDescent="0.25">
      <c r="A17" s="57"/>
      <c r="B17" s="51" t="s">
        <v>103</v>
      </c>
      <c r="C17" s="54">
        <f>COUNTIF(Funções!G8:G806,"SEL")</f>
        <v>0</v>
      </c>
      <c r="D17" s="51"/>
      <c r="E17" s="53" t="s">
        <v>124</v>
      </c>
      <c r="F17" s="53" t="s">
        <v>127</v>
      </c>
      <c r="G17" s="54">
        <f>C17*4</f>
        <v>0</v>
      </c>
      <c r="H17" s="51"/>
      <c r="I17" s="51"/>
      <c r="J17" s="54" t="str">
        <f>Deflatores!$G$4&amp;"="</f>
        <v>I=</v>
      </c>
      <c r="K17" s="64">
        <f>SUMIF(Funções!$J$8:$J$806,"SE"&amp;Deflatores!$G$4,Funções!$L$8:$L$806)</f>
        <v>60</v>
      </c>
      <c r="L17" s="56"/>
    </row>
    <row r="18" spans="1:12" ht="13.5" x14ac:dyDescent="0.25">
      <c r="A18" s="57"/>
      <c r="B18" s="51"/>
      <c r="C18" s="54">
        <f>COUNTIF(Funções!G8:G806,"SEA")</f>
        <v>12</v>
      </c>
      <c r="D18" s="51"/>
      <c r="E18" s="53" t="s">
        <v>126</v>
      </c>
      <c r="F18" s="53" t="s">
        <v>132</v>
      </c>
      <c r="G18" s="54">
        <f>C18*5</f>
        <v>60</v>
      </c>
      <c r="H18" s="51"/>
      <c r="I18" s="51"/>
      <c r="J18" s="54" t="str">
        <f>Deflatores!$G$5&amp;"="</f>
        <v>A=</v>
      </c>
      <c r="K18" s="64">
        <f>SUMIF(Funções!$J$8:$J$806,"SE"&amp;Deflatores!$G$5,Funções!$L$8:$L$806)</f>
        <v>0</v>
      </c>
      <c r="L18" s="56"/>
    </row>
    <row r="19" spans="1:12" ht="13.5" x14ac:dyDescent="0.25">
      <c r="A19" s="57"/>
      <c r="B19" s="51"/>
      <c r="C19" s="54">
        <f>COUNTIF(Funções!G8:G806,"SEH")</f>
        <v>0</v>
      </c>
      <c r="D19" s="51"/>
      <c r="E19" s="53" t="s">
        <v>128</v>
      </c>
      <c r="F19" s="53" t="s">
        <v>133</v>
      </c>
      <c r="G19" s="54">
        <f>C19*7</f>
        <v>0</v>
      </c>
      <c r="H19" s="51"/>
      <c r="I19" s="51"/>
      <c r="J19" s="54" t="str">
        <f>Deflatores!$G$6&amp;"="</f>
        <v>E=</v>
      </c>
      <c r="K19" s="64">
        <f>SUMIF(Funções!$J$8:$J$806,"SE"&amp;Deflatores!$G$6,Funções!$L$8:$L$806)</f>
        <v>0</v>
      </c>
      <c r="L19" s="58"/>
    </row>
    <row r="20" spans="1:12" ht="13.5" x14ac:dyDescent="0.25">
      <c r="A20" s="57"/>
      <c r="B20" s="51"/>
      <c r="C20" s="51"/>
      <c r="D20" s="51"/>
      <c r="E20" s="51"/>
      <c r="F20" s="51"/>
      <c r="G20" s="51"/>
      <c r="H20" s="51"/>
      <c r="I20" s="51"/>
      <c r="J20" s="51"/>
      <c r="K20" s="59"/>
      <c r="L20" s="56"/>
    </row>
    <row r="21" spans="1:12" ht="13.5" x14ac:dyDescent="0.25">
      <c r="A21" s="57"/>
      <c r="B21" s="60" t="s">
        <v>130</v>
      </c>
      <c r="C21" s="52">
        <f>SUM(C17:C19)</f>
        <v>12</v>
      </c>
      <c r="D21" s="51"/>
      <c r="E21" s="51"/>
      <c r="F21" s="60" t="s">
        <v>131</v>
      </c>
      <c r="G21" s="52">
        <f>SUM(G17:G19)</f>
        <v>60</v>
      </c>
      <c r="H21" s="34">
        <f>IF($G$45&lt;&gt;0,G21/$G$45,"")</f>
        <v>0.12875536480686695</v>
      </c>
      <c r="I21" s="61"/>
      <c r="J21" s="54"/>
      <c r="K21" s="55">
        <f>SUM(K17:K20)</f>
        <v>60</v>
      </c>
      <c r="L21" s="36">
        <f>IF('Sumário 2'!L11&lt;&gt;0,K21/'Sumário 2'!L11,"")</f>
        <v>0.12875536480686695</v>
      </c>
    </row>
    <row r="22" spans="1:12" ht="6" customHeight="1" x14ac:dyDescent="0.25">
      <c r="A22" s="6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63"/>
    </row>
    <row r="23" spans="1:12" ht="6" customHeight="1" x14ac:dyDescent="0.25">
      <c r="A23" s="47"/>
      <c r="B23" s="48"/>
      <c r="C23" s="51"/>
      <c r="D23" s="48"/>
      <c r="E23" s="48"/>
      <c r="F23" s="48"/>
      <c r="G23" s="51"/>
      <c r="H23" s="48"/>
      <c r="I23" s="48"/>
      <c r="J23" s="48"/>
      <c r="K23" s="48"/>
      <c r="L23" s="49"/>
    </row>
    <row r="24" spans="1:12" ht="13.5" x14ac:dyDescent="0.25">
      <c r="A24" s="57"/>
      <c r="B24" s="51" t="s">
        <v>102</v>
      </c>
      <c r="C24" s="52">
        <f>COUNTIF(Funções!G8:G806,"CEL")</f>
        <v>0</v>
      </c>
      <c r="D24" s="51"/>
      <c r="E24" s="53" t="s">
        <v>124</v>
      </c>
      <c r="F24" s="53" t="s">
        <v>125</v>
      </c>
      <c r="G24" s="52">
        <f>C24*3</f>
        <v>0</v>
      </c>
      <c r="H24" s="51"/>
      <c r="I24" s="51"/>
      <c r="J24" s="54" t="str">
        <f>Deflatores!$G$4&amp;"="</f>
        <v>I=</v>
      </c>
      <c r="K24" s="55">
        <f>SUMIF(Funções!$J$8:$J$806,"CE"&amp;Deflatores!$G$4,Funções!$L$8:$L$806)</f>
        <v>220</v>
      </c>
      <c r="L24" s="56"/>
    </row>
    <row r="25" spans="1:12" ht="13.5" x14ac:dyDescent="0.25">
      <c r="A25" s="57"/>
      <c r="B25" s="51"/>
      <c r="C25" s="52">
        <f>COUNTIF(Funções!G8:G806,"CEA")</f>
        <v>55</v>
      </c>
      <c r="D25" s="51"/>
      <c r="E25" s="53" t="s">
        <v>126</v>
      </c>
      <c r="F25" s="53" t="s">
        <v>127</v>
      </c>
      <c r="G25" s="52">
        <f>C25*4</f>
        <v>220</v>
      </c>
      <c r="H25" s="51"/>
      <c r="I25" s="51"/>
      <c r="J25" s="54" t="str">
        <f>Deflatores!$G$5&amp;"="</f>
        <v>A=</v>
      </c>
      <c r="K25" s="55">
        <f>SUMIF(Funções!$J$8:$J$806,"CE"&amp;Deflatores!$G$5,Funções!$L$8:$L$806)</f>
        <v>0</v>
      </c>
      <c r="L25" s="56"/>
    </row>
    <row r="26" spans="1:12" ht="13.5" x14ac:dyDescent="0.25">
      <c r="A26" s="57"/>
      <c r="B26" s="51"/>
      <c r="C26" s="52">
        <f>COUNTIF(Funções!G8:G806,"CEH")</f>
        <v>0</v>
      </c>
      <c r="D26" s="51"/>
      <c r="E26" s="53" t="s">
        <v>128</v>
      </c>
      <c r="F26" s="53" t="s">
        <v>129</v>
      </c>
      <c r="G26" s="52">
        <f>C26*6</f>
        <v>0</v>
      </c>
      <c r="H26" s="51"/>
      <c r="I26" s="51"/>
      <c r="J26" s="54" t="str">
        <f>Deflatores!$G$6&amp;"="</f>
        <v>E=</v>
      </c>
      <c r="K26" s="55">
        <f>SUMIF(Funções!$J$8:$J$806,"CE"&amp;Deflatores!$G$6,Funções!$L$8:$L$806)</f>
        <v>0</v>
      </c>
      <c r="L26" s="58"/>
    </row>
    <row r="27" spans="1:12" ht="13.5" x14ac:dyDescent="0.25">
      <c r="A27" s="57"/>
      <c r="B27" s="51"/>
      <c r="C27" s="51"/>
      <c r="D27" s="51"/>
      <c r="E27" s="51"/>
      <c r="F27" s="51"/>
      <c r="G27" s="51"/>
      <c r="H27" s="51"/>
      <c r="I27" s="51"/>
      <c r="J27" s="51"/>
      <c r="K27" s="59"/>
      <c r="L27" s="56"/>
    </row>
    <row r="28" spans="1:12" ht="13.5" x14ac:dyDescent="0.25">
      <c r="A28" s="57"/>
      <c r="B28" s="60" t="s">
        <v>130</v>
      </c>
      <c r="C28" s="52">
        <f>SUM(C24:C26)</f>
        <v>55</v>
      </c>
      <c r="D28" s="51"/>
      <c r="E28" s="51"/>
      <c r="F28" s="60" t="s">
        <v>131</v>
      </c>
      <c r="G28" s="52">
        <f>SUM(G24:G26)</f>
        <v>220</v>
      </c>
      <c r="H28" s="34">
        <f>IF($G$45&lt;&gt;0,G28/$G$45,"")</f>
        <v>0.47210300429184548</v>
      </c>
      <c r="I28" s="61"/>
      <c r="J28" s="54"/>
      <c r="K28" s="55">
        <f>SUM(K24:K27)</f>
        <v>220</v>
      </c>
      <c r="L28" s="36">
        <f>IF('Sumário 2'!L11&lt;&gt;0,K28/'Sumário 2'!L11,"")</f>
        <v>0.47210300429184548</v>
      </c>
    </row>
    <row r="29" spans="1:12" ht="6" customHeight="1" x14ac:dyDescent="0.25">
      <c r="A29" s="62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63"/>
    </row>
    <row r="30" spans="1:12" ht="6" customHeight="1" x14ac:dyDescent="0.25">
      <c r="A30" s="47"/>
      <c r="B30" s="48"/>
      <c r="C30" s="51"/>
      <c r="D30" s="48"/>
      <c r="E30" s="48"/>
      <c r="F30" s="48"/>
      <c r="G30" s="51"/>
      <c r="H30" s="48"/>
      <c r="I30" s="48"/>
      <c r="J30" s="48"/>
      <c r="K30" s="48"/>
      <c r="L30" s="49"/>
    </row>
    <row r="31" spans="1:12" ht="13.5" x14ac:dyDescent="0.25">
      <c r="A31" s="57"/>
      <c r="B31" s="51" t="s">
        <v>98</v>
      </c>
      <c r="C31" s="52">
        <f>COUNTIF(Funções!G8:G806,"ALIL")</f>
        <v>8</v>
      </c>
      <c r="D31" s="51"/>
      <c r="E31" s="51" t="s">
        <v>124</v>
      </c>
      <c r="F31" s="51" t="s">
        <v>133</v>
      </c>
      <c r="G31" s="52">
        <f>C31*7</f>
        <v>56</v>
      </c>
      <c r="H31" s="51"/>
      <c r="I31" s="51"/>
      <c r="J31" s="54" t="str">
        <f>Deflatores!$G$4&amp;"="</f>
        <v>I=</v>
      </c>
      <c r="K31" s="55">
        <f>SUMIF(Funções!$J$8:$J$806,"ALI"&amp;Deflatores!$G$4,Funções!$L$8:$L$806)</f>
        <v>56</v>
      </c>
      <c r="L31" s="56"/>
    </row>
    <row r="32" spans="1:12" ht="13.5" x14ac:dyDescent="0.25">
      <c r="A32" s="57"/>
      <c r="B32" s="51"/>
      <c r="C32" s="52">
        <f>COUNTIF(Funções!G8:G806,"ALIA")</f>
        <v>0</v>
      </c>
      <c r="D32" s="51"/>
      <c r="E32" s="51" t="s">
        <v>126</v>
      </c>
      <c r="F32" s="51" t="s">
        <v>134</v>
      </c>
      <c r="G32" s="52">
        <f>C32*10</f>
        <v>0</v>
      </c>
      <c r="H32" s="51"/>
      <c r="I32" s="51"/>
      <c r="J32" s="54" t="str">
        <f>Deflatores!$G$5&amp;"="</f>
        <v>A=</v>
      </c>
      <c r="K32" s="55">
        <f>SUMIF(Funções!$J$8:$J$806,"ALI"&amp;Deflatores!$G$5,Funções!$L$8:$L$806)</f>
        <v>0</v>
      </c>
      <c r="L32" s="56"/>
    </row>
    <row r="33" spans="1:12" ht="13.5" x14ac:dyDescent="0.25">
      <c r="A33" s="57"/>
      <c r="B33" s="51"/>
      <c r="C33" s="52">
        <f>COUNTIF(Funções!G8:G806,"ALIH")</f>
        <v>0</v>
      </c>
      <c r="D33" s="51"/>
      <c r="E33" s="51" t="s">
        <v>128</v>
      </c>
      <c r="F33" s="51" t="s">
        <v>135</v>
      </c>
      <c r="G33" s="52">
        <f>C33*15</f>
        <v>0</v>
      </c>
      <c r="H33" s="51"/>
      <c r="I33" s="51"/>
      <c r="J33" s="54" t="str">
        <f>Deflatores!$G$6&amp;"="</f>
        <v>E=</v>
      </c>
      <c r="K33" s="55">
        <f>SUMIF(Funções!$J$8:$J$806,"ALI"&amp;Deflatores!$G$6,Funções!$L$8:$L$806)</f>
        <v>0</v>
      </c>
      <c r="L33" s="58"/>
    </row>
    <row r="34" spans="1:12" ht="13.5" x14ac:dyDescent="0.25">
      <c r="A34" s="57"/>
      <c r="B34" s="51"/>
      <c r="C34" s="51"/>
      <c r="D34" s="51"/>
      <c r="E34" s="51"/>
      <c r="F34" s="51"/>
      <c r="G34" s="51"/>
      <c r="H34" s="51"/>
      <c r="I34" s="51"/>
      <c r="J34" s="51"/>
      <c r="K34" s="59"/>
      <c r="L34" s="56"/>
    </row>
    <row r="35" spans="1:12" ht="13.5" x14ac:dyDescent="0.25">
      <c r="A35" s="57"/>
      <c r="B35" s="60" t="s">
        <v>130</v>
      </c>
      <c r="C35" s="52">
        <f>SUM(C31:C33)</f>
        <v>8</v>
      </c>
      <c r="D35" s="51"/>
      <c r="E35" s="51"/>
      <c r="F35" s="60" t="s">
        <v>131</v>
      </c>
      <c r="G35" s="52">
        <f>SUM(G31:G33)</f>
        <v>56</v>
      </c>
      <c r="H35" s="34">
        <f>IF($G$45&lt;&gt;0,G35/$G$45,"")</f>
        <v>0.12017167381974249</v>
      </c>
      <c r="I35" s="61"/>
      <c r="J35" s="54"/>
      <c r="K35" s="55">
        <f>SUM(K31:K34)</f>
        <v>56</v>
      </c>
      <c r="L35" s="36">
        <f>IF('Sumário 2'!L11&lt;&gt;0,K35/'Sumário 2'!L11,"")</f>
        <v>0.12017167381974249</v>
      </c>
    </row>
    <row r="36" spans="1:12" ht="6" customHeight="1" x14ac:dyDescent="0.25">
      <c r="A36" s="62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63"/>
    </row>
    <row r="37" spans="1:12" ht="6" customHeight="1" x14ac:dyDescent="0.25">
      <c r="A37" s="47"/>
      <c r="B37" s="48"/>
      <c r="C37" s="51"/>
      <c r="D37" s="48"/>
      <c r="E37" s="48"/>
      <c r="F37" s="48"/>
      <c r="G37" s="51"/>
      <c r="H37" s="48"/>
      <c r="I37" s="48"/>
      <c r="J37" s="48"/>
      <c r="K37" s="48"/>
      <c r="L37" s="49"/>
    </row>
    <row r="38" spans="1:12" ht="13.5" x14ac:dyDescent="0.25">
      <c r="A38" s="57"/>
      <c r="B38" s="51" t="s">
        <v>99</v>
      </c>
      <c r="C38" s="52">
        <f>COUNTIF(Funções!G8:G806,"AIEL")</f>
        <v>2</v>
      </c>
      <c r="D38" s="51"/>
      <c r="E38" s="51" t="s">
        <v>124</v>
      </c>
      <c r="F38" s="51" t="s">
        <v>132</v>
      </c>
      <c r="G38" s="52">
        <f>C38*5</f>
        <v>10</v>
      </c>
      <c r="H38" s="51"/>
      <c r="I38" s="51"/>
      <c r="J38" s="54" t="str">
        <f>Deflatores!$G$4&amp;"="</f>
        <v>I=</v>
      </c>
      <c r="K38" s="55">
        <f>SUMIF(Funções!$J$8:$J$806,"AIE"&amp;Deflatores!$G$4,Funções!$L$8:$L$806)</f>
        <v>10</v>
      </c>
      <c r="L38" s="56"/>
    </row>
    <row r="39" spans="1:12" ht="13.5" x14ac:dyDescent="0.25">
      <c r="A39" s="57"/>
      <c r="B39" s="51"/>
      <c r="C39" s="52">
        <f>COUNTIF(Funções!G8:G806,"AIEA")</f>
        <v>0</v>
      </c>
      <c r="D39" s="51"/>
      <c r="E39" s="51" t="s">
        <v>126</v>
      </c>
      <c r="F39" s="51" t="s">
        <v>133</v>
      </c>
      <c r="G39" s="52">
        <f>C39*7</f>
        <v>0</v>
      </c>
      <c r="H39" s="51"/>
      <c r="I39" s="51"/>
      <c r="J39" s="54" t="str">
        <f>Deflatores!$G$5&amp;"="</f>
        <v>A=</v>
      </c>
      <c r="K39" s="55">
        <f>SUMIF(Funções!$J$8:$J$806,"AIE"&amp;Deflatores!$G$5,Funções!$L$8:$L$806)</f>
        <v>0</v>
      </c>
      <c r="L39" s="56"/>
    </row>
    <row r="40" spans="1:12" ht="13.5" x14ac:dyDescent="0.25">
      <c r="A40" s="57"/>
      <c r="B40" s="51"/>
      <c r="C40" s="52">
        <f>COUNTIF(Funções!G8:G806,"AIEH")</f>
        <v>0</v>
      </c>
      <c r="D40" s="51"/>
      <c r="E40" s="51" t="s">
        <v>128</v>
      </c>
      <c r="F40" s="51" t="s">
        <v>134</v>
      </c>
      <c r="G40" s="52">
        <f>C40*10</f>
        <v>0</v>
      </c>
      <c r="H40" s="51"/>
      <c r="I40" s="51"/>
      <c r="J40" s="54" t="str">
        <f>Deflatores!$G$6&amp;"="</f>
        <v>E=</v>
      </c>
      <c r="K40" s="55">
        <f>SUMIF(Funções!$J$8:$J$806,"AIE"&amp;Deflatores!$G$6,Funções!$L$8:$L$806)</f>
        <v>0</v>
      </c>
      <c r="L40" s="58"/>
    </row>
    <row r="41" spans="1:12" ht="13.5" x14ac:dyDescent="0.25">
      <c r="A41" s="57"/>
      <c r="B41" s="51"/>
      <c r="C41" s="51"/>
      <c r="D41" s="51"/>
      <c r="E41" s="51"/>
      <c r="F41" s="51"/>
      <c r="G41" s="51"/>
      <c r="H41" s="51"/>
      <c r="I41" s="51"/>
      <c r="J41" s="51"/>
      <c r="K41" s="65"/>
      <c r="L41" s="56"/>
    </row>
    <row r="42" spans="1:12" ht="13.5" x14ac:dyDescent="0.25">
      <c r="A42" s="57"/>
      <c r="B42" s="60" t="s">
        <v>130</v>
      </c>
      <c r="C42" s="52">
        <f>SUM(C38:C40)</f>
        <v>2</v>
      </c>
      <c r="D42" s="51"/>
      <c r="E42" s="51"/>
      <c r="F42" s="60" t="s">
        <v>131</v>
      </c>
      <c r="G42" s="52">
        <f>SUM(G38:G40)</f>
        <v>10</v>
      </c>
      <c r="H42" s="34">
        <f>IF($G$45&lt;&gt;0,G42/$G$45,"")</f>
        <v>2.1459227467811159E-2</v>
      </c>
      <c r="I42" s="61"/>
      <c r="J42" s="54"/>
      <c r="K42" s="55">
        <f>SUM(K38:K41)</f>
        <v>10</v>
      </c>
      <c r="L42" s="36">
        <f>IF('Sumário 2'!L11&lt;&gt;0,K42/'Sumário 2'!L11,"")</f>
        <v>2.1459227467811159E-2</v>
      </c>
    </row>
    <row r="43" spans="1:12" ht="6" customHeight="1" x14ac:dyDescent="0.25">
      <c r="A43" s="62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63"/>
    </row>
    <row r="44" spans="1:12" ht="6" customHeight="1" x14ac:dyDescent="0.25">
      <c r="A44" s="57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6"/>
    </row>
    <row r="45" spans="1:12" ht="13.5" x14ac:dyDescent="0.25">
      <c r="A45" s="57"/>
      <c r="B45" s="171" t="s">
        <v>136</v>
      </c>
      <c r="C45" s="171"/>
      <c r="D45" s="171"/>
      <c r="E45" s="171"/>
      <c r="F45" s="171"/>
      <c r="G45" s="52">
        <f>SUM(G14+G21+G28+G35+G42)</f>
        <v>466</v>
      </c>
      <c r="H45" s="51"/>
      <c r="I45" s="51"/>
      <c r="J45" s="51"/>
      <c r="K45" s="51"/>
      <c r="L45" s="56"/>
    </row>
    <row r="46" spans="1:12" ht="13.5" x14ac:dyDescent="0.25">
      <c r="A46" s="57"/>
      <c r="B46" s="171" t="s">
        <v>137</v>
      </c>
      <c r="C46" s="171"/>
      <c r="D46" s="171"/>
      <c r="E46" s="171"/>
      <c r="F46" s="171"/>
      <c r="G46" s="52">
        <f>(C10+C11+C12)*4+(C17+C18+C19)*5+(C24+C25+C26)*4+(C31+C32+C33)*7+(C38+C39+C40)*5</f>
        <v>466</v>
      </c>
      <c r="H46" s="51"/>
      <c r="I46" s="51"/>
      <c r="J46" s="51"/>
      <c r="K46" s="51"/>
      <c r="L46" s="56"/>
    </row>
    <row r="47" spans="1:12" ht="13.5" x14ac:dyDescent="0.25">
      <c r="A47" s="57"/>
      <c r="B47" s="171" t="s">
        <v>138</v>
      </c>
      <c r="C47" s="171"/>
      <c r="D47" s="171"/>
      <c r="E47" s="171"/>
      <c r="F47" s="171"/>
      <c r="G47" s="52">
        <f>(C31+C32+C33)*35+(C38+C39+C40)*15</f>
        <v>310</v>
      </c>
      <c r="H47" s="51"/>
      <c r="I47" s="51"/>
      <c r="J47" s="51"/>
      <c r="K47" s="51"/>
      <c r="L47" s="56"/>
    </row>
    <row r="48" spans="1:12" ht="13.5" x14ac:dyDescent="0.25">
      <c r="A48" s="57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6"/>
    </row>
    <row r="49" spans="1:12" ht="13.5" x14ac:dyDescent="0.25">
      <c r="A49" s="57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6"/>
    </row>
    <row r="50" spans="1:12" ht="13.5" x14ac:dyDescent="0.25">
      <c r="A50" s="57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6"/>
    </row>
    <row r="51" spans="1:12" ht="13.5" x14ac:dyDescent="0.25">
      <c r="A51" s="57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6"/>
    </row>
    <row r="52" spans="1:12" ht="13.5" x14ac:dyDescent="0.25">
      <c r="A52" s="66"/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8"/>
    </row>
  </sheetData>
  <sheetProtection selectLockedCells="1" selectUnlockedCells="1"/>
  <mergeCells count="16">
    <mergeCell ref="B45:F45"/>
    <mergeCell ref="B46:F46"/>
    <mergeCell ref="B47:F47"/>
    <mergeCell ref="A7:B8"/>
    <mergeCell ref="C7:F8"/>
    <mergeCell ref="G7:G8"/>
    <mergeCell ref="H7:H8"/>
    <mergeCell ref="J7:K8"/>
    <mergeCell ref="L7:L8"/>
    <mergeCell ref="A1:L3"/>
    <mergeCell ref="A4:E4"/>
    <mergeCell ref="F4:L4"/>
    <mergeCell ref="A5:E5"/>
    <mergeCell ref="F5:L5"/>
    <mergeCell ref="A6:E6"/>
    <mergeCell ref="F6:L6"/>
  </mergeCells>
  <pageMargins left="0.51180555555555551" right="0.51180555555555551" top="0.78749999999999998" bottom="0.78749999999999998" header="0.51180555555555551" footer="0.31527777777777777"/>
  <pageSetup paperSize="9" firstPageNumber="0" orientation="portrait" horizontalDpi="300" verticalDpi="300" r:id="rId1"/>
  <headerFooter alignWithMargins="0">
    <oddFooter>&amp;CPágina &amp;P de &amp;N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5"/>
  <dimension ref="A1:M70"/>
  <sheetViews>
    <sheetView showGridLines="0" view="pageBreakPreview" zoomScaleSheetLayoutView="100" workbookViewId="0">
      <pane ySplit="6" topLeftCell="A28" activePane="bottomLeft" state="frozen"/>
      <selection activeCell="B11" sqref="B11"/>
      <selection pane="bottomLeft" activeCell="A7" sqref="A7"/>
    </sheetView>
  </sheetViews>
  <sheetFormatPr defaultColWidth="11.5703125" defaultRowHeight="12.75" x14ac:dyDescent="0.2"/>
  <cols>
    <col min="1" max="1" width="3.140625" customWidth="1"/>
    <col min="2" max="2" width="32.5703125" customWidth="1"/>
    <col min="3" max="3" width="36.42578125" customWidth="1"/>
    <col min="4" max="4" width="7" customWidth="1"/>
    <col min="5" max="5" width="9.85546875" customWidth="1"/>
    <col min="6" max="6" width="9.28515625" customWidth="1"/>
    <col min="7" max="8" width="12.28515625" customWidth="1"/>
    <col min="9" max="9" width="12.5703125" customWidth="1"/>
    <col min="10" max="10" width="7.5703125" customWidth="1"/>
    <col min="11" max="11" width="2.140625" customWidth="1"/>
    <col min="12" max="12" width="13.5703125" customWidth="1"/>
    <col min="13" max="13" width="1.85546875" customWidth="1"/>
  </cols>
  <sheetData>
    <row r="1" spans="1:13" x14ac:dyDescent="0.2">
      <c r="A1" s="138" t="s">
        <v>139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</row>
    <row r="2" spans="1:13" x14ac:dyDescent="0.2">
      <c r="A2" s="138"/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</row>
    <row r="3" spans="1:13" x14ac:dyDescent="0.2">
      <c r="A3" s="138"/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</row>
    <row r="4" spans="1:13" x14ac:dyDescent="0.2">
      <c r="A4" s="170" t="str">
        <f>Contagem!A5&amp;" : "&amp;Contagem!F5</f>
        <v>Aplicação : Sistema de Inovação</v>
      </c>
      <c r="B4" s="170"/>
      <c r="C4" s="170"/>
      <c r="D4" s="170"/>
      <c r="E4" s="170"/>
      <c r="F4" s="152" t="str">
        <f>Contagem!A8&amp;" : "&amp;Contagem!F8</f>
        <v>Projeto : Sistema de Inovação</v>
      </c>
      <c r="G4" s="152"/>
      <c r="H4" s="152"/>
      <c r="I4" s="152"/>
      <c r="J4" s="152"/>
      <c r="K4" s="152"/>
      <c r="L4" s="152"/>
      <c r="M4" s="152"/>
    </row>
    <row r="5" spans="1:13" x14ac:dyDescent="0.2">
      <c r="A5" s="174" t="str">
        <f>Contagem!A9&amp;" : "&amp;Contagem!F9</f>
        <v>Responsável : Jonathas Gomes Marques</v>
      </c>
      <c r="B5" s="174"/>
      <c r="C5" s="174"/>
      <c r="D5" s="174"/>
      <c r="E5" s="174"/>
      <c r="F5" s="152" t="str">
        <f>Contagem!A10&amp;" : "&amp;Contagem!F10</f>
        <v xml:space="preserve">Revisor : </v>
      </c>
      <c r="G5" s="152"/>
      <c r="H5" s="152"/>
      <c r="I5" s="152"/>
      <c r="J5" s="152"/>
      <c r="K5" s="152"/>
      <c r="L5" s="152"/>
      <c r="M5" s="152"/>
    </row>
    <row r="6" spans="1:13" x14ac:dyDescent="0.2">
      <c r="A6" s="174" t="str">
        <f>Contagem!A4&amp;" : "&amp;Contagem!F4</f>
        <v>Empresa : Secretaria de Estado de Planejamento e Gestão de Mato Grosso</v>
      </c>
      <c r="B6" s="174"/>
      <c r="C6" s="174"/>
      <c r="D6" s="174"/>
      <c r="E6" s="174"/>
      <c r="F6" s="152" t="str">
        <f>"Tipo de Contagem : "&amp;Contagem!F6</f>
        <v>Tipo de Contagem : Aplicação</v>
      </c>
      <c r="G6" s="152"/>
      <c r="H6" s="152"/>
      <c r="I6" s="152"/>
      <c r="J6" s="152"/>
      <c r="K6" s="152"/>
      <c r="L6" s="152"/>
      <c r="M6" s="152"/>
    </row>
    <row r="7" spans="1:13" x14ac:dyDescent="0.2">
      <c r="A7" s="84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85"/>
    </row>
    <row r="8" spans="1:13" ht="13.5" x14ac:dyDescent="0.25">
      <c r="A8" s="84"/>
      <c r="B8" s="175"/>
      <c r="C8" s="175"/>
      <c r="D8" s="175"/>
      <c r="E8" s="175"/>
      <c r="F8" s="175"/>
      <c r="G8" s="175"/>
      <c r="H8" s="175"/>
      <c r="I8" s="175"/>
      <c r="J8" s="61"/>
      <c r="K8" s="61"/>
      <c r="L8" s="61"/>
      <c r="M8" s="85"/>
    </row>
    <row r="9" spans="1:13" ht="13.5" x14ac:dyDescent="0.25">
      <c r="A9" s="84"/>
      <c r="B9" s="176" t="s">
        <v>140</v>
      </c>
      <c r="C9" s="176"/>
      <c r="D9" s="176"/>
      <c r="E9" s="37" t="s">
        <v>101</v>
      </c>
      <c r="F9" s="37" t="s">
        <v>2</v>
      </c>
      <c r="G9" s="37" t="s">
        <v>141</v>
      </c>
      <c r="H9" s="37" t="s">
        <v>142</v>
      </c>
      <c r="I9" s="37" t="s">
        <v>4</v>
      </c>
      <c r="J9" s="37" t="s">
        <v>143</v>
      </c>
      <c r="K9" s="61"/>
      <c r="L9" s="61"/>
      <c r="M9" s="85"/>
    </row>
    <row r="10" spans="1:13" ht="13.5" customHeight="1" x14ac:dyDescent="0.25">
      <c r="A10" s="84"/>
      <c r="B10" s="136" t="str">
        <f>""&amp;Deflatores!B4</f>
        <v>Inclusão</v>
      </c>
      <c r="C10" s="136"/>
      <c r="D10" s="25" t="str">
        <f>""&amp;Deflatores!G4</f>
        <v>I</v>
      </c>
      <c r="E10" s="108">
        <f>IF(D10="","",COUNTIF(Funções!C$8:C$806,D10))</f>
        <v>107</v>
      </c>
      <c r="F10" s="109">
        <f>SUMIF(Funções!$C$8:$C$806,Deflatores!G4,Funções!$H$8:$H$806)</f>
        <v>466</v>
      </c>
      <c r="G10" s="110">
        <f>IF(ISBLANK(Deflatores!H4),"",Deflatores!H4)</f>
        <v>1</v>
      </c>
      <c r="H10" s="109" t="str">
        <f>IF(ISBLANK(Deflatores!I4),"",Deflatores!I4)</f>
        <v/>
      </c>
      <c r="I10" s="111">
        <f>IF(F10=0,Deflatores!K4,F10*G10)</f>
        <v>466</v>
      </c>
      <c r="J10" s="112">
        <f t="shared" ref="J10:J44" si="0">IF($L$11&lt;&gt;0,I10/$L$11,"")</f>
        <v>1</v>
      </c>
      <c r="K10" s="61"/>
      <c r="L10" s="42" t="s">
        <v>4</v>
      </c>
      <c r="M10" s="56"/>
    </row>
    <row r="11" spans="1:13" ht="13.5" customHeight="1" x14ac:dyDescent="0.25">
      <c r="A11" s="84"/>
      <c r="B11" s="136" t="str">
        <f>""&amp;Deflatores!B5</f>
        <v>Alteração (sem conhecimento do Fator de Impacto)</v>
      </c>
      <c r="C11" s="136"/>
      <c r="D11" s="25" t="str">
        <f>""&amp;Deflatores!G5</f>
        <v>A</v>
      </c>
      <c r="E11" s="108">
        <f>IF(D11="","",COUNTIF(Funções!C$8:C$806,D11))</f>
        <v>0</v>
      </c>
      <c r="F11" s="109">
        <f>SUMIF(Funções!$C$8:$C$806,Deflatores!G5,Funções!$H$8:$H$806)</f>
        <v>0</v>
      </c>
      <c r="G11" s="110">
        <f>IF(ISBLANK(Deflatores!H5),"",Deflatores!H5)</f>
        <v>0.5</v>
      </c>
      <c r="H11" s="109" t="str">
        <f>IF(ISBLANK(Deflatores!I5),"",Deflatores!I5)</f>
        <v/>
      </c>
      <c r="I11" s="111">
        <f>IF(F11=0,Deflatores!K5,F11*G11)</f>
        <v>0</v>
      </c>
      <c r="J11" s="112">
        <f t="shared" si="0"/>
        <v>0</v>
      </c>
      <c r="K11" s="96"/>
      <c r="L11" s="43">
        <f>Contagem!Q6</f>
        <v>466</v>
      </c>
      <c r="M11" s="56"/>
    </row>
    <row r="12" spans="1:13" ht="13.5" customHeight="1" x14ac:dyDescent="0.25">
      <c r="A12" s="84"/>
      <c r="B12" s="136" t="str">
        <f>""&amp;Deflatores!B6</f>
        <v>Exclusão</v>
      </c>
      <c r="C12" s="136"/>
      <c r="D12" s="25" t="str">
        <f>""&amp;Deflatores!G6</f>
        <v>E</v>
      </c>
      <c r="E12" s="108">
        <f>IF(D12="","",COUNTIF(Funções!C$8:C$806,D12))</f>
        <v>0</v>
      </c>
      <c r="F12" s="109">
        <f>SUMIF(Funções!$C$8:$C$806,Deflatores!G6,Funções!$H$8:$H$806)</f>
        <v>0</v>
      </c>
      <c r="G12" s="110">
        <f>IF(ISBLANK(Deflatores!H6),"",Deflatores!H6)</f>
        <v>0.4</v>
      </c>
      <c r="H12" s="109" t="str">
        <f>IF(ISBLANK(Deflatores!I6),"",Deflatores!I6)</f>
        <v/>
      </c>
      <c r="I12" s="111">
        <f>IF(F12=0,Deflatores!K6,F12*G12)</f>
        <v>0</v>
      </c>
      <c r="J12" s="112">
        <f t="shared" si="0"/>
        <v>0</v>
      </c>
      <c r="K12" s="96"/>
      <c r="L12" s="97"/>
      <c r="M12" s="56"/>
    </row>
    <row r="13" spans="1:13" ht="13.5" customHeight="1" x14ac:dyDescent="0.25">
      <c r="A13" s="84"/>
      <c r="B13" s="136" t="str">
        <f>""&amp;Deflatores!B7</f>
        <v>Alteração (50%) de função desenvolvida ou já alterada pela empresa atual</v>
      </c>
      <c r="C13" s="136"/>
      <c r="D13" s="25" t="str">
        <f>""&amp;Deflatores!G7</f>
        <v>A50</v>
      </c>
      <c r="E13" s="108">
        <f>IF(D13="","",COUNTIF(Funções!C$8:C$806,D13))</f>
        <v>0</v>
      </c>
      <c r="F13" s="109">
        <f>SUMIF(Funções!$C$8:$C$806,Deflatores!G7,Funções!$H$8:$H$806)</f>
        <v>0</v>
      </c>
      <c r="G13" s="110">
        <f>IF(ISBLANK(Deflatores!H7),"",Deflatores!H7)</f>
        <v>0.5</v>
      </c>
      <c r="H13" s="109" t="str">
        <f>IF(ISBLANK(Deflatores!I7),"",Deflatores!I7)</f>
        <v/>
      </c>
      <c r="I13" s="111">
        <f>Deflatores!K7</f>
        <v>0</v>
      </c>
      <c r="J13" s="112">
        <f t="shared" si="0"/>
        <v>0</v>
      </c>
      <c r="K13" s="96"/>
      <c r="L13" s="42" t="s">
        <v>144</v>
      </c>
      <c r="M13" s="56"/>
    </row>
    <row r="14" spans="1:13" ht="13.5" customHeight="1" x14ac:dyDescent="0.25">
      <c r="A14" s="84"/>
      <c r="B14" s="136" t="str">
        <f>""&amp;Deflatores!B8</f>
        <v>Alteração (75%) de função não desenv. e ainda não alterada pela empresa atual</v>
      </c>
      <c r="C14" s="136"/>
      <c r="D14" s="25" t="str">
        <f>""&amp;Deflatores!G8</f>
        <v>A75</v>
      </c>
      <c r="E14" s="108">
        <f>IF(D14="","",COUNTIF(Funções!C$8:C$806,D14))</f>
        <v>0</v>
      </c>
      <c r="F14" s="109">
        <f>SUMIF(Funções!$C$8:$C$806,Deflatores!G8,Funções!$H$8:$H$806)</f>
        <v>0</v>
      </c>
      <c r="G14" s="110">
        <f>IF(ISBLANK(Deflatores!H8),"",Deflatores!H8)</f>
        <v>0.75</v>
      </c>
      <c r="H14" s="109" t="str">
        <f>IF(ISBLANK(Deflatores!I8),"",Deflatores!I8)</f>
        <v/>
      </c>
      <c r="I14" s="111">
        <f>Deflatores!K8</f>
        <v>0</v>
      </c>
      <c r="J14" s="112">
        <f t="shared" si="0"/>
        <v>0</v>
      </c>
      <c r="K14" s="61"/>
      <c r="L14" s="43">
        <f>Contagem!Q4</f>
        <v>466</v>
      </c>
      <c r="M14" s="56"/>
    </row>
    <row r="15" spans="1:13" ht="13.5" customHeight="1" x14ac:dyDescent="0.2">
      <c r="A15" s="84"/>
      <c r="B15" s="136" t="str">
        <f>""&amp;Deflatores!B9</f>
        <v>Alteração (75%+15%): o mesmo acima + redocumentar a função</v>
      </c>
      <c r="C15" s="136"/>
      <c r="D15" s="25" t="str">
        <f>""&amp;Deflatores!G9</f>
        <v>A90</v>
      </c>
      <c r="E15" s="108">
        <f>IF(D15="","",COUNTIF(Funções!C$8:C$806,D15))</f>
        <v>0</v>
      </c>
      <c r="F15" s="109">
        <f>SUMIF(Funções!$C$8:$C$806,Deflatores!G9,Funções!$H$8:$H$806)</f>
        <v>0</v>
      </c>
      <c r="G15" s="110">
        <f>IF(ISBLANK(Deflatores!H9),"",Deflatores!H9)</f>
        <v>0.9</v>
      </c>
      <c r="H15" s="109" t="str">
        <f>IF(ISBLANK(Deflatores!I9),"",Deflatores!I9)</f>
        <v/>
      </c>
      <c r="I15" s="111">
        <f>Deflatores!K9</f>
        <v>0</v>
      </c>
      <c r="J15" s="112">
        <f t="shared" si="0"/>
        <v>0</v>
      </c>
      <c r="K15" s="61"/>
      <c r="L15" s="61"/>
      <c r="M15" s="85"/>
    </row>
    <row r="16" spans="1:13" ht="13.5" customHeight="1" x14ac:dyDescent="0.2">
      <c r="A16" s="84"/>
      <c r="B16" s="136" t="str">
        <f>""&amp;Deflatores!B10</f>
        <v>Migração de Dados</v>
      </c>
      <c r="C16" s="136"/>
      <c r="D16" s="25" t="str">
        <f>""&amp;Deflatores!G10</f>
        <v>PMD</v>
      </c>
      <c r="E16" s="108">
        <f>IF(D16="","",COUNTIF(Funções!C$8:C$806,D16))</f>
        <v>0</v>
      </c>
      <c r="F16" s="109">
        <f>SUMIF(Funções!$C$8:$C$806,Deflatores!G10,Funções!$H$8:$H$806)</f>
        <v>0</v>
      </c>
      <c r="G16" s="110">
        <f>IF(ISBLANK(Deflatores!H10),"",Deflatores!H10)</f>
        <v>1</v>
      </c>
      <c r="H16" s="109" t="str">
        <f>IF(ISBLANK(Deflatores!I10),"",Deflatores!I10)</f>
        <v/>
      </c>
      <c r="I16" s="111">
        <f>Deflatores!K10</f>
        <v>0</v>
      </c>
      <c r="J16" s="112">
        <f t="shared" si="0"/>
        <v>0</v>
      </c>
      <c r="K16" s="61"/>
      <c r="L16" s="61"/>
      <c r="M16" s="85"/>
    </row>
    <row r="17" spans="1:13" ht="13.5" customHeight="1" x14ac:dyDescent="0.2">
      <c r="A17" s="84"/>
      <c r="B17" s="136" t="str">
        <f>""&amp;Deflatores!B11</f>
        <v>Corretiva (sem conhecimento do Fator de Impacto)</v>
      </c>
      <c r="C17" s="136"/>
      <c r="D17" s="25" t="str">
        <f>""&amp;Deflatores!G11</f>
        <v>COR</v>
      </c>
      <c r="E17" s="108">
        <f>IF(D17="","",COUNTIF(Funções!C$8:C$806,D17))</f>
        <v>0</v>
      </c>
      <c r="F17" s="109">
        <f>SUMIF(Funções!$C$8:$C$806,Deflatores!G11,Funções!$H$8:$H$806)</f>
        <v>0</v>
      </c>
      <c r="G17" s="110">
        <f>IF(ISBLANK(Deflatores!H11),"",Deflatores!H11)</f>
        <v>0.5</v>
      </c>
      <c r="H17" s="109" t="str">
        <f>IF(ISBLANK(Deflatores!I11),"",Deflatores!I11)</f>
        <v/>
      </c>
      <c r="I17" s="111">
        <f>Deflatores!K11</f>
        <v>0</v>
      </c>
      <c r="J17" s="112">
        <f>IF($L$11&lt;&gt;0,I17/$L$11,"")</f>
        <v>0</v>
      </c>
      <c r="K17" s="61"/>
      <c r="L17" s="61"/>
      <c r="M17" s="85"/>
    </row>
    <row r="18" spans="1:13" ht="13.5" customHeight="1" x14ac:dyDescent="0.2">
      <c r="A18" s="84"/>
      <c r="B18" s="136" t="str">
        <f>""&amp;Deflatores!B12</f>
        <v>Corretiva (50%) - Fora da garantia (mesma empresa)</v>
      </c>
      <c r="C18" s="136"/>
      <c r="D18" s="25" t="str">
        <f>""&amp;Deflatores!G12</f>
        <v>COR50</v>
      </c>
      <c r="E18" s="108">
        <f>IF(D18="","",COUNTIF(Funções!C$8:C$806,D18))</f>
        <v>0</v>
      </c>
      <c r="F18" s="109">
        <f>SUMIF(Funções!$C$8:$C$806,Deflatores!G12,Funções!$H$8:$H$806)</f>
        <v>0</v>
      </c>
      <c r="G18" s="110">
        <f>IF(ISBLANK(Deflatores!H12),"",Deflatores!H12)</f>
        <v>0.5</v>
      </c>
      <c r="H18" s="109" t="str">
        <f>IF(ISBLANK(Deflatores!I12),"",Deflatores!I12)</f>
        <v/>
      </c>
      <c r="I18" s="111">
        <f>Deflatores!K12</f>
        <v>0</v>
      </c>
      <c r="J18" s="112">
        <f t="shared" si="0"/>
        <v>0</v>
      </c>
      <c r="K18" s="61"/>
      <c r="L18" s="61"/>
      <c r="M18" s="85"/>
    </row>
    <row r="19" spans="1:13" ht="13.5" customHeight="1" x14ac:dyDescent="0.2">
      <c r="A19" s="84"/>
      <c r="B19" s="136" t="str">
        <f>""&amp;Deflatores!B13</f>
        <v>Corretiva (75%) - Fora da garantia (outra empresa)</v>
      </c>
      <c r="C19" s="136"/>
      <c r="D19" s="25" t="str">
        <f>""&amp;Deflatores!G13</f>
        <v>COR75</v>
      </c>
      <c r="E19" s="108">
        <f>IF(D19="","",COUNTIF(Funções!C$8:C$806,D19))</f>
        <v>0</v>
      </c>
      <c r="F19" s="109">
        <f>SUMIF(Funções!$C$8:$C$806,Deflatores!G13,Funções!$H$8:$H$806)</f>
        <v>0</v>
      </c>
      <c r="G19" s="110">
        <f>IF(ISBLANK(Deflatores!H13),"",Deflatores!H13)</f>
        <v>0.75</v>
      </c>
      <c r="H19" s="109" t="str">
        <f>IF(ISBLANK(Deflatores!I13),"",Deflatores!I13)</f>
        <v/>
      </c>
      <c r="I19" s="111">
        <f>Deflatores!K13</f>
        <v>0</v>
      </c>
      <c r="J19" s="112">
        <f t="shared" si="0"/>
        <v>0</v>
      </c>
      <c r="K19" s="61"/>
      <c r="L19" s="61"/>
      <c r="M19" s="85"/>
    </row>
    <row r="20" spans="1:13" ht="13.5" customHeight="1" x14ac:dyDescent="0.2">
      <c r="A20" s="84"/>
      <c r="B20" s="136" t="str">
        <f>""&amp;Deflatores!B14</f>
        <v>Corretiva (75%+15%) - Fora da garantia (outra empresa) + Redocumentação</v>
      </c>
      <c r="C20" s="136"/>
      <c r="D20" s="25" t="str">
        <f>""&amp;Deflatores!G14</f>
        <v>COR90</v>
      </c>
      <c r="E20" s="108">
        <f>IF(D20="","",COUNTIF(Funções!C$8:C$806,D20))</f>
        <v>0</v>
      </c>
      <c r="F20" s="109">
        <f>SUMIF(Funções!$C$8:$C$806,Deflatores!G14,Funções!$H$8:$H$806)</f>
        <v>0</v>
      </c>
      <c r="G20" s="110">
        <f>IF(ISBLANK(Deflatores!H14),"",Deflatores!H14)</f>
        <v>0.9</v>
      </c>
      <c r="H20" s="109" t="str">
        <f>IF(ISBLANK(Deflatores!I14),"",Deflatores!I14)</f>
        <v/>
      </c>
      <c r="I20" s="111">
        <f>Deflatores!K14</f>
        <v>0</v>
      </c>
      <c r="J20" s="112">
        <f>IF($L$11&lt;&gt;0,I20/$L$11,"")</f>
        <v>0</v>
      </c>
      <c r="K20" s="61"/>
      <c r="L20" s="61"/>
      <c r="M20" s="85"/>
    </row>
    <row r="21" spans="1:13" ht="13.5" customHeight="1" x14ac:dyDescent="0.2">
      <c r="A21" s="84"/>
      <c r="B21" s="136" t="str">
        <f>""&amp;Deflatores!B15</f>
        <v>Corretiva em Garantia</v>
      </c>
      <c r="C21" s="136"/>
      <c r="D21" s="25" t="str">
        <f>""&amp;Deflatores!G15</f>
        <v>GAR</v>
      </c>
      <c r="E21" s="108">
        <f>IF(D21="","",COUNTIF(Funções!C$8:C$806,D21))</f>
        <v>0</v>
      </c>
      <c r="F21" s="109">
        <f>SUMIF(Funções!$C$8:$C$806,Deflatores!G15,Funções!$H$8:$H$806)</f>
        <v>0</v>
      </c>
      <c r="G21" s="110">
        <f>IF(ISBLANK(Deflatores!H15),"",Deflatores!H15)</f>
        <v>0</v>
      </c>
      <c r="H21" s="109" t="str">
        <f>IF(ISBLANK(Deflatores!I15),"",Deflatores!I15)</f>
        <v/>
      </c>
      <c r="I21" s="111">
        <f>Deflatores!K15</f>
        <v>0</v>
      </c>
      <c r="J21" s="112">
        <f>IF($L$11&lt;&gt;0,I21/$L$11,"")</f>
        <v>0</v>
      </c>
      <c r="K21" s="61"/>
      <c r="L21" s="61"/>
      <c r="M21" s="85"/>
    </row>
    <row r="22" spans="1:13" ht="13.5" customHeight="1" x14ac:dyDescent="0.2">
      <c r="A22" s="84"/>
      <c r="B22" s="136" t="str">
        <f>""&amp;Deflatores!B16</f>
        <v>Mudança de Plataforma - Linguagem de Programação</v>
      </c>
      <c r="C22" s="136"/>
      <c r="D22" s="25" t="str">
        <f>""&amp;Deflatores!G16</f>
        <v>MLP</v>
      </c>
      <c r="E22" s="108">
        <f>IF(D22="","",COUNTIF(Funções!C$8:C$806,D22))</f>
        <v>0</v>
      </c>
      <c r="F22" s="109">
        <f>SUMIF(Funções!$C$8:$C$806,Deflatores!G16,Funções!$H$8:$H$806)</f>
        <v>0</v>
      </c>
      <c r="G22" s="110">
        <f>IF(ISBLANK(Deflatores!H16),"",Deflatores!H16)</f>
        <v>1</v>
      </c>
      <c r="H22" s="109" t="str">
        <f>IF(ISBLANK(Deflatores!I16),"",Deflatores!I16)</f>
        <v/>
      </c>
      <c r="I22" s="111">
        <f>Deflatores!K16</f>
        <v>0</v>
      </c>
      <c r="J22" s="112">
        <f t="shared" si="0"/>
        <v>0</v>
      </c>
      <c r="K22" s="61"/>
      <c r="L22" s="61"/>
      <c r="M22" s="85"/>
    </row>
    <row r="23" spans="1:13" ht="13.5" customHeight="1" x14ac:dyDescent="0.2">
      <c r="A23" s="84"/>
      <c r="B23" s="136" t="str">
        <f>""&amp;Deflatores!B17</f>
        <v>Mudança de Plataforma - Banco de Dados (outro paradigma)</v>
      </c>
      <c r="C23" s="136"/>
      <c r="D23" s="25" t="str">
        <f>""&amp;Deflatores!G17</f>
        <v>MBO</v>
      </c>
      <c r="E23" s="108">
        <f>IF(D23="","",COUNTIF(Funções!C$8:C$806,D23))</f>
        <v>0</v>
      </c>
      <c r="F23" s="109">
        <f>SUMIF(Funções!$C$8:$C$806,Deflatores!G17,Funções!$H$8:$H$806)</f>
        <v>0</v>
      </c>
      <c r="G23" s="110">
        <f>IF(ISBLANK(Deflatores!H17),"",Deflatores!H17)</f>
        <v>1</v>
      </c>
      <c r="H23" s="109" t="str">
        <f>IF(ISBLANK(Deflatores!I17),"",Deflatores!I17)</f>
        <v/>
      </c>
      <c r="I23" s="111">
        <f>Deflatores!K17</f>
        <v>0</v>
      </c>
      <c r="J23" s="112">
        <f t="shared" si="0"/>
        <v>0</v>
      </c>
      <c r="K23" s="61"/>
      <c r="L23" s="61"/>
      <c r="M23" s="85"/>
    </row>
    <row r="24" spans="1:13" ht="13.5" customHeight="1" x14ac:dyDescent="0.2">
      <c r="A24" s="84"/>
      <c r="B24" s="136" t="str">
        <f>""&amp;Deflatores!B18</f>
        <v>Mudança de Plataforma - Banco de Dados (mesmo paradigma com alterações)</v>
      </c>
      <c r="C24" s="136"/>
      <c r="D24" s="25" t="str">
        <f>""&amp;Deflatores!G18</f>
        <v>MBM</v>
      </c>
      <c r="E24" s="108">
        <f>IF(D24="","",COUNTIF(Funções!C$8:C$806,D24))</f>
        <v>0</v>
      </c>
      <c r="F24" s="109">
        <f>SUMIF(Funções!$C$8:$C$806,Deflatores!G18,Funções!$H$8:$H$806)</f>
        <v>0</v>
      </c>
      <c r="G24" s="110">
        <f>IF(ISBLANK(Deflatores!H18),"",Deflatores!H18)</f>
        <v>0.3</v>
      </c>
      <c r="H24" s="109" t="str">
        <f>IF(ISBLANK(Deflatores!I18),"",Deflatores!I18)</f>
        <v/>
      </c>
      <c r="I24" s="111">
        <f>Deflatores!K18</f>
        <v>0</v>
      </c>
      <c r="J24" s="112">
        <f t="shared" si="0"/>
        <v>0</v>
      </c>
      <c r="K24" s="96"/>
      <c r="L24" s="61"/>
      <c r="M24" s="85"/>
    </row>
    <row r="25" spans="1:13" ht="13.5" customHeight="1" x14ac:dyDescent="0.2">
      <c r="A25" s="84"/>
      <c r="B25" s="136" t="str">
        <f>""&amp;Deflatores!B19</f>
        <v>Atualização de Versão – Linguagem de Programação</v>
      </c>
      <c r="C25" s="136"/>
      <c r="D25" s="25" t="str">
        <f>""&amp;Deflatores!G19</f>
        <v>ALP</v>
      </c>
      <c r="E25" s="108">
        <f>IF(D25="","",COUNTIF(Funções!C$8:C$806,D25))</f>
        <v>0</v>
      </c>
      <c r="F25" s="109">
        <f>SUMIF(Funções!$C$8:$C$806,Deflatores!G19,Funções!$H$8:$H$806)</f>
        <v>0</v>
      </c>
      <c r="G25" s="110">
        <f>IF(ISBLANK(Deflatores!H19),"",Deflatores!H19)</f>
        <v>0.3</v>
      </c>
      <c r="H25" s="109" t="str">
        <f>IF(ISBLANK(Deflatores!I19),"",Deflatores!I19)</f>
        <v/>
      </c>
      <c r="I25" s="111">
        <f>Deflatores!K19</f>
        <v>0</v>
      </c>
      <c r="J25" s="112">
        <f t="shared" si="0"/>
        <v>0</v>
      </c>
      <c r="K25" s="96"/>
      <c r="L25" s="61"/>
      <c r="M25" s="85"/>
    </row>
    <row r="26" spans="1:13" ht="13.5" customHeight="1" x14ac:dyDescent="0.2">
      <c r="A26" s="84"/>
      <c r="B26" s="136" t="str">
        <f>""&amp;Deflatores!B20</f>
        <v>Atualização de Versão – Browser</v>
      </c>
      <c r="C26" s="136"/>
      <c r="D26" s="25" t="str">
        <f>""&amp;Deflatores!G20</f>
        <v>AVB</v>
      </c>
      <c r="E26" s="108">
        <f>IF(D26="","",COUNTIF(Funções!C$8:C$806,D26))</f>
        <v>0</v>
      </c>
      <c r="F26" s="109">
        <f>SUMIF(Funções!$C$8:$C$806,Deflatores!G20,Funções!$H$8:$H$806)</f>
        <v>0</v>
      </c>
      <c r="G26" s="110">
        <f>IF(ISBLANK(Deflatores!H20),"",Deflatores!H20)</f>
        <v>0.3</v>
      </c>
      <c r="H26" s="109" t="str">
        <f>IF(ISBLANK(Deflatores!I20),"",Deflatores!I20)</f>
        <v/>
      </c>
      <c r="I26" s="111">
        <f>Deflatores!K20</f>
        <v>0</v>
      </c>
      <c r="J26" s="112">
        <f t="shared" si="0"/>
        <v>0</v>
      </c>
      <c r="K26" s="96"/>
      <c r="L26" s="61"/>
      <c r="M26" s="85"/>
    </row>
    <row r="27" spans="1:13" ht="13.5" customHeight="1" x14ac:dyDescent="0.2">
      <c r="A27" s="84"/>
      <c r="B27" s="136" t="str">
        <f>""&amp;Deflatores!B21</f>
        <v>Atualização de Versão – Banco de Dados</v>
      </c>
      <c r="C27" s="136"/>
      <c r="D27" s="25" t="str">
        <f>""&amp;Deflatores!G21</f>
        <v>ABD</v>
      </c>
      <c r="E27" s="108">
        <f>IF(D27="","",COUNTIF(Funções!C$8:C$806,D27))</f>
        <v>0</v>
      </c>
      <c r="F27" s="109">
        <f>SUMIF(Funções!$C$8:$C$806,Deflatores!G21,Funções!$H$8:$H$806)</f>
        <v>0</v>
      </c>
      <c r="G27" s="110">
        <f>IF(ISBLANK(Deflatores!H21),"",Deflatores!H21)</f>
        <v>0.3</v>
      </c>
      <c r="H27" s="109" t="str">
        <f>IF(ISBLANK(Deflatores!I21),"",Deflatores!I21)</f>
        <v/>
      </c>
      <c r="I27" s="111">
        <f>Deflatores!K21</f>
        <v>0</v>
      </c>
      <c r="J27" s="112">
        <f t="shared" si="0"/>
        <v>0</v>
      </c>
      <c r="K27" s="96"/>
      <c r="L27" s="61"/>
      <c r="M27" s="85"/>
    </row>
    <row r="28" spans="1:13" ht="13.5" customHeight="1" x14ac:dyDescent="0.2">
      <c r="A28" s="84"/>
      <c r="B28" s="136" t="str">
        <f>""&amp;Deflatores!B22</f>
        <v>Manutenção Cosmética</v>
      </c>
      <c r="C28" s="136"/>
      <c r="D28" s="25" t="str">
        <f>""&amp;Deflatores!G22</f>
        <v>COS</v>
      </c>
      <c r="E28" s="108">
        <f>IF(D28="","",COUNTIF(Funções!C$8:C$806,D28))</f>
        <v>0</v>
      </c>
      <c r="F28" s="109">
        <f>SUMIF(Funções!$C$8:$C$806,Deflatores!G22,Funções!$H$8:$H$806)</f>
        <v>0</v>
      </c>
      <c r="G28" s="110" t="str">
        <f>IF(ISBLANK(Deflatores!H22),"",Deflatores!H22)</f>
        <v/>
      </c>
      <c r="H28" s="109">
        <f>IF(ISBLANK(Deflatores!I22),"",Deflatores!I22)</f>
        <v>0.6</v>
      </c>
      <c r="I28" s="111">
        <f>Deflatores!K22</f>
        <v>0</v>
      </c>
      <c r="J28" s="112">
        <f t="shared" si="0"/>
        <v>0</v>
      </c>
      <c r="K28" s="61"/>
      <c r="L28" s="61"/>
      <c r="M28" s="85"/>
    </row>
    <row r="29" spans="1:13" ht="27" customHeight="1" x14ac:dyDescent="0.2">
      <c r="A29" s="84"/>
      <c r="B29" s="161" t="str">
        <f>""&amp;Deflatores!B23</f>
        <v>Adaptação em Funcionalidades sem Alteração de Requisitos Funcionais
(sem conhecimento do Fator de Impacto)</v>
      </c>
      <c r="C29" s="163"/>
      <c r="D29" s="25" t="str">
        <f>""&amp;Deflatores!G23</f>
        <v>ARN</v>
      </c>
      <c r="E29" s="108">
        <f>IF(D29="","",COUNTIF(Funções!C$8:C$806,D29))</f>
        <v>0</v>
      </c>
      <c r="F29" s="109">
        <f>SUMIF(Funções!$C$8:$C$806,Deflatores!G23,Funções!$H$8:$H$806)</f>
        <v>0</v>
      </c>
      <c r="G29" s="110">
        <f>IF(ISBLANK(Deflatores!H23),"",Deflatores!H23)</f>
        <v>0.5</v>
      </c>
      <c r="H29" s="109" t="str">
        <f>IF(ISBLANK(Deflatores!I23),"",Deflatores!I23)</f>
        <v/>
      </c>
      <c r="I29" s="111">
        <f>Deflatores!K23</f>
        <v>0</v>
      </c>
      <c r="J29" s="112">
        <f>IF($L$11&lt;&gt;0,I29/$L$11,"")</f>
        <v>0</v>
      </c>
      <c r="K29" s="61"/>
      <c r="L29" s="61"/>
      <c r="M29" s="85"/>
    </row>
    <row r="30" spans="1:13" ht="27" customHeight="1" x14ac:dyDescent="0.2">
      <c r="A30" s="84"/>
      <c r="B30" s="161" t="str">
        <f>""&amp;Deflatores!B24</f>
        <v>Adaptação em Funcionalidades sem Alteração de Requisitos Funcionais (50%)
(em função desenvolvida ou já alterada pela empresa atual)</v>
      </c>
      <c r="C30" s="163"/>
      <c r="D30" s="25" t="str">
        <f>""&amp;Deflatores!G24</f>
        <v>ARN50</v>
      </c>
      <c r="E30" s="108">
        <f>IF(D30="","",COUNTIF(Funções!C$8:C$806,D30))</f>
        <v>0</v>
      </c>
      <c r="F30" s="109">
        <f>SUMIF(Funções!$C$8:$C$806,Deflatores!G24,Funções!$H$8:$H$806)</f>
        <v>0</v>
      </c>
      <c r="G30" s="110">
        <f>IF(ISBLANK(Deflatores!H24),"",Deflatores!H24)</f>
        <v>0.5</v>
      </c>
      <c r="H30" s="109" t="str">
        <f>IF(ISBLANK(Deflatores!I24),"",Deflatores!I24)</f>
        <v/>
      </c>
      <c r="I30" s="111">
        <f>Deflatores!K24</f>
        <v>0</v>
      </c>
      <c r="J30" s="112">
        <f t="shared" si="0"/>
        <v>0</v>
      </c>
      <c r="K30" s="61"/>
      <c r="L30" s="61"/>
      <c r="M30" s="85"/>
    </row>
    <row r="31" spans="1:13" ht="27" customHeight="1" x14ac:dyDescent="0.2">
      <c r="A31" s="84"/>
      <c r="B31" s="161" t="str">
        <f>""&amp;Deflatores!B25</f>
        <v>Adaptação em Funcionalidades sem Alteração de Requisitos Funcionais (75%)
(em função não desenvolvida e ainda não alterada pela empresa atual)</v>
      </c>
      <c r="C31" s="163"/>
      <c r="D31" s="25" t="str">
        <f>""&amp;Deflatores!G25</f>
        <v>ARN75</v>
      </c>
      <c r="E31" s="108">
        <f>IF(D31="","",COUNTIF(Funções!C$8:C$806,D31))</f>
        <v>0</v>
      </c>
      <c r="F31" s="109">
        <f>SUMIF(Funções!$C$8:$C$806,Deflatores!G25,Funções!$H$8:$H$806)</f>
        <v>0</v>
      </c>
      <c r="G31" s="110">
        <f>IF(ISBLANK(Deflatores!H25),"",Deflatores!H25)</f>
        <v>0.75</v>
      </c>
      <c r="H31" s="109" t="str">
        <f>IF(ISBLANK(Deflatores!I25),"",Deflatores!I25)</f>
        <v/>
      </c>
      <c r="I31" s="111">
        <f>Deflatores!K25</f>
        <v>0</v>
      </c>
      <c r="J31" s="112">
        <f t="shared" si="0"/>
        <v>0</v>
      </c>
      <c r="K31" s="61"/>
      <c r="L31" s="61"/>
      <c r="M31" s="85"/>
    </row>
    <row r="32" spans="1:13" ht="13.5" customHeight="1" x14ac:dyDescent="0.2">
      <c r="A32" s="84"/>
      <c r="B32" s="136" t="str">
        <f>""&amp;Deflatores!B26</f>
        <v>Atualização de Dados sem Consulta Prévia</v>
      </c>
      <c r="C32" s="136"/>
      <c r="D32" s="25" t="str">
        <f>""&amp;Deflatores!G26</f>
        <v>ADS</v>
      </c>
      <c r="E32" s="108">
        <f>IF(D32="","",COUNTIF(Funções!C$8:C$806,D32))</f>
        <v>0</v>
      </c>
      <c r="F32" s="109">
        <f>SUMIF(Funções!$C$8:$C$806,Deflatores!G26,Funções!$H$8:$H$806)</f>
        <v>0</v>
      </c>
      <c r="G32" s="110">
        <f>IF(ISBLANK(Deflatores!H26),"",Deflatores!H26)</f>
        <v>1</v>
      </c>
      <c r="H32" s="109" t="str">
        <f>IF(ISBLANK(Deflatores!I26),"",Deflatores!I26)</f>
        <v/>
      </c>
      <c r="I32" s="111">
        <f>Deflatores!K26</f>
        <v>0</v>
      </c>
      <c r="J32" s="112">
        <f t="shared" si="0"/>
        <v>0</v>
      </c>
      <c r="K32" s="61"/>
      <c r="L32" s="61"/>
      <c r="M32" s="85"/>
    </row>
    <row r="33" spans="1:13" ht="13.5" customHeight="1" x14ac:dyDescent="0.2">
      <c r="A33" s="84"/>
      <c r="B33" s="136" t="str">
        <f>""&amp;Deflatores!B27</f>
        <v>Consulta Prévia sem Atualização</v>
      </c>
      <c r="C33" s="136"/>
      <c r="D33" s="25" t="str">
        <f>""&amp;Deflatores!G27</f>
        <v>CPA</v>
      </c>
      <c r="E33" s="108">
        <f>IF(D33="","",COUNTIF(Funções!C$8:C$806,D33))</f>
        <v>0</v>
      </c>
      <c r="F33" s="109">
        <f>SUMIF(Funções!$C$8:$C$806,Deflatores!G27,Funções!$H$8:$H$806)</f>
        <v>0</v>
      </c>
      <c r="G33" s="110">
        <f>IF(ISBLANK(Deflatores!H27),"",Deflatores!H27)</f>
        <v>1</v>
      </c>
      <c r="H33" s="109" t="str">
        <f>IF(ISBLANK(Deflatores!I27),"",Deflatores!I27)</f>
        <v/>
      </c>
      <c r="I33" s="111">
        <f>Deflatores!K27</f>
        <v>0</v>
      </c>
      <c r="J33" s="112">
        <f t="shared" si="0"/>
        <v>0</v>
      </c>
      <c r="K33" s="61"/>
      <c r="L33" s="61"/>
      <c r="M33" s="85"/>
    </row>
    <row r="34" spans="1:13" ht="13.5" customHeight="1" x14ac:dyDescent="0.2">
      <c r="A34" s="84"/>
      <c r="B34" s="136" t="str">
        <f>""&amp;Deflatores!B28</f>
        <v>Atualização de Dados com Consulta Prévia</v>
      </c>
      <c r="C34" s="136"/>
      <c r="D34" s="25" t="str">
        <f>""&amp;Deflatores!G28</f>
        <v>ADC</v>
      </c>
      <c r="E34" s="108">
        <f>IF(D34="","",COUNTIF(Funções!C$8:C$806,D34))</f>
        <v>0</v>
      </c>
      <c r="F34" s="109">
        <f>SUMIF(Funções!$C$8:$C$806,Deflatores!G28,Funções!$H$8:$H$806)</f>
        <v>0</v>
      </c>
      <c r="G34" s="110">
        <f>IF(ISBLANK(Deflatores!H28),"",Deflatores!H28)</f>
        <v>0.6</v>
      </c>
      <c r="H34" s="109" t="str">
        <f>IF(ISBLANK(Deflatores!I28),"",Deflatores!I28)</f>
        <v/>
      </c>
      <c r="I34" s="111">
        <f>Deflatores!K28</f>
        <v>0</v>
      </c>
      <c r="J34" s="112">
        <f t="shared" si="0"/>
        <v>0</v>
      </c>
      <c r="K34" s="61"/>
      <c r="L34" s="61"/>
      <c r="M34" s="85"/>
    </row>
    <row r="35" spans="1:13" ht="13.5" customHeight="1" x14ac:dyDescent="0.2">
      <c r="A35" s="84"/>
      <c r="B35" s="136" t="str">
        <f>""&amp;Deflatores!B29</f>
        <v>Apuração Especial – Geração de Relatórios</v>
      </c>
      <c r="C35" s="136"/>
      <c r="D35" s="25" t="str">
        <f>""&amp;Deflatores!G29</f>
        <v>AGR</v>
      </c>
      <c r="E35" s="108">
        <f>IF(D35="","",COUNTIF(Funções!C$8:C$806,D35))</f>
        <v>0</v>
      </c>
      <c r="F35" s="109">
        <f>SUMIF(Funções!$C$8:$C$806,Deflatores!G29,Funções!$H$8:$H$806)</f>
        <v>0</v>
      </c>
      <c r="G35" s="110">
        <f>IF(ISBLANK(Deflatores!H29),"",Deflatores!H29)</f>
        <v>1</v>
      </c>
      <c r="H35" s="109" t="str">
        <f>IF(ISBLANK(Deflatores!I29),"",Deflatores!I29)</f>
        <v/>
      </c>
      <c r="I35" s="111">
        <f>Deflatores!K29</f>
        <v>0</v>
      </c>
      <c r="J35" s="112">
        <f t="shared" si="0"/>
        <v>0</v>
      </c>
      <c r="K35" s="61"/>
      <c r="L35" s="61"/>
      <c r="M35" s="85"/>
    </row>
    <row r="36" spans="1:13" ht="13.5" customHeight="1" x14ac:dyDescent="0.2">
      <c r="A36" s="84"/>
      <c r="B36" s="136" t="str">
        <f>""&amp;Deflatores!B30</f>
        <v>Apuração Especial – Reexecução</v>
      </c>
      <c r="C36" s="136"/>
      <c r="D36" s="25" t="str">
        <f>""&amp;Deflatores!G30</f>
        <v>AER</v>
      </c>
      <c r="E36" s="108">
        <f>IF(D36="","",COUNTIF(Funções!C$8:C$806,D36))</f>
        <v>0</v>
      </c>
      <c r="F36" s="109">
        <f>SUMIF(Funções!$C$8:$C$806,Deflatores!G30,Funções!$H$8:$H$806)</f>
        <v>0</v>
      </c>
      <c r="G36" s="110">
        <f>IF(ISBLANK(Deflatores!H30),"",Deflatores!H30)</f>
        <v>0.1</v>
      </c>
      <c r="H36" s="109" t="str">
        <f>IF(ISBLANK(Deflatores!I30),"",Deflatores!I30)</f>
        <v/>
      </c>
      <c r="I36" s="111">
        <f>Deflatores!K30</f>
        <v>0</v>
      </c>
      <c r="J36" s="112">
        <f t="shared" si="0"/>
        <v>0</v>
      </c>
      <c r="K36" s="61"/>
      <c r="L36" s="61"/>
      <c r="M36" s="85"/>
    </row>
    <row r="37" spans="1:13" ht="13.5" customHeight="1" x14ac:dyDescent="0.2">
      <c r="A37" s="84"/>
      <c r="B37" s="136" t="str">
        <f>""&amp;Deflatores!B31</f>
        <v>Atualização de Dados</v>
      </c>
      <c r="C37" s="136"/>
      <c r="D37" s="25" t="str">
        <f>""&amp;Deflatores!G31</f>
        <v>ATD</v>
      </c>
      <c r="E37" s="108">
        <f>IF(D37="","",COUNTIF(Funções!C$8:C$806,D37))</f>
        <v>0</v>
      </c>
      <c r="F37" s="109">
        <f>SUMIF(Funções!$C$8:$C$806,Deflatores!G31,Funções!$H$8:$H$806)</f>
        <v>0</v>
      </c>
      <c r="G37" s="110">
        <f>IF(ISBLANK(Deflatores!H31),"",Deflatores!H31)</f>
        <v>0.1</v>
      </c>
      <c r="H37" s="109" t="str">
        <f>IF(ISBLANK(Deflatores!I31),"",Deflatores!I31)</f>
        <v/>
      </c>
      <c r="I37" s="111">
        <f>Deflatores!K31</f>
        <v>0</v>
      </c>
      <c r="J37" s="112">
        <f t="shared" si="0"/>
        <v>0</v>
      </c>
      <c r="K37" s="61"/>
      <c r="L37" s="61"/>
      <c r="M37" s="85"/>
    </row>
    <row r="38" spans="1:13" ht="13.5" customHeight="1" x14ac:dyDescent="0.2">
      <c r="A38" s="84"/>
      <c r="B38" s="136" t="str">
        <f>""&amp;Deflatores!B32</f>
        <v>Manutenção de Documentação de Sistemas Legados</v>
      </c>
      <c r="C38" s="136"/>
      <c r="D38" s="25" t="str">
        <f>""&amp;Deflatores!G32</f>
        <v>MSL</v>
      </c>
      <c r="E38" s="108">
        <f>IF(D38="","",COUNTIF(Funções!C$8:C$806,D38))</f>
        <v>0</v>
      </c>
      <c r="F38" s="109">
        <f>SUMIF(Funções!$C$8:$C$806,Deflatores!G32,Funções!$H$8:$H$806)</f>
        <v>0</v>
      </c>
      <c r="G38" s="110">
        <f>IF(ISBLANK(Deflatores!H32),"",Deflatores!H32)</f>
        <v>0.25</v>
      </c>
      <c r="H38" s="109" t="str">
        <f>IF(ISBLANK(Deflatores!I32),"",Deflatores!I32)</f>
        <v/>
      </c>
      <c r="I38" s="111">
        <f>Deflatores!K32</f>
        <v>0</v>
      </c>
      <c r="J38" s="112">
        <f>IF($L$11&lt;&gt;0,I38/$L$11,"")</f>
        <v>0</v>
      </c>
      <c r="K38" s="61"/>
      <c r="L38" s="61"/>
      <c r="M38" s="85"/>
    </row>
    <row r="39" spans="1:13" ht="13.5" customHeight="1" x14ac:dyDescent="0.2">
      <c r="A39" s="84"/>
      <c r="B39" s="136" t="str">
        <f>""&amp;Deflatores!B33</f>
        <v>Verificação de Erros (Sem Documentação de Teste existente)</v>
      </c>
      <c r="C39" s="136"/>
      <c r="D39" s="25" t="str">
        <f>""&amp;Deflatores!G33</f>
        <v>VES</v>
      </c>
      <c r="E39" s="108">
        <f>IF(D39="","",COUNTIF(Funções!C$8:C$806,D39))</f>
        <v>0</v>
      </c>
      <c r="F39" s="109">
        <f>SUMIF(Funções!$C$8:$C$806,Deflatores!G33,Funções!$H$8:$H$806)</f>
        <v>0</v>
      </c>
      <c r="G39" s="110">
        <f>IF(ISBLANK(Deflatores!H33),"",Deflatores!H33)</f>
        <v>0.2</v>
      </c>
      <c r="H39" s="109" t="str">
        <f>IF(ISBLANK(Deflatores!I33),"",Deflatores!I33)</f>
        <v/>
      </c>
      <c r="I39" s="111">
        <f>Deflatores!K33</f>
        <v>0</v>
      </c>
      <c r="J39" s="112">
        <f>IF($L$11&lt;&gt;0,I39/$L$11,"")</f>
        <v>0</v>
      </c>
      <c r="K39" s="61"/>
      <c r="L39" s="61"/>
      <c r="M39" s="85"/>
    </row>
    <row r="40" spans="1:13" ht="13.5" customHeight="1" x14ac:dyDescent="0.2">
      <c r="A40" s="84"/>
      <c r="B40" s="136" t="str">
        <f>""&amp;Deflatores!B34</f>
        <v>Verificação de Erros (Com Documentação de Teste existente)</v>
      </c>
      <c r="C40" s="136"/>
      <c r="D40" s="25" t="str">
        <f>""&amp;Deflatores!G34</f>
        <v>VEC</v>
      </c>
      <c r="E40" s="108">
        <f>IF(D40="","",COUNTIF(Funções!C$8:C$806,D40))</f>
        <v>0</v>
      </c>
      <c r="F40" s="109">
        <f>SUMIF(Funções!$C$8:$C$806,Deflatores!G34,Funções!$H$8:$H$806)</f>
        <v>0</v>
      </c>
      <c r="G40" s="110">
        <f>IF(ISBLANK(Deflatores!H34),"",Deflatores!H34)</f>
        <v>0.15</v>
      </c>
      <c r="H40" s="109" t="str">
        <f>IF(ISBLANK(Deflatores!I34),"",Deflatores!I34)</f>
        <v/>
      </c>
      <c r="I40" s="111">
        <f>Deflatores!K34</f>
        <v>0</v>
      </c>
      <c r="J40" s="112">
        <f>IF($L$11&lt;&gt;0,I40/$L$11,"")</f>
        <v>0</v>
      </c>
      <c r="K40" s="61"/>
      <c r="L40" s="61"/>
      <c r="M40" s="85"/>
    </row>
    <row r="41" spans="1:13" ht="13.5" customHeight="1" x14ac:dyDescent="0.2">
      <c r="A41" s="84"/>
      <c r="B41" s="136" t="str">
        <f>""&amp;Deflatores!B35</f>
        <v>Pontos de Função de Teste</v>
      </c>
      <c r="C41" s="136"/>
      <c r="D41" s="25" t="str">
        <f>""&amp;Deflatores!G35</f>
        <v>PFT</v>
      </c>
      <c r="E41" s="108">
        <f>IF(D41="","",COUNTIF(Funções!C$8:C$806,D41))</f>
        <v>0</v>
      </c>
      <c r="F41" s="109">
        <f>SUMIF(Funções!$C$8:$C$806,Deflatores!G35,Funções!$H$8:$H$806)</f>
        <v>0</v>
      </c>
      <c r="G41" s="110">
        <f>IF(ISBLANK(Deflatores!H35),"",Deflatores!H35)</f>
        <v>0.15</v>
      </c>
      <c r="H41" s="109" t="str">
        <f>IF(ISBLANK(Deflatores!I35),"",Deflatores!I35)</f>
        <v/>
      </c>
      <c r="I41" s="111">
        <f>Deflatores!K35</f>
        <v>0</v>
      </c>
      <c r="J41" s="112">
        <f>IF($L$11&lt;&gt;0,I41/$L$11,"")</f>
        <v>0</v>
      </c>
      <c r="K41" s="61"/>
      <c r="L41" s="61"/>
      <c r="M41" s="85"/>
    </row>
    <row r="42" spans="1:13" ht="13.5" customHeight="1" x14ac:dyDescent="0.2">
      <c r="A42" s="84"/>
      <c r="B42" s="136" t="str">
        <f>""&amp;Deflatores!B36</f>
        <v>Componente Interno Reusável</v>
      </c>
      <c r="C42" s="136"/>
      <c r="D42" s="25" t="str">
        <f>""&amp;Deflatores!G36</f>
        <v>CIR</v>
      </c>
      <c r="E42" s="108">
        <f>IF(D42="","",COUNTIF(Funções!C$8:C$806,D42))</f>
        <v>0</v>
      </c>
      <c r="F42" s="109">
        <f>SUMIF(Funções!$C$8:$C$806,Deflatores!G36,Funções!$H$8:$H$806)</f>
        <v>0</v>
      </c>
      <c r="G42" s="110">
        <f>IF(ISBLANK(Deflatores!H36),"",Deflatores!H36)</f>
        <v>1</v>
      </c>
      <c r="H42" s="109" t="str">
        <f>IF(ISBLANK(Deflatores!I36),"",Deflatores!I36)</f>
        <v/>
      </c>
      <c r="I42" s="111">
        <f>Deflatores!K36</f>
        <v>0</v>
      </c>
      <c r="J42" s="112">
        <f t="shared" si="0"/>
        <v>0</v>
      </c>
      <c r="K42" s="61"/>
      <c r="L42" s="61"/>
      <c r="M42" s="85"/>
    </row>
    <row r="43" spans="1:13" ht="13.5" customHeight="1" x14ac:dyDescent="0.2">
      <c r="A43" s="84"/>
      <c r="B43" s="136" t="str">
        <f>""&amp;Deflatores!B37</f>
        <v/>
      </c>
      <c r="C43" s="136"/>
      <c r="D43" s="25" t="str">
        <f>""&amp;Deflatores!G37</f>
        <v xml:space="preserve">           .</v>
      </c>
      <c r="E43" s="108">
        <f>IF(D43="","",COUNTIF(Funções!C$8:C$806,D43))</f>
        <v>0</v>
      </c>
      <c r="F43" s="109">
        <f>SUMIF(Funções!$C$8:$C$806,Deflatores!G37,Funções!$H$8:$H$806)</f>
        <v>0</v>
      </c>
      <c r="G43" s="110" t="str">
        <f>IF(ISBLANK(Deflatores!H37),"",Deflatores!H37)</f>
        <v/>
      </c>
      <c r="H43" s="109" t="str">
        <f>IF(ISBLANK(Deflatores!I37),"",Deflatores!I37)</f>
        <v/>
      </c>
      <c r="I43" s="111">
        <f>Deflatores!K37</f>
        <v>0</v>
      </c>
      <c r="J43" s="112">
        <f t="shared" si="0"/>
        <v>0</v>
      </c>
      <c r="K43" s="61"/>
      <c r="L43" s="61"/>
      <c r="M43" s="85"/>
    </row>
    <row r="44" spans="1:13" ht="13.5" customHeight="1" x14ac:dyDescent="0.2">
      <c r="A44" s="84"/>
      <c r="B44" s="136" t="str">
        <f>""&amp;Deflatores!B38</f>
        <v/>
      </c>
      <c r="C44" s="136"/>
      <c r="D44" s="25" t="str">
        <f>""&amp;Deflatores!G38</f>
        <v xml:space="preserve">           .</v>
      </c>
      <c r="E44" s="108">
        <f>IF(D44="","",COUNTIF(Funções!C$8:C$806,D44))</f>
        <v>0</v>
      </c>
      <c r="F44" s="109">
        <f>SUMIF(Funções!$C$8:$C$806,Deflatores!G38,Funções!$H$8:$H$806)</f>
        <v>0</v>
      </c>
      <c r="G44" s="110" t="str">
        <f>IF(ISBLANK(Deflatores!H38),"",Deflatores!H38)</f>
        <v/>
      </c>
      <c r="H44" s="109" t="str">
        <f>IF(ISBLANK(Deflatores!I38),"",Deflatores!I38)</f>
        <v/>
      </c>
      <c r="I44" s="111">
        <f>Deflatores!K38</f>
        <v>0</v>
      </c>
      <c r="J44" s="112">
        <f t="shared" si="0"/>
        <v>0</v>
      </c>
      <c r="K44" s="61"/>
      <c r="L44" s="61"/>
      <c r="M44" s="85"/>
    </row>
    <row r="45" spans="1:13" ht="13.5" x14ac:dyDescent="0.25">
      <c r="A45" s="84"/>
      <c r="B45" s="98"/>
      <c r="C45" s="99"/>
      <c r="D45" s="86"/>
      <c r="E45" s="82"/>
      <c r="F45" s="82"/>
      <c r="G45" s="100"/>
      <c r="H45" s="101"/>
      <c r="I45" s="102"/>
      <c r="J45" s="61"/>
      <c r="K45" s="61"/>
      <c r="L45" s="61"/>
      <c r="M45" s="85"/>
    </row>
    <row r="46" spans="1:13" ht="13.5" customHeight="1" x14ac:dyDescent="0.25">
      <c r="A46" s="84"/>
      <c r="B46" s="177" t="s">
        <v>145</v>
      </c>
      <c r="C46" s="177"/>
      <c r="D46" s="177"/>
      <c r="E46" s="45" t="s">
        <v>101</v>
      </c>
      <c r="F46" s="46"/>
      <c r="G46" s="44"/>
      <c r="H46" s="45" t="s">
        <v>142</v>
      </c>
      <c r="I46" s="45" t="s">
        <v>4</v>
      </c>
      <c r="J46" s="45" t="s">
        <v>143</v>
      </c>
      <c r="K46" s="61"/>
      <c r="L46" s="61"/>
      <c r="M46" s="85"/>
    </row>
    <row r="47" spans="1:13" ht="13.5" customHeight="1" x14ac:dyDescent="0.25">
      <c r="A47" s="84"/>
      <c r="B47" s="136" t="str">
        <f>""&amp;Deflatores!B42</f>
        <v>Páginas Estáticas</v>
      </c>
      <c r="C47" s="136"/>
      <c r="D47" s="38" t="str">
        <f>""&amp;Deflatores!G42</f>
        <v>PAG</v>
      </c>
      <c r="E47" s="39">
        <f>Deflatores!J42</f>
        <v>0</v>
      </c>
      <c r="F47" s="35"/>
      <c r="G47" s="35"/>
      <c r="H47" s="40">
        <f>IF(ISBLANK(Deflatores!H42),"",Deflatores!H42)</f>
        <v>0.6</v>
      </c>
      <c r="I47" s="40">
        <f t="shared" ref="I47:I69" si="1">IF(ISNUMBER(H47),E47*H47,"")</f>
        <v>0</v>
      </c>
      <c r="J47" s="41">
        <f t="shared" ref="J47:J69" si="2">IF(ISNUMBER(I47),IF($L$11&lt;&gt;0,I47/$L$11,""),"")</f>
        <v>0</v>
      </c>
      <c r="K47" s="61"/>
      <c r="L47" s="61"/>
      <c r="M47" s="85"/>
    </row>
    <row r="48" spans="1:13" ht="13.5" customHeight="1" x14ac:dyDescent="0.25">
      <c r="A48" s="84"/>
      <c r="B48" s="136" t="str">
        <f>""&amp;Deflatores!B43</f>
        <v>Manutenção Cosmética (atrelada a algo não funcional)</v>
      </c>
      <c r="C48" s="136"/>
      <c r="D48" s="38" t="str">
        <f>""&amp;Deflatores!G43</f>
        <v>COSNF</v>
      </c>
      <c r="E48" s="39">
        <f>Deflatores!J43</f>
        <v>0</v>
      </c>
      <c r="F48" s="35"/>
      <c r="G48" s="35"/>
      <c r="H48" s="40">
        <f>IF(ISBLANK(Deflatores!H43),"",Deflatores!H43)</f>
        <v>0.6</v>
      </c>
      <c r="I48" s="40">
        <f t="shared" si="1"/>
        <v>0</v>
      </c>
      <c r="J48" s="41">
        <f t="shared" si="2"/>
        <v>0</v>
      </c>
      <c r="K48" s="61"/>
      <c r="L48" s="61"/>
      <c r="M48" s="85"/>
    </row>
    <row r="49" spans="1:13" ht="13.5" x14ac:dyDescent="0.25">
      <c r="A49" s="84"/>
      <c r="B49" s="136" t="str">
        <f>""&amp;Deflatores!B44</f>
        <v>Dados de Código</v>
      </c>
      <c r="C49" s="136"/>
      <c r="D49" s="38" t="str">
        <f>""&amp;Deflatores!G44</f>
        <v>DC</v>
      </c>
      <c r="E49" s="39">
        <f>Deflatores!J44</f>
        <v>0</v>
      </c>
      <c r="F49" s="35"/>
      <c r="G49" s="35"/>
      <c r="H49" s="40">
        <f>IF(ISBLANK(Deflatores!H44),"",Deflatores!H44)</f>
        <v>0</v>
      </c>
      <c r="I49" s="40">
        <f t="shared" si="1"/>
        <v>0</v>
      </c>
      <c r="J49" s="41">
        <f t="shared" si="2"/>
        <v>0</v>
      </c>
      <c r="K49" s="61"/>
      <c r="L49" s="61"/>
      <c r="M49" s="85"/>
    </row>
    <row r="50" spans="1:13" ht="13.5" x14ac:dyDescent="0.25">
      <c r="A50" s="84"/>
      <c r="B50" s="136" t="str">
        <f>""&amp;Deflatores!B45</f>
        <v/>
      </c>
      <c r="C50" s="136"/>
      <c r="D50" s="38" t="str">
        <f>""&amp;Deflatores!G45</f>
        <v xml:space="preserve">           .</v>
      </c>
      <c r="E50" s="39">
        <f>Deflatores!J45</f>
        <v>0</v>
      </c>
      <c r="F50" s="35"/>
      <c r="G50" s="35"/>
      <c r="H50" s="40" t="str">
        <f>IF(ISBLANK(Deflatores!H45),"",Deflatores!H45)</f>
        <v/>
      </c>
      <c r="I50" s="40" t="str">
        <f t="shared" si="1"/>
        <v/>
      </c>
      <c r="J50" s="41" t="str">
        <f t="shared" si="2"/>
        <v/>
      </c>
      <c r="K50" s="61"/>
      <c r="L50" s="61"/>
      <c r="M50" s="85"/>
    </row>
    <row r="51" spans="1:13" ht="13.5" x14ac:dyDescent="0.25">
      <c r="A51" s="84"/>
      <c r="B51" s="136" t="str">
        <f>""&amp;Deflatores!B46</f>
        <v/>
      </c>
      <c r="C51" s="136"/>
      <c r="D51" s="38" t="str">
        <f>""&amp;Deflatores!G46</f>
        <v xml:space="preserve">           .</v>
      </c>
      <c r="E51" s="39">
        <f>Deflatores!J46</f>
        <v>0</v>
      </c>
      <c r="F51" s="35"/>
      <c r="G51" s="35"/>
      <c r="H51" s="40" t="str">
        <f>IF(ISBLANK(Deflatores!H46),"",Deflatores!H46)</f>
        <v/>
      </c>
      <c r="I51" s="40" t="str">
        <f t="shared" si="1"/>
        <v/>
      </c>
      <c r="J51" s="41" t="str">
        <f t="shared" si="2"/>
        <v/>
      </c>
      <c r="K51" s="61"/>
      <c r="L51" s="61"/>
      <c r="M51" s="85"/>
    </row>
    <row r="52" spans="1:13" ht="13.5" x14ac:dyDescent="0.25">
      <c r="A52" s="84"/>
      <c r="B52" s="136" t="str">
        <f>""&amp;Deflatores!B47</f>
        <v/>
      </c>
      <c r="C52" s="136"/>
      <c r="D52" s="38" t="str">
        <f>""&amp;Deflatores!G47</f>
        <v xml:space="preserve">           .</v>
      </c>
      <c r="E52" s="39">
        <f>Deflatores!J47</f>
        <v>0</v>
      </c>
      <c r="F52" s="35"/>
      <c r="G52" s="35"/>
      <c r="H52" s="40" t="str">
        <f>IF(ISBLANK(Deflatores!H47),"",Deflatores!H47)</f>
        <v/>
      </c>
      <c r="I52" s="40" t="str">
        <f t="shared" si="1"/>
        <v/>
      </c>
      <c r="J52" s="41" t="str">
        <f t="shared" si="2"/>
        <v/>
      </c>
      <c r="K52" s="61"/>
      <c r="L52" s="61"/>
      <c r="M52" s="85"/>
    </row>
    <row r="53" spans="1:13" ht="13.5" x14ac:dyDescent="0.25">
      <c r="A53" s="84"/>
      <c r="B53" s="136" t="str">
        <f>""&amp;Deflatores!B48</f>
        <v/>
      </c>
      <c r="C53" s="136"/>
      <c r="D53" s="38" t="str">
        <f>""&amp;Deflatores!G48</f>
        <v xml:space="preserve">           .</v>
      </c>
      <c r="E53" s="39">
        <f>Deflatores!J48</f>
        <v>0</v>
      </c>
      <c r="F53" s="35"/>
      <c r="G53" s="35"/>
      <c r="H53" s="40" t="str">
        <f>IF(ISBLANK(Deflatores!H48),"",Deflatores!H48)</f>
        <v/>
      </c>
      <c r="I53" s="40" t="str">
        <f t="shared" si="1"/>
        <v/>
      </c>
      <c r="J53" s="41" t="str">
        <f t="shared" si="2"/>
        <v/>
      </c>
      <c r="K53" s="61"/>
      <c r="L53" s="61"/>
      <c r="M53" s="85"/>
    </row>
    <row r="54" spans="1:13" ht="13.5" x14ac:dyDescent="0.25">
      <c r="A54" s="84"/>
      <c r="B54" s="136" t="str">
        <f>""&amp;Deflatores!B49</f>
        <v/>
      </c>
      <c r="C54" s="136"/>
      <c r="D54" s="38" t="str">
        <f>""&amp;Deflatores!G49</f>
        <v xml:space="preserve">           .</v>
      </c>
      <c r="E54" s="39">
        <f>Deflatores!J49</f>
        <v>0</v>
      </c>
      <c r="F54" s="35"/>
      <c r="G54" s="35"/>
      <c r="H54" s="40" t="str">
        <f>IF(ISBLANK(Deflatores!H49),"",Deflatores!H49)</f>
        <v/>
      </c>
      <c r="I54" s="40" t="str">
        <f t="shared" si="1"/>
        <v/>
      </c>
      <c r="J54" s="41" t="str">
        <f t="shared" si="2"/>
        <v/>
      </c>
      <c r="K54" s="61"/>
      <c r="L54" s="61"/>
      <c r="M54" s="85"/>
    </row>
    <row r="55" spans="1:13" ht="13.5" x14ac:dyDescent="0.25">
      <c r="A55" s="84"/>
      <c r="B55" s="136" t="str">
        <f>""&amp;Deflatores!B50</f>
        <v/>
      </c>
      <c r="C55" s="136"/>
      <c r="D55" s="38" t="str">
        <f>""&amp;Deflatores!G50</f>
        <v xml:space="preserve">           .</v>
      </c>
      <c r="E55" s="39">
        <f>Deflatores!J50</f>
        <v>0</v>
      </c>
      <c r="F55" s="35"/>
      <c r="G55" s="35"/>
      <c r="H55" s="40" t="str">
        <f>IF(ISBLANK(Deflatores!H50),"",Deflatores!H50)</f>
        <v/>
      </c>
      <c r="I55" s="40" t="str">
        <f t="shared" si="1"/>
        <v/>
      </c>
      <c r="J55" s="41" t="str">
        <f t="shared" si="2"/>
        <v/>
      </c>
      <c r="K55" s="61"/>
      <c r="L55" s="61"/>
      <c r="M55" s="85"/>
    </row>
    <row r="56" spans="1:13" ht="13.5" x14ac:dyDescent="0.25">
      <c r="A56" s="84"/>
      <c r="B56" s="136" t="str">
        <f>""&amp;Deflatores!B51</f>
        <v/>
      </c>
      <c r="C56" s="136"/>
      <c r="D56" s="38" t="str">
        <f>""&amp;Deflatores!G51</f>
        <v xml:space="preserve">           .</v>
      </c>
      <c r="E56" s="39">
        <f>Deflatores!J51</f>
        <v>0</v>
      </c>
      <c r="F56" s="35"/>
      <c r="G56" s="35"/>
      <c r="H56" s="40" t="str">
        <f>IF(ISBLANK(Deflatores!H51),"",Deflatores!H51)</f>
        <v/>
      </c>
      <c r="I56" s="40" t="str">
        <f t="shared" si="1"/>
        <v/>
      </c>
      <c r="J56" s="41" t="str">
        <f t="shared" si="2"/>
        <v/>
      </c>
      <c r="K56" s="61"/>
      <c r="L56" s="61"/>
      <c r="M56" s="85"/>
    </row>
    <row r="57" spans="1:13" ht="13.5" x14ac:dyDescent="0.25">
      <c r="A57" s="84"/>
      <c r="B57" s="136" t="str">
        <f>""&amp;Deflatores!B52</f>
        <v/>
      </c>
      <c r="C57" s="136"/>
      <c r="D57" s="38" t="str">
        <f>""&amp;Deflatores!G52</f>
        <v xml:space="preserve">           .</v>
      </c>
      <c r="E57" s="39">
        <f>Deflatores!J52</f>
        <v>0</v>
      </c>
      <c r="F57" s="35"/>
      <c r="G57" s="35"/>
      <c r="H57" s="40" t="str">
        <f>IF(ISBLANK(Deflatores!H52),"",Deflatores!H52)</f>
        <v/>
      </c>
      <c r="I57" s="40" t="str">
        <f t="shared" si="1"/>
        <v/>
      </c>
      <c r="J57" s="41" t="str">
        <f t="shared" si="2"/>
        <v/>
      </c>
      <c r="K57" s="61"/>
      <c r="L57" s="61"/>
      <c r="M57" s="85"/>
    </row>
    <row r="58" spans="1:13" ht="13.5" x14ac:dyDescent="0.25">
      <c r="A58" s="84"/>
      <c r="B58" s="136" t="str">
        <f>""&amp;Deflatores!B53</f>
        <v/>
      </c>
      <c r="C58" s="136"/>
      <c r="D58" s="38" t="str">
        <f>""&amp;Deflatores!G53</f>
        <v xml:space="preserve">           .</v>
      </c>
      <c r="E58" s="39">
        <f>Deflatores!J53</f>
        <v>0</v>
      </c>
      <c r="F58" s="35"/>
      <c r="G58" s="35"/>
      <c r="H58" s="40" t="str">
        <f>IF(ISBLANK(Deflatores!H53),"",Deflatores!H53)</f>
        <v/>
      </c>
      <c r="I58" s="40" t="str">
        <f t="shared" si="1"/>
        <v/>
      </c>
      <c r="J58" s="41" t="str">
        <f t="shared" si="2"/>
        <v/>
      </c>
      <c r="K58" s="61"/>
      <c r="L58" s="61"/>
      <c r="M58" s="85"/>
    </row>
    <row r="59" spans="1:13" ht="13.5" x14ac:dyDescent="0.25">
      <c r="A59" s="84"/>
      <c r="B59" s="136" t="str">
        <f>""&amp;Deflatores!B54</f>
        <v/>
      </c>
      <c r="C59" s="136"/>
      <c r="D59" s="38" t="str">
        <f>""&amp;Deflatores!G54</f>
        <v xml:space="preserve">           .</v>
      </c>
      <c r="E59" s="39">
        <f>Deflatores!J54</f>
        <v>0</v>
      </c>
      <c r="F59" s="35"/>
      <c r="G59" s="35"/>
      <c r="H59" s="40" t="str">
        <f>IF(ISBLANK(Deflatores!H54),"",Deflatores!H54)</f>
        <v/>
      </c>
      <c r="I59" s="40" t="str">
        <f t="shared" si="1"/>
        <v/>
      </c>
      <c r="J59" s="41" t="str">
        <f t="shared" si="2"/>
        <v/>
      </c>
      <c r="K59" s="61"/>
      <c r="L59" s="61"/>
      <c r="M59" s="85"/>
    </row>
    <row r="60" spans="1:13" ht="13.5" x14ac:dyDescent="0.25">
      <c r="A60" s="84"/>
      <c r="B60" s="136" t="str">
        <f>""&amp;Deflatores!B55</f>
        <v/>
      </c>
      <c r="C60" s="136"/>
      <c r="D60" s="38" t="str">
        <f>""&amp;Deflatores!G55</f>
        <v xml:space="preserve">           .</v>
      </c>
      <c r="E60" s="39">
        <f>Deflatores!J55</f>
        <v>0</v>
      </c>
      <c r="F60" s="35"/>
      <c r="G60" s="35"/>
      <c r="H60" s="40" t="str">
        <f>IF(ISBLANK(Deflatores!H55),"",Deflatores!H55)</f>
        <v/>
      </c>
      <c r="I60" s="40" t="str">
        <f t="shared" si="1"/>
        <v/>
      </c>
      <c r="J60" s="41" t="str">
        <f t="shared" si="2"/>
        <v/>
      </c>
      <c r="K60" s="61"/>
      <c r="L60" s="61"/>
      <c r="M60" s="85"/>
    </row>
    <row r="61" spans="1:13" ht="13.5" x14ac:dyDescent="0.25">
      <c r="A61" s="84"/>
      <c r="B61" s="136" t="str">
        <f>""&amp;Deflatores!B56</f>
        <v/>
      </c>
      <c r="C61" s="136"/>
      <c r="D61" s="38" t="str">
        <f>""&amp;Deflatores!G56</f>
        <v xml:space="preserve">           .</v>
      </c>
      <c r="E61" s="39">
        <f>Deflatores!J56</f>
        <v>0</v>
      </c>
      <c r="F61" s="35"/>
      <c r="G61" s="35"/>
      <c r="H61" s="40" t="str">
        <f>IF(ISBLANK(Deflatores!H56),"",Deflatores!H56)</f>
        <v/>
      </c>
      <c r="I61" s="40" t="str">
        <f t="shared" si="1"/>
        <v/>
      </c>
      <c r="J61" s="41" t="str">
        <f t="shared" si="2"/>
        <v/>
      </c>
      <c r="K61" s="61"/>
      <c r="L61" s="61"/>
      <c r="M61" s="85"/>
    </row>
    <row r="62" spans="1:13" ht="13.5" x14ac:dyDescent="0.25">
      <c r="A62" s="84"/>
      <c r="B62" s="136" t="str">
        <f>""&amp;Deflatores!B57</f>
        <v/>
      </c>
      <c r="C62" s="136"/>
      <c r="D62" s="38" t="str">
        <f>""&amp;Deflatores!G57</f>
        <v xml:space="preserve">           .</v>
      </c>
      <c r="E62" s="39">
        <f>Deflatores!J57</f>
        <v>0</v>
      </c>
      <c r="F62" s="35"/>
      <c r="G62" s="35"/>
      <c r="H62" s="40" t="str">
        <f>IF(ISBLANK(Deflatores!H57),"",Deflatores!H57)</f>
        <v/>
      </c>
      <c r="I62" s="40" t="str">
        <f t="shared" si="1"/>
        <v/>
      </c>
      <c r="J62" s="41" t="str">
        <f t="shared" si="2"/>
        <v/>
      </c>
      <c r="K62" s="61"/>
      <c r="L62" s="61"/>
      <c r="M62" s="85"/>
    </row>
    <row r="63" spans="1:13" ht="13.5" x14ac:dyDescent="0.25">
      <c r="A63" s="84"/>
      <c r="B63" s="136" t="str">
        <f>""&amp;Deflatores!B58</f>
        <v/>
      </c>
      <c r="C63" s="136"/>
      <c r="D63" s="38" t="str">
        <f>""&amp;Deflatores!G58</f>
        <v xml:space="preserve">           .</v>
      </c>
      <c r="E63" s="39">
        <f>Deflatores!J58</f>
        <v>0</v>
      </c>
      <c r="F63" s="35"/>
      <c r="G63" s="35"/>
      <c r="H63" s="40" t="str">
        <f>IF(ISBLANK(Deflatores!H58),"",Deflatores!H58)</f>
        <v/>
      </c>
      <c r="I63" s="40" t="str">
        <f t="shared" si="1"/>
        <v/>
      </c>
      <c r="J63" s="41" t="str">
        <f t="shared" si="2"/>
        <v/>
      </c>
      <c r="K63" s="61"/>
      <c r="L63" s="61"/>
      <c r="M63" s="85"/>
    </row>
    <row r="64" spans="1:13" ht="13.5" x14ac:dyDescent="0.25">
      <c r="A64" s="84"/>
      <c r="B64" s="136" t="str">
        <f>""&amp;Deflatores!B59</f>
        <v/>
      </c>
      <c r="C64" s="136"/>
      <c r="D64" s="38" t="str">
        <f>""&amp;Deflatores!G59</f>
        <v xml:space="preserve">           .</v>
      </c>
      <c r="E64" s="39">
        <f>Deflatores!J59</f>
        <v>0</v>
      </c>
      <c r="F64" s="35"/>
      <c r="G64" s="35"/>
      <c r="H64" s="40" t="str">
        <f>IF(ISBLANK(Deflatores!H59),"",Deflatores!H59)</f>
        <v/>
      </c>
      <c r="I64" s="40" t="str">
        <f t="shared" si="1"/>
        <v/>
      </c>
      <c r="J64" s="41" t="str">
        <f t="shared" si="2"/>
        <v/>
      </c>
      <c r="K64" s="61"/>
      <c r="L64" s="61"/>
      <c r="M64" s="85"/>
    </row>
    <row r="65" spans="1:13" ht="13.5" x14ac:dyDescent="0.25">
      <c r="A65" s="84"/>
      <c r="B65" s="136" t="str">
        <f>""&amp;Deflatores!B60</f>
        <v/>
      </c>
      <c r="C65" s="136"/>
      <c r="D65" s="38" t="str">
        <f>""&amp;Deflatores!G60</f>
        <v xml:space="preserve">           .</v>
      </c>
      <c r="E65" s="39">
        <f>Deflatores!J60</f>
        <v>0</v>
      </c>
      <c r="F65" s="35"/>
      <c r="G65" s="35"/>
      <c r="H65" s="40" t="str">
        <f>IF(ISBLANK(Deflatores!H60),"",Deflatores!H60)</f>
        <v/>
      </c>
      <c r="I65" s="40" t="str">
        <f t="shared" si="1"/>
        <v/>
      </c>
      <c r="J65" s="41" t="str">
        <f t="shared" si="2"/>
        <v/>
      </c>
      <c r="K65" s="61"/>
      <c r="L65" s="61"/>
      <c r="M65" s="85"/>
    </row>
    <row r="66" spans="1:13" ht="13.5" x14ac:dyDescent="0.25">
      <c r="A66" s="84"/>
      <c r="B66" s="136" t="str">
        <f>""&amp;Deflatores!B61</f>
        <v/>
      </c>
      <c r="C66" s="136"/>
      <c r="D66" s="38" t="str">
        <f>""&amp;Deflatores!G61</f>
        <v xml:space="preserve">           .</v>
      </c>
      <c r="E66" s="39">
        <f>Deflatores!J61</f>
        <v>0</v>
      </c>
      <c r="F66" s="35"/>
      <c r="G66" s="35"/>
      <c r="H66" s="40" t="str">
        <f>IF(ISBLANK(Deflatores!H61),"",Deflatores!H61)</f>
        <v/>
      </c>
      <c r="I66" s="40" t="str">
        <f t="shared" si="1"/>
        <v/>
      </c>
      <c r="J66" s="41" t="str">
        <f t="shared" si="2"/>
        <v/>
      </c>
      <c r="K66" s="61"/>
      <c r="L66" s="61"/>
      <c r="M66" s="85"/>
    </row>
    <row r="67" spans="1:13" ht="13.5" x14ac:dyDescent="0.25">
      <c r="A67" s="84"/>
      <c r="B67" s="136" t="str">
        <f>""&amp;Deflatores!B62</f>
        <v/>
      </c>
      <c r="C67" s="136"/>
      <c r="D67" s="38" t="str">
        <f>""&amp;Deflatores!G62</f>
        <v xml:space="preserve">           .</v>
      </c>
      <c r="E67" s="39">
        <f>Deflatores!J62</f>
        <v>0</v>
      </c>
      <c r="F67" s="35"/>
      <c r="G67" s="35"/>
      <c r="H67" s="40" t="str">
        <f>IF(ISBLANK(Deflatores!H62),"",Deflatores!H62)</f>
        <v/>
      </c>
      <c r="I67" s="40" t="str">
        <f t="shared" si="1"/>
        <v/>
      </c>
      <c r="J67" s="41" t="str">
        <f t="shared" si="2"/>
        <v/>
      </c>
      <c r="K67" s="61"/>
      <c r="L67" s="61"/>
      <c r="M67" s="85"/>
    </row>
    <row r="68" spans="1:13" ht="13.5" x14ac:dyDescent="0.25">
      <c r="A68" s="84"/>
      <c r="B68" s="136" t="str">
        <f>""&amp;Deflatores!B63</f>
        <v/>
      </c>
      <c r="C68" s="136"/>
      <c r="D68" s="38" t="str">
        <f>""&amp;Deflatores!G63</f>
        <v xml:space="preserve">           .</v>
      </c>
      <c r="E68" s="39">
        <f>Deflatores!J63</f>
        <v>0</v>
      </c>
      <c r="F68" s="35"/>
      <c r="G68" s="35"/>
      <c r="H68" s="40" t="str">
        <f>IF(ISBLANK(Deflatores!H63),"",Deflatores!H63)</f>
        <v/>
      </c>
      <c r="I68" s="40" t="str">
        <f t="shared" si="1"/>
        <v/>
      </c>
      <c r="J68" s="41" t="str">
        <f t="shared" si="2"/>
        <v/>
      </c>
      <c r="K68" s="61"/>
      <c r="L68" s="61"/>
      <c r="M68" s="85"/>
    </row>
    <row r="69" spans="1:13" ht="13.5" x14ac:dyDescent="0.25">
      <c r="A69" s="84"/>
      <c r="B69" s="136" t="str">
        <f>""&amp;Deflatores!B64</f>
        <v/>
      </c>
      <c r="C69" s="136"/>
      <c r="D69" s="38" t="str">
        <f>""&amp;Deflatores!G64</f>
        <v xml:space="preserve">           .</v>
      </c>
      <c r="E69" s="39">
        <f>Deflatores!J64</f>
        <v>0</v>
      </c>
      <c r="F69" s="44"/>
      <c r="G69" s="44"/>
      <c r="H69" s="40" t="str">
        <f>IF(ISBLANK(Deflatores!H64),"",Deflatores!H64)</f>
        <v/>
      </c>
      <c r="I69" s="40" t="str">
        <f t="shared" si="1"/>
        <v/>
      </c>
      <c r="J69" s="41" t="str">
        <f t="shared" si="2"/>
        <v/>
      </c>
      <c r="K69" s="61"/>
      <c r="L69" s="61"/>
      <c r="M69" s="85"/>
    </row>
    <row r="70" spans="1:13" ht="13.5" x14ac:dyDescent="0.25">
      <c r="A70" s="87"/>
      <c r="B70" s="88"/>
      <c r="C70" s="89"/>
      <c r="D70" s="90"/>
      <c r="E70" s="91"/>
      <c r="F70" s="92"/>
      <c r="G70" s="92"/>
      <c r="H70" s="93"/>
      <c r="I70" s="94"/>
      <c r="J70" s="89"/>
      <c r="K70" s="89"/>
      <c r="L70" s="89"/>
      <c r="M70" s="95"/>
    </row>
  </sheetData>
  <sheetProtection selectLockedCells="1" selectUnlockedCells="1"/>
  <mergeCells count="68">
    <mergeCell ref="B67:C67"/>
    <mergeCell ref="B68:C68"/>
    <mergeCell ref="B69:C69"/>
    <mergeCell ref="B61:C61"/>
    <mergeCell ref="B62:C62"/>
    <mergeCell ref="B63:C63"/>
    <mergeCell ref="B64:C64"/>
    <mergeCell ref="B65:C65"/>
    <mergeCell ref="B66:C66"/>
    <mergeCell ref="B60:C60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47:C47"/>
    <mergeCell ref="B48:C48"/>
    <mergeCell ref="B36:C36"/>
    <mergeCell ref="B37:C37"/>
    <mergeCell ref="B42:C42"/>
    <mergeCell ref="B43:C43"/>
    <mergeCell ref="B44:C44"/>
    <mergeCell ref="B46:D46"/>
    <mergeCell ref="B38:C38"/>
    <mergeCell ref="B39:C39"/>
    <mergeCell ref="B40:C40"/>
    <mergeCell ref="B41:C41"/>
    <mergeCell ref="B35:C35"/>
    <mergeCell ref="B23:C23"/>
    <mergeCell ref="B24:C24"/>
    <mergeCell ref="B25:C25"/>
    <mergeCell ref="B26:C26"/>
    <mergeCell ref="B27:C27"/>
    <mergeCell ref="B28:C28"/>
    <mergeCell ref="B30:C30"/>
    <mergeCell ref="B31:C31"/>
    <mergeCell ref="B32:C32"/>
    <mergeCell ref="B33:C33"/>
    <mergeCell ref="B34:C34"/>
    <mergeCell ref="B16:C16"/>
    <mergeCell ref="B18:C18"/>
    <mergeCell ref="B19:C19"/>
    <mergeCell ref="B22:C22"/>
    <mergeCell ref="B17:C17"/>
    <mergeCell ref="B21:C21"/>
    <mergeCell ref="B20:C20"/>
    <mergeCell ref="B15:C15"/>
    <mergeCell ref="B29:C29"/>
    <mergeCell ref="A1:M3"/>
    <mergeCell ref="A4:E4"/>
    <mergeCell ref="F4:M4"/>
    <mergeCell ref="A5:E5"/>
    <mergeCell ref="F5:M5"/>
    <mergeCell ref="A6:E6"/>
    <mergeCell ref="F6:M6"/>
    <mergeCell ref="B8:I8"/>
    <mergeCell ref="B9:D9"/>
    <mergeCell ref="B10:C10"/>
    <mergeCell ref="B11:C11"/>
    <mergeCell ref="B12:C12"/>
    <mergeCell ref="B13:C13"/>
    <mergeCell ref="B14:C14"/>
  </mergeCells>
  <pageMargins left="0.78749999999999998" right="0.78749999999999998" top="1.023611111111111" bottom="1.023611111111111" header="0.51180555555555551" footer="0.78749999999999998"/>
  <pageSetup paperSize="9" scale="47" firstPageNumber="0" orientation="portrait" horizontalDpi="300" verticalDpi="300" r:id="rId1"/>
  <headerFooter alignWithMargins="0">
    <oddFooter>&amp;CPágina &amp;P de &amp;N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4</vt:i4>
      </vt:variant>
    </vt:vector>
  </HeadingPairs>
  <TitlesOfParts>
    <vt:vector size="9" baseType="lpstr">
      <vt:lpstr>Contagem</vt:lpstr>
      <vt:lpstr>Funções</vt:lpstr>
      <vt:lpstr>Deflatores</vt:lpstr>
      <vt:lpstr>Sumário 1</vt:lpstr>
      <vt:lpstr>Sumário 2</vt:lpstr>
      <vt:lpstr>Contagem!Area_de_impressao</vt:lpstr>
      <vt:lpstr>Funções!TiposDeFuncao</vt:lpstr>
      <vt:lpstr>Funções!TiposDeManutencao</vt:lpstr>
      <vt:lpstr>Funções!Titulos_de_impressao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Fatto Consultoria e Sistemas;Jonathas Gomes Marques</dc:creator>
  <cp:lastModifiedBy>Jonathas Gomes Marques</cp:lastModifiedBy>
  <cp:lastPrinted>2015-06-26T20:29:38Z</cp:lastPrinted>
  <dcterms:created xsi:type="dcterms:W3CDTF">2015-06-26T19:24:40Z</dcterms:created>
  <dcterms:modified xsi:type="dcterms:W3CDTF">2025-12-10T21:00:45Z</dcterms:modified>
</cp:coreProperties>
</file>